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C7C7C538-C554-4261-9048-C90AD6DF3D44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48" i="1" l="1"/>
  <c r="CN46" i="1"/>
  <c r="CO46" i="1" s="1"/>
  <c r="CP46" i="1" s="1"/>
  <c r="CQ46" i="1" s="1"/>
  <c r="CR46" i="1" s="1"/>
  <c r="CS46" i="1" s="1"/>
  <c r="CT46" i="1" s="1"/>
  <c r="CU46" i="1" s="1"/>
  <c r="CV46" i="1" s="1"/>
  <c r="CW46" i="1" s="1"/>
  <c r="CX46" i="1" s="1"/>
  <c r="CY46" i="1" s="1"/>
  <c r="CZ46" i="1" s="1"/>
  <c r="DA46" i="1" s="1"/>
  <c r="DB46" i="1" s="1"/>
  <c r="CK145" i="1" l="1"/>
  <c r="CL6" i="1" l="1"/>
  <c r="CM6" i="1"/>
  <c r="CN6" i="1" s="1"/>
  <c r="CO6" i="1" s="1"/>
  <c r="CP6" i="1" s="1"/>
  <c r="CQ6" i="1" s="1"/>
  <c r="CR6" i="1" s="1"/>
  <c r="CS6" i="1" s="1"/>
  <c r="CT6" i="1" s="1"/>
  <c r="CU6" i="1" s="1"/>
  <c r="CV6" i="1" s="1"/>
  <c r="CW6" i="1" s="1"/>
  <c r="CX6" i="1" s="1"/>
  <c r="CY6" i="1" s="1"/>
  <c r="CZ6" i="1" s="1"/>
  <c r="DA6" i="1" s="1"/>
  <c r="DB6" i="1" s="1"/>
  <c r="CL11" i="1"/>
  <c r="CL12" i="1" s="1"/>
  <c r="CL9" i="1"/>
  <c r="CK6" i="1"/>
  <c r="CK9" i="1"/>
  <c r="CK12" i="1"/>
  <c r="CM4" i="1" l="1"/>
  <c r="CN4" i="1" s="1"/>
  <c r="AE11" i="1"/>
  <c r="AD11" i="1"/>
  <c r="AC11" i="1"/>
  <c r="AB11" i="1"/>
  <c r="AA11" i="1"/>
  <c r="Z11" i="1"/>
  <c r="Y11" i="1"/>
  <c r="X11" i="1"/>
  <c r="W11" i="1"/>
  <c r="V11" i="1"/>
  <c r="U11" i="1"/>
  <c r="T11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X5" i="1"/>
  <c r="W5" i="1"/>
  <c r="V5" i="1"/>
  <c r="U5" i="1"/>
  <c r="T5" i="1"/>
  <c r="S5" i="1"/>
  <c r="R5" i="1"/>
  <c r="Q5" i="1"/>
  <c r="P5" i="1"/>
  <c r="O5" i="1"/>
  <c r="N5" i="1"/>
  <c r="Y5" i="1"/>
  <c r="Z5" i="1"/>
  <c r="N4" i="1"/>
  <c r="O4" i="1"/>
  <c r="P4" i="1"/>
  <c r="Q4" i="1"/>
  <c r="R4" i="1"/>
  <c r="S4" i="1"/>
  <c r="T4" i="1"/>
  <c r="U4" i="1"/>
  <c r="V4" i="1"/>
  <c r="W4" i="1"/>
  <c r="X4" i="1"/>
  <c r="Y4" i="1"/>
  <c r="Z4" i="1"/>
  <c r="CJ12" i="1"/>
  <c r="CI12" i="1"/>
  <c r="CH12" i="1"/>
  <c r="CL13" i="1" s="1"/>
  <c r="CG12" i="1"/>
  <c r="CK13" i="1" s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CN5" i="1"/>
  <c r="CO5" i="1" s="1"/>
  <c r="CP5" i="1" s="1"/>
  <c r="CQ5" i="1" s="1"/>
  <c r="CR5" i="1" s="1"/>
  <c r="CS5" i="1" s="1"/>
  <c r="CT5" i="1" s="1"/>
  <c r="CU5" i="1" s="1"/>
  <c r="CV5" i="1" s="1"/>
  <c r="CW5" i="1" s="1"/>
  <c r="CX5" i="1" s="1"/>
  <c r="CY5" i="1" s="1"/>
  <c r="CZ5" i="1" s="1"/>
  <c r="DA5" i="1" s="1"/>
  <c r="DB5" i="1" s="1"/>
  <c r="AE5" i="1" s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CJ6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45" i="1"/>
  <c r="AB18" i="1"/>
  <c r="AC18" i="1"/>
  <c r="AD18" i="1"/>
  <c r="AE18" i="1"/>
  <c r="AB31" i="1"/>
  <c r="AC31" i="1"/>
  <c r="AD31" i="1"/>
  <c r="AE31" i="1"/>
  <c r="AE30" i="1"/>
  <c r="AD30" i="1"/>
  <c r="AC30" i="1"/>
  <c r="AB30" i="1"/>
  <c r="AJ218" i="1"/>
  <c r="AD73" i="2"/>
  <c r="AC25" i="2"/>
  <c r="AF108" i="2"/>
  <c r="AB25" i="2"/>
  <c r="AA45" i="1" s="1"/>
  <c r="AB28" i="2"/>
  <c r="AD69" i="2"/>
  <c r="AC18" i="2"/>
  <c r="AB90" i="2"/>
  <c r="AC16" i="2"/>
  <c r="AF50" i="2"/>
  <c r="AB16" i="2"/>
  <c r="AF60" i="2"/>
  <c r="AC36" i="2"/>
  <c r="AE99" i="2"/>
  <c r="AB94" i="2"/>
  <c r="AC7" i="2"/>
  <c r="AB55" i="2"/>
  <c r="AE34" i="2"/>
  <c r="AD97" i="2"/>
  <c r="AC11" i="2"/>
  <c r="AF62" i="2"/>
  <c r="AE41" i="2"/>
  <c r="AB14" i="2"/>
  <c r="AA29" i="1" s="1"/>
  <c r="AE82" i="2"/>
  <c r="AB108" i="2"/>
  <c r="AA88" i="1" s="1"/>
  <c r="AC21" i="2"/>
  <c r="AC23" i="2"/>
  <c r="AC22" i="2"/>
  <c r="AE53" i="2"/>
  <c r="AF66" i="2"/>
  <c r="AC90" i="2"/>
  <c r="AF28" i="2"/>
  <c r="AD41" i="2"/>
  <c r="AD59" i="2"/>
  <c r="AC65" i="2"/>
  <c r="AB92" i="2"/>
  <c r="AE88" i="2"/>
  <c r="AB21" i="2"/>
  <c r="AF82" i="2"/>
  <c r="AE43" i="2"/>
  <c r="AF35" i="2"/>
  <c r="AD52" i="2"/>
  <c r="AD110" i="2"/>
  <c r="AD18" i="2"/>
  <c r="AB56" i="2"/>
  <c r="AA136" i="1" s="1"/>
  <c r="AC58" i="2"/>
  <c r="AE74" i="2"/>
  <c r="AF43" i="2"/>
  <c r="AD44" i="2"/>
  <c r="AF14" i="2"/>
  <c r="AF69" i="2"/>
  <c r="AC79" i="2"/>
  <c r="AE80" i="2"/>
  <c r="AB45" i="2"/>
  <c r="AA131" i="1" s="1"/>
  <c r="AC70" i="2"/>
  <c r="AC93" i="2"/>
  <c r="AC45" i="2"/>
  <c r="AF57" i="2"/>
  <c r="AB11" i="2"/>
  <c r="AA22" i="1" s="1"/>
  <c r="AF77" i="2"/>
  <c r="AD54" i="2"/>
  <c r="AF53" i="2"/>
  <c r="AE67" i="2"/>
  <c r="AC55" i="2"/>
  <c r="AF76" i="2"/>
  <c r="AD90" i="2"/>
  <c r="AD24" i="2"/>
  <c r="AF42" i="2"/>
  <c r="AF92" i="2"/>
  <c r="AB93" i="2"/>
  <c r="AA181" i="1" s="1"/>
  <c r="AB70" i="2"/>
  <c r="AB29" i="2"/>
  <c r="AA56" i="1" s="1"/>
  <c r="AD87" i="2"/>
  <c r="AD32" i="2"/>
  <c r="AE107" i="2"/>
  <c r="AC106" i="2"/>
  <c r="AB105" i="2"/>
  <c r="AB42" i="2"/>
  <c r="AA127" i="1" s="1"/>
  <c r="AD17" i="2"/>
  <c r="AD12" i="2"/>
  <c r="AF81" i="2"/>
  <c r="AD30" i="2"/>
  <c r="AE73" i="2"/>
  <c r="AC94" i="2"/>
  <c r="AB13" i="2"/>
  <c r="AA33" i="1" s="1"/>
  <c r="AE104" i="2"/>
  <c r="AC59" i="2"/>
  <c r="AC63" i="2"/>
  <c r="AB89" i="2"/>
  <c r="AF106" i="2"/>
  <c r="AE27" i="2"/>
  <c r="AF70" i="2"/>
  <c r="AC50" i="2"/>
  <c r="AE66" i="2"/>
  <c r="AE30" i="2"/>
  <c r="AE79" i="2"/>
  <c r="AB54" i="2"/>
  <c r="AA162" i="1" s="1"/>
  <c r="AB66" i="2"/>
  <c r="AE76" i="2"/>
  <c r="AE87" i="2"/>
  <c r="AF56" i="2"/>
  <c r="AC75" i="2"/>
  <c r="AB17" i="2"/>
  <c r="AA30" i="1" s="1"/>
  <c r="AC87" i="2"/>
  <c r="AD15" i="2"/>
  <c r="AE6" i="2"/>
  <c r="AD7" i="2"/>
  <c r="AC76" i="2"/>
  <c r="AE45" i="2"/>
  <c r="AC86" i="2"/>
  <c r="AE75" i="2"/>
  <c r="AE57" i="2"/>
  <c r="AC64" i="2"/>
  <c r="AC12" i="2"/>
  <c r="AC15" i="2"/>
  <c r="AF26" i="2"/>
  <c r="AD36" i="2"/>
  <c r="AD57" i="2"/>
  <c r="AE15" i="2"/>
  <c r="AD48" i="2"/>
  <c r="AD25" i="2"/>
  <c r="AC30" i="2"/>
  <c r="AD45" i="2"/>
  <c r="AE33" i="2"/>
  <c r="AC20" i="2"/>
  <c r="AF68" i="2"/>
  <c r="AB78" i="2"/>
  <c r="AA169" i="1" s="1"/>
  <c r="AC29" i="2"/>
  <c r="AE109" i="2"/>
  <c r="AD16" i="2"/>
  <c r="AF52" i="2"/>
  <c r="AB20" i="2"/>
  <c r="AB75" i="2"/>
  <c r="AA168" i="1" s="1"/>
  <c r="AB9" i="2"/>
  <c r="AE50" i="2"/>
  <c r="AD56" i="2"/>
  <c r="AE70" i="2"/>
  <c r="AE5" i="2"/>
  <c r="AB110" i="2"/>
  <c r="AA76" i="1" s="1"/>
  <c r="AC53" i="2"/>
  <c r="AC108" i="2"/>
  <c r="AE13" i="2"/>
  <c r="AE46" i="2"/>
  <c r="AE60" i="2"/>
  <c r="AC89" i="2"/>
  <c r="AC5" i="2"/>
  <c r="AB107" i="2"/>
  <c r="AA87" i="1" s="1"/>
  <c r="AF20" i="2"/>
  <c r="AE40" i="2"/>
  <c r="AE105" i="2"/>
  <c r="AE72" i="2"/>
  <c r="AB26" i="2"/>
  <c r="AE32" i="2"/>
  <c r="AE98" i="2"/>
  <c r="AD62" i="2"/>
  <c r="AF7" i="2"/>
  <c r="AC98" i="2"/>
  <c r="AD33" i="2"/>
  <c r="AC26" i="2"/>
  <c r="AD51" i="2"/>
  <c r="AC46" i="2"/>
  <c r="AE62" i="2"/>
  <c r="AE92" i="2"/>
  <c r="AB34" i="2"/>
  <c r="AD20" i="2"/>
  <c r="AF89" i="2"/>
  <c r="AC32" i="2"/>
  <c r="AC81" i="2"/>
  <c r="AE7" i="2"/>
  <c r="AD19" i="2"/>
  <c r="AB32" i="2"/>
  <c r="AA54" i="1" s="1"/>
  <c r="AF5" i="2"/>
  <c r="AD67" i="2"/>
  <c r="AF41" i="2"/>
  <c r="AB49" i="2"/>
  <c r="AA172" i="1" s="1"/>
  <c r="AB24" i="2"/>
  <c r="AD72" i="2"/>
  <c r="AB60" i="2"/>
  <c r="AB6" i="2"/>
  <c r="AA17" i="1" s="1"/>
  <c r="AE83" i="2"/>
  <c r="AD82" i="2"/>
  <c r="AE42" i="2"/>
  <c r="AE56" i="2"/>
  <c r="AD89" i="2"/>
  <c r="AF47" i="2"/>
  <c r="AC54" i="2"/>
  <c r="AB63" i="2"/>
  <c r="AA141" i="1" s="1"/>
  <c r="AF11" i="2"/>
  <c r="AD77" i="2"/>
  <c r="AB22" i="2"/>
  <c r="AF65" i="2"/>
  <c r="AD14" i="2"/>
  <c r="AB31" i="2"/>
  <c r="AD104" i="2"/>
  <c r="AB53" i="2"/>
  <c r="AF22" i="2"/>
  <c r="AF31" i="2"/>
  <c r="AF73" i="2"/>
  <c r="AD22" i="2"/>
  <c r="AE108" i="2"/>
  <c r="AF9" i="2"/>
  <c r="AF83" i="2"/>
  <c r="AD91" i="2"/>
  <c r="AF105" i="2"/>
  <c r="AE49" i="2"/>
  <c r="AB15" i="2"/>
  <c r="AD84" i="2"/>
  <c r="AB33" i="2"/>
  <c r="AC34" i="2"/>
  <c r="AB71" i="2"/>
  <c r="AA149" i="1" s="1"/>
  <c r="AE19" i="2"/>
  <c r="AB46" i="2"/>
  <c r="AD94" i="2"/>
  <c r="AF112" i="2"/>
  <c r="AC73" i="2"/>
  <c r="AF13" i="2"/>
  <c r="AB99" i="2"/>
  <c r="AF23" i="2"/>
  <c r="AF34" i="2"/>
  <c r="AD88" i="2"/>
  <c r="AB79" i="2"/>
  <c r="AA155" i="1" s="1"/>
  <c r="AD26" i="2"/>
  <c r="AB47" i="2"/>
  <c r="AA133" i="1" s="1"/>
  <c r="AD79" i="2"/>
  <c r="AC43" i="2"/>
  <c r="AC78" i="2"/>
  <c r="AD64" i="2"/>
  <c r="AE96" i="2"/>
  <c r="AE11" i="2"/>
  <c r="AF74" i="2"/>
  <c r="AE85" i="2"/>
  <c r="AE106" i="2"/>
  <c r="AB62" i="2"/>
  <c r="AC82" i="2"/>
  <c r="AE78" i="2"/>
  <c r="AC95" i="2"/>
  <c r="AD5" i="2"/>
  <c r="AC8" i="2"/>
  <c r="AF19" i="2"/>
  <c r="AE23" i="2"/>
  <c r="AF88" i="2"/>
  <c r="AF86" i="2"/>
  <c r="AC62" i="2"/>
  <c r="AB51" i="2"/>
  <c r="AA159" i="1" s="1"/>
  <c r="AB35" i="2"/>
  <c r="AA60" i="1" s="1"/>
  <c r="AD47" i="2"/>
  <c r="AC109" i="2"/>
  <c r="AE14" i="2"/>
  <c r="AC88" i="2"/>
  <c r="AC91" i="2"/>
  <c r="AB48" i="2"/>
  <c r="AA134" i="1" s="1"/>
  <c r="AE44" i="2"/>
  <c r="AD27" i="2"/>
  <c r="AB44" i="2"/>
  <c r="AD42" i="2"/>
  <c r="AF80" i="2"/>
  <c r="AB12" i="2"/>
  <c r="AA24" i="1" s="1"/>
  <c r="AD66" i="2"/>
  <c r="AF59" i="2"/>
  <c r="AF49" i="2"/>
  <c r="AC105" i="2"/>
  <c r="AF104" i="2"/>
  <c r="AC48" i="2"/>
  <c r="AE81" i="2"/>
  <c r="AC68" i="2"/>
  <c r="AD109" i="2"/>
  <c r="AC52" i="2"/>
  <c r="AE89" i="2"/>
  <c r="AE69" i="2"/>
  <c r="AD58" i="2"/>
  <c r="AB91" i="2"/>
  <c r="AE94" i="2"/>
  <c r="AC66" i="2"/>
  <c r="AF12" i="2"/>
  <c r="AB30" i="2"/>
  <c r="AA48" i="1" s="1"/>
  <c r="AC35" i="2"/>
  <c r="AC49" i="2"/>
  <c r="AD13" i="2"/>
  <c r="AC9" i="2"/>
  <c r="AE10" i="2"/>
  <c r="AE36" i="2"/>
  <c r="AE110" i="2"/>
  <c r="AD6" i="2"/>
  <c r="AD80" i="2"/>
  <c r="AC69" i="2"/>
  <c r="AD107" i="2"/>
  <c r="AD29" i="2"/>
  <c r="AB36" i="2"/>
  <c r="AF91" i="2"/>
  <c r="AD85" i="2"/>
  <c r="AB8" i="2"/>
  <c r="AD105" i="2"/>
  <c r="AB57" i="2"/>
  <c r="AA164" i="1" s="1"/>
  <c r="AE77" i="2"/>
  <c r="AF98" i="2"/>
  <c r="AB77" i="2"/>
  <c r="AA154" i="1" s="1"/>
  <c r="AE26" i="2"/>
  <c r="AD93" i="2"/>
  <c r="AD46" i="2"/>
  <c r="AD8" i="2"/>
  <c r="AB72" i="2"/>
  <c r="AA151" i="1" s="1"/>
  <c r="AE51" i="2"/>
  <c r="AB64" i="2"/>
  <c r="AA142" i="1" s="1"/>
  <c r="AF51" i="2"/>
  <c r="AE22" i="2"/>
  <c r="AF87" i="2"/>
  <c r="AB86" i="2"/>
  <c r="AA144" i="1" s="1"/>
  <c r="AD53" i="2"/>
  <c r="AD60" i="2"/>
  <c r="AB65" i="2"/>
  <c r="AD65" i="2"/>
  <c r="AB83" i="2"/>
  <c r="AA173" i="1" s="1"/>
  <c r="AB59" i="2"/>
  <c r="AF67" i="2"/>
  <c r="AE31" i="2"/>
  <c r="AF85" i="2"/>
  <c r="AD106" i="2"/>
  <c r="AC80" i="2"/>
  <c r="AE16" i="2"/>
  <c r="AF33" i="2"/>
  <c r="AF75" i="2"/>
  <c r="AD75" i="2"/>
  <c r="AF93" i="2"/>
  <c r="AE58" i="2"/>
  <c r="AC41" i="2"/>
  <c r="AB104" i="2"/>
  <c r="AF40" i="2"/>
  <c r="AC84" i="2"/>
  <c r="AE17" i="2"/>
  <c r="AD86" i="2"/>
  <c r="AB96" i="2"/>
  <c r="AD108" i="2"/>
  <c r="AC77" i="2"/>
  <c r="AF54" i="2"/>
  <c r="AF18" i="2"/>
  <c r="AC60" i="2"/>
  <c r="AC10" i="2"/>
  <c r="AE68" i="2"/>
  <c r="AB50" i="2"/>
  <c r="AA158" i="1" s="1"/>
  <c r="AF10" i="2"/>
  <c r="AE18" i="2"/>
  <c r="AD83" i="2"/>
  <c r="AE86" i="2"/>
  <c r="AF84" i="2"/>
  <c r="AC33" i="2"/>
  <c r="AC28" i="2"/>
  <c r="AB80" i="2"/>
  <c r="AA156" i="1" s="1"/>
  <c r="AF64" i="2"/>
  <c r="AF48" i="2"/>
  <c r="AB23" i="2"/>
  <c r="AA44" i="1" s="1"/>
  <c r="AF58" i="2"/>
  <c r="AC67" i="2"/>
  <c r="AE64" i="2"/>
  <c r="AC107" i="2"/>
  <c r="AE8" i="2"/>
  <c r="AC71" i="2"/>
  <c r="AC31" i="2"/>
  <c r="AB10" i="2"/>
  <c r="AB52" i="2"/>
  <c r="AA160" i="1" s="1"/>
  <c r="AD96" i="2"/>
  <c r="AE93" i="2"/>
  <c r="AE20" i="2"/>
  <c r="AC83" i="2"/>
  <c r="AD11" i="2"/>
  <c r="AC61" i="2"/>
  <c r="AB76" i="2"/>
  <c r="AA153" i="1" s="1"/>
  <c r="AA188" i="1" s="1"/>
  <c r="AE84" i="2"/>
  <c r="AB82" i="2"/>
  <c r="AC42" i="2"/>
  <c r="AC57" i="2"/>
  <c r="AB18" i="2"/>
  <c r="AA34" i="1" s="1"/>
  <c r="AE65" i="2"/>
  <c r="AB27" i="2"/>
  <c r="AA41" i="1" s="1"/>
  <c r="AC110" i="2"/>
  <c r="AB41" i="2"/>
  <c r="AA126" i="1" s="1"/>
  <c r="AE71" i="2"/>
  <c r="AC17" i="2"/>
  <c r="AE54" i="2"/>
  <c r="AC40" i="2"/>
  <c r="AB58" i="2"/>
  <c r="AE55" i="2"/>
  <c r="AC47" i="2"/>
  <c r="AB43" i="2"/>
  <c r="AA128" i="1" s="1"/>
  <c r="AD40" i="2"/>
  <c r="AB106" i="2"/>
  <c r="AA86" i="1" s="1"/>
  <c r="AF96" i="2"/>
  <c r="AF32" i="2"/>
  <c r="AE35" i="2"/>
  <c r="AF79" i="2"/>
  <c r="AF78" i="2"/>
  <c r="AC44" i="2"/>
  <c r="AF55" i="2"/>
  <c r="AD35" i="2"/>
  <c r="AC104" i="2"/>
  <c r="AB88" i="2"/>
  <c r="AD55" i="2"/>
  <c r="AD31" i="2"/>
  <c r="AD23" i="2"/>
  <c r="AE59" i="2"/>
  <c r="AB19" i="2"/>
  <c r="AA31" i="1" s="1"/>
  <c r="AF94" i="2"/>
  <c r="AF71" i="2"/>
  <c r="AB68" i="2"/>
  <c r="AA145" i="1" s="1"/>
  <c r="AF21" i="2"/>
  <c r="AD99" i="2"/>
  <c r="AE95" i="2"/>
  <c r="AF63" i="2"/>
  <c r="AD98" i="2"/>
  <c r="AB109" i="2"/>
  <c r="AB84" i="2"/>
  <c r="AF29" i="2"/>
  <c r="AC51" i="2"/>
  <c r="AB40" i="2"/>
  <c r="AE25" i="2"/>
  <c r="AD10" i="2"/>
  <c r="AF113" i="2"/>
  <c r="AC99" i="2"/>
  <c r="AF36" i="2"/>
  <c r="AF110" i="2"/>
  <c r="AD43" i="2"/>
  <c r="AC92" i="2"/>
  <c r="AE91" i="2"/>
  <c r="AF17" i="2"/>
  <c r="AB87" i="2"/>
  <c r="AF24" i="2"/>
  <c r="AD61" i="2"/>
  <c r="AF8" i="2"/>
  <c r="AE47" i="2"/>
  <c r="AF45" i="2"/>
  <c r="AB97" i="2"/>
  <c r="AE61" i="2"/>
  <c r="AF6" i="2"/>
  <c r="AD76" i="2"/>
  <c r="AF99" i="2"/>
  <c r="AC72" i="2"/>
  <c r="AD63" i="2"/>
  <c r="AF90" i="2"/>
  <c r="AC27" i="2"/>
  <c r="AE63" i="2"/>
  <c r="AD81" i="2"/>
  <c r="AD74" i="2"/>
  <c r="AF30" i="2"/>
  <c r="AC56" i="2"/>
  <c r="AB73" i="2"/>
  <c r="AA152" i="1" s="1"/>
  <c r="AC24" i="2"/>
  <c r="AB5" i="2"/>
  <c r="AB111" i="2"/>
  <c r="AD70" i="2"/>
  <c r="AB81" i="2"/>
  <c r="AF72" i="2"/>
  <c r="AF95" i="2"/>
  <c r="AE29" i="2"/>
  <c r="AF15" i="2"/>
  <c r="AB74" i="2"/>
  <c r="AF46" i="2"/>
  <c r="AD49" i="2"/>
  <c r="AE21" i="2"/>
  <c r="AF44" i="2"/>
  <c r="AF107" i="2"/>
  <c r="AC97" i="2"/>
  <c r="AE24" i="2"/>
  <c r="AB98" i="2"/>
  <c r="AF16" i="2"/>
  <c r="AC74" i="2"/>
  <c r="AD34" i="2"/>
  <c r="AD68" i="2"/>
  <c r="AE97" i="2"/>
  <c r="AE52" i="2"/>
  <c r="AB85" i="2"/>
  <c r="AA179" i="1" s="1"/>
  <c r="AC14" i="2"/>
  <c r="AE90" i="2"/>
  <c r="AE9" i="2"/>
  <c r="AD21" i="2"/>
  <c r="AB7" i="2"/>
  <c r="AA18" i="1" s="1"/>
  <c r="AF109" i="2"/>
  <c r="AB67" i="2"/>
  <c r="AA146" i="1" s="1"/>
  <c r="AB69" i="2"/>
  <c r="AC19" i="2"/>
  <c r="AD95" i="2"/>
  <c r="AF61" i="2"/>
  <c r="AC85" i="2"/>
  <c r="AE48" i="2"/>
  <c r="AD113" i="2"/>
  <c r="AD92" i="2"/>
  <c r="AF25" i="2"/>
  <c r="AD28" i="2"/>
  <c r="AC96" i="2"/>
  <c r="AB61" i="2"/>
  <c r="AD78" i="2"/>
  <c r="AD71" i="2"/>
  <c r="AC13" i="2"/>
  <c r="AD9" i="2"/>
  <c r="AD111" i="2"/>
  <c r="AF27" i="2"/>
  <c r="AE12" i="2"/>
  <c r="AE28" i="2"/>
  <c r="AB95" i="2"/>
  <c r="AA180" i="1" s="1"/>
  <c r="AF97" i="2"/>
  <c r="AC6" i="2"/>
  <c r="AD50" i="2"/>
  <c r="AB113" i="2"/>
  <c r="AA83" i="1" s="1"/>
  <c r="AA170" i="1" l="1"/>
  <c r="AA189" i="1"/>
  <c r="AA135" i="1"/>
  <c r="AA163" i="1" s="1"/>
  <c r="AA32" i="1"/>
  <c r="AA55" i="1"/>
  <c r="AA240" i="1"/>
  <c r="AA261" i="1"/>
  <c r="AA19" i="1"/>
  <c r="AA203" i="1"/>
  <c r="AA262" i="1"/>
  <c r="AA182" i="1"/>
  <c r="AA129" i="1"/>
  <c r="AA35" i="1"/>
  <c r="AA36" i="1" s="1"/>
  <c r="AA192" i="1"/>
  <c r="AA137" i="1"/>
  <c r="AA140" i="1"/>
  <c r="AA143" i="1" s="1"/>
  <c r="AA147" i="1" s="1"/>
  <c r="AA157" i="1"/>
  <c r="AA165" i="1"/>
  <c r="X13" i="1"/>
  <c r="Q9" i="1"/>
  <c r="AC9" i="1"/>
  <c r="AC13" i="1"/>
  <c r="S9" i="1"/>
  <c r="AE9" i="1"/>
  <c r="AE13" i="1"/>
  <c r="U9" i="1"/>
  <c r="U13" i="1"/>
  <c r="W9" i="1"/>
  <c r="W13" i="1"/>
  <c r="Y9" i="1"/>
  <c r="Y13" i="1"/>
  <c r="O9" i="1"/>
  <c r="AA9" i="1"/>
  <c r="CM17" i="1"/>
  <c r="CM19" i="1" s="1"/>
  <c r="CO4" i="1"/>
  <c r="CN17" i="1"/>
  <c r="CN19" i="1" s="1"/>
  <c r="BP13" i="1"/>
  <c r="BT13" i="1"/>
  <c r="BX13" i="1"/>
  <c r="CB13" i="1"/>
  <c r="CF13" i="1"/>
  <c r="CJ13" i="1"/>
  <c r="AA13" i="1"/>
  <c r="BQ13" i="1"/>
  <c r="BU13" i="1"/>
  <c r="BY13" i="1"/>
  <c r="CC13" i="1"/>
  <c r="CG13" i="1"/>
  <c r="P9" i="1"/>
  <c r="T9" i="1"/>
  <c r="X9" i="1"/>
  <c r="AB9" i="1"/>
  <c r="AB13" i="1"/>
  <c r="BN13" i="1"/>
  <c r="BR13" i="1"/>
  <c r="BV13" i="1"/>
  <c r="BZ13" i="1"/>
  <c r="CD13" i="1"/>
  <c r="CH13" i="1"/>
  <c r="BO13" i="1"/>
  <c r="BS13" i="1"/>
  <c r="BW13" i="1"/>
  <c r="CA13" i="1"/>
  <c r="CE13" i="1"/>
  <c r="CI13" i="1"/>
  <c r="R9" i="1"/>
  <c r="V9" i="1"/>
  <c r="Z9" i="1"/>
  <c r="AD9" i="1"/>
  <c r="V13" i="1"/>
  <c r="Z13" i="1"/>
  <c r="AD13" i="1"/>
  <c r="AD5" i="1"/>
  <c r="AB5" i="1"/>
  <c r="AC5" i="1"/>
  <c r="B1" i="9"/>
  <c r="AB112" i="2"/>
  <c r="AA82" i="1" s="1"/>
  <c r="AC111" i="2"/>
  <c r="AC113" i="2"/>
  <c r="A1" i="9"/>
  <c r="AE112" i="2"/>
  <c r="AF111" i="2"/>
  <c r="AE111" i="2"/>
  <c r="AE113" i="2"/>
  <c r="AD112" i="2"/>
  <c r="AC112" i="2"/>
  <c r="L1" i="9"/>
  <c r="AA253" i="1" l="1"/>
  <c r="AA107" i="1"/>
  <c r="AA25" i="1"/>
  <c r="AA46" i="1"/>
  <c r="AA138" i="1"/>
  <c r="AA177" i="1"/>
  <c r="AA118" i="1" s="1"/>
  <c r="AA191" i="1"/>
  <c r="AA166" i="1"/>
  <c r="AA174" i="1" s="1"/>
  <c r="AA175" i="1" s="1"/>
  <c r="AA194" i="1"/>
  <c r="AA193" i="1" s="1"/>
  <c r="AA257" i="1"/>
  <c r="AA255" i="1"/>
  <c r="AA42" i="1"/>
  <c r="AA184" i="1"/>
  <c r="CN21" i="1"/>
  <c r="CP4" i="1"/>
  <c r="CO17" i="1"/>
  <c r="CO19" i="1" s="1"/>
  <c r="CO21" i="1" s="1"/>
  <c r="DB248" i="1"/>
  <c r="DA248" i="1"/>
  <c r="CZ248" i="1"/>
  <c r="CY248" i="1"/>
  <c r="CX248" i="1"/>
  <c r="CW248" i="1"/>
  <c r="CV248" i="1"/>
  <c r="CU248" i="1"/>
  <c r="CT248" i="1"/>
  <c r="CS248" i="1"/>
  <c r="CR248" i="1"/>
  <c r="CQ248" i="1"/>
  <c r="CP248" i="1"/>
  <c r="CO248" i="1"/>
  <c r="CN248" i="1"/>
  <c r="CM248" i="1"/>
  <c r="CL248" i="1"/>
  <c r="CK248" i="1"/>
  <c r="CM145" i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CH161" i="1"/>
  <c r="CJ248" i="1"/>
  <c r="Z248" i="1"/>
  <c r="AA37" i="1" l="1"/>
  <c r="AA26" i="1"/>
  <c r="AA195" i="1"/>
  <c r="AA190" i="1"/>
  <c r="CQ4" i="1"/>
  <c r="CP17" i="1"/>
  <c r="CP19" i="1" s="1"/>
  <c r="CI248" i="1"/>
  <c r="CG145" i="1"/>
  <c r="CG248" i="1"/>
  <c r="CH248" i="1"/>
  <c r="AB22" i="1"/>
  <c r="AC22" i="1"/>
  <c r="AD22" i="1"/>
  <c r="AE22" i="1"/>
  <c r="AB23" i="1"/>
  <c r="AC23" i="1"/>
  <c r="AD23" i="1"/>
  <c r="AE23" i="1"/>
  <c r="AB33" i="1"/>
  <c r="AC33" i="1"/>
  <c r="AD33" i="1"/>
  <c r="AE33" i="1"/>
  <c r="AB34" i="1"/>
  <c r="AC34" i="1"/>
  <c r="AD34" i="1"/>
  <c r="AE34" i="1"/>
  <c r="AB56" i="1"/>
  <c r="AC56" i="1"/>
  <c r="AD56" i="1"/>
  <c r="AE56" i="1"/>
  <c r="AB168" i="1"/>
  <c r="AC168" i="1"/>
  <c r="AD168" i="1"/>
  <c r="AE168" i="1"/>
  <c r="AB182" i="1"/>
  <c r="AC182" i="1"/>
  <c r="AD182" i="1"/>
  <c r="AE182" i="1"/>
  <c r="CE145" i="1"/>
  <c r="CE248" i="1"/>
  <c r="CF248" i="1"/>
  <c r="AI206" i="1"/>
  <c r="AI211" i="1"/>
  <c r="AI215" i="1"/>
  <c r="AI218" i="1"/>
  <c r="AI248" i="1"/>
  <c r="Y248" i="1"/>
  <c r="AM145" i="1"/>
  <c r="AO145" i="1"/>
  <c r="AQ145" i="1"/>
  <c r="AS145" i="1"/>
  <c r="AU145" i="1"/>
  <c r="AW145" i="1"/>
  <c r="AY145" i="1"/>
  <c r="BA145" i="1"/>
  <c r="BC145" i="1"/>
  <c r="BE145" i="1"/>
  <c r="BG145" i="1"/>
  <c r="BI145" i="1"/>
  <c r="BK145" i="1"/>
  <c r="BM145" i="1"/>
  <c r="BO145" i="1"/>
  <c r="BQ145" i="1"/>
  <c r="BS145" i="1"/>
  <c r="BU145" i="1"/>
  <c r="BW145" i="1"/>
  <c r="BY145" i="1"/>
  <c r="CA145" i="1"/>
  <c r="CC145" i="1"/>
  <c r="CD248" i="1"/>
  <c r="CC248" i="1"/>
  <c r="AJ248" i="1"/>
  <c r="AK248" i="1"/>
  <c r="AL248" i="1"/>
  <c r="CB248" i="1"/>
  <c r="CA248" i="1"/>
  <c r="BZ248" i="1"/>
  <c r="BY248" i="1"/>
  <c r="BX248" i="1"/>
  <c r="BW248" i="1"/>
  <c r="BV248" i="1"/>
  <c r="BU248" i="1"/>
  <c r="BT248" i="1"/>
  <c r="BS248" i="1"/>
  <c r="BR248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38" i="1" l="1"/>
  <c r="AA43" i="1"/>
  <c r="AA121" i="1"/>
  <c r="AA241" i="1"/>
  <c r="AA242" i="1" s="1"/>
  <c r="CR4" i="1"/>
  <c r="CQ17" i="1"/>
  <c r="CQ19" i="1" s="1"/>
  <c r="CQ21" i="1" s="1"/>
  <c r="CP21" i="1"/>
  <c r="Y1" i="1"/>
  <c r="Z1" i="1" s="1"/>
  <c r="AA64" i="1" l="1"/>
  <c r="AA47" i="1"/>
  <c r="CQ20" i="1"/>
  <c r="CS4" i="1"/>
  <c r="CR17" i="1"/>
  <c r="CR19" i="1" s="1"/>
  <c r="CR21" i="1" s="1"/>
  <c r="AA1" i="1"/>
  <c r="AB1" i="1" s="1"/>
  <c r="AC1" i="1" s="1"/>
  <c r="AD1" i="1" s="1"/>
  <c r="AE1" i="1" s="1"/>
  <c r="AA50" i="1" l="1"/>
  <c r="AA49" i="1"/>
  <c r="CT4" i="1"/>
  <c r="CS17" i="1"/>
  <c r="CS19" i="1" s="1"/>
  <c r="CS21" i="1" s="1"/>
  <c r="CR20" i="1"/>
  <c r="A1" i="3"/>
  <c r="AA57" i="1" l="1"/>
  <c r="AA243" i="1"/>
  <c r="AA51" i="1"/>
  <c r="AA254" i="1" s="1"/>
  <c r="CS20" i="1"/>
  <c r="CU4" i="1"/>
  <c r="CT17" i="1"/>
  <c r="CT19" i="1" s="1"/>
  <c r="A1" i="6"/>
  <c r="A1" i="4"/>
  <c r="AA63" i="1" l="1"/>
  <c r="AA202" i="1"/>
  <c r="AA204" i="1" s="1"/>
  <c r="AA61" i="1"/>
  <c r="CV4" i="1"/>
  <c r="CU17" i="1"/>
  <c r="CU19" i="1" s="1"/>
  <c r="CU21" i="1" s="1"/>
  <c r="CT20" i="1"/>
  <c r="CT21" i="1"/>
  <c r="CU20" i="1" l="1"/>
  <c r="CW4" i="1"/>
  <c r="CV17" i="1"/>
  <c r="CV19" i="1" s="1"/>
  <c r="CV21" i="1" s="1"/>
  <c r="CX4" i="1" l="1"/>
  <c r="CW17" i="1"/>
  <c r="CW19" i="1" s="1"/>
  <c r="CW21" i="1" s="1"/>
  <c r="CV20" i="1"/>
  <c r="BQ19" i="3"/>
  <c r="Y32" i="2"/>
  <c r="BN7" i="3"/>
  <c r="AA83" i="2"/>
  <c r="BF30" i="3"/>
  <c r="BV13" i="3"/>
  <c r="Y9" i="2"/>
  <c r="BM45" i="3"/>
  <c r="BG27" i="3"/>
  <c r="BD8" i="3"/>
  <c r="BK32" i="3"/>
  <c r="Z81" i="2"/>
  <c r="BI46" i="3"/>
  <c r="AA45" i="2"/>
  <c r="BP40" i="3"/>
  <c r="BH30" i="3"/>
  <c r="Y61" i="2"/>
  <c r="BG16" i="3"/>
  <c r="EX12" i="4" a="1"/>
  <c r="BB20" i="3"/>
  <c r="BV46" i="3"/>
  <c r="BQ45" i="3"/>
  <c r="BD23" i="3"/>
  <c r="BH37" i="3"/>
  <c r="BD20" i="3"/>
  <c r="BT30" i="3"/>
  <c r="BN17" i="3"/>
  <c r="Z80" i="2"/>
  <c r="BI30" i="3"/>
  <c r="BV27" i="3"/>
  <c r="Z92" i="2"/>
  <c r="BE34" i="3"/>
  <c r="BD30" i="3"/>
  <c r="BM11" i="3"/>
  <c r="FB13" i="4" a="1"/>
  <c r="BM10" i="3"/>
  <c r="BR17" i="3"/>
  <c r="AA88" i="2"/>
  <c r="BN27" i="3"/>
  <c r="BU21" i="3"/>
  <c r="Y6" i="2"/>
  <c r="BS28" i="3"/>
  <c r="BT21" i="3"/>
  <c r="BC6" i="3"/>
  <c r="BH11" i="3"/>
  <c r="BQ40" i="3"/>
  <c r="BC27" i="3"/>
  <c r="BQ29" i="3"/>
  <c r="BA26" i="3"/>
  <c r="BP5" i="3"/>
  <c r="BA23" i="3"/>
  <c r="BN14" i="3"/>
  <c r="BU40" i="3"/>
  <c r="BS33" i="3"/>
  <c r="Y86" i="2"/>
  <c r="BK38" i="3"/>
  <c r="BS37" i="3"/>
  <c r="Z40" i="2"/>
  <c r="BI20" i="3"/>
  <c r="Z78" i="2"/>
  <c r="BA32" i="3"/>
  <c r="BE13" i="3"/>
  <c r="FB5" i="4" a="1"/>
  <c r="BT32" i="3"/>
  <c r="BB11" i="3"/>
  <c r="BK35" i="3"/>
  <c r="BJ35" i="3"/>
  <c r="Z29" i="2"/>
  <c r="BP23" i="3"/>
  <c r="EZ8" i="4" a="1"/>
  <c r="AA77" i="2"/>
  <c r="BO37" i="3"/>
  <c r="BA13" i="3"/>
  <c r="BE32" i="3"/>
  <c r="BF14" i="3"/>
  <c r="CL32" i="1" s="1"/>
  <c r="BV6" i="3"/>
  <c r="AA87" i="2"/>
  <c r="BS30" i="3"/>
  <c r="Z65" i="2"/>
  <c r="BS19" i="3"/>
  <c r="BB26" i="3"/>
  <c r="BL15" i="3"/>
  <c r="BQ18" i="3"/>
  <c r="Y12" i="2"/>
  <c r="BO31" i="3"/>
  <c r="BL27" i="3"/>
  <c r="BU39" i="3"/>
  <c r="Z53" i="2"/>
  <c r="BP32" i="3"/>
  <c r="Y70" i="2"/>
  <c r="BT45" i="3"/>
  <c r="BJ18" i="3"/>
  <c r="AA57" i="2"/>
  <c r="BI34" i="3"/>
  <c r="BR24" i="3"/>
  <c r="BN13" i="3"/>
  <c r="BI22" i="3"/>
  <c r="BB19" i="3"/>
  <c r="BG39" i="3"/>
  <c r="Y54" i="2"/>
  <c r="BI6" i="3"/>
  <c r="BV31" i="3"/>
  <c r="Z46" i="2"/>
  <c r="BL21" i="3"/>
  <c r="BQ14" i="3"/>
  <c r="BQ27" i="3"/>
  <c r="BB45" i="3"/>
  <c r="BO41" i="3"/>
  <c r="BC22" i="3"/>
  <c r="BM38" i="3"/>
  <c r="BU38" i="3"/>
  <c r="BF41" i="3"/>
  <c r="BU25" i="3"/>
  <c r="BA17" i="3"/>
  <c r="BS8" i="3"/>
  <c r="Y34" i="2"/>
  <c r="BI40" i="3"/>
  <c r="BQ16" i="3"/>
  <c r="BO16" i="3"/>
  <c r="BM35" i="3"/>
  <c r="BQ7" i="3"/>
  <c r="Y10" i="2"/>
  <c r="BO18" i="3"/>
  <c r="BC21" i="3"/>
  <c r="BF42" i="3"/>
  <c r="CL60" i="1" s="1"/>
  <c r="BM14" i="3"/>
  <c r="BK7" i="3"/>
  <c r="BR14" i="3"/>
  <c r="AA28" i="2"/>
  <c r="BT40" i="3"/>
  <c r="Y87" i="2"/>
  <c r="BV19" i="3"/>
  <c r="Z57" i="2"/>
  <c r="BE23" i="3"/>
  <c r="FD13" i="4" a="1"/>
  <c r="BN22" i="3"/>
  <c r="BR31" i="3"/>
  <c r="Y92" i="2"/>
  <c r="AA30" i="2"/>
  <c r="BO35" i="3"/>
  <c r="FE11" i="4" a="1"/>
  <c r="BI25" i="3"/>
  <c r="BK28" i="3"/>
  <c r="BV25" i="3"/>
  <c r="AA104" i="2"/>
  <c r="BM36" i="3"/>
  <c r="BQ8" i="3"/>
  <c r="AA68" i="2"/>
  <c r="BO21" i="3"/>
  <c r="BB27" i="3"/>
  <c r="BC12" i="3"/>
  <c r="BF29" i="3"/>
  <c r="CL48" i="1" s="1"/>
  <c r="BA25" i="3"/>
  <c r="BO40" i="3"/>
  <c r="BB42" i="3"/>
  <c r="BF24" i="3"/>
  <c r="BQ36" i="3"/>
  <c r="BC16" i="3"/>
  <c r="BI29" i="3"/>
  <c r="BC5" i="3"/>
  <c r="BJ19" i="3"/>
  <c r="BR28" i="3"/>
  <c r="Z10" i="2"/>
  <c r="BI7" i="3"/>
  <c r="BS9" i="3"/>
  <c r="AA34" i="2"/>
  <c r="BF8" i="3"/>
  <c r="BQ32" i="3"/>
  <c r="AY29" i="3"/>
  <c r="BP10" i="3"/>
  <c r="BD12" i="3"/>
  <c r="Y62" i="2"/>
  <c r="BT16" i="3"/>
  <c r="Y97" i="2"/>
  <c r="BL36" i="3"/>
  <c r="BB39" i="3"/>
  <c r="BN9" i="3"/>
  <c r="BT5" i="3"/>
  <c r="Y58" i="2"/>
  <c r="BM34" i="3"/>
  <c r="Z93" i="2"/>
  <c r="BH13" i="3"/>
  <c r="BO12" i="3"/>
  <c r="BA12" i="3"/>
  <c r="BK30" i="3"/>
  <c r="BH34" i="3"/>
  <c r="BU23" i="3"/>
  <c r="BA45" i="3"/>
  <c r="BS6" i="3"/>
  <c r="Y90" i="2"/>
  <c r="BV35" i="3"/>
  <c r="Z74" i="2"/>
  <c r="BN29" i="3"/>
  <c r="FF9" i="4" a="1"/>
  <c r="Z67" i="2"/>
  <c r="BO7" i="3"/>
  <c r="BH8" i="3"/>
  <c r="BU15" i="3"/>
  <c r="BA19" i="3"/>
  <c r="BS22" i="3"/>
  <c r="BD7" i="3"/>
  <c r="BH25" i="3"/>
  <c r="BH14" i="3"/>
  <c r="Z56" i="2"/>
  <c r="BL8" i="3"/>
  <c r="BG15" i="3"/>
  <c r="BF16" i="3"/>
  <c r="CL29" i="1" s="1"/>
  <c r="BP30" i="3"/>
  <c r="AA35" i="2"/>
  <c r="BG34" i="3"/>
  <c r="BD24" i="3"/>
  <c r="BP26" i="3"/>
  <c r="BG41" i="3"/>
  <c r="BA42" i="3"/>
  <c r="BL16" i="3"/>
  <c r="FD9" i="4" a="1"/>
  <c r="Y14" i="2"/>
  <c r="Y64" i="2"/>
  <c r="BO14" i="3"/>
  <c r="BB33" i="3"/>
  <c r="BM39" i="3"/>
  <c r="BU14" i="3"/>
  <c r="BI19" i="3"/>
  <c r="FC6" i="4" a="1"/>
  <c r="AA80" i="2"/>
  <c r="BV24" i="3"/>
  <c r="Y109" i="2"/>
  <c r="BK40" i="3"/>
  <c r="AA19" i="2"/>
  <c r="BO30" i="3"/>
  <c r="AA23" i="2"/>
  <c r="BK11" i="3"/>
  <c r="BU30" i="3"/>
  <c r="BD26" i="3"/>
  <c r="BL33" i="3"/>
  <c r="BK26" i="3"/>
  <c r="AA81" i="2"/>
  <c r="BR6" i="3"/>
  <c r="BD36" i="3"/>
  <c r="BJ21" i="3"/>
  <c r="BB23" i="3"/>
  <c r="BN42" i="3"/>
  <c r="BS42" i="3"/>
  <c r="Y19" i="2"/>
  <c r="BP9" i="3"/>
  <c r="FD14" i="4" a="1"/>
  <c r="Z89" i="2"/>
  <c r="BV20" i="3"/>
  <c r="BV33" i="3"/>
  <c r="Y5" i="2"/>
  <c r="BJ23" i="3"/>
  <c r="FE16" i="4" a="1"/>
  <c r="AA61" i="2"/>
  <c r="BO5" i="3"/>
  <c r="BL13" i="3"/>
  <c r="BR32" i="3"/>
  <c r="Y31" i="2"/>
  <c r="BK10" i="3"/>
  <c r="FF14" i="4" a="1"/>
  <c r="BS17" i="3"/>
  <c r="AA105" i="2"/>
  <c r="BD46" i="3"/>
  <c r="BD39" i="3"/>
  <c r="BH39" i="3"/>
  <c r="BA35" i="3"/>
  <c r="BG18" i="3"/>
  <c r="EZ15" i="4" a="1"/>
  <c r="Y24" i="2"/>
  <c r="BO45" i="3"/>
  <c r="AA10" i="2"/>
  <c r="BB40" i="3"/>
  <c r="BV14" i="3"/>
  <c r="BK20" i="3"/>
  <c r="AA21" i="2"/>
  <c r="BU41" i="3"/>
  <c r="BU19" i="3"/>
  <c r="BV42" i="3"/>
  <c r="BE20" i="3"/>
  <c r="Z25" i="2"/>
  <c r="BB34" i="3"/>
  <c r="BI11" i="3"/>
  <c r="Z9" i="2"/>
  <c r="AA64" i="2"/>
  <c r="EZ11" i="4" a="1"/>
  <c r="BL17" i="3"/>
  <c r="BJ42" i="3"/>
  <c r="BB38" i="3"/>
  <c r="BC23" i="3"/>
  <c r="BE39" i="3"/>
  <c r="BI13" i="3"/>
  <c r="BK15" i="3"/>
  <c r="BR30" i="3"/>
  <c r="BE9" i="3"/>
  <c r="BP31" i="3"/>
  <c r="BJ40" i="3"/>
  <c r="BA6" i="3"/>
  <c r="BM28" i="3"/>
  <c r="Z99" i="2"/>
  <c r="BU6" i="3"/>
  <c r="BN6" i="3"/>
  <c r="BD29" i="3"/>
  <c r="BC20" i="3"/>
  <c r="BD25" i="3"/>
  <c r="BU34" i="3"/>
  <c r="BN45" i="3"/>
  <c r="BM40" i="3"/>
  <c r="BJ24" i="3"/>
  <c r="BE15" i="3"/>
  <c r="BG21" i="3"/>
  <c r="BL30" i="3"/>
  <c r="BA5" i="3"/>
  <c r="Z69" i="2"/>
  <c r="BD6" i="3"/>
  <c r="FC11" i="4" a="1"/>
  <c r="BR37" i="3"/>
  <c r="Z13" i="2"/>
  <c r="BC34" i="3"/>
  <c r="BD41" i="3"/>
  <c r="BQ12" i="3"/>
  <c r="BO25" i="3"/>
  <c r="BL41" i="3"/>
  <c r="BA37" i="3"/>
  <c r="BP41" i="3"/>
  <c r="BJ16" i="3"/>
  <c r="BC28" i="3"/>
  <c r="Y106" i="2"/>
  <c r="EY11" i="4" a="1"/>
  <c r="BE12" i="3"/>
  <c r="BQ5" i="3"/>
  <c r="AA32" i="2"/>
  <c r="BD40" i="3"/>
  <c r="BP38" i="3"/>
  <c r="BS25" i="3"/>
  <c r="BE24" i="3"/>
  <c r="BQ24" i="3"/>
  <c r="Z85" i="2"/>
  <c r="BH5" i="3"/>
  <c r="BS40" i="3"/>
  <c r="AA27" i="2"/>
  <c r="AA11" i="2"/>
  <c r="BH35" i="3"/>
  <c r="BO46" i="3"/>
  <c r="BT42" i="3"/>
  <c r="AA12" i="2"/>
  <c r="AA74" i="2"/>
  <c r="BL42" i="3"/>
  <c r="BH24" i="3"/>
  <c r="BA16" i="3"/>
  <c r="Z15" i="2"/>
  <c r="Z94" i="2"/>
  <c r="EZ6" i="4" a="1"/>
  <c r="BJ10" i="3"/>
  <c r="BI26" i="3"/>
  <c r="Z83" i="2"/>
  <c r="BP19" i="3"/>
  <c r="FE12" i="4" a="1"/>
  <c r="BN16" i="3"/>
  <c r="BI24" i="3"/>
  <c r="BV15" i="3"/>
  <c r="BI31" i="3"/>
  <c r="BB10" i="3"/>
  <c r="BP14" i="3"/>
  <c r="BR7" i="3"/>
  <c r="BC15" i="3"/>
  <c r="BL34" i="3"/>
  <c r="BI27" i="3"/>
  <c r="BL26" i="3"/>
  <c r="AA41" i="2"/>
  <c r="BG5" i="3"/>
  <c r="BD14" i="3"/>
  <c r="BL18" i="3"/>
  <c r="Y99" i="2"/>
  <c r="AA63" i="2"/>
  <c r="Z18" i="2"/>
  <c r="BA34" i="3"/>
  <c r="BS31" i="3"/>
  <c r="BH6" i="3"/>
  <c r="BA41" i="3"/>
  <c r="Y89" i="2"/>
  <c r="BL5" i="3"/>
  <c r="FB6" i="4" a="1"/>
  <c r="BH36" i="3"/>
  <c r="BJ32" i="3"/>
  <c r="BD19" i="3"/>
  <c r="BG12" i="3"/>
  <c r="BP13" i="3"/>
  <c r="BL39" i="3"/>
  <c r="BS36" i="3"/>
  <c r="Y108" i="2"/>
  <c r="BO42" i="3"/>
  <c r="BA11" i="3"/>
  <c r="BT15" i="3"/>
  <c r="AA8" i="2"/>
  <c r="BM30" i="3"/>
  <c r="AA107" i="2"/>
  <c r="BJ30" i="3"/>
  <c r="BI37" i="3"/>
  <c r="Y91" i="2"/>
  <c r="BK24" i="3"/>
  <c r="BG46" i="3"/>
  <c r="FF7" i="4" a="1"/>
  <c r="BT17" i="3"/>
  <c r="BT23" i="3"/>
  <c r="BL14" i="3"/>
  <c r="FA7" i="4" a="1"/>
  <c r="BL12" i="3"/>
  <c r="BH45" i="3"/>
  <c r="Z20" i="2"/>
  <c r="Y95" i="2"/>
  <c r="BF32" i="3"/>
  <c r="Y17" i="2"/>
  <c r="AA78" i="2"/>
  <c r="BF19" i="3"/>
  <c r="Z19" i="2"/>
  <c r="BP21" i="3"/>
  <c r="FC9" i="4" a="1"/>
  <c r="BK31" i="3"/>
  <c r="BQ35" i="3"/>
  <c r="BC8" i="3"/>
  <c r="BP22" i="3"/>
  <c r="BD17" i="3"/>
  <c r="BJ29" i="3"/>
  <c r="BV5" i="3"/>
  <c r="BM37" i="3"/>
  <c r="Y69" i="2"/>
  <c r="BP34" i="3"/>
  <c r="BR9" i="3"/>
  <c r="AA62" i="2"/>
  <c r="BJ41" i="3"/>
  <c r="BC26" i="3"/>
  <c r="BR13" i="3"/>
  <c r="BN8" i="3"/>
  <c r="BI32" i="3"/>
  <c r="BI38" i="3"/>
  <c r="Y47" i="2"/>
  <c r="Z27" i="2"/>
  <c r="BH17" i="3"/>
  <c r="AA84" i="2"/>
  <c r="BH16" i="3"/>
  <c r="Z87" i="2"/>
  <c r="W6" i="2"/>
  <c r="BC7" i="3"/>
  <c r="Z45" i="2"/>
  <c r="BN12" i="3"/>
  <c r="BM13" i="3"/>
  <c r="EY6" i="4" a="1"/>
  <c r="BK18" i="3"/>
  <c r="Y76" i="2"/>
  <c r="BG35" i="3"/>
  <c r="Z66" i="2"/>
  <c r="AA9" i="2"/>
  <c r="BJ11" i="3"/>
  <c r="Z76" i="2"/>
  <c r="Z14" i="2"/>
  <c r="AA56" i="2"/>
  <c r="BM16" i="3"/>
  <c r="BM19" i="3"/>
  <c r="FZ14" i="4" a="1"/>
  <c r="BA64" i="3"/>
  <c r="BQ72" i="3"/>
  <c r="FJ15" i="4" a="1"/>
  <c r="FX8" i="4" a="1"/>
  <c r="BV48" i="3"/>
  <c r="GI15" i="4" a="1"/>
  <c r="BG78" i="3"/>
  <c r="BC65" i="3"/>
  <c r="BH29" i="3"/>
  <c r="BP36" i="3"/>
  <c r="BE37" i="3"/>
  <c r="BC19" i="3"/>
  <c r="AA55" i="2"/>
  <c r="BJ28" i="3"/>
  <c r="BE26" i="3"/>
  <c r="BU11" i="3"/>
  <c r="BG7" i="3"/>
  <c r="BJ17" i="3"/>
  <c r="Z32" i="2"/>
  <c r="BA7" i="3"/>
  <c r="BA10" i="3"/>
  <c r="BI33" i="3"/>
  <c r="BP39" i="3"/>
  <c r="BO38" i="3"/>
  <c r="BK33" i="3"/>
  <c r="BI5" i="3"/>
  <c r="BT7" i="3"/>
  <c r="FD11" i="4" a="1"/>
  <c r="BH21" i="3"/>
  <c r="BR11" i="3"/>
  <c r="FY14" i="4" a="1"/>
  <c r="BC88" i="3"/>
  <c r="BT97" i="3"/>
  <c r="BT58" i="3"/>
  <c r="GT12" i="4" a="1"/>
  <c r="BH81" i="3"/>
  <c r="FI9" i="4" a="1"/>
  <c r="HB6" i="4" a="1"/>
  <c r="BO94" i="3"/>
  <c r="BT94" i="3"/>
  <c r="BR39" i="3"/>
  <c r="AA22" i="2"/>
  <c r="FC12" i="4" a="1"/>
  <c r="BP60" i="3"/>
  <c r="FD8" i="4" a="1"/>
  <c r="BU5" i="3"/>
  <c r="Y79" i="2"/>
  <c r="Z63" i="2"/>
  <c r="Y98" i="2"/>
  <c r="BC29" i="3"/>
  <c r="BM9" i="3"/>
  <c r="Y46" i="2"/>
  <c r="Z11" i="2"/>
  <c r="Z34" i="2"/>
  <c r="BD31" i="3"/>
  <c r="BA33" i="3"/>
  <c r="BD34" i="3"/>
  <c r="Z52" i="2"/>
  <c r="Y93" i="2"/>
  <c r="BA18" i="3"/>
  <c r="FB11" i="4" a="1"/>
  <c r="BM8" i="3"/>
  <c r="BK25" i="3"/>
  <c r="BF35" i="3"/>
  <c r="CL55" i="1" s="1"/>
  <c r="FA11" i="4" a="1"/>
  <c r="BO8" i="3"/>
  <c r="BR26" i="3"/>
  <c r="BM5" i="3"/>
  <c r="AA40" i="2"/>
  <c r="BA14" i="3"/>
  <c r="BQ38" i="3"/>
  <c r="BG42" i="3"/>
  <c r="AA5" i="2"/>
  <c r="EZ12" i="4" a="1"/>
  <c r="BK46" i="3"/>
  <c r="Y35" i="2"/>
  <c r="V6" i="2"/>
  <c r="AA33" i="2"/>
  <c r="BU10" i="3"/>
  <c r="BS46" i="3"/>
  <c r="BJ15" i="3"/>
  <c r="BN5" i="3"/>
  <c r="BN62" i="3" s="1"/>
  <c r="BT36" i="3"/>
  <c r="BK34" i="3"/>
  <c r="BT25" i="3"/>
  <c r="AA76" i="2"/>
  <c r="Z33" i="2"/>
  <c r="Z44" i="2"/>
  <c r="FD12" i="4" a="1"/>
  <c r="BN32" i="3"/>
  <c r="Y88" i="2"/>
  <c r="X6" i="2"/>
  <c r="Z106" i="2"/>
  <c r="FD5" i="4" a="1"/>
  <c r="BR41" i="3"/>
  <c r="BL7" i="3"/>
  <c r="AA6" i="2"/>
  <c r="BI8" i="3"/>
  <c r="BL20" i="3"/>
  <c r="AA79" i="2"/>
  <c r="AA106" i="2"/>
  <c r="Y18" i="2"/>
  <c r="BT14" i="3"/>
  <c r="Y107" i="2"/>
  <c r="BL22" i="3"/>
  <c r="BP11" i="3"/>
  <c r="Z35" i="2"/>
  <c r="BU17" i="3"/>
  <c r="FC13" i="4" a="1"/>
  <c r="BV18" i="3"/>
  <c r="BM23" i="3"/>
  <c r="BD33" i="3"/>
  <c r="BA46" i="3"/>
  <c r="BP6" i="3"/>
  <c r="Z61" i="2"/>
  <c r="Y27" i="2"/>
  <c r="BC30" i="3"/>
  <c r="BQ42" i="3"/>
  <c r="BF11" i="3"/>
  <c r="CL24" i="1" s="1"/>
  <c r="Y21" i="2"/>
  <c r="EX5" i="4" a="1"/>
  <c r="BV10" i="3"/>
  <c r="BS34" i="3"/>
  <c r="BG24" i="3"/>
  <c r="BN34" i="3"/>
  <c r="BV30" i="3"/>
  <c r="BM31" i="3"/>
  <c r="BJ46" i="3"/>
  <c r="BO24" i="3"/>
  <c r="BK42" i="3"/>
  <c r="BB6" i="3"/>
  <c r="BB24" i="3"/>
  <c r="BV36" i="3"/>
  <c r="Y15" i="2"/>
  <c r="BL10" i="3"/>
  <c r="Y48" i="2"/>
  <c r="FF12" i="4" a="1"/>
  <c r="BE35" i="3"/>
  <c r="BE33" i="3"/>
  <c r="BU36" i="3"/>
  <c r="FA14" i="4" a="1"/>
  <c r="Y28" i="2"/>
  <c r="BB18" i="3"/>
  <c r="BR23" i="3"/>
  <c r="EX14" i="4" a="1"/>
  <c r="BT8" i="3"/>
  <c r="BJ7" i="3"/>
  <c r="Y50" i="2"/>
  <c r="BF23" i="3"/>
  <c r="CL44" i="1" s="1"/>
  <c r="BG29" i="3"/>
  <c r="BK21" i="3"/>
  <c r="BU31" i="3"/>
  <c r="BC41" i="3"/>
  <c r="BS14" i="3"/>
  <c r="Y74" i="2"/>
  <c r="BQ37" i="3"/>
  <c r="BB25" i="3"/>
  <c r="BG26" i="3"/>
  <c r="AA67" i="2"/>
  <c r="BN10" i="3"/>
  <c r="BV7" i="3"/>
  <c r="BD13" i="3"/>
  <c r="BO26" i="3"/>
  <c r="BU26" i="3"/>
  <c r="EY16" i="4" a="1"/>
  <c r="BR35" i="3"/>
  <c r="Y110" i="2"/>
  <c r="FB8" i="4" a="1"/>
  <c r="BN46" i="3"/>
  <c r="BH26" i="3"/>
  <c r="Y94" i="2"/>
  <c r="BS35" i="3"/>
  <c r="Y44" i="2"/>
  <c r="BK9" i="3"/>
  <c r="Z60" i="2"/>
  <c r="BJ5" i="3"/>
  <c r="BQ11" i="3"/>
  <c r="Z54" i="2"/>
  <c r="BO22" i="3"/>
  <c r="BA24" i="3"/>
  <c r="BL24" i="3"/>
  <c r="BU22" i="3"/>
  <c r="BS27" i="3"/>
  <c r="Y7" i="2"/>
  <c r="BH41" i="3"/>
  <c r="BQ26" i="3"/>
  <c r="BD42" i="3"/>
  <c r="BS45" i="3"/>
  <c r="BB31" i="3"/>
  <c r="FA13" i="4" a="1"/>
  <c r="BG22" i="3"/>
  <c r="BV40" i="3"/>
  <c r="BM25" i="3"/>
  <c r="Y33" i="2"/>
  <c r="AA58" i="2"/>
  <c r="BT39" i="3"/>
  <c r="FE8" i="4" a="1"/>
  <c r="AA69" i="2"/>
  <c r="BD5" i="3"/>
  <c r="Y43" i="2"/>
  <c r="BT35" i="3"/>
  <c r="BS32" i="3"/>
  <c r="AA20" i="2"/>
  <c r="BP16" i="3"/>
  <c r="AA43" i="2"/>
  <c r="BT31" i="3"/>
  <c r="BQ46" i="3"/>
  <c r="BO39" i="3"/>
  <c r="BV41" i="3"/>
  <c r="AA70" i="2"/>
  <c r="BE10" i="3"/>
  <c r="EY15" i="4" a="1"/>
  <c r="Y36" i="2"/>
  <c r="BO13" i="3"/>
  <c r="BI28" i="3"/>
  <c r="BU33" i="3"/>
  <c r="BB22" i="3"/>
  <c r="BS16" i="3"/>
  <c r="BD28" i="3"/>
  <c r="BF6" i="3"/>
  <c r="CL17" i="1" s="1"/>
  <c r="CL5" i="1" s="1"/>
  <c r="AA5" i="1" s="1"/>
  <c r="BS29" i="3"/>
  <c r="BN33" i="3"/>
  <c r="BA22" i="3"/>
  <c r="Z95" i="2"/>
  <c r="FB15" i="4" a="1"/>
  <c r="EZ13" i="4" a="1"/>
  <c r="BJ12" i="3"/>
  <c r="BF37" i="3"/>
  <c r="BN30" i="3"/>
  <c r="BH23" i="3"/>
  <c r="BN23" i="3"/>
  <c r="BK17" i="3"/>
  <c r="BU46" i="3"/>
  <c r="FA6" i="4" a="1"/>
  <c r="BR27" i="3"/>
  <c r="FD16" i="4" a="1"/>
  <c r="Y65" i="2"/>
  <c r="BD35" i="3"/>
  <c r="Y30" i="2"/>
  <c r="BR46" i="3"/>
  <c r="BR36" i="3"/>
  <c r="BU8" i="3"/>
  <c r="BK27" i="3"/>
  <c r="BR42" i="3"/>
  <c r="BU12" i="3"/>
  <c r="FF8" i="4" a="1"/>
  <c r="BE19" i="3"/>
  <c r="FA9" i="4" a="1"/>
  <c r="BL55" i="3"/>
  <c r="FS13" i="4" a="1"/>
  <c r="BC89" i="3"/>
  <c r="HH15" i="4" a="1"/>
  <c r="BJ86" i="3"/>
  <c r="GC15" i="4" a="1"/>
  <c r="BA74" i="3"/>
  <c r="BT22" i="3"/>
  <c r="BG32" i="3"/>
  <c r="BD10" i="3"/>
  <c r="BN39" i="3"/>
  <c r="BG19" i="3"/>
  <c r="BB35" i="3"/>
  <c r="BQ10" i="3"/>
  <c r="BH20" i="3"/>
  <c r="BN36" i="3"/>
  <c r="Y67" i="2"/>
  <c r="BG45" i="3"/>
  <c r="BL25" i="3"/>
  <c r="BF46" i="3"/>
  <c r="CL73" i="1" s="1"/>
  <c r="CK73" i="1" s="1"/>
  <c r="CJ73" i="1" s="1"/>
  <c r="CI73" i="1" s="1"/>
  <c r="CH73" i="1" s="1"/>
  <c r="Z96" i="2"/>
  <c r="BF33" i="3"/>
  <c r="EY7" i="4" a="1"/>
  <c r="BE11" i="3"/>
  <c r="BK41" i="3"/>
  <c r="FC8" i="4" a="1"/>
  <c r="BK12" i="3"/>
  <c r="AA92" i="2"/>
  <c r="BS7" i="3"/>
  <c r="BJ27" i="3"/>
  <c r="Y112" i="2"/>
  <c r="GL8" i="4" a="1"/>
  <c r="BM67" i="3"/>
  <c r="BG83" i="3"/>
  <c r="BJ74" i="3"/>
  <c r="FR13" i="4" a="1"/>
  <c r="HE14" i="4" a="1"/>
  <c r="BC79" i="3"/>
  <c r="BN67" i="3"/>
  <c r="BT64" i="3"/>
  <c r="Z47" i="2"/>
  <c r="BL6" i="3"/>
  <c r="BC10" i="3"/>
  <c r="AA60" i="2"/>
  <c r="BD32" i="3"/>
  <c r="C4" i="2"/>
  <c r="BO11" i="3"/>
  <c r="BR18" i="3"/>
  <c r="BG8" i="3"/>
  <c r="BG6" i="3"/>
  <c r="BU13" i="3"/>
  <c r="AA75" i="2"/>
  <c r="AA59" i="2"/>
  <c r="BA29" i="3"/>
  <c r="BT18" i="3"/>
  <c r="BR15" i="3"/>
  <c r="AA72" i="2"/>
  <c r="BE29" i="3"/>
  <c r="BR19" i="3"/>
  <c r="BS5" i="3"/>
  <c r="BE28" i="3"/>
  <c r="BD11" i="3"/>
  <c r="BG10" i="3"/>
  <c r="BE40" i="3"/>
  <c r="EX16" i="4" a="1"/>
  <c r="BJ22" i="3"/>
  <c r="BR22" i="3"/>
  <c r="BF28" i="3"/>
  <c r="CL41" i="1" s="1"/>
  <c r="BO32" i="3"/>
  <c r="BE25" i="3"/>
  <c r="BA21" i="3"/>
  <c r="AA26" i="2"/>
  <c r="BJ45" i="3"/>
  <c r="BN15" i="3"/>
  <c r="BK8" i="3"/>
  <c r="BB21" i="3"/>
  <c r="BV29" i="3"/>
  <c r="Y85" i="2"/>
  <c r="BG28" i="3"/>
  <c r="BB28" i="3"/>
  <c r="BR12" i="3"/>
  <c r="BJ14" i="3"/>
  <c r="BG25" i="3"/>
  <c r="EY14" i="4" a="1"/>
  <c r="BK14" i="3"/>
  <c r="Z73" i="2"/>
  <c r="BF31" i="3"/>
  <c r="BM33" i="3"/>
  <c r="BT10" i="3"/>
  <c r="BD37" i="3"/>
  <c r="BU16" i="3"/>
  <c r="Z110" i="2"/>
  <c r="BU7" i="3"/>
  <c r="BC38" i="3"/>
  <c r="Z41" i="2"/>
  <c r="BJ31" i="3"/>
  <c r="BH19" i="3"/>
  <c r="BI18" i="3"/>
  <c r="AA99" i="2"/>
  <c r="AA31" i="2"/>
  <c r="BH7" i="3"/>
  <c r="Y96" i="2"/>
  <c r="Z5" i="2"/>
  <c r="AA96" i="2"/>
  <c r="EX9" i="4" a="1"/>
  <c r="BN31" i="3"/>
  <c r="BP27" i="3"/>
  <c r="BF17" i="3"/>
  <c r="CL30" i="1" s="1"/>
  <c r="BK6" i="3"/>
  <c r="Y60" i="2"/>
  <c r="BB14" i="3"/>
  <c r="FA16" i="4" a="1"/>
  <c r="BG33" i="3"/>
  <c r="BB37" i="3"/>
  <c r="BI36" i="3"/>
  <c r="Z49" i="2"/>
  <c r="BE21" i="3"/>
  <c r="Y26" i="2"/>
  <c r="BV39" i="3"/>
  <c r="Z51" i="2"/>
  <c r="BI35" i="3"/>
  <c r="BT28" i="3"/>
  <c r="BR16" i="3"/>
  <c r="BP25" i="3"/>
  <c r="BJ8" i="3"/>
  <c r="AA98" i="2"/>
  <c r="FD7" i="4" a="1"/>
  <c r="BP8" i="3"/>
  <c r="Z68" i="2"/>
  <c r="BN18" i="3"/>
  <c r="BD27" i="3"/>
  <c r="BJ38" i="3"/>
  <c r="BJ34" i="3"/>
  <c r="AA71" i="2"/>
  <c r="BK22" i="3"/>
  <c r="BF21" i="3"/>
  <c r="CL31" i="1" s="1"/>
  <c r="BH40" i="3"/>
  <c r="BH38" i="3"/>
  <c r="BP29" i="3"/>
  <c r="BH22" i="3"/>
  <c r="BB5" i="3"/>
  <c r="BR33" i="3"/>
  <c r="BH31" i="3"/>
  <c r="BM29" i="3"/>
  <c r="FE13" i="4" a="1"/>
  <c r="BJ13" i="3"/>
  <c r="BP7" i="3"/>
  <c r="BV9" i="3"/>
  <c r="Z28" i="2"/>
  <c r="BM7" i="3"/>
  <c r="EY9" i="4" a="1"/>
  <c r="BL40" i="3"/>
  <c r="BM27" i="3"/>
  <c r="Z84" i="2"/>
  <c r="BU20" i="3"/>
  <c r="GM14" i="4" a="1"/>
  <c r="BC49" i="3"/>
  <c r="FI11" i="4" a="1"/>
  <c r="BO92" i="3"/>
  <c r="GD12" i="4" a="1"/>
  <c r="BU32" i="3"/>
  <c r="AA14" i="2"/>
  <c r="BA30" i="3"/>
  <c r="Z105" i="2"/>
  <c r="Y77" i="2"/>
  <c r="BK13" i="3"/>
  <c r="BC37" i="3"/>
  <c r="Z12" i="2"/>
  <c r="AA91" i="2"/>
  <c r="Y16" i="2"/>
  <c r="AA108" i="2"/>
  <c r="BG57" i="3"/>
  <c r="BA65" i="3"/>
  <c r="BV81" i="3"/>
  <c r="GL11" i="4" a="1"/>
  <c r="GL6" i="4" a="1"/>
  <c r="BH82" i="3"/>
  <c r="BG37" i="3"/>
  <c r="BF7" i="3"/>
  <c r="AB39" i="3"/>
  <c r="BO17" i="3"/>
  <c r="BD16" i="3"/>
  <c r="BN20" i="3"/>
  <c r="BV21" i="3"/>
  <c r="BA31" i="3"/>
  <c r="BP20" i="3"/>
  <c r="BO29" i="3"/>
  <c r="BV34" i="3"/>
  <c r="BQ86" i="3"/>
  <c r="FV13" i="4" a="1"/>
  <c r="GF7" i="4" a="1"/>
  <c r="BS92" i="3"/>
  <c r="BO79" i="3"/>
  <c r="GT7" i="4" a="1"/>
  <c r="GS13" i="4" a="1"/>
  <c r="BC94" i="3"/>
  <c r="BD58" i="3"/>
  <c r="BG77" i="3"/>
  <c r="BT12" i="3"/>
  <c r="FA5" i="4" a="1"/>
  <c r="BT41" i="3"/>
  <c r="BL23" i="3"/>
  <c r="FB16" i="4" a="1"/>
  <c r="BF20" i="3"/>
  <c r="CL18" i="1" s="1"/>
  <c r="CL19" i="1" s="1"/>
  <c r="FC16" i="4" a="1"/>
  <c r="FD6" i="4" a="1"/>
  <c r="Y8" i="2"/>
  <c r="BA8" i="3"/>
  <c r="BK23" i="3"/>
  <c r="Y20" i="2"/>
  <c r="BC42" i="3"/>
  <c r="BU37" i="3"/>
  <c r="BU29" i="3"/>
  <c r="Y105" i="2"/>
  <c r="BR25" i="3"/>
  <c r="BU35" i="3"/>
  <c r="AA95" i="2"/>
  <c r="AA15" i="2"/>
  <c r="BP46" i="3"/>
  <c r="BB8" i="3"/>
  <c r="BA57" i="3"/>
  <c r="GC14" i="4" a="1"/>
  <c r="FW16" i="4" a="1"/>
  <c r="FX14" i="4" a="1"/>
  <c r="FR15" i="4" a="1"/>
  <c r="BO81" i="3"/>
  <c r="BT76" i="3"/>
  <c r="HH13" i="4" a="1"/>
  <c r="BQ55" i="3"/>
  <c r="GO5" i="4" a="1"/>
  <c r="HC16" i="4" a="1"/>
  <c r="BQ84" i="3"/>
  <c r="GT13" i="4" a="1"/>
  <c r="BI56" i="3"/>
  <c r="BS47" i="3"/>
  <c r="HA12" i="4" a="1"/>
  <c r="FK16" i="4" a="1"/>
  <c r="BT70" i="3"/>
  <c r="FT8" i="4" a="1"/>
  <c r="BS82" i="3"/>
  <c r="GE13" i="4" a="1"/>
  <c r="GY16" i="4" a="1"/>
  <c r="BT82" i="3"/>
  <c r="BM93" i="3"/>
  <c r="BV96" i="3"/>
  <c r="BD71" i="3"/>
  <c r="BQ90" i="3"/>
  <c r="BC60" i="3"/>
  <c r="BM82" i="3"/>
  <c r="BA93" i="3"/>
  <c r="GP11" i="4" a="1"/>
  <c r="BN81" i="3"/>
  <c r="FI16" i="4" a="1"/>
  <c r="BV65" i="3"/>
  <c r="GI16" i="4" a="1"/>
  <c r="GF11" i="4" a="1"/>
  <c r="FT11" i="4" a="1"/>
  <c r="BI64" i="3"/>
  <c r="GX6" i="4" a="1"/>
  <c r="BA91" i="3"/>
  <c r="BO86" i="3"/>
  <c r="BL63" i="3"/>
  <c r="FS9" i="4" a="1"/>
  <c r="BU84" i="3"/>
  <c r="FM9" i="4" a="1"/>
  <c r="BA84" i="3"/>
  <c r="BO91" i="3"/>
  <c r="GG9" i="4" a="1"/>
  <c r="FY6" i="4" a="1"/>
  <c r="BS56" i="3"/>
  <c r="HC13" i="4" a="1"/>
  <c r="GC13" i="4" a="1"/>
  <c r="BO60" i="3"/>
  <c r="GM11" i="4" a="1"/>
  <c r="BM49" i="3"/>
  <c r="BJ62" i="3"/>
  <c r="BV47" i="3"/>
  <c r="BM74" i="3"/>
  <c r="BJ88" i="3"/>
  <c r="BP64" i="3"/>
  <c r="GM16" i="4" a="1"/>
  <c r="BU83" i="3"/>
  <c r="BS85" i="3"/>
  <c r="HG11" i="4" a="1"/>
  <c r="HG12" i="4" a="1"/>
  <c r="BT71" i="3"/>
  <c r="BG69" i="3"/>
  <c r="BQ88" i="3"/>
  <c r="BP56" i="3"/>
  <c r="BS49" i="3"/>
  <c r="BC66" i="3"/>
  <c r="BO68" i="3"/>
  <c r="BH78" i="3"/>
  <c r="BG68" i="3"/>
  <c r="BC91" i="3"/>
  <c r="BJ75" i="3"/>
  <c r="BL37" i="3"/>
  <c r="Y40" i="2"/>
  <c r="BN21" i="3"/>
  <c r="BR8" i="3"/>
  <c r="BR10" i="3"/>
  <c r="BE6" i="3"/>
  <c r="BU45" i="3"/>
  <c r="Z108" i="2"/>
  <c r="BL35" i="3"/>
  <c r="EX11" i="4" a="1"/>
  <c r="BP24" i="3"/>
  <c r="Z104" i="2"/>
  <c r="BO34" i="3"/>
  <c r="AA13" i="2"/>
  <c r="BA28" i="3"/>
  <c r="BM42" i="3"/>
  <c r="BN19" i="3"/>
  <c r="Y55" i="2"/>
  <c r="BF34" i="3"/>
  <c r="CL54" i="1" s="1"/>
  <c r="BQ25" i="3"/>
  <c r="FA8" i="4" a="1"/>
  <c r="BP17" i="3"/>
  <c r="BH9" i="3"/>
  <c r="BH32" i="3"/>
  <c r="AA7" i="2"/>
  <c r="BQ13" i="3"/>
  <c r="BT11" i="3"/>
  <c r="BC18" i="3"/>
  <c r="BQ17" i="3"/>
  <c r="Z109" i="2"/>
  <c r="BP15" i="3"/>
  <c r="EY12" i="4" a="1"/>
  <c r="BB17" i="3"/>
  <c r="BF40" i="3"/>
  <c r="Y25" i="2"/>
  <c r="BI15" i="3"/>
  <c r="Y84" i="2"/>
  <c r="BF10" i="3"/>
  <c r="CL22" i="1" s="1"/>
  <c r="BB13" i="3"/>
  <c r="BS41" i="3"/>
  <c r="Z8" i="2"/>
  <c r="BP12" i="3"/>
  <c r="BC9" i="3"/>
  <c r="BV26" i="3"/>
  <c r="AA73" i="2"/>
  <c r="BI42" i="3"/>
  <c r="BM12" i="3"/>
  <c r="BV32" i="3"/>
  <c r="BQ15" i="3"/>
  <c r="BB12" i="3"/>
  <c r="FC7" i="4" a="1"/>
  <c r="Y83" i="2"/>
  <c r="AA93" i="2"/>
  <c r="Z58" i="2"/>
  <c r="BU27" i="3"/>
  <c r="BN11" i="3"/>
  <c r="FA15" i="4" a="1"/>
  <c r="BC39" i="3"/>
  <c r="Y78" i="2"/>
  <c r="BE17" i="3"/>
  <c r="Y29" i="2"/>
  <c r="Z88" i="2"/>
  <c r="BD21" i="3"/>
  <c r="FE6" i="4" a="1"/>
  <c r="Z75" i="2"/>
  <c r="BS38" i="3"/>
  <c r="BL11" i="3"/>
  <c r="Z24" i="2"/>
  <c r="BM6" i="3"/>
  <c r="BE14" i="3"/>
  <c r="Z6" i="2"/>
  <c r="GZ13" i="4" a="1"/>
  <c r="BC68" i="3"/>
  <c r="BA15" i="3"/>
  <c r="BS20" i="3"/>
  <c r="BJ36" i="3"/>
  <c r="Y41" i="2"/>
  <c r="BT13" i="3"/>
  <c r="BB36" i="3"/>
  <c r="EZ5" i="4" a="1"/>
  <c r="AA82" i="2"/>
  <c r="BA90" i="3"/>
  <c r="BH85" i="3"/>
  <c r="FG15" i="4" a="1"/>
  <c r="BO73" i="3"/>
  <c r="BG92" i="3"/>
  <c r="FC15" i="4" a="1"/>
  <c r="BO9" i="3"/>
  <c r="BL45" i="3"/>
  <c r="BQ22" i="3"/>
  <c r="BO19" i="3"/>
  <c r="BQ30" i="3"/>
  <c r="BV23" i="3"/>
  <c r="BV28" i="3"/>
  <c r="Z64" i="2"/>
  <c r="BL85" i="3"/>
  <c r="HF6" i="4" a="1"/>
  <c r="BP74" i="3"/>
  <c r="BC74" i="3"/>
  <c r="FK5" i="4" a="1"/>
  <c r="BA48" i="3"/>
  <c r="Y11" i="2"/>
  <c r="FF11" i="4" a="1"/>
  <c r="BQ6" i="3"/>
  <c r="AA36" i="2"/>
  <c r="BS24" i="3"/>
  <c r="BA36" i="3"/>
  <c r="BE18" i="3"/>
  <c r="BC31" i="3"/>
  <c r="BT33" i="3"/>
  <c r="FE14" i="4" a="1"/>
  <c r="Z31" i="2"/>
  <c r="Z36" i="2"/>
  <c r="FF13" i="4" a="1"/>
  <c r="BV16" i="3"/>
  <c r="AA50" i="2"/>
  <c r="Z70" i="2"/>
  <c r="AA86" i="2"/>
  <c r="GI7" i="4" a="1"/>
  <c r="BA70" i="3"/>
  <c r="GH7" i="4" a="1"/>
  <c r="BC59" i="3"/>
  <c r="BD86" i="3"/>
  <c r="GW9" i="4" a="1"/>
  <c r="BS80" i="3"/>
  <c r="BT56" i="3"/>
  <c r="FL14" i="4" a="1"/>
  <c r="BP62" i="3"/>
  <c r="BV95" i="3"/>
  <c r="BP54" i="3"/>
  <c r="FP16" i="4" a="1"/>
  <c r="BT93" i="3"/>
  <c r="BG74" i="3"/>
  <c r="GF8" i="4" a="1"/>
  <c r="BM72" i="3"/>
  <c r="GV7" i="4" a="1"/>
  <c r="GD9" i="4" a="1"/>
  <c r="BA82" i="3"/>
  <c r="GW5" i="4" a="1"/>
  <c r="BV80" i="3"/>
  <c r="BT91" i="3"/>
  <c r="FU15" i="4" a="1"/>
  <c r="BM79" i="3"/>
  <c r="GK7" i="4" a="1"/>
  <c r="BC85" i="3"/>
  <c r="BV97" i="3"/>
  <c r="BJ48" i="3"/>
  <c r="BV76" i="3"/>
  <c r="FH6" i="4" a="1"/>
  <c r="GS7" i="4" a="1"/>
  <c r="GL14" i="4" a="1"/>
  <c r="BD49" i="3"/>
  <c r="BU87" i="3"/>
  <c r="FS12" i="4" a="1"/>
  <c r="BU85" i="3"/>
  <c r="BC71" i="3"/>
  <c r="FX11" i="4" a="1"/>
  <c r="GY12" i="4" a="1"/>
  <c r="GE12" i="4" a="1"/>
  <c r="GB5" i="4" a="1"/>
  <c r="BH79" i="3"/>
  <c r="GU12" i="4" a="1"/>
  <c r="BD97" i="3"/>
  <c r="BQ82" i="3"/>
  <c r="GD13" i="4" a="1"/>
  <c r="GJ15" i="4" a="1"/>
  <c r="BP50" i="3"/>
  <c r="BD72" i="3"/>
  <c r="BV75" i="3"/>
  <c r="BJ93" i="3"/>
  <c r="FR9" i="4" a="1"/>
  <c r="GV6" i="4" a="1"/>
  <c r="BN47" i="3"/>
  <c r="BT95" i="3"/>
  <c r="FS15" i="4" a="1"/>
  <c r="BL89" i="3"/>
  <c r="BN89" i="3"/>
  <c r="HH8" i="4" a="1"/>
  <c r="FT6" i="4" a="1"/>
  <c r="BT57" i="3"/>
  <c r="GL16" i="4" a="1"/>
  <c r="BN70" i="3"/>
  <c r="BL66" i="3"/>
  <c r="GF5" i="4" a="1"/>
  <c r="BT69" i="3"/>
  <c r="BG93" i="3"/>
  <c r="GE9" i="4" a="1"/>
  <c r="BD74" i="3"/>
  <c r="BN55" i="3"/>
  <c r="FH14" i="4" a="1"/>
  <c r="BM57" i="3"/>
  <c r="GN16" i="4" a="1"/>
  <c r="BO63" i="3"/>
  <c r="GH12" i="4" a="1"/>
  <c r="HA7" i="4" a="1"/>
  <c r="GU6" i="4" a="1"/>
  <c r="GV16" i="4" a="1"/>
  <c r="FM5" i="4" a="1"/>
  <c r="BO75" i="3"/>
  <c r="GX12" i="4" a="1"/>
  <c r="BL75" i="3"/>
  <c r="BL81" i="3"/>
  <c r="BH97" i="3"/>
  <c r="BD47" i="3"/>
  <c r="GS14" i="4" a="1"/>
  <c r="GS5" i="4" a="1"/>
  <c r="GV15" i="4" a="1"/>
  <c r="BL56" i="3"/>
  <c r="GF12" i="4" a="1"/>
  <c r="BU89" i="3"/>
  <c r="HC9" i="4" a="1"/>
  <c r="BD56" i="3"/>
  <c r="BN64" i="3"/>
  <c r="Z113" i="2"/>
  <c r="BL67" i="3"/>
  <c r="BN49" i="3"/>
  <c r="GF9" i="4" a="1"/>
  <c r="BM96" i="3"/>
  <c r="FY8" i="4" a="1"/>
  <c r="BS93" i="3"/>
  <c r="BP78" i="3"/>
  <c r="BM83" i="3"/>
  <c r="FH12" i="4" a="1"/>
  <c r="BP93" i="3"/>
  <c r="FG9" i="4" a="1"/>
  <c r="BG94" i="3"/>
  <c r="GE15" i="4" a="1"/>
  <c r="BA87" i="3"/>
  <c r="GC9" i="4" a="1"/>
  <c r="BN56" i="3"/>
  <c r="HG15" i="4" a="1"/>
  <c r="BG48" i="3"/>
  <c r="GA8" i="4" a="1"/>
  <c r="BU71" i="3"/>
  <c r="BP59" i="3"/>
  <c r="GQ8" i="4" a="1"/>
  <c r="BA69" i="3"/>
  <c r="BO48" i="3"/>
  <c r="GD6" i="4" a="1"/>
  <c r="BT84" i="3"/>
  <c r="BH55" i="3"/>
  <c r="FG16" i="4" a="1"/>
  <c r="GA5" i="4" a="1"/>
  <c r="BS97" i="3"/>
  <c r="FG13" i="4" a="1"/>
  <c r="BD73" i="3"/>
  <c r="GW12" i="4" a="1"/>
  <c r="FO11" i="4" a="1"/>
  <c r="FO16" i="4" a="1"/>
  <c r="HB5" i="4" a="1"/>
  <c r="BS91" i="3"/>
  <c r="FW13" i="4" a="1"/>
  <c r="BQ54" i="3"/>
  <c r="BV68" i="3"/>
  <c r="BH63" i="3"/>
  <c r="HE5" i="4" a="1"/>
  <c r="HB12" i="4" a="1"/>
  <c r="FQ5" i="4" a="1"/>
  <c r="BV73" i="3"/>
  <c r="BD80" i="3"/>
  <c r="BH77" i="3"/>
  <c r="FX6" i="4" a="1"/>
  <c r="BU93" i="3"/>
  <c r="BH71" i="3"/>
  <c r="GB6" i="4" a="1"/>
  <c r="BC54" i="3"/>
  <c r="BQ66" i="3"/>
  <c r="BP81" i="3"/>
  <c r="BP55" i="3"/>
  <c r="BH88" i="3"/>
  <c r="FJ9" i="4" a="1"/>
  <c r="BC73" i="3"/>
  <c r="BQ78" i="3"/>
  <c r="FP7" i="4" a="1"/>
  <c r="FV11" i="4" a="1"/>
  <c r="BV59" i="3"/>
  <c r="GK8" i="4" a="1"/>
  <c r="HF5" i="4" a="1"/>
  <c r="GG8" i="4" a="1"/>
  <c r="BV54" i="3"/>
  <c r="FH16" i="4" a="1"/>
  <c r="BH27" i="3"/>
  <c r="FF6" i="4" a="1"/>
  <c r="Z72" i="2"/>
  <c r="BS15" i="3"/>
  <c r="EX7" i="4" a="1"/>
  <c r="Y66" i="2"/>
  <c r="BO10" i="3"/>
  <c r="Z79" i="2"/>
  <c r="Z90" i="2"/>
  <c r="BM41" i="3"/>
  <c r="BO6" i="3"/>
  <c r="BQ21" i="3"/>
  <c r="BH10" i="3"/>
  <c r="BA38" i="3"/>
  <c r="FE9" i="4" a="1"/>
  <c r="BL46" i="3"/>
  <c r="BG38" i="3"/>
  <c r="BO36" i="3"/>
  <c r="Y51" i="2"/>
  <c r="BK29" i="3"/>
  <c r="BI10" i="3"/>
  <c r="BT9" i="3"/>
  <c r="BF5" i="3"/>
  <c r="BJ25" i="3"/>
  <c r="Z82" i="2"/>
  <c r="Y72" i="2"/>
  <c r="BU24" i="3"/>
  <c r="FC14" i="4" a="1"/>
  <c r="BQ39" i="3"/>
  <c r="Z26" i="2"/>
  <c r="BM17" i="3"/>
  <c r="BE22" i="3"/>
  <c r="BT27" i="3"/>
  <c r="BQ9" i="3"/>
  <c r="BR38" i="3"/>
  <c r="FB14" i="4" a="1"/>
  <c r="FB7" i="4" a="1"/>
  <c r="AA53" i="2"/>
  <c r="AA97" i="2"/>
  <c r="BK5" i="3"/>
  <c r="BF25" i="3"/>
  <c r="CL45" i="1" s="1"/>
  <c r="BC13" i="3"/>
  <c r="FE15" i="4" a="1"/>
  <c r="BQ33" i="3"/>
  <c r="BI21" i="3"/>
  <c r="Z77" i="2"/>
  <c r="BU9" i="3"/>
  <c r="C5" i="2"/>
  <c r="AA42" i="2"/>
  <c r="BA20" i="3"/>
  <c r="BS12" i="3"/>
  <c r="BF9" i="3"/>
  <c r="BL38" i="3"/>
  <c r="Z17" i="2"/>
  <c r="BR34" i="3"/>
  <c r="BS23" i="3"/>
  <c r="AA109" i="2"/>
  <c r="BD15" i="3"/>
  <c r="BR40" i="3"/>
  <c r="EZ7" i="4" a="1"/>
  <c r="BI14" i="3"/>
  <c r="BU28" i="3"/>
  <c r="BQ41" i="3"/>
  <c r="Y22" i="2"/>
  <c r="BC35" i="3"/>
  <c r="Y80" i="2"/>
  <c r="Z42" i="2"/>
  <c r="BR5" i="3"/>
  <c r="Y53" i="2"/>
  <c r="BG11" i="3"/>
  <c r="BN37" i="3"/>
  <c r="HB8" i="4" a="1"/>
  <c r="FO5" i="4" a="1"/>
  <c r="BL57" i="3"/>
  <c r="BR54" i="3"/>
  <c r="BC25" i="3"/>
  <c r="BL31" i="3"/>
  <c r="AA47" i="2"/>
  <c r="AA17" i="2"/>
  <c r="BJ39" i="3"/>
  <c r="BG20" i="3"/>
  <c r="BB16" i="3"/>
  <c r="BU18" i="3"/>
  <c r="HG5" i="4" a="1"/>
  <c r="BO71" i="3"/>
  <c r="GE16" i="4" a="1"/>
  <c r="BC55" i="3"/>
  <c r="BQ47" i="3"/>
  <c r="Z16" i="2"/>
  <c r="Z7" i="2"/>
  <c r="AA48" i="2"/>
  <c r="BA9" i="3"/>
  <c r="BD45" i="3"/>
  <c r="BT37" i="3"/>
  <c r="BQ34" i="3"/>
  <c r="BE42" i="3"/>
  <c r="BL90" i="3"/>
  <c r="FT7" i="4" a="1"/>
  <c r="BF79" i="3"/>
  <c r="FO15" i="4" a="1"/>
  <c r="BP84" i="3"/>
  <c r="BQ94" i="3"/>
  <c r="FN16" i="4" a="1"/>
  <c r="BJ33" i="3"/>
  <c r="BC14" i="3"/>
  <c r="FA12" i="4" a="1"/>
  <c r="FC5" i="4" a="1"/>
  <c r="BB15" i="3"/>
  <c r="BH62" i="3"/>
  <c r="AA29" i="2"/>
  <c r="AV10" i="3"/>
  <c r="FF5" i="4" a="1"/>
  <c r="AA52" i="2"/>
  <c r="BK36" i="3"/>
  <c r="BO23" i="3"/>
  <c r="BB41" i="3"/>
  <c r="Y23" i="2"/>
  <c r="AA18" i="2"/>
  <c r="AA51" i="2"/>
  <c r="BG71" i="3"/>
  <c r="FN13" i="4" a="1"/>
  <c r="BH87" i="3"/>
  <c r="BH64" i="3"/>
  <c r="GO14" i="4" a="1"/>
  <c r="BM94" i="3"/>
  <c r="BT74" i="3"/>
  <c r="GH13" i="4" a="1"/>
  <c r="BO64" i="3"/>
  <c r="BJ80" i="3"/>
  <c r="HF13" i="4" a="1"/>
  <c r="BL73" i="3"/>
  <c r="BQ89" i="3"/>
  <c r="BG86" i="3"/>
  <c r="BK65" i="3"/>
  <c r="BD67" i="3"/>
  <c r="BJ72" i="3"/>
  <c r="BV61" i="3"/>
  <c r="GK16" i="4" a="1"/>
  <c r="BH65" i="3"/>
  <c r="HA11" i="4" a="1"/>
  <c r="BF68" i="3"/>
  <c r="CL143" i="1" s="1"/>
  <c r="BG60" i="3"/>
  <c r="BD93" i="3"/>
  <c r="FU12" i="4" a="1"/>
  <c r="BT78" i="3"/>
  <c r="BL78" i="3"/>
  <c r="GC12" i="4" a="1"/>
  <c r="BT63" i="3"/>
  <c r="FO13" i="4" a="1"/>
  <c r="FX12" i="4" a="1"/>
  <c r="HD8" i="4" a="1"/>
  <c r="BM75" i="3"/>
  <c r="BM81" i="3"/>
  <c r="GP14" i="4" a="1"/>
  <c r="BU65" i="3"/>
  <c r="BV78" i="3"/>
  <c r="GB9" i="4" a="1"/>
  <c r="BM56" i="3"/>
  <c r="BQ63" i="3"/>
  <c r="BL69" i="3"/>
  <c r="GW16" i="4" a="1"/>
  <c r="BC58" i="3"/>
  <c r="FQ14" i="4" a="1"/>
  <c r="BO49" i="3"/>
  <c r="BD82" i="3"/>
  <c r="GF6" i="4" a="1"/>
  <c r="BO96" i="3"/>
  <c r="HC14" i="4" a="1"/>
  <c r="BF93" i="3"/>
  <c r="FO7" i="4" a="1"/>
  <c r="BG67" i="3"/>
  <c r="HD14" i="4" a="1"/>
  <c r="BM78" i="3"/>
  <c r="BD70" i="3"/>
  <c r="GU5" i="4" a="1"/>
  <c r="GT5" i="4" a="1"/>
  <c r="BJ57" i="3"/>
  <c r="BR76" i="3"/>
  <c r="FM15" i="4" a="1"/>
  <c r="BS75" i="3"/>
  <c r="BF75" i="3"/>
  <c r="BA97" i="3"/>
  <c r="BU63" i="3"/>
  <c r="BJ76" i="3"/>
  <c r="GX14" i="4" a="1"/>
  <c r="GI9" i="4" a="1"/>
  <c r="BS88" i="3"/>
  <c r="FM16" i="4" a="1"/>
  <c r="BG90" i="3"/>
  <c r="FM7" i="4" a="1"/>
  <c r="BK55" i="3"/>
  <c r="HE7" i="4" a="1"/>
  <c r="BP69" i="3"/>
  <c r="BL96" i="3"/>
  <c r="GC11" i="4" a="1"/>
  <c r="HC11" i="4" a="1"/>
  <c r="BT89" i="3"/>
  <c r="GD8" i="4" a="1"/>
  <c r="BQ67" i="3"/>
  <c r="GG15" i="4" a="1"/>
  <c r="BC70" i="3"/>
  <c r="BC90" i="3"/>
  <c r="GE6" i="4" a="1"/>
  <c r="BT66" i="3"/>
  <c r="FY11" i="4" a="1"/>
  <c r="BQ80" i="3"/>
  <c r="FZ5" i="4" a="1"/>
  <c r="BO82" i="3"/>
  <c r="BF90" i="3"/>
  <c r="CL135" i="1" s="1"/>
  <c r="GA13" i="4" a="1"/>
  <c r="BJ90" i="3"/>
  <c r="BL54" i="3"/>
  <c r="BD60" i="3"/>
  <c r="BS78" i="3"/>
  <c r="BS57" i="3"/>
  <c r="BA63" i="3"/>
  <c r="BO93" i="3"/>
  <c r="BC75" i="3"/>
  <c r="BK82" i="3"/>
  <c r="BL83" i="3"/>
  <c r="BS90" i="3"/>
  <c r="FL9" i="4" a="1"/>
  <c r="GK15" i="4" a="1"/>
  <c r="BF87" i="3"/>
  <c r="CL161" i="1" s="1"/>
  <c r="BP75" i="3"/>
  <c r="BA80" i="3"/>
  <c r="HB9" i="4" a="1"/>
  <c r="HA15" i="4" a="1"/>
  <c r="GT6" i="4" a="1"/>
  <c r="FO8" i="4" a="1"/>
  <c r="BM84" i="3"/>
  <c r="BK60" i="3"/>
  <c r="BD59" i="3"/>
  <c r="GS9" i="4" a="1"/>
  <c r="BU91" i="3"/>
  <c r="Y113" i="2"/>
  <c r="BJ60" i="3"/>
  <c r="BQ83" i="3"/>
  <c r="GN7" i="4" a="1"/>
  <c r="BH54" i="3"/>
  <c r="FJ7" i="4" a="1"/>
  <c r="GC16" i="4" a="1"/>
  <c r="BH89" i="3"/>
  <c r="BA73" i="3"/>
  <c r="BQ85" i="3"/>
  <c r="HE9" i="4" a="1"/>
  <c r="BP95" i="3"/>
  <c r="FY16" i="4" a="1"/>
  <c r="BT50" i="3"/>
  <c r="BJ78" i="3"/>
  <c r="BQ49" i="3"/>
  <c r="BP73" i="3"/>
  <c r="FS11" i="4" a="1"/>
  <c r="BP79" i="3"/>
  <c r="GG16" i="4" a="1"/>
  <c r="BT75" i="3"/>
  <c r="GV11" i="4" a="1"/>
  <c r="BR55" i="3"/>
  <c r="GU11" i="4" a="1"/>
  <c r="BV69" i="3"/>
  <c r="BH86" i="3"/>
  <c r="BF96" i="3"/>
  <c r="CL172" i="1" s="1"/>
  <c r="BM97" i="3"/>
  <c r="GQ6" i="4" a="1"/>
  <c r="FR14" i="4" a="1"/>
  <c r="HH12" i="4" a="1"/>
  <c r="BA75" i="3"/>
  <c r="BS67" i="3"/>
  <c r="BO55" i="3"/>
  <c r="FZ12" i="4" a="1"/>
  <c r="AA110" i="2"/>
  <c r="BH15" i="3"/>
  <c r="AA85" i="2"/>
  <c r="BT20" i="3"/>
  <c r="BV38" i="3"/>
  <c r="EZ9" i="4" a="1"/>
  <c r="BS26" i="3"/>
  <c r="FB9" i="4" a="1"/>
  <c r="FE5" i="4" a="1"/>
  <c r="BG17" i="3"/>
  <c r="BM21" i="3"/>
  <c r="BS11" i="3"/>
  <c r="BM24" i="3"/>
  <c r="BN41" i="3"/>
  <c r="BT6" i="3"/>
  <c r="BJ26" i="3"/>
  <c r="BK45" i="3"/>
  <c r="BF15" i="3"/>
  <c r="CL33" i="1" s="1"/>
  <c r="Z22" i="2"/>
  <c r="BF18" i="3"/>
  <c r="CL34" i="1" s="1"/>
  <c r="BJ9" i="3"/>
  <c r="BG40" i="3"/>
  <c r="BM22" i="3"/>
  <c r="BP42" i="3"/>
  <c r="BN28" i="3"/>
  <c r="BG9" i="3"/>
  <c r="BT46" i="3"/>
  <c r="FF16" i="4" a="1"/>
  <c r="BL29" i="3"/>
  <c r="BP37" i="3"/>
  <c r="BV22" i="3"/>
  <c r="BQ31" i="3"/>
  <c r="BN35" i="3"/>
  <c r="BH33" i="3"/>
  <c r="AA65" i="2"/>
  <c r="BM32" i="3"/>
  <c r="BI16" i="3"/>
  <c r="BO15" i="3"/>
  <c r="BM18" i="3"/>
  <c r="BF36" i="3"/>
  <c r="Y63" i="2"/>
  <c r="Y52" i="2"/>
  <c r="BF22" i="3"/>
  <c r="BV17" i="3"/>
  <c r="BF45" i="3"/>
  <c r="CL72" i="1" s="1"/>
  <c r="CK72" i="1" s="1"/>
  <c r="CJ72" i="1" s="1"/>
  <c r="CI72" i="1" s="1"/>
  <c r="CH72" i="1" s="1"/>
  <c r="BR29" i="3"/>
  <c r="AA90" i="2"/>
  <c r="BC24" i="3"/>
  <c r="BH46" i="3"/>
  <c r="Z86" i="2"/>
  <c r="BD22" i="3"/>
  <c r="BR45" i="3"/>
  <c r="BJ20" i="3"/>
  <c r="Z55" i="2"/>
  <c r="BB9" i="3"/>
  <c r="BE5" i="3"/>
  <c r="Z21" i="2"/>
  <c r="BG14" i="3"/>
  <c r="Z98" i="2"/>
  <c r="BK39" i="3"/>
  <c r="BD38" i="3"/>
  <c r="Z62" i="2"/>
  <c r="BG23" i="3"/>
  <c r="BU42" i="3"/>
  <c r="BP45" i="3"/>
  <c r="Z23" i="2"/>
  <c r="BV11" i="3"/>
  <c r="Y45" i="2"/>
  <c r="EX8" i="4" a="1"/>
  <c r="BE7" i="3"/>
  <c r="BO70" i="3"/>
  <c r="BP94" i="3"/>
  <c r="BD65" i="3"/>
  <c r="FI5" i="4" a="1"/>
  <c r="BV63" i="3"/>
  <c r="Z97" i="2"/>
  <c r="BT26" i="3"/>
  <c r="BC33" i="3"/>
  <c r="FE7" i="4" a="1"/>
  <c r="BB29" i="3"/>
  <c r="BB46" i="3"/>
  <c r="BI23" i="3"/>
  <c r="Z43" i="2"/>
  <c r="GG12" i="4" a="1"/>
  <c r="BC57" i="3"/>
  <c r="GD14" i="4" a="1"/>
  <c r="BN40" i="3"/>
  <c r="BI39" i="3"/>
  <c r="BF12" i="3"/>
  <c r="CL23" i="1" s="1"/>
  <c r="Z107" i="2"/>
  <c r="Z50" i="2"/>
  <c r="EX15" i="4" a="1"/>
  <c r="BG13" i="3"/>
  <c r="BM26" i="3"/>
  <c r="BV12" i="3"/>
  <c r="BP49" i="3"/>
  <c r="GZ15" i="4" a="1"/>
  <c r="BL64" i="3"/>
  <c r="FQ15" i="4" a="1"/>
  <c r="BA94" i="3"/>
  <c r="GA12" i="4" a="1"/>
  <c r="Z71" i="2"/>
  <c r="BS18" i="3"/>
  <c r="Y82" i="2"/>
  <c r="BG36" i="3"/>
  <c r="BH42" i="3"/>
  <c r="BE45" i="3"/>
  <c r="BC40" i="3"/>
  <c r="BG31" i="3"/>
  <c r="BR20" i="3"/>
  <c r="BF27" i="3"/>
  <c r="FB12" i="4" a="1"/>
  <c r="BD18" i="3"/>
  <c r="BM46" i="3"/>
  <c r="BI45" i="3"/>
  <c r="BO27" i="3"/>
  <c r="AA44" i="2"/>
  <c r="BO20" i="3"/>
  <c r="BV77" i="3"/>
  <c r="GJ11" i="4" a="1"/>
  <c r="BD83" i="3"/>
  <c r="BU62" i="3"/>
  <c r="GZ11" i="4" a="1"/>
  <c r="BH74" i="3"/>
  <c r="BA27" i="3"/>
  <c r="BP35" i="3"/>
  <c r="EX13" i="4" a="1"/>
  <c r="BB32" i="3"/>
  <c r="Z91" i="2"/>
  <c r="BH12" i="3"/>
  <c r="BS39" i="3"/>
  <c r="AA46" i="2"/>
  <c r="Y59" i="2"/>
  <c r="EY8" i="4" a="1"/>
  <c r="BE16" i="3"/>
  <c r="EX6" i="4" a="1"/>
  <c r="Y68" i="2"/>
  <c r="BV8" i="3"/>
  <c r="BE38" i="3"/>
  <c r="AA25" i="2"/>
  <c r="Y73" i="2"/>
  <c r="Y81" i="2"/>
  <c r="BG58" i="3"/>
  <c r="BB7" i="3"/>
  <c r="AA24" i="2"/>
  <c r="GX8" i="4" a="1"/>
  <c r="AA49" i="2"/>
  <c r="BO33" i="3"/>
  <c r="BR84" i="3"/>
  <c r="HF14" i="4" a="1"/>
  <c r="Y71" i="2"/>
  <c r="BC45" i="3"/>
  <c r="Z59" i="2"/>
  <c r="BH18" i="3"/>
  <c r="BI12" i="3"/>
  <c r="BO69" i="3"/>
  <c r="GG5" i="4" a="1"/>
  <c r="BT80" i="3"/>
  <c r="BP68" i="3"/>
  <c r="BQ75" i="3"/>
  <c r="FU16" i="4" a="1"/>
  <c r="BP66" i="3"/>
  <c r="BK93" i="3"/>
  <c r="BJ97" i="3"/>
  <c r="GD5" i="4" a="1"/>
  <c r="BE73" i="3"/>
  <c r="BC56" i="3"/>
  <c r="HE12" i="4" a="1"/>
  <c r="BG89" i="3"/>
  <c r="BQ57" i="3"/>
  <c r="BD75" i="3"/>
  <c r="HF16" i="4" a="1"/>
  <c r="HC5" i="4" a="1"/>
  <c r="BP88" i="3"/>
  <c r="FO12" i="4" a="1"/>
  <c r="GO12" i="4" a="1"/>
  <c r="AA111" i="2"/>
  <c r="HD5" i="4" a="1"/>
  <c r="BC67" i="3"/>
  <c r="BV49" i="3"/>
  <c r="BT81" i="3"/>
  <c r="FK14" i="4" a="1"/>
  <c r="BH49" i="3"/>
  <c r="GV8" i="4" a="1"/>
  <c r="FH7" i="4" a="1"/>
  <c r="GL15" i="4" a="1"/>
  <c r="BT92" i="3"/>
  <c r="BU68" i="3"/>
  <c r="BT49" i="3"/>
  <c r="BC78" i="3"/>
  <c r="BP87" i="3"/>
  <c r="GV5" i="4" a="1"/>
  <c r="BT59" i="3"/>
  <c r="HF8" i="4" a="1"/>
  <c r="BE59" i="3"/>
  <c r="FI14" i="4" a="1"/>
  <c r="BQ60" i="3"/>
  <c r="BR71" i="3"/>
  <c r="FH8" i="4" a="1"/>
  <c r="BC81" i="3"/>
  <c r="FG7" i="4" a="1"/>
  <c r="BO72" i="3"/>
  <c r="BV84" i="3"/>
  <c r="BA85" i="3"/>
  <c r="BV86" i="3"/>
  <c r="BQ77" i="3"/>
  <c r="BA67" i="3"/>
  <c r="GK13" i="4" a="1"/>
  <c r="BS83" i="3"/>
  <c r="BV60" i="3"/>
  <c r="BO58" i="3"/>
  <c r="BA71" i="3"/>
  <c r="HD6" i="4" a="1"/>
  <c r="BH61" i="3"/>
  <c r="FK7" i="4" a="1"/>
  <c r="BJ68" i="3"/>
  <c r="FV9" i="4" a="1"/>
  <c r="BL48" i="3"/>
  <c r="FY7" i="4" a="1"/>
  <c r="BV55" i="3"/>
  <c r="GR14" i="4" a="1"/>
  <c r="BN96" i="3"/>
  <c r="GD16" i="4" a="1"/>
  <c r="Y111" i="2"/>
  <c r="BU50" i="3"/>
  <c r="GX7" i="4" a="1"/>
  <c r="FR11" i="4" a="1"/>
  <c r="FQ11" i="4" a="1"/>
  <c r="BV72" i="3"/>
  <c r="BH96" i="3"/>
  <c r="BG56" i="3"/>
  <c r="BP63" i="3"/>
  <c r="BU77" i="3"/>
  <c r="BD95" i="3"/>
  <c r="BA95" i="3"/>
  <c r="BH91" i="3"/>
  <c r="BV89" i="3"/>
  <c r="BN78" i="3"/>
  <c r="HD11" i="4" a="1"/>
  <c r="FV5" i="4" a="1"/>
  <c r="GT11" i="4" a="1"/>
  <c r="BJ96" i="3"/>
  <c r="BA83" i="3"/>
  <c r="BM68" i="3"/>
  <c r="BP57" i="3"/>
  <c r="BS94" i="3"/>
  <c r="BC86" i="3"/>
  <c r="BS71" i="3"/>
  <c r="HC8" i="4" a="1"/>
  <c r="BH73" i="3"/>
  <c r="BM59" i="3"/>
  <c r="BP61" i="3"/>
  <c r="BP65" i="3"/>
  <c r="BC87" i="3"/>
  <c r="BS84" i="3"/>
  <c r="FK12" i="4" a="1"/>
  <c r="BT86" i="3"/>
  <c r="BH60" i="3"/>
  <c r="GK5" i="4" a="1"/>
  <c r="BJ83" i="3"/>
  <c r="BL76" i="3"/>
  <c r="BG85" i="3"/>
  <c r="FP12" i="4" a="1"/>
  <c r="BV88" i="3"/>
  <c r="GY9" i="4" a="1"/>
  <c r="GQ14" i="4" a="1"/>
  <c r="FI6" i="4" a="1"/>
  <c r="BG75" i="3"/>
  <c r="GT8" i="4" a="1"/>
  <c r="GN6" i="4" a="1"/>
  <c r="FT13" i="4" a="1"/>
  <c r="BH92" i="3"/>
  <c r="GP8" i="4" a="1"/>
  <c r="BN85" i="3"/>
  <c r="BA58" i="3"/>
  <c r="HD13" i="4" a="1"/>
  <c r="HD7" i="4" a="1"/>
  <c r="HD9" i="4" a="1"/>
  <c r="GC7" i="4" a="1"/>
  <c r="BN59" i="3"/>
  <c r="BE89" i="3"/>
  <c r="Y104" i="2"/>
  <c r="BT34" i="3"/>
  <c r="BI9" i="3"/>
  <c r="BE41" i="3"/>
  <c r="BS13" i="3"/>
  <c r="BD9" i="3"/>
  <c r="Y49" i="2"/>
  <c r="BP33" i="3"/>
  <c r="AA54" i="2"/>
  <c r="BM15" i="3"/>
  <c r="BS21" i="3"/>
  <c r="BE27" i="3"/>
  <c r="BE46" i="3"/>
  <c r="BE8" i="3"/>
  <c r="Y13" i="2"/>
  <c r="BO28" i="3"/>
  <c r="BP18" i="3"/>
  <c r="FD15" i="4" a="1"/>
  <c r="GA9" i="4" a="1"/>
  <c r="BL19" i="3"/>
  <c r="Z48" i="2"/>
  <c r="BA62" i="3"/>
  <c r="BH28" i="3"/>
  <c r="BT19" i="3"/>
  <c r="BI41" i="3"/>
  <c r="BF13" i="3"/>
  <c r="BL28" i="3"/>
  <c r="BB30" i="3"/>
  <c r="BV66" i="3"/>
  <c r="GO11" i="4" a="1"/>
  <c r="BU54" i="3"/>
  <c r="GE11" i="4" a="1"/>
  <c r="GH8" i="4" a="1"/>
  <c r="BG54" i="3"/>
  <c r="BM54" i="3"/>
  <c r="GF16" i="4" a="1"/>
  <c r="BG55" i="3"/>
  <c r="HB15" i="4" a="1"/>
  <c r="GJ12" i="4" a="1"/>
  <c r="BS59" i="3"/>
  <c r="BP70" i="3"/>
  <c r="BQ61" i="3"/>
  <c r="GN12" i="4" a="1"/>
  <c r="BM87" i="3"/>
  <c r="GD7" i="4" a="1"/>
  <c r="BQ92" i="3"/>
  <c r="HE16" i="4" a="1"/>
  <c r="BO47" i="3"/>
  <c r="GR8" i="4" a="1"/>
  <c r="BA89" i="3"/>
  <c r="GY15" i="4" a="1"/>
  <c r="GL13" i="4" a="1"/>
  <c r="BL70" i="3"/>
  <c r="GM6" i="4" a="1"/>
  <c r="GW7" i="4" a="1"/>
  <c r="BH80" i="3"/>
  <c r="BV91" i="3"/>
  <c r="FW7" i="4" a="1"/>
  <c r="GD11" i="4" a="1"/>
  <c r="BU95" i="3"/>
  <c r="BL71" i="3"/>
  <c r="GS15" i="4" a="1"/>
  <c r="BP72" i="3"/>
  <c r="FK11" i="4" a="1"/>
  <c r="FN9" i="4" a="1"/>
  <c r="BH58" i="3"/>
  <c r="BJ63" i="3"/>
  <c r="BV62" i="3"/>
  <c r="GZ6" i="4" a="1"/>
  <c r="BO95" i="3"/>
  <c r="HA14" i="4" a="1"/>
  <c r="BN97" i="3"/>
  <c r="GQ9" i="4" a="1"/>
  <c r="GY13" i="4" a="1"/>
  <c r="BN69" i="3"/>
  <c r="GN5" i="4" a="1"/>
  <c r="BU96" i="3"/>
  <c r="HG8" i="4" a="1"/>
  <c r="BU94" i="3"/>
  <c r="BS61" i="3"/>
  <c r="BP47" i="3"/>
  <c r="FM8" i="4" a="1"/>
  <c r="GJ8" i="4" a="1"/>
  <c r="BV67" i="3"/>
  <c r="BD79" i="3"/>
  <c r="GE7" i="4" a="1"/>
  <c r="FV15" i="4" a="1"/>
  <c r="GP15" i="4" a="1"/>
  <c r="BF47" i="3"/>
  <c r="BT47" i="3"/>
  <c r="BJ69" i="3"/>
  <c r="GO6" i="4" a="1"/>
  <c r="BR95" i="3"/>
  <c r="GI13" i="4" a="1"/>
  <c r="BQ81" i="3"/>
  <c r="HH5" i="4" a="1"/>
  <c r="BA56" i="3"/>
  <c r="GQ7" i="4" a="1"/>
  <c r="FY15" i="4" a="1"/>
  <c r="FO9" i="4" a="1"/>
  <c r="BJ67" i="3"/>
  <c r="FT16" i="4" a="1"/>
  <c r="BU48" i="3"/>
  <c r="GQ15" i="4" a="1"/>
  <c r="FK13" i="4" a="1"/>
  <c r="BO78" i="3"/>
  <c r="BH68" i="3"/>
  <c r="BU55" i="3"/>
  <c r="GK12" i="4" a="1"/>
  <c r="FU9" i="4" a="1"/>
  <c r="BT65" i="3"/>
  <c r="FM11" i="4" a="1"/>
  <c r="BQ76" i="3"/>
  <c r="GW11" i="4" a="1"/>
  <c r="GK14" i="4" a="1"/>
  <c r="HA5" i="4" a="1"/>
  <c r="FU8" i="4" a="1"/>
  <c r="BH76" i="3"/>
  <c r="GX9" i="4" a="1"/>
  <c r="BN71" i="3"/>
  <c r="HE15" i="4" a="1"/>
  <c r="HF9" i="4" a="1"/>
  <c r="BO59" i="3"/>
  <c r="BE96" i="3"/>
  <c r="FW6" i="4" a="1"/>
  <c r="Y57" i="2"/>
  <c r="BF38" i="3"/>
  <c r="BF39" i="3"/>
  <c r="BR21" i="3"/>
  <c r="BC36" i="3"/>
  <c r="BN26" i="3"/>
  <c r="BC46" i="3"/>
  <c r="BK16" i="3"/>
  <c r="FF15" i="4" a="1"/>
  <c r="BF26" i="3"/>
  <c r="CL56" i="1" s="1"/>
  <c r="BQ20" i="3"/>
  <c r="AA16" i="2"/>
  <c r="BE31" i="3"/>
  <c r="BS10" i="3"/>
  <c r="EZ14" i="4" a="1"/>
  <c r="AA94" i="2"/>
  <c r="EY5" i="4" a="1"/>
  <c r="BN75" i="3"/>
  <c r="BT24" i="3"/>
  <c r="BQ28" i="3"/>
  <c r="BJ37" i="3"/>
  <c r="BK37" i="3"/>
  <c r="BC32" i="3"/>
  <c r="GH5" i="4" a="1"/>
  <c r="BE30" i="3"/>
  <c r="BL32" i="3"/>
  <c r="EY13" i="4" a="1"/>
  <c r="BL9" i="3"/>
  <c r="HD12" i="4" a="1"/>
  <c r="BG49" i="3"/>
  <c r="BG59" i="3"/>
  <c r="FI15" i="4" a="1"/>
  <c r="BL88" i="3"/>
  <c r="BL87" i="3"/>
  <c r="BQ48" i="3"/>
  <c r="BJ59" i="3"/>
  <c r="BD69" i="3"/>
  <c r="BA78" i="3"/>
  <c r="GP7" i="4" a="1"/>
  <c r="FN15" i="4" a="1"/>
  <c r="GT16" i="4" a="1"/>
  <c r="GC8" i="4" a="1"/>
  <c r="BD85" i="3"/>
  <c r="BU72" i="3"/>
  <c r="HC12" i="4" a="1"/>
  <c r="FK8" i="4" a="1"/>
  <c r="GA15" i="4" a="1"/>
  <c r="FS5" i="4" a="1"/>
  <c r="GJ9" i="4" a="1"/>
  <c r="GO15" i="4" a="1"/>
  <c r="FM14" i="4" a="1"/>
  <c r="BF50" i="3"/>
  <c r="BL62" i="3"/>
  <c r="GT15" i="4" a="1"/>
  <c r="BA86" i="3"/>
  <c r="BS63" i="3"/>
  <c r="BD55" i="3"/>
  <c r="BP67" i="3"/>
  <c r="BO89" i="3"/>
  <c r="BK76" i="3"/>
  <c r="FQ7" i="4" a="1"/>
  <c r="BM61" i="3"/>
  <c r="BG81" i="3"/>
  <c r="BS74" i="3"/>
  <c r="BO77" i="3"/>
  <c r="BA55" i="3"/>
  <c r="GU13" i="4" a="1"/>
  <c r="BQ50" i="3"/>
  <c r="BC82" i="3"/>
  <c r="BH56" i="3"/>
  <c r="BT77" i="3"/>
  <c r="FP8" i="4" a="1"/>
  <c r="GK9" i="4" a="1"/>
  <c r="GN15" i="4" a="1"/>
  <c r="BM69" i="3"/>
  <c r="FY12" i="4" a="1"/>
  <c r="BK49" i="3"/>
  <c r="GN8" i="4" a="1"/>
  <c r="HE6" i="4" a="1"/>
  <c r="HB16" i="4" a="1"/>
  <c r="BO83" i="3"/>
  <c r="FW9" i="4" a="1"/>
  <c r="FN14" i="4" a="1"/>
  <c r="BS70" i="3"/>
  <c r="BF73" i="3"/>
  <c r="FZ11" i="4" a="1"/>
  <c r="GH11" i="4" a="1"/>
  <c r="BG64" i="3"/>
  <c r="BU60" i="3"/>
  <c r="GP6" i="4" a="1"/>
  <c r="BL92" i="3"/>
  <c r="BG80" i="3"/>
  <c r="HC6" i="4" a="1"/>
  <c r="BK87" i="3"/>
  <c r="GV14" i="4" a="1"/>
  <c r="FV8" i="4" a="1"/>
  <c r="BJ77" i="3"/>
  <c r="BH70" i="3"/>
  <c r="BV50" i="3"/>
  <c r="BA59" i="3"/>
  <c r="BG73" i="3"/>
  <c r="BM48" i="3"/>
  <c r="HH14" i="4" a="1"/>
  <c r="HF12" i="4" a="1"/>
  <c r="BM66" i="3"/>
  <c r="GE8" i="4" a="1"/>
  <c r="BR72" i="3"/>
  <c r="BC80" i="3"/>
  <c r="GO13" i="4" a="1"/>
  <c r="BN65" i="3"/>
  <c r="BQ71" i="3"/>
  <c r="GW15" i="4" a="1"/>
  <c r="BM73" i="3"/>
  <c r="BJ87" i="3"/>
  <c r="FT9" i="4" a="1"/>
  <c r="BS95" i="3"/>
  <c r="BF88" i="3"/>
  <c r="CL136" i="1" s="1"/>
  <c r="BQ65" i="3"/>
  <c r="GS16" i="4" a="1"/>
  <c r="BE79" i="3"/>
  <c r="GR6" i="4" a="1"/>
  <c r="BG30" i="3"/>
  <c r="BT29" i="3"/>
  <c r="BQ23" i="3"/>
  <c r="BM20" i="3"/>
  <c r="BJ6" i="3"/>
  <c r="Y56" i="2"/>
  <c r="Z30" i="2"/>
  <c r="BV37" i="3"/>
  <c r="BV45" i="3"/>
  <c r="BK19" i="3"/>
  <c r="BE36" i="3"/>
  <c r="BN25" i="3"/>
  <c r="BC11" i="3"/>
  <c r="BP28" i="3"/>
  <c r="Y75" i="2"/>
  <c r="BA40" i="3"/>
  <c r="BT38" i="3"/>
  <c r="BV74" i="3"/>
  <c r="BC17" i="3"/>
  <c r="BA39" i="3"/>
  <c r="HD16" i="4" a="1"/>
  <c r="AA89" i="2"/>
  <c r="BN38" i="3"/>
  <c r="AA66" i="2"/>
  <c r="BN90" i="3"/>
  <c r="GZ12" i="4" a="1"/>
  <c r="Y42" i="2"/>
  <c r="EZ16" i="4" a="1"/>
  <c r="BN24" i="3"/>
  <c r="BI17" i="3"/>
  <c r="BL97" i="3"/>
  <c r="FL6" i="4" a="1"/>
  <c r="HA6" i="4" a="1"/>
  <c r="BP85" i="3"/>
  <c r="BN88" i="3"/>
  <c r="BV71" i="3"/>
  <c r="BR67" i="3"/>
  <c r="FJ6" i="4" a="1"/>
  <c r="BN87" i="3"/>
  <c r="FL16" i="4" a="1"/>
  <c r="FX16" i="4" a="1"/>
  <c r="FW12" i="4" a="1"/>
  <c r="HB7" i="4" a="1"/>
  <c r="FT5" i="4" a="1"/>
  <c r="FP11" i="4" a="1"/>
  <c r="BO54" i="3"/>
  <c r="BG87" i="3"/>
  <c r="BT54" i="3"/>
  <c r="GU9" i="4" a="1"/>
  <c r="BB54" i="3"/>
  <c r="BL80" i="3"/>
  <c r="BA88" i="3"/>
  <c r="BT73" i="3"/>
  <c r="FO14" i="4" a="1"/>
  <c r="BM86" i="3"/>
  <c r="HE8" i="4" a="1"/>
  <c r="BN73" i="3"/>
  <c r="GQ11" i="4" a="1"/>
  <c r="BA79" i="3"/>
  <c r="BA50" i="3"/>
  <c r="BN72" i="3"/>
  <c r="FX5" i="4" a="1"/>
  <c r="GQ12" i="4" a="1"/>
  <c r="FR5" i="4" a="1"/>
  <c r="GF14" i="4" a="1"/>
  <c r="BH57" i="3"/>
  <c r="BR83" i="3"/>
  <c r="BF62" i="3"/>
  <c r="CL133" i="1" s="1"/>
  <c r="BP89" i="3"/>
  <c r="FG12" i="4" a="1"/>
  <c r="BC84" i="3"/>
  <c r="FV6" i="4" a="1"/>
  <c r="BP96" i="3"/>
  <c r="BP83" i="3"/>
  <c r="GM5" i="4" a="1"/>
  <c r="BL49" i="3"/>
  <c r="FS7" i="4" a="1"/>
  <c r="BB72" i="3"/>
  <c r="GA11" i="4" a="1"/>
  <c r="BA92" i="3"/>
  <c r="FV16" i="4" a="1"/>
  <c r="BL47" i="3"/>
  <c r="BG65" i="3"/>
  <c r="FR6" i="4" a="1"/>
  <c r="GP16" i="4" a="1"/>
  <c r="GZ14" i="4" a="1"/>
  <c r="FK6" i="4" a="1"/>
  <c r="BT96" i="3"/>
  <c r="FS8" i="4" a="1"/>
  <c r="GI12" i="4" a="1"/>
  <c r="GB14" i="4" a="1"/>
  <c r="FJ12" i="4" a="1"/>
  <c r="BQ64" i="3"/>
  <c r="FR7" i="4" a="1"/>
  <c r="BP91" i="3"/>
  <c r="BT60" i="3"/>
  <c r="FP15" i="4" a="1"/>
  <c r="BE69" i="3"/>
  <c r="BO80" i="3"/>
  <c r="HH11" i="4" a="1"/>
  <c r="BM91" i="3"/>
  <c r="BG84" i="3"/>
  <c r="BG61" i="3"/>
  <c r="GA6" i="4" a="1"/>
  <c r="BJ82" i="3"/>
  <c r="GE14" i="4" a="1"/>
  <c r="FH11" i="4" a="1"/>
  <c r="BR49" i="3"/>
  <c r="BJ54" i="3"/>
  <c r="HF7" i="4" a="1"/>
  <c r="BN95" i="3"/>
  <c r="FP9" i="4" a="1"/>
  <c r="BT62" i="3"/>
  <c r="BO65" i="3"/>
  <c r="FW14" i="4" a="1"/>
  <c r="BT68" i="3"/>
  <c r="GU14" i="4" a="1"/>
  <c r="FL12" i="4" a="1"/>
  <c r="FN12" i="4" a="1"/>
  <c r="BH50" i="3"/>
  <c r="GD15" i="4" a="1"/>
  <c r="GW6" i="4" a="1"/>
  <c r="BK75" i="3"/>
  <c r="FH9" i="4" a="1"/>
  <c r="FZ9" i="4" a="1"/>
  <c r="FQ6" i="4" a="1"/>
  <c r="BQ93" i="3"/>
  <c r="HA9" i="4" a="1"/>
  <c r="FZ16" i="4" a="1"/>
  <c r="BP90" i="3"/>
  <c r="BC96" i="3"/>
  <c r="BR74" i="3"/>
  <c r="HG9" i="4" a="1"/>
  <c r="BL50" i="3"/>
  <c r="HB13" i="4" a="1"/>
  <c r="BC83" i="3"/>
  <c r="FL11" i="4" a="1"/>
  <c r="BU67" i="3"/>
  <c r="GW14" i="4" a="1"/>
  <c r="BA76" i="3"/>
  <c r="GY7" i="4" a="1"/>
  <c r="BJ65" i="3"/>
  <c r="GO7" i="4" a="1"/>
  <c r="HG7" i="4" a="1"/>
  <c r="BO97" i="3"/>
  <c r="BO66" i="3"/>
  <c r="BN83" i="3"/>
  <c r="FN6" i="4" a="1"/>
  <c r="FQ16" i="4" a="1"/>
  <c r="FS6" i="4" a="1"/>
  <c r="BC48" i="3"/>
  <c r="FQ12" i="4" a="1"/>
  <c r="BV70" i="3"/>
  <c r="HH9" i="4" a="1"/>
  <c r="GS6" i="4" a="1"/>
  <c r="BH75" i="3"/>
  <c r="FU7" i="4" a="1"/>
  <c r="BT79" i="3"/>
  <c r="FT15" i="4" a="1"/>
  <c r="GB7" i="4" a="1"/>
  <c r="BL58" i="3"/>
  <c r="BC61" i="3"/>
  <c r="BQ56" i="3"/>
  <c r="GI6" i="4" a="1"/>
  <c r="FH15" i="4" a="1"/>
  <c r="BE84" i="3"/>
  <c r="GX15" i="4" a="1"/>
  <c r="FP14" i="4" a="1"/>
  <c r="BC62" i="3"/>
  <c r="BM63" i="3"/>
  <c r="BQ79" i="3"/>
  <c r="FZ8" i="4" a="1"/>
  <c r="BU79" i="3"/>
  <c r="BG72" i="3"/>
  <c r="FL5" i="4" a="1"/>
  <c r="BA60" i="3"/>
  <c r="GA16" i="4" a="1"/>
  <c r="GT14" i="4" a="1"/>
  <c r="GN11" i="4" a="1"/>
  <c r="BF74" i="3"/>
  <c r="CL146" i="1" s="1"/>
  <c r="BA47" i="3"/>
  <c r="HC7" i="4" a="1"/>
  <c r="BG82" i="3"/>
  <c r="BN63" i="3"/>
  <c r="FV14" i="4" a="1"/>
  <c r="BM76" i="3"/>
  <c r="BO61" i="3"/>
  <c r="GY11" i="4" a="1"/>
  <c r="BL72" i="3"/>
  <c r="GH6" i="4" a="1"/>
  <c r="BM47" i="3"/>
  <c r="BK72" i="3"/>
  <c r="BC69" i="3"/>
  <c r="FN11" i="4" a="1"/>
  <c r="BA54" i="3"/>
  <c r="FG5" i="4" a="1"/>
  <c r="BH47" i="3"/>
  <c r="GJ16" i="4" a="1"/>
  <c r="HB11" i="4" a="1"/>
  <c r="GM15" i="4" a="1"/>
  <c r="FT12" i="4" a="1"/>
  <c r="BH93" i="3"/>
  <c r="BJ66" i="3"/>
  <c r="BV93" i="3"/>
  <c r="GN9" i="4" a="1"/>
  <c r="BH72" i="3"/>
  <c r="GJ6" i="4" a="1"/>
  <c r="GI11" i="4" a="1"/>
  <c r="FH13" i="4" a="1"/>
  <c r="HH16" i="4" a="1"/>
  <c r="BK86" i="3"/>
  <c r="GI14" i="4" a="1"/>
  <c r="BV79" i="3"/>
  <c r="BP58" i="3"/>
  <c r="GM12" i="4" a="1"/>
  <c r="FU5" i="4" a="1"/>
  <c r="GG6" i="4" a="1"/>
  <c r="BN93" i="3"/>
  <c r="GJ13" i="4" a="1"/>
  <c r="BK89" i="3"/>
  <c r="FM12" i="4" a="1"/>
  <c r="BG50" i="3"/>
  <c r="BV82" i="3"/>
  <c r="AA113" i="2"/>
  <c r="FO6" i="4" a="1"/>
  <c r="FS16" i="4" a="1"/>
  <c r="HF11" i="4" a="1"/>
  <c r="GN13" i="4" a="1"/>
  <c r="GX11" i="4" a="1"/>
  <c r="BS64" i="3"/>
  <c r="BL77" i="3"/>
  <c r="BG95" i="3"/>
  <c r="FM6" i="4" a="1"/>
  <c r="GY14" i="4" a="1"/>
  <c r="FJ13" i="4" a="1"/>
  <c r="BK58" i="3"/>
  <c r="BS77" i="3"/>
  <c r="BD89" i="3"/>
  <c r="HH6" i="4" a="1"/>
  <c r="BS65" i="3"/>
  <c r="BA68" i="3"/>
  <c r="BQ62" i="3"/>
  <c r="BF77" i="3"/>
  <c r="CL149" i="1" s="1"/>
  <c r="HE13" i="4" a="1"/>
  <c r="BS87" i="3"/>
  <c r="FY9" i="4" a="1"/>
  <c r="BR96" i="3"/>
  <c r="GP13" i="4" a="1"/>
  <c r="FI8" i="4" a="1"/>
  <c r="GL7" i="4" a="1"/>
  <c r="BH84" i="3"/>
  <c r="BJ91" i="3"/>
  <c r="GW13" i="4" a="1"/>
  <c r="BD96" i="3"/>
  <c r="BL59" i="3"/>
  <c r="BR58" i="3"/>
  <c r="GR7" i="4" a="1"/>
  <c r="FV12" i="4" a="1"/>
  <c r="BK83" i="3"/>
  <c r="FR8" i="4" a="1"/>
  <c r="AA112" i="2"/>
  <c r="BC77" i="3"/>
  <c r="BC63" i="3"/>
  <c r="GF15" i="4" a="1"/>
  <c r="FL7" i="4" a="1"/>
  <c r="BJ89" i="3"/>
  <c r="FL13" i="4" a="1"/>
  <c r="FK15" i="4" a="1"/>
  <c r="BE78" i="3"/>
  <c r="GX16" i="4" a="1"/>
  <c r="BU81" i="3"/>
  <c r="HA8" i="4" a="1"/>
  <c r="BL86" i="3"/>
  <c r="BJ71" i="3"/>
  <c r="BD57" i="3"/>
  <c r="BH95" i="3"/>
  <c r="BG66" i="3"/>
  <c r="BU88" i="3"/>
  <c r="BD94" i="3"/>
  <c r="BE54" i="3"/>
  <c r="GS8" i="4" a="1"/>
  <c r="BV57" i="3"/>
  <c r="GS12" i="4" a="1"/>
  <c r="FR12" i="4" a="1"/>
  <c r="GR12" i="4" a="1"/>
  <c r="BP86" i="3"/>
  <c r="BR62" i="3"/>
  <c r="BS69" i="3"/>
  <c r="HG13" i="4" a="1"/>
  <c r="GG14" i="4" a="1"/>
  <c r="BL84" i="3"/>
  <c r="BV90" i="3"/>
  <c r="BS86" i="3"/>
  <c r="BO88" i="3"/>
  <c r="BJ55" i="3"/>
  <c r="GH9" i="4" a="1"/>
  <c r="GR11" i="4" a="1"/>
  <c r="GC5" i="4" a="1"/>
  <c r="FG14" i="4" a="1"/>
  <c r="BU61" i="3"/>
  <c r="BM95" i="3"/>
  <c r="GW8" i="4" a="1"/>
  <c r="GO16" i="4" a="1"/>
  <c r="BR64" i="3"/>
  <c r="BT88" i="3"/>
  <c r="GI8" i="4" a="1"/>
  <c r="GI5" i="4" a="1"/>
  <c r="BC76" i="3"/>
  <c r="GC6" i="4" a="1"/>
  <c r="BM64" i="3"/>
  <c r="BP80" i="3"/>
  <c r="BT83" i="3"/>
  <c r="BQ70" i="3"/>
  <c r="BD61" i="3"/>
  <c r="BE49" i="3"/>
  <c r="BD90" i="3"/>
  <c r="BJ70" i="3"/>
  <c r="BE91" i="3"/>
  <c r="GG7" i="4" a="1"/>
  <c r="BL74" i="3"/>
  <c r="HE11" i="4" a="1"/>
  <c r="GY5" i="4" a="1"/>
  <c r="BJ79" i="3"/>
  <c r="FU13" i="4" a="1"/>
  <c r="GY6" i="4" a="1"/>
  <c r="BN54" i="3"/>
  <c r="BM77" i="3"/>
  <c r="GP9" i="4" a="1"/>
  <c r="FU14" i="4" a="1"/>
  <c r="BG79" i="3"/>
  <c r="BD88" i="3"/>
  <c r="BT85" i="3"/>
  <c r="HD15" i="4" a="1"/>
  <c r="BP48" i="3"/>
  <c r="BE82" i="3"/>
  <c r="FK9" i="4" a="1"/>
  <c r="BK59" i="3"/>
  <c r="BG97" i="3"/>
  <c r="BV94" i="3"/>
  <c r="BM88" i="3"/>
  <c r="BO57" i="3"/>
  <c r="FJ5" i="4" a="1"/>
  <c r="GZ9" i="4" a="1"/>
  <c r="BF71" i="3"/>
  <c r="BM65" i="3"/>
  <c r="FI13" i="4" a="1"/>
  <c r="BO85" i="3"/>
  <c r="BN57" i="3"/>
  <c r="BV92" i="3"/>
  <c r="BG47" i="3"/>
  <c r="GN14" i="4" a="1"/>
  <c r="BS58" i="3"/>
  <c r="BM62" i="3"/>
  <c r="BU47" i="3"/>
  <c r="BO62" i="3"/>
  <c r="BT72" i="3"/>
  <c r="HB14" i="4" a="1"/>
  <c r="BH94" i="3"/>
  <c r="GT9" i="4" a="1"/>
  <c r="FI12" i="4" a="1"/>
  <c r="FI7" i="4" a="1"/>
  <c r="BR90" i="3"/>
  <c r="FJ16" i="4" a="1"/>
  <c r="BQ87" i="3"/>
  <c r="BV85" i="3"/>
  <c r="FW8" i="4" a="1"/>
  <c r="BL94" i="3"/>
  <c r="BP97" i="3"/>
  <c r="FQ9" i="4" a="1"/>
  <c r="GH14" i="4" a="1"/>
  <c r="FZ13" i="4" a="1"/>
  <c r="BT87" i="3"/>
  <c r="BU49" i="3"/>
  <c r="GB16" i="4" a="1"/>
  <c r="GZ5" i="4" a="1"/>
  <c r="BQ74" i="3"/>
  <c r="BG88" i="3"/>
  <c r="BH90" i="3"/>
  <c r="BO74" i="3"/>
  <c r="FN7" i="4" a="1"/>
  <c r="BV83" i="3"/>
  <c r="BG91" i="3"/>
  <c r="HG16" i="4" a="1"/>
  <c r="BK56" i="3"/>
  <c r="BL61" i="3"/>
  <c r="BE97" i="3"/>
  <c r="BJ47" i="3"/>
  <c r="GG13" i="4" a="1"/>
  <c r="BU70" i="3"/>
  <c r="BS68" i="3"/>
  <c r="GH15" i="4" a="1"/>
  <c r="HC15" i="4" a="1"/>
  <c r="GM13" i="4" a="1"/>
  <c r="BJ73" i="3"/>
  <c r="BA49" i="3"/>
  <c r="BO56" i="3"/>
  <c r="BM89" i="3"/>
  <c r="BA77" i="3"/>
  <c r="BQ68" i="3"/>
  <c r="BF94" i="3"/>
  <c r="BQ73" i="3"/>
  <c r="BN84" i="3"/>
  <c r="BJ81" i="3"/>
  <c r="GA14" i="4" a="1"/>
  <c r="BM85" i="3"/>
  <c r="GR16" i="4" a="1"/>
  <c r="FZ7" i="4" a="1"/>
  <c r="BT67" i="3"/>
  <c r="BF80" i="3"/>
  <c r="CL168" i="1" s="1"/>
  <c r="GM8" i="4" a="1"/>
  <c r="BN94" i="3"/>
  <c r="BA72" i="3"/>
  <c r="BF67" i="3"/>
  <c r="BC72" i="3"/>
  <c r="FP6" i="4" a="1"/>
  <c r="BE65" i="3"/>
  <c r="BK78" i="3"/>
  <c r="BN91" i="3"/>
  <c r="BV64" i="3"/>
  <c r="BK74" i="3"/>
  <c r="GK6" i="4" a="1"/>
  <c r="BL91" i="3"/>
  <c r="BK96" i="3"/>
  <c r="BA61" i="3"/>
  <c r="BO67" i="3"/>
  <c r="BK54" i="3"/>
  <c r="BD84" i="3"/>
  <c r="GL9" i="4" a="1"/>
  <c r="GS11" i="4" a="1"/>
  <c r="GQ13" i="4" a="1"/>
  <c r="BU73" i="3"/>
  <c r="HG6" i="4" a="1"/>
  <c r="BD92" i="3"/>
  <c r="GM9" i="4" a="1"/>
  <c r="GY8" i="4" a="1"/>
  <c r="BL60" i="3"/>
  <c r="FN8" i="4" a="1"/>
  <c r="FV7" i="4" a="1"/>
  <c r="FL15" i="4" a="1"/>
  <c r="BN66" i="3"/>
  <c r="BD81" i="3"/>
  <c r="BG96" i="3"/>
  <c r="GB13" i="4" a="1"/>
  <c r="FM13" i="4" a="1"/>
  <c r="GM7" i="4" a="1"/>
  <c r="GB12" i="4" a="1"/>
  <c r="BC64" i="3"/>
  <c r="BH67" i="3"/>
  <c r="BL82" i="3"/>
  <c r="GZ8" i="4" a="1"/>
  <c r="BP71" i="3"/>
  <c r="BL65" i="3"/>
  <c r="BO87" i="3"/>
  <c r="GB15" i="4" a="1"/>
  <c r="GG11" i="4" a="1"/>
  <c r="BT90" i="3"/>
  <c r="BD77" i="3"/>
  <c r="GU15" i="4" a="1"/>
  <c r="BP82" i="3"/>
  <c r="BH83" i="3"/>
  <c r="BE60" i="3"/>
  <c r="BD63" i="3"/>
  <c r="FX9" i="4" a="1"/>
  <c r="FX15" i="4" a="1"/>
  <c r="FQ13" i="4" a="1"/>
  <c r="FG8" i="4" a="1"/>
  <c r="BU59" i="3"/>
  <c r="BN80" i="3"/>
  <c r="BU78" i="3"/>
  <c r="GR5" i="4" a="1"/>
  <c r="GQ16" i="4" a="1"/>
  <c r="GL12" i="4" a="1"/>
  <c r="FZ6" i="4" a="1"/>
  <c r="FW11" i="4" a="1"/>
  <c r="BM55" i="3"/>
  <c r="BQ96" i="3"/>
  <c r="BT61" i="3"/>
  <c r="BN92" i="3"/>
  <c r="FJ8" i="4" a="1"/>
  <c r="GO9" i="4" a="1"/>
  <c r="FN5" i="4" a="1"/>
  <c r="BV87" i="3"/>
  <c r="BQ97" i="3"/>
  <c r="GL5" i="4" a="1"/>
  <c r="BL95" i="3"/>
  <c r="GU7" i="4" a="1"/>
  <c r="BC95" i="3"/>
  <c r="BS55" i="3"/>
  <c r="FU11" i="4" a="1"/>
  <c r="GF13" i="4" a="1"/>
  <c r="BP76" i="3"/>
  <c r="GJ7" i="4" a="1"/>
  <c r="FY5" i="4" a="1"/>
  <c r="BT55" i="3"/>
  <c r="BG70" i="3"/>
  <c r="BQ69" i="3"/>
  <c r="BM71" i="3"/>
  <c r="GJ5" i="4" a="1"/>
  <c r="BD91" i="3"/>
  <c r="GA7" i="4" a="1"/>
  <c r="BF72" i="3"/>
  <c r="CL144" i="1" s="1"/>
  <c r="FY13" i="4" a="1"/>
  <c r="FP5" i="4" a="1"/>
  <c r="BC97" i="3"/>
  <c r="BQ58" i="3"/>
  <c r="FX13" i="4" a="1"/>
  <c r="BQ59" i="3"/>
  <c r="BV58" i="3"/>
  <c r="BC92" i="3"/>
  <c r="GV9" i="4" a="1"/>
  <c r="FL8" i="4" a="1"/>
  <c r="BT48" i="3"/>
  <c r="BH66" i="3"/>
  <c r="BF60" i="3"/>
  <c r="CL131" i="1" s="1"/>
  <c r="BU82" i="3"/>
  <c r="BU97" i="3"/>
  <c r="FT14" i="4" a="1"/>
  <c r="BO84" i="3"/>
  <c r="BO76" i="3"/>
  <c r="GR15" i="4" a="1"/>
  <c r="BR79" i="3"/>
  <c r="BV56" i="3"/>
  <c r="BS89" i="3"/>
  <c r="BJ84" i="3"/>
  <c r="BM58" i="3"/>
  <c r="BN79" i="3"/>
  <c r="HF15" i="4" a="1"/>
  <c r="FQ8" i="4" a="1"/>
  <c r="BU80" i="3"/>
  <c r="BR81" i="3"/>
  <c r="BK85" i="3"/>
  <c r="HA16" i="4" a="1"/>
  <c r="BF89" i="3"/>
  <c r="CL162" i="1" s="1"/>
  <c r="BP92" i="3"/>
  <c r="GU8" i="4" a="1"/>
  <c r="BL93" i="3"/>
  <c r="BO50" i="3"/>
  <c r="GV13" i="4" a="1"/>
  <c r="Z112" i="2"/>
  <c r="BH69" i="3"/>
  <c r="GR13" i="4" a="1"/>
  <c r="BU74" i="3"/>
  <c r="BF85" i="3"/>
  <c r="CL156" i="1" s="1"/>
  <c r="BK80" i="3"/>
  <c r="BN82" i="3"/>
  <c r="BR80" i="3"/>
  <c r="BJ85" i="3"/>
  <c r="BQ91" i="3"/>
  <c r="HH7" i="4" a="1"/>
  <c r="BN58" i="3"/>
  <c r="GJ14" i="4" a="1"/>
  <c r="BL68" i="3"/>
  <c r="BR65" i="3"/>
  <c r="BS66" i="3"/>
  <c r="BO90" i="3"/>
  <c r="BM70" i="3"/>
  <c r="GZ7" i="4" a="1"/>
  <c r="GK11" i="4" a="1"/>
  <c r="GX5" i="4" a="1"/>
  <c r="BE87" i="3"/>
  <c r="BA81" i="3"/>
  <c r="BH48" i="3"/>
  <c r="GP5" i="4" a="1"/>
  <c r="FW15" i="4" a="1"/>
  <c r="FP13" i="4" a="1"/>
  <c r="BS81" i="3"/>
  <c r="BE93" i="3"/>
  <c r="FZ15" i="4" a="1"/>
  <c r="GU16" i="4" a="1"/>
  <c r="BG76" i="3"/>
  <c r="BR78" i="3"/>
  <c r="HG14" i="4" a="1"/>
  <c r="GV12" i="4" a="1"/>
  <c r="BA96" i="3"/>
  <c r="GE5" i="4" a="1"/>
  <c r="BS76" i="3"/>
  <c r="BL79" i="3"/>
  <c r="BE55" i="3"/>
  <c r="BD50" i="3"/>
  <c r="BP77" i="3"/>
  <c r="GB11" i="4" a="1"/>
  <c r="BN60" i="3"/>
  <c r="BC93" i="3"/>
  <c r="FU6" i="4" a="1"/>
  <c r="GH16" i="4" a="1"/>
  <c r="BR88" i="3"/>
  <c r="GR9" i="4" a="1"/>
  <c r="GX13" i="4" a="1"/>
  <c r="BC50" i="3"/>
  <c r="BG62" i="3"/>
  <c r="BQ95" i="3"/>
  <c r="BN48" i="3"/>
  <c r="BE61" i="3"/>
  <c r="FG6" i="4" a="1"/>
  <c r="BM80" i="3"/>
  <c r="BK81" i="3"/>
  <c r="FJ14" i="4" a="1"/>
  <c r="GZ16" i="4" a="1"/>
  <c r="GP12" i="4" a="1"/>
  <c r="BN61" i="3"/>
  <c r="FX7" i="4" a="1"/>
  <c r="BS60" i="3"/>
  <c r="BD62" i="3"/>
  <c r="FH5" i="4" a="1"/>
  <c r="BJ56" i="3"/>
  <c r="BD66" i="3"/>
  <c r="FJ11" i="4" a="1"/>
  <c r="HA13" i="4" a="1"/>
  <c r="BK90" i="3"/>
  <c r="BS50" i="3"/>
  <c r="FS14" i="4" a="1"/>
  <c r="BJ50" i="3"/>
  <c r="GQ5" i="4" a="1"/>
  <c r="BG63" i="3"/>
  <c r="GO8" i="4" a="1"/>
  <c r="BC47" i="3"/>
  <c r="FG11" i="4" a="1"/>
  <c r="FW5" i="4" a="1"/>
  <c r="BM60" i="3"/>
  <c r="FR16" i="4" a="1"/>
  <c r="BJ61" i="3"/>
  <c r="BA66" i="3"/>
  <c r="BS96" i="3"/>
  <c r="GB8" i="4" a="1"/>
  <c r="BE83" i="3"/>
  <c r="BU76" i="3"/>
  <c r="BF48" i="3"/>
  <c r="BU56" i="3"/>
  <c r="BH59" i="3"/>
  <c r="BU66" i="3"/>
  <c r="BF82" i="3"/>
  <c r="CL154" i="1" s="1"/>
  <c r="BF58" i="3"/>
  <c r="CL128" i="1" s="1"/>
  <c r="BF49" i="3"/>
  <c r="BF56" i="3"/>
  <c r="CL126" i="1" s="1"/>
  <c r="BF95" i="3"/>
  <c r="CL173" i="1" s="1"/>
  <c r="BF70" i="3"/>
  <c r="CL142" i="1" s="1"/>
  <c r="BF84" i="3"/>
  <c r="CL155" i="1" s="1"/>
  <c r="BF57" i="3"/>
  <c r="CL127" i="1" s="1"/>
  <c r="CL129" i="1" s="1"/>
  <c r="BF61" i="3"/>
  <c r="BK97" i="3"/>
  <c r="BK61" i="3"/>
  <c r="BK64" i="3"/>
  <c r="BK62" i="3"/>
  <c r="BK88" i="3"/>
  <c r="BK92" i="3"/>
  <c r="BK66" i="3"/>
  <c r="BK84" i="3"/>
  <c r="BK67" i="3"/>
  <c r="BK69" i="3"/>
  <c r="BR56" i="3"/>
  <c r="BR59" i="3"/>
  <c r="BR87" i="3"/>
  <c r="BR85" i="3"/>
  <c r="BR63" i="3"/>
  <c r="BR70" i="3"/>
  <c r="BR82" i="3"/>
  <c r="BR61" i="3"/>
  <c r="BR69" i="3"/>
  <c r="BR89" i="3"/>
  <c r="BE71" i="3"/>
  <c r="BE76" i="3"/>
  <c r="BE72" i="3"/>
  <c r="BE50" i="3"/>
  <c r="BE85" i="3"/>
  <c r="BE86" i="3"/>
  <c r="BE80" i="3"/>
  <c r="BE68" i="3"/>
  <c r="BE81" i="3"/>
  <c r="BE67" i="3"/>
  <c r="BE95" i="3"/>
  <c r="BE47" i="3"/>
  <c r="BE63" i="3"/>
  <c r="BE70" i="3"/>
  <c r="BE58" i="3"/>
  <c r="BE64" i="3"/>
  <c r="BE75" i="3"/>
  <c r="BE57" i="3"/>
  <c r="BD54" i="3" l="1"/>
  <c r="BJ58" i="3"/>
  <c r="BJ94" i="3"/>
  <c r="BU75" i="3"/>
  <c r="BR93" i="3"/>
  <c r="BU57" i="3"/>
  <c r="BE92" i="3"/>
  <c r="BU92" i="3"/>
  <c r="BK68" i="3"/>
  <c r="BU69" i="3"/>
  <c r="BR66" i="3"/>
  <c r="BB86" i="3"/>
  <c r="BB59" i="3"/>
  <c r="BB47" i="3"/>
  <c r="BB62" i="3"/>
  <c r="BB65" i="3"/>
  <c r="BB64" i="3"/>
  <c r="BB55" i="3"/>
  <c r="BE48" i="3"/>
  <c r="BE77" i="3"/>
  <c r="BE90" i="3"/>
  <c r="BE56" i="3"/>
  <c r="BB77" i="3"/>
  <c r="BB71" i="3"/>
  <c r="BB69" i="3"/>
  <c r="BB85" i="3"/>
  <c r="BB79" i="3"/>
  <c r="BB97" i="3"/>
  <c r="BB96" i="3"/>
  <c r="BB82" i="3"/>
  <c r="BB76" i="3"/>
  <c r="BB60" i="3"/>
  <c r="BB91" i="3"/>
  <c r="BB68" i="3"/>
  <c r="BB87" i="3"/>
  <c r="BB63" i="3"/>
  <c r="BB74" i="3"/>
  <c r="BB81" i="3"/>
  <c r="BB48" i="3"/>
  <c r="BB88" i="3"/>
  <c r="BB89" i="3"/>
  <c r="BB61" i="3"/>
  <c r="BB58" i="3"/>
  <c r="BB67" i="3"/>
  <c r="BB83" i="3"/>
  <c r="BB78" i="3"/>
  <c r="BB80" i="3"/>
  <c r="BB57" i="3"/>
  <c r="BB94" i="3"/>
  <c r="BB75" i="3"/>
  <c r="BB66" i="3"/>
  <c r="BB49" i="3"/>
  <c r="BB84" i="3"/>
  <c r="BN68" i="3"/>
  <c r="BE88" i="3"/>
  <c r="BB90" i="3"/>
  <c r="BB73" i="3"/>
  <c r="BE66" i="3"/>
  <c r="BF81" i="3"/>
  <c r="CL153" i="1" s="1"/>
  <c r="CL188" i="1" s="1"/>
  <c r="BE74" i="3"/>
  <c r="BR57" i="3"/>
  <c r="BJ64" i="3"/>
  <c r="BN86" i="3"/>
  <c r="BN50" i="3"/>
  <c r="BD68" i="3"/>
  <c r="BD76" i="3"/>
  <c r="BS48" i="3"/>
  <c r="BD87" i="3"/>
  <c r="BS72" i="3"/>
  <c r="BJ49" i="3"/>
  <c r="BF55" i="3"/>
  <c r="BD64" i="3"/>
  <c r="BF86" i="3"/>
  <c r="BK63" i="3"/>
  <c r="BN74" i="3"/>
  <c r="BF63" i="3"/>
  <c r="CL134" i="1" s="1"/>
  <c r="CL137" i="1" s="1"/>
  <c r="BD78" i="3"/>
  <c r="BN76" i="3"/>
  <c r="BU58" i="3"/>
  <c r="BE94" i="3"/>
  <c r="BU86" i="3"/>
  <c r="BU64" i="3"/>
  <c r="BF69" i="3"/>
  <c r="BR68" i="3"/>
  <c r="BF76" i="3"/>
  <c r="CL152" i="1" s="1"/>
  <c r="BM90" i="3"/>
  <c r="BR77" i="3"/>
  <c r="BR48" i="3"/>
  <c r="BE62" i="3"/>
  <c r="BM92" i="3"/>
  <c r="BF59" i="3"/>
  <c r="BB70" i="3"/>
  <c r="BS62" i="3"/>
  <c r="BB50" i="3"/>
  <c r="BR50" i="3"/>
  <c r="BR86" i="3"/>
  <c r="BK50" i="3"/>
  <c r="BB93" i="3"/>
  <c r="BB56" i="3"/>
  <c r="BK48" i="3"/>
  <c r="BS73" i="3"/>
  <c r="BB92" i="3"/>
  <c r="BF78" i="3"/>
  <c r="CL151" i="1" s="1"/>
  <c r="CL157" i="1" s="1"/>
  <c r="BS54" i="3"/>
  <c r="BR75" i="3"/>
  <c r="BB95" i="3"/>
  <c r="BR92" i="3"/>
  <c r="BK77" i="3"/>
  <c r="BD48" i="3"/>
  <c r="BN77" i="3"/>
  <c r="Z111" i="2"/>
  <c r="BF54" i="3"/>
  <c r="BR97" i="3"/>
  <c r="BK95" i="3"/>
  <c r="BR60" i="3"/>
  <c r="BF66" i="3"/>
  <c r="CL160" i="1" s="1"/>
  <c r="BK73" i="3"/>
  <c r="BF65" i="3"/>
  <c r="CL159" i="1" s="1"/>
  <c r="BK79" i="3"/>
  <c r="BF83" i="3"/>
  <c r="CL169" i="1" s="1"/>
  <c r="BK94" i="3"/>
  <c r="BK57" i="3"/>
  <c r="BR47" i="3"/>
  <c r="BF91" i="3"/>
  <c r="CL163" i="1" s="1"/>
  <c r="BF97" i="3"/>
  <c r="BK70" i="3"/>
  <c r="BK47" i="3"/>
  <c r="BR94" i="3"/>
  <c r="BF64" i="3"/>
  <c r="CL158" i="1" s="1"/>
  <c r="BR73" i="3"/>
  <c r="BF92" i="3"/>
  <c r="CL164" i="1" s="1"/>
  <c r="BI80" i="3"/>
  <c r="BM50" i="3"/>
  <c r="BS79" i="3"/>
  <c r="BJ95" i="3"/>
  <c r="BI54" i="3"/>
  <c r="BU90" i="3"/>
  <c r="BK71" i="3"/>
  <c r="BJ92" i="3"/>
  <c r="BR91" i="3"/>
  <c r="BK91" i="3"/>
  <c r="BI92" i="3"/>
  <c r="BI93" i="3"/>
  <c r="BI57" i="3"/>
  <c r="BI72" i="3"/>
  <c r="BI86" i="3"/>
  <c r="BI50" i="3"/>
  <c r="BI68" i="3"/>
  <c r="BI73" i="3"/>
  <c r="BI82" i="3"/>
  <c r="BI90" i="3"/>
  <c r="BI58" i="3"/>
  <c r="BI59" i="3"/>
  <c r="BI95" i="3"/>
  <c r="BI74" i="3"/>
  <c r="BI94" i="3"/>
  <c r="BI70" i="3"/>
  <c r="BI55" i="3"/>
  <c r="BI49" i="3"/>
  <c r="BI60" i="3"/>
  <c r="BI87" i="3"/>
  <c r="BI88" i="3"/>
  <c r="BI75" i="3"/>
  <c r="BI47" i="3"/>
  <c r="BI79" i="3"/>
  <c r="BI66" i="3"/>
  <c r="BI48" i="3"/>
  <c r="BI67" i="3"/>
  <c r="BI78" i="3"/>
  <c r="BI65" i="3"/>
  <c r="BI83" i="3"/>
  <c r="BI61" i="3"/>
  <c r="BI62" i="3"/>
  <c r="BI91" i="3"/>
  <c r="BI96" i="3"/>
  <c r="BI63" i="3"/>
  <c r="BI71" i="3"/>
  <c r="BI97" i="3"/>
  <c r="BI84" i="3"/>
  <c r="BI77" i="3"/>
  <c r="BI85" i="3"/>
  <c r="BI89" i="3"/>
  <c r="BI76" i="3"/>
  <c r="BI81" i="3"/>
  <c r="CP20" i="1"/>
  <c r="CM21" i="1"/>
  <c r="CL25" i="1"/>
  <c r="CL147" i="1"/>
  <c r="CL192" i="1"/>
  <c r="CL189" i="1"/>
  <c r="CL35" i="1"/>
  <c r="CL36" i="1" s="1"/>
  <c r="CK83" i="1"/>
  <c r="CJ160" i="1"/>
  <c r="CJ133" i="1"/>
  <c r="CI83" i="1"/>
  <c r="CJ83" i="1"/>
  <c r="Y82" i="1"/>
  <c r="KD9" i="4" s="1"/>
  <c r="CJ163" i="1"/>
  <c r="JV9" i="4" s="1"/>
  <c r="CJ134" i="1"/>
  <c r="CK134" i="1" s="1"/>
  <c r="CJ149" i="1"/>
  <c r="CJ153" i="1"/>
  <c r="KA9" i="4" s="1"/>
  <c r="CJ164" i="1"/>
  <c r="CJ155" i="1"/>
  <c r="CG82" i="1"/>
  <c r="CJ136" i="1"/>
  <c r="KB9" i="4" s="1"/>
  <c r="CJ135" i="1"/>
  <c r="CK82" i="1"/>
  <c r="CJ127" i="1"/>
  <c r="Z82" i="1"/>
  <c r="CJ172" i="1"/>
  <c r="CJ162" i="1"/>
  <c r="Z83" i="1"/>
  <c r="KH16" i="4" s="1"/>
  <c r="JZ16" i="4" s="1"/>
  <c r="JW16" i="4" s="1"/>
  <c r="KH9" i="4" s="1"/>
  <c r="KH7" i="4" s="1"/>
  <c r="CG83" i="1"/>
  <c r="JV16" i="4" s="1"/>
  <c r="JR16" i="4" s="1"/>
  <c r="JN16" i="4" s="1"/>
  <c r="X127" i="1"/>
  <c r="CI30" i="1"/>
  <c r="X168" i="1"/>
  <c r="CI24" i="1"/>
  <c r="Y48" i="1"/>
  <c r="X136" i="1"/>
  <c r="KC16" i="4" s="1"/>
  <c r="KE15" i="4" s="1"/>
  <c r="KF16" i="4" s="1"/>
  <c r="JT8" i="4" s="1"/>
  <c r="JS14" i="4" s="1"/>
  <c r="JZ9" i="4" s="1"/>
  <c r="CJ156" i="1"/>
  <c r="X164" i="1"/>
  <c r="JU9" i="4" s="1"/>
  <c r="JS9" i="4" s="1"/>
  <c r="Y134" i="1"/>
  <c r="JW9" i="4" s="1"/>
  <c r="X33" i="1"/>
  <c r="Z162" i="1"/>
  <c r="X172" i="1"/>
  <c r="CJ173" i="1"/>
  <c r="JX16" i="4" s="1"/>
  <c r="JW7" i="4" s="1"/>
  <c r="JU16" i="4" s="1"/>
  <c r="X149" i="1"/>
  <c r="KH14" i="4" s="1"/>
  <c r="Z172" i="1"/>
  <c r="CH172" i="1" s="1"/>
  <c r="CI172" i="1" s="1"/>
  <c r="KE8" i="4" s="1"/>
  <c r="X152" i="1"/>
  <c r="Z45" i="1"/>
  <c r="X145" i="1"/>
  <c r="CK29" i="1"/>
  <c r="CJ169" i="1"/>
  <c r="CJ34" i="1"/>
  <c r="Y149" i="1"/>
  <c r="Y158" i="1"/>
  <c r="Y87" i="1"/>
  <c r="Y128" i="1"/>
  <c r="CH48" i="1"/>
  <c r="CJ159" i="1"/>
  <c r="X131" i="1"/>
  <c r="Y44" i="1"/>
  <c r="Y144" i="1"/>
  <c r="Y140" i="1" s="1"/>
  <c r="X160" i="1"/>
  <c r="X141" i="1"/>
  <c r="JP16" i="4" s="1"/>
  <c r="JN9" i="4" s="1"/>
  <c r="Z179" i="1"/>
  <c r="Z76" i="1"/>
  <c r="JY16" i="4" s="1"/>
  <c r="KG9" i="4" s="1"/>
  <c r="JR7" i="4" s="1"/>
  <c r="KB7" i="4" s="1"/>
  <c r="X83" i="1"/>
  <c r="KC9" i="4" s="1"/>
  <c r="KF9" i="4" s="1"/>
  <c r="KA15" i="4" s="1"/>
  <c r="JR9" i="4" s="1"/>
  <c r="CJ131" i="1"/>
  <c r="JX8" i="4" s="1"/>
  <c r="JS7" i="4" s="1"/>
  <c r="CJ142" i="1"/>
  <c r="CJ154" i="1"/>
  <c r="KG8" i="4" s="1"/>
  <c r="Z159" i="1"/>
  <c r="CH159" i="1" s="1"/>
  <c r="Z34" i="1"/>
  <c r="X44" i="1"/>
  <c r="Z160" i="1"/>
  <c r="CH160" i="1" s="1"/>
  <c r="CB22" i="1"/>
  <c r="Z56" i="1"/>
  <c r="CH33" i="1"/>
  <c r="CI32" i="1"/>
  <c r="CK60" i="1"/>
  <c r="Z134" i="1"/>
  <c r="CH134" i="1" s="1"/>
  <c r="CI134" i="1" s="1"/>
  <c r="Y18" i="1"/>
  <c r="CH29" i="1"/>
  <c r="CP29" i="1" s="1"/>
  <c r="CT29" i="1" s="1"/>
  <c r="CX29" i="1" s="1"/>
  <c r="DB29" i="1" s="1"/>
  <c r="Z30" i="1"/>
  <c r="Z133" i="1"/>
  <c r="CI45" i="1"/>
  <c r="KF8" i="4" s="1"/>
  <c r="Y127" i="1"/>
  <c r="X156" i="1"/>
  <c r="CI55" i="1"/>
  <c r="CJ33" i="1"/>
  <c r="Y30" i="1"/>
  <c r="CG18" i="1"/>
  <c r="Z127" i="1"/>
  <c r="CH127" i="1" s="1"/>
  <c r="CI127" i="1" s="1"/>
  <c r="Y154" i="1"/>
  <c r="X151" i="1"/>
  <c r="X159" i="1"/>
  <c r="Y155" i="1"/>
  <c r="Y151" i="1"/>
  <c r="CJ168" i="1"/>
  <c r="Y83" i="1"/>
  <c r="CJ126" i="1"/>
  <c r="CK126" i="1" s="1"/>
  <c r="KD16" i="4" s="1"/>
  <c r="CJ146" i="1"/>
  <c r="JT9" i="4" s="1"/>
  <c r="CJ144" i="1"/>
  <c r="CJ82" i="1"/>
  <c r="JX9" i="4" s="1"/>
  <c r="Z144" i="1"/>
  <c r="CH144" i="1" s="1"/>
  <c r="CI144" i="1" s="1"/>
  <c r="Z158" i="1"/>
  <c r="CH158" i="1" s="1"/>
  <c r="CK34" i="1"/>
  <c r="X22" i="1"/>
  <c r="Y142" i="1"/>
  <c r="X126" i="1"/>
  <c r="CG33" i="1"/>
  <c r="Y17" i="1"/>
  <c r="Y240" i="1" s="1"/>
  <c r="CK32" i="1"/>
  <c r="Y168" i="1"/>
  <c r="CJ31" i="1"/>
  <c r="X56" i="1"/>
  <c r="CK30" i="1"/>
  <c r="X169" i="1"/>
  <c r="Z181" i="1"/>
  <c r="X173" i="1"/>
  <c r="CH23" i="1"/>
  <c r="Z152" i="1"/>
  <c r="CH152" i="1" s="1"/>
  <c r="X45" i="1"/>
  <c r="CH30" i="1"/>
  <c r="CI34" i="1"/>
  <c r="Z18" i="1"/>
  <c r="CG41" i="1"/>
  <c r="Z33" i="1"/>
  <c r="Y88" i="1"/>
  <c r="CK17" i="1"/>
  <c r="KA16" i="4" s="1"/>
  <c r="KA21" i="4" s="1"/>
  <c r="JY9" i="4" s="1"/>
  <c r="JQ16" i="4" s="1"/>
  <c r="KE16" i="4" s="1"/>
  <c r="Z32" i="1"/>
  <c r="Z180" i="1"/>
  <c r="CI60" i="1"/>
  <c r="JO16" i="4" s="1"/>
  <c r="CJ128" i="1"/>
  <c r="KD7" i="4" s="1"/>
  <c r="CJ29" i="1"/>
  <c r="CN29" i="1" s="1"/>
  <c r="CR29" i="1" s="1"/>
  <c r="CV29" i="1" s="1"/>
  <c r="CZ29" i="1" s="1"/>
  <c r="Z88" i="1"/>
  <c r="Y24" i="1"/>
  <c r="X154" i="1"/>
  <c r="Z29" i="1"/>
  <c r="CI82" i="1"/>
  <c r="Z149" i="1"/>
  <c r="Y145" i="1"/>
  <c r="Y159" i="1"/>
  <c r="CK31" i="1"/>
  <c r="Y172" i="1"/>
  <c r="CH32" i="1"/>
  <c r="Y126" i="1"/>
  <c r="Y76" i="1"/>
  <c r="Y152" i="1"/>
  <c r="CH41" i="1"/>
  <c r="X179" i="1"/>
  <c r="CH31" i="1"/>
  <c r="CG31" i="1"/>
  <c r="CK45" i="1"/>
  <c r="CJ24" i="1"/>
  <c r="CK41" i="1"/>
  <c r="CK48" i="1"/>
  <c r="Z151" i="1"/>
  <c r="CG48" i="1"/>
  <c r="Z168" i="1"/>
  <c r="CI22" i="1"/>
  <c r="Y133" i="1"/>
  <c r="X82" i="1"/>
  <c r="CK24" i="1"/>
  <c r="X146" i="1"/>
  <c r="CH55" i="1"/>
  <c r="CJ22" i="1"/>
  <c r="X48" i="1"/>
  <c r="CJ55" i="1"/>
  <c r="Y180" i="1"/>
  <c r="CJ41" i="1"/>
  <c r="CJ203" i="1" s="1"/>
  <c r="CK22" i="1"/>
  <c r="Z128" i="1"/>
  <c r="CH128" i="1" s="1"/>
  <c r="X128" i="1"/>
  <c r="X55" i="1"/>
  <c r="CJ60" i="1"/>
  <c r="X18" i="1"/>
  <c r="Y162" i="1"/>
  <c r="X76" i="1"/>
  <c r="Z146" i="1"/>
  <c r="CH146" i="1" s="1"/>
  <c r="CI146" i="1" s="1"/>
  <c r="CH45" i="1"/>
  <c r="X158" i="1"/>
  <c r="JN14" i="4" s="1"/>
  <c r="CH34" i="1"/>
  <c r="CK55" i="1"/>
  <c r="X134" i="1"/>
  <c r="X32" i="1"/>
  <c r="CH17" i="1"/>
  <c r="X41" i="1"/>
  <c r="X203" i="1" s="1"/>
  <c r="Y60" i="1"/>
  <c r="X87" i="1"/>
  <c r="X34" i="1"/>
  <c r="Z86" i="1"/>
  <c r="Z155" i="1"/>
  <c r="CH155" i="1" s="1"/>
  <c r="Z17" i="1"/>
  <c r="Z240" i="1" s="1"/>
  <c r="Y86" i="1"/>
  <c r="Y55" i="1"/>
  <c r="Z153" i="1"/>
  <c r="Z55" i="1"/>
  <c r="X60" i="1"/>
  <c r="CG32" i="1"/>
  <c r="CG34" i="1"/>
  <c r="X181" i="1"/>
  <c r="Y160" i="1"/>
  <c r="CJ54" i="1"/>
  <c r="Y22" i="1"/>
  <c r="CI48" i="1"/>
  <c r="Y141" i="1"/>
  <c r="X155" i="1"/>
  <c r="JQ9" i="4" s="1"/>
  <c r="CG22" i="1"/>
  <c r="Y54" i="1"/>
  <c r="CK56" i="1"/>
  <c r="Z136" i="1"/>
  <c r="CH136" i="1" s="1"/>
  <c r="CI136" i="1" s="1"/>
  <c r="Y29" i="1"/>
  <c r="Y153" i="1"/>
  <c r="X153" i="1"/>
  <c r="Y131" i="1"/>
  <c r="Y135" i="1"/>
  <c r="Y163" i="1" s="1"/>
  <c r="Y41" i="1"/>
  <c r="X133" i="1"/>
  <c r="CI56" i="1"/>
  <c r="Z140" i="1"/>
  <c r="CH140" i="1" s="1"/>
  <c r="CJ30" i="1"/>
  <c r="JO9" i="4" s="1"/>
  <c r="Y31" i="1"/>
  <c r="Z169" i="1"/>
  <c r="CH169" i="1" s="1"/>
  <c r="X30" i="1"/>
  <c r="X180" i="1"/>
  <c r="Z87" i="1"/>
  <c r="CG24" i="1"/>
  <c r="X88" i="1"/>
  <c r="CG54" i="1"/>
  <c r="Y34" i="1"/>
  <c r="Z141" i="1"/>
  <c r="CH141" i="1" s="1"/>
  <c r="CJ32" i="1"/>
  <c r="Z126" i="1"/>
  <c r="CH126" i="1" s="1"/>
  <c r="CI33" i="1"/>
  <c r="CH22" i="1"/>
  <c r="Y173" i="1"/>
  <c r="Y32" i="1"/>
  <c r="CG29" i="1"/>
  <c r="CO29" i="1" s="1"/>
  <c r="CS29" i="1" s="1"/>
  <c r="CW29" i="1" s="1"/>
  <c r="DA29" i="1" s="1"/>
  <c r="Z24" i="1"/>
  <c r="Z22" i="1"/>
  <c r="Z41" i="1"/>
  <c r="Y179" i="1"/>
  <c r="Z54" i="1"/>
  <c r="CK23" i="1"/>
  <c r="X86" i="1"/>
  <c r="CI41" i="1"/>
  <c r="CI203" i="1" s="1"/>
  <c r="CI54" i="1"/>
  <c r="Y33" i="1"/>
  <c r="CJ17" i="1"/>
  <c r="CJ5" i="1" s="1"/>
  <c r="CK33" i="1"/>
  <c r="CJ45" i="1"/>
  <c r="CJ261" i="1" s="1"/>
  <c r="CI18" i="1"/>
  <c r="CJ48" i="1"/>
  <c r="CG17" i="1"/>
  <c r="CG240" i="1" s="1"/>
  <c r="CI44" i="1"/>
  <c r="Z142" i="1"/>
  <c r="CH142" i="1" s="1"/>
  <c r="CI142" i="1" s="1"/>
  <c r="CH54" i="1"/>
  <c r="Y45" i="1"/>
  <c r="CK18" i="1"/>
  <c r="CG55" i="1"/>
  <c r="X31" i="1"/>
  <c r="CH44" i="1"/>
  <c r="CJ56" i="1"/>
  <c r="Z44" i="1"/>
  <c r="Z31" i="1"/>
  <c r="Z156" i="1"/>
  <c r="CH156" i="1" s="1"/>
  <c r="X142" i="1"/>
  <c r="X29" i="1"/>
  <c r="CG60" i="1"/>
  <c r="Z60" i="1"/>
  <c r="Y136" i="1"/>
  <c r="Y146" i="1"/>
  <c r="JP9" i="4" s="1"/>
  <c r="CG23" i="1"/>
  <c r="Y181" i="1"/>
  <c r="CJ23" i="1"/>
  <c r="CE48" i="1"/>
  <c r="CI29" i="1"/>
  <c r="CM29" i="1" s="1"/>
  <c r="CQ29" i="1" s="1"/>
  <c r="CU29" i="1" s="1"/>
  <c r="CY29" i="1" s="1"/>
  <c r="CH60" i="1"/>
  <c r="CG45" i="1"/>
  <c r="CI23" i="1"/>
  <c r="Z145" i="1"/>
  <c r="CH145" i="1" s="1"/>
  <c r="CI145" i="1" s="1"/>
  <c r="Z48" i="1"/>
  <c r="CK44" i="1"/>
  <c r="Y164" i="1"/>
  <c r="X135" i="1"/>
  <c r="X163" i="1" s="1"/>
  <c r="CI31" i="1"/>
  <c r="CG30" i="1"/>
  <c r="X162" i="1"/>
  <c r="Z164" i="1"/>
  <c r="CH164" i="1" s="1"/>
  <c r="X24" i="1"/>
  <c r="CH56" i="1"/>
  <c r="Z135" i="1"/>
  <c r="CH135" i="1" s="1"/>
  <c r="CI135" i="1" s="1"/>
  <c r="Z154" i="1"/>
  <c r="Y56" i="1"/>
  <c r="CH24" i="1"/>
  <c r="Y169" i="1"/>
  <c r="X144" i="1"/>
  <c r="X140" i="1" s="1"/>
  <c r="CG44" i="1"/>
  <c r="CG56" i="1"/>
  <c r="CI17" i="1"/>
  <c r="X17" i="1"/>
  <c r="CK54" i="1"/>
  <c r="Y156" i="1"/>
  <c r="CJ18" i="1"/>
  <c r="CJ44" i="1"/>
  <c r="CH18" i="1"/>
  <c r="Z131" i="1"/>
  <c r="CH131" i="1" s="1"/>
  <c r="CI131" i="1" s="1"/>
  <c r="Z173" i="1"/>
  <c r="CH173" i="1" s="1"/>
  <c r="CI173" i="1" s="1"/>
  <c r="X54" i="1"/>
  <c r="JP14" i="4"/>
  <c r="JO14" i="4"/>
  <c r="KF15" i="4"/>
  <c r="KF14" i="4"/>
  <c r="JN7" i="4"/>
  <c r="JN15" i="4"/>
  <c r="JY7" i="4"/>
  <c r="JQ14" i="4"/>
  <c r="CG72" i="1"/>
  <c r="CF72" i="1" s="1"/>
  <c r="CE72" i="1" s="1"/>
  <c r="CD72" i="1" s="1"/>
  <c r="CC72" i="1" s="1"/>
  <c r="CB72" i="1" s="1"/>
  <c r="CA72" i="1" s="1"/>
  <c r="BZ72" i="1" s="1"/>
  <c r="BY72" i="1" s="1"/>
  <c r="BX72" i="1" s="1"/>
  <c r="BW72" i="1" s="1"/>
  <c r="BV72" i="1" s="1"/>
  <c r="BU72" i="1" s="1"/>
  <c r="BT72" i="1" s="1"/>
  <c r="BS72" i="1" s="1"/>
  <c r="BR72" i="1" s="1"/>
  <c r="BQ72" i="1" s="1"/>
  <c r="BP72" i="1" s="1"/>
  <c r="BO72" i="1" s="1"/>
  <c r="BN72" i="1" s="1"/>
  <c r="BM72" i="1" s="1"/>
  <c r="BL72" i="1" s="1"/>
  <c r="BK72" i="1" s="1"/>
  <c r="BJ72" i="1" s="1"/>
  <c r="BI72" i="1" s="1"/>
  <c r="BH72" i="1" s="1"/>
  <c r="BG72" i="1" s="1"/>
  <c r="BF72" i="1" s="1"/>
  <c r="BE72" i="1" s="1"/>
  <c r="BD72" i="1" s="1"/>
  <c r="BC72" i="1" s="1"/>
  <c r="BB72" i="1" s="1"/>
  <c r="BA72" i="1" s="1"/>
  <c r="AZ72" i="1" s="1"/>
  <c r="AY72" i="1" s="1"/>
  <c r="AX72" i="1" s="1"/>
  <c r="AW72" i="1" s="1"/>
  <c r="AV72" i="1" s="1"/>
  <c r="AU72" i="1" s="1"/>
  <c r="AT72" i="1" s="1"/>
  <c r="AS72" i="1" s="1"/>
  <c r="AR72" i="1" s="1"/>
  <c r="AQ72" i="1" s="1"/>
  <c r="AP72" i="1" s="1"/>
  <c r="AO72" i="1" s="1"/>
  <c r="AN72" i="1" s="1"/>
  <c r="AM72" i="1" s="1"/>
  <c r="AL72" i="1" s="1"/>
  <c r="AK72" i="1" s="1"/>
  <c r="AJ72" i="1" s="1"/>
  <c r="AI72" i="1" s="1"/>
  <c r="CJ74" i="1"/>
  <c r="KB15" i="4"/>
  <c r="JN8" i="4"/>
  <c r="JP15" i="4"/>
  <c r="CW20" i="1"/>
  <c r="CY4" i="1"/>
  <c r="CX17" i="1"/>
  <c r="CX19" i="1" s="1"/>
  <c r="BI69" i="3"/>
  <c r="CH82" i="1" l="1"/>
  <c r="JT16" i="4" s="1"/>
  <c r="JT21" i="4" s="1"/>
  <c r="KD21" i="4"/>
  <c r="Y129" i="1"/>
  <c r="Y184" i="1" s="1"/>
  <c r="X143" i="1"/>
  <c r="CL165" i="1"/>
  <c r="CL194" i="1" s="1"/>
  <c r="CL138" i="1"/>
  <c r="CL191" i="1"/>
  <c r="CL170" i="1"/>
  <c r="CH83" i="1"/>
  <c r="KB16" i="4" s="1"/>
  <c r="KB21" i="4" s="1"/>
  <c r="CJ151" i="1"/>
  <c r="CJ152" i="1"/>
  <c r="CJ158" i="1"/>
  <c r="CJ161" i="1"/>
  <c r="CJ143" i="1"/>
  <c r="X192" i="1"/>
  <c r="X165" i="1"/>
  <c r="X194" i="1" s="1"/>
  <c r="KE20" i="4"/>
  <c r="X137" i="1"/>
  <c r="X46" i="1" s="1"/>
  <c r="X157" i="1"/>
  <c r="CH261" i="1"/>
  <c r="Y192" i="1"/>
  <c r="X35" i="1"/>
  <c r="KF20" i="4"/>
  <c r="Y157" i="1"/>
  <c r="Y143" i="1"/>
  <c r="CJ262" i="1"/>
  <c r="CI262" i="1"/>
  <c r="Z203" i="1"/>
  <c r="Z262" i="1"/>
  <c r="JP21" i="4"/>
  <c r="CJ86" i="1" s="1"/>
  <c r="Z143" i="1"/>
  <c r="CJ188" i="1"/>
  <c r="CK188" i="1" s="1"/>
  <c r="Z129" i="1"/>
  <c r="Y182" i="1"/>
  <c r="Z261" i="1"/>
  <c r="CH168" i="1"/>
  <c r="CH170" i="1" s="1"/>
  <c r="CI218" i="1" s="1"/>
  <c r="CM134" i="1"/>
  <c r="CH149" i="1"/>
  <c r="AA211" i="1"/>
  <c r="CL37" i="1"/>
  <c r="CL26" i="1"/>
  <c r="CL195" i="1"/>
  <c r="CL190" i="1"/>
  <c r="CL177" i="1"/>
  <c r="CJ137" i="1"/>
  <c r="CJ129" i="1"/>
  <c r="CJ192" i="1"/>
  <c r="CK192" i="1" s="1"/>
  <c r="CJ170" i="1"/>
  <c r="CK218" i="1" s="1"/>
  <c r="JS16" i="4" s="1"/>
  <c r="JS21" i="4" s="1"/>
  <c r="KC8" i="4" s="1"/>
  <c r="JY15" i="4" s="1"/>
  <c r="JW8" i="4" s="1"/>
  <c r="Z35" i="1"/>
  <c r="CL107" i="1"/>
  <c r="CJ240" i="1"/>
  <c r="CH143" i="1"/>
  <c r="CH147" i="1" s="1"/>
  <c r="CI35" i="1"/>
  <c r="CJ19" i="1"/>
  <c r="CN20" i="1" s="1"/>
  <c r="CK107" i="1"/>
  <c r="CI141" i="1"/>
  <c r="CJ141" i="1" s="1"/>
  <c r="Y261" i="1"/>
  <c r="Z170" i="1"/>
  <c r="X240" i="1"/>
  <c r="X19" i="1"/>
  <c r="CH153" i="1"/>
  <c r="Z188" i="1"/>
  <c r="X182" i="1"/>
  <c r="CI261" i="1"/>
  <c r="Y137" i="1"/>
  <c r="Y46" i="1" s="1"/>
  <c r="Z211" i="1"/>
  <c r="CJ189" i="1"/>
  <c r="CK189" i="1" s="1"/>
  <c r="CJ107" i="1"/>
  <c r="CG19" i="1"/>
  <c r="CG261" i="1"/>
  <c r="CH19" i="1"/>
  <c r="CL20" i="1" s="1"/>
  <c r="CH240" i="1"/>
  <c r="X129" i="1"/>
  <c r="Y203" i="1"/>
  <c r="Y262" i="1"/>
  <c r="Y170" i="1"/>
  <c r="CH133" i="1"/>
  <c r="Z137" i="1"/>
  <c r="X188" i="1"/>
  <c r="X261" i="1"/>
  <c r="X262" i="1"/>
  <c r="X189" i="1"/>
  <c r="CH203" i="1"/>
  <c r="CH262" i="1"/>
  <c r="Y188" i="1"/>
  <c r="Y19" i="1"/>
  <c r="Y165" i="1"/>
  <c r="JN21" i="4"/>
  <c r="CH86" i="1" s="1"/>
  <c r="CI140" i="1"/>
  <c r="KD14" i="4"/>
  <c r="KD19" i="4" s="1"/>
  <c r="CJ108" i="1"/>
  <c r="KC15" i="4"/>
  <c r="KC20" i="4" s="1"/>
  <c r="CM188" i="1"/>
  <c r="CN188" i="1" s="1"/>
  <c r="CO188" i="1" s="1"/>
  <c r="CI240" i="1"/>
  <c r="CI19" i="1"/>
  <c r="CI126" i="1"/>
  <c r="CH129" i="1"/>
  <c r="Z163" i="1"/>
  <c r="JP8" i="4"/>
  <c r="CK19" i="1"/>
  <c r="CK5" i="1"/>
  <c r="CG203" i="1"/>
  <c r="CG262" i="1"/>
  <c r="JO15" i="4"/>
  <c r="CK144" i="1"/>
  <c r="CM144" i="1" s="1"/>
  <c r="CN144" i="1" s="1"/>
  <c r="CO144" i="1" s="1"/>
  <c r="CP144" i="1" s="1"/>
  <c r="CQ144" i="1" s="1"/>
  <c r="CR144" i="1" s="1"/>
  <c r="CS144" i="1" s="1"/>
  <c r="CT144" i="1" s="1"/>
  <c r="CU144" i="1" s="1"/>
  <c r="CV144" i="1" s="1"/>
  <c r="CW144" i="1" s="1"/>
  <c r="CX144" i="1" s="1"/>
  <c r="CY144" i="1" s="1"/>
  <c r="CZ144" i="1" s="1"/>
  <c r="DA144" i="1" s="1"/>
  <c r="DB144" i="1" s="1"/>
  <c r="KA8" i="4"/>
  <c r="KA20" i="4" s="1"/>
  <c r="CJ35" i="1"/>
  <c r="JU21" i="4"/>
  <c r="JQ7" i="4"/>
  <c r="KC14" i="4"/>
  <c r="CH162" i="1"/>
  <c r="Z192" i="1"/>
  <c r="JZ8" i="4"/>
  <c r="JS8" i="4"/>
  <c r="KA14" i="4"/>
  <c r="JT7" i="4"/>
  <c r="KF21" i="4"/>
  <c r="JV8" i="4"/>
  <c r="X170" i="1"/>
  <c r="JT15" i="4"/>
  <c r="JT20" i="4" s="1"/>
  <c r="JW21" i="4"/>
  <c r="JV14" i="4"/>
  <c r="CK127" i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JU14" i="4"/>
  <c r="CH154" i="1"/>
  <c r="CH189" i="1" s="1"/>
  <c r="CI189" i="1" s="1"/>
  <c r="Z189" i="1"/>
  <c r="JQ21" i="4"/>
  <c r="CK86" i="1" s="1"/>
  <c r="JO8" i="4"/>
  <c r="JO7" i="4"/>
  <c r="JO19" i="4" s="1"/>
  <c r="CI87" i="1" s="1"/>
  <c r="CK146" i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JS15" i="4"/>
  <c r="KH8" i="4"/>
  <c r="KC7" i="4"/>
  <c r="JR21" i="4"/>
  <c r="CL86" i="1" s="1"/>
  <c r="JX14" i="4"/>
  <c r="KH19" i="4"/>
  <c r="KE14" i="4"/>
  <c r="JX7" i="4"/>
  <c r="JT14" i="4"/>
  <c r="JZ21" i="4"/>
  <c r="KH21" i="4"/>
  <c r="CK172" i="1"/>
  <c r="CM172" i="1" s="1"/>
  <c r="CN172" i="1" s="1"/>
  <c r="CO172" i="1" s="1"/>
  <c r="CP172" i="1" s="1"/>
  <c r="CQ172" i="1" s="1"/>
  <c r="CR172" i="1" s="1"/>
  <c r="CS172" i="1" s="1"/>
  <c r="CT172" i="1" s="1"/>
  <c r="CU172" i="1" s="1"/>
  <c r="CV172" i="1" s="1"/>
  <c r="CW172" i="1" s="1"/>
  <c r="CX172" i="1" s="1"/>
  <c r="CY172" i="1" s="1"/>
  <c r="CZ172" i="1" s="1"/>
  <c r="JR15" i="4"/>
  <c r="CK135" i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JV7" i="4"/>
  <c r="JX15" i="4"/>
  <c r="JX20" i="4" s="1"/>
  <c r="JQ8" i="4"/>
  <c r="CK74" i="1"/>
  <c r="Y35" i="1"/>
  <c r="CG35" i="1"/>
  <c r="CH35" i="1"/>
  <c r="JO21" i="4"/>
  <c r="CI86" i="1" s="1"/>
  <c r="Z19" i="1"/>
  <c r="JZ7" i="4"/>
  <c r="CK142" i="1"/>
  <c r="JY21" i="4"/>
  <c r="Z182" i="1"/>
  <c r="Y211" i="1"/>
  <c r="KD8" i="4"/>
  <c r="JQ15" i="4"/>
  <c r="JQ20" i="4" s="1"/>
  <c r="CK88" i="1" s="1"/>
  <c r="JS19" i="4"/>
  <c r="KB8" i="4"/>
  <c r="KB20" i="4" s="1"/>
  <c r="JU8" i="4"/>
  <c r="JZ15" i="4"/>
  <c r="JW14" i="4"/>
  <c r="JW19" i="4" s="1"/>
  <c r="KA7" i="4"/>
  <c r="JV21" i="4"/>
  <c r="KH15" i="4"/>
  <c r="JR14" i="4"/>
  <c r="JR19" i="4" s="1"/>
  <c r="CL87" i="1" s="1"/>
  <c r="CK133" i="1"/>
  <c r="JP20" i="4"/>
  <c r="CJ88" i="1" s="1"/>
  <c r="JQ19" i="4"/>
  <c r="CK87" i="1" s="1"/>
  <c r="JN19" i="4"/>
  <c r="CH87" i="1" s="1"/>
  <c r="CH151" i="1"/>
  <c r="Z157" i="1"/>
  <c r="AA205" i="1" s="1"/>
  <c r="JP7" i="4"/>
  <c r="JP19" i="4" s="1"/>
  <c r="CJ87" i="1" s="1"/>
  <c r="CK35" i="1"/>
  <c r="JU15" i="4"/>
  <c r="CM126" i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Y189" i="1"/>
  <c r="KG14" i="4"/>
  <c r="CK131" i="1"/>
  <c r="CM131" i="1" s="1"/>
  <c r="CN131" i="1" s="1"/>
  <c r="CO131" i="1" s="1"/>
  <c r="CP131" i="1" s="1"/>
  <c r="CQ131" i="1" s="1"/>
  <c r="CR131" i="1" s="1"/>
  <c r="CS131" i="1" s="1"/>
  <c r="CT131" i="1" s="1"/>
  <c r="CU131" i="1" s="1"/>
  <c r="CV131" i="1" s="1"/>
  <c r="CW131" i="1" s="1"/>
  <c r="CX131" i="1" s="1"/>
  <c r="CY131" i="1" s="1"/>
  <c r="CZ131" i="1" s="1"/>
  <c r="DA131" i="1" s="1"/>
  <c r="DB131" i="1" s="1"/>
  <c r="JX21" i="4"/>
  <c r="CK173" i="1"/>
  <c r="CM173" i="1" s="1"/>
  <c r="CN173" i="1" s="1"/>
  <c r="CO173" i="1" s="1"/>
  <c r="CP173" i="1" s="1"/>
  <c r="CQ173" i="1" s="1"/>
  <c r="CR173" i="1" s="1"/>
  <c r="CS173" i="1" s="1"/>
  <c r="CT173" i="1" s="1"/>
  <c r="CU173" i="1" s="1"/>
  <c r="CV173" i="1" s="1"/>
  <c r="CW173" i="1" s="1"/>
  <c r="CX173" i="1" s="1"/>
  <c r="CY173" i="1" s="1"/>
  <c r="CZ173" i="1" s="1"/>
  <c r="DA173" i="1" s="1"/>
  <c r="DB173" i="1" s="1"/>
  <c r="KE7" i="4"/>
  <c r="KD15" i="4"/>
  <c r="JY8" i="4"/>
  <c r="KC21" i="4"/>
  <c r="JU7" i="4"/>
  <c r="JY14" i="4"/>
  <c r="JY19" i="4" s="1"/>
  <c r="KG7" i="4"/>
  <c r="KB14" i="4"/>
  <c r="KB19" i="4" s="1"/>
  <c r="JZ14" i="4"/>
  <c r="KG15" i="4"/>
  <c r="KG20" i="4" s="1"/>
  <c r="CK149" i="1"/>
  <c r="CK211" i="1" s="1"/>
  <c r="JR8" i="4"/>
  <c r="KF7" i="4"/>
  <c r="CM189" i="1"/>
  <c r="CN189" i="1" s="1"/>
  <c r="CO189" i="1" s="1"/>
  <c r="JN20" i="4"/>
  <c r="CH88" i="1" s="1"/>
  <c r="CZ4" i="1"/>
  <c r="CY17" i="1"/>
  <c r="CY19" i="1" s="1"/>
  <c r="CY21" i="1" s="1"/>
  <c r="CX20" i="1"/>
  <c r="CX21" i="1"/>
  <c r="CK203" i="1"/>
  <c r="CM54" i="1"/>
  <c r="CN54" i="1" s="1"/>
  <c r="CO54" i="1" s="1"/>
  <c r="CP54" i="1" s="1"/>
  <c r="CQ54" i="1" s="1"/>
  <c r="CR54" i="1" s="1"/>
  <c r="CS54" i="1" s="1"/>
  <c r="CT54" i="1" s="1"/>
  <c r="CU54" i="1" s="1"/>
  <c r="CM55" i="1"/>
  <c r="JZ20" i="4" l="1"/>
  <c r="KH20" i="4"/>
  <c r="Y166" i="1"/>
  <c r="Y205" i="1"/>
  <c r="X191" i="1"/>
  <c r="Y191" i="1"/>
  <c r="X166" i="1"/>
  <c r="X193" i="1"/>
  <c r="X147" i="1"/>
  <c r="X42" i="1"/>
  <c r="CJ138" i="1"/>
  <c r="CJ111" i="1"/>
  <c r="CJ140" i="1"/>
  <c r="CK141" i="1"/>
  <c r="CL141" i="1" s="1"/>
  <c r="CL140" i="1" s="1"/>
  <c r="CH257" i="1"/>
  <c r="CG36" i="1"/>
  <c r="CH36" i="1"/>
  <c r="CJ25" i="1"/>
  <c r="CK21" i="1"/>
  <c r="CK36" i="1"/>
  <c r="Y147" i="1"/>
  <c r="Y42" i="1"/>
  <c r="Z147" i="1"/>
  <c r="AA212" i="1" s="1"/>
  <c r="AA210" i="1" s="1"/>
  <c r="Z42" i="1"/>
  <c r="CN134" i="1"/>
  <c r="CL166" i="1"/>
  <c r="CL174" i="1" s="1"/>
  <c r="CL175" i="1" s="1"/>
  <c r="CL193" i="1"/>
  <c r="CM193" i="1" s="1"/>
  <c r="CJ157" i="1"/>
  <c r="JW15" i="4"/>
  <c r="CJ165" i="1"/>
  <c r="CJ194" i="1" s="1"/>
  <c r="CJ193" i="1" s="1"/>
  <c r="CK193" i="1" s="1"/>
  <c r="CK194" i="1" s="1"/>
  <c r="KG16" i="4"/>
  <c r="KG21" i="4" s="1"/>
  <c r="CK42" i="1"/>
  <c r="KE9" i="4"/>
  <c r="KE21" i="4" s="1"/>
  <c r="AA216" i="1"/>
  <c r="Z184" i="1"/>
  <c r="CI149" i="1"/>
  <c r="CJ211" i="1" s="1"/>
  <c r="Z138" i="1"/>
  <c r="CI143" i="1"/>
  <c r="CJ42" i="1" s="1"/>
  <c r="CJ36" i="1"/>
  <c r="CK108" i="1"/>
  <c r="CK111" i="1" s="1"/>
  <c r="CJ147" i="1"/>
  <c r="JY20" i="4"/>
  <c r="CJ101" i="1"/>
  <c r="Z257" i="1"/>
  <c r="AA218" i="1"/>
  <c r="AA215" i="1"/>
  <c r="AA258" i="1"/>
  <c r="AA197" i="1"/>
  <c r="AA20" i="1"/>
  <c r="CL38" i="1"/>
  <c r="CL43" i="1"/>
  <c r="CL47" i="1" s="1"/>
  <c r="KF19" i="4"/>
  <c r="CI42" i="1"/>
  <c r="CK154" i="1"/>
  <c r="CK162" i="1"/>
  <c r="JS20" i="4"/>
  <c r="CK20" i="1"/>
  <c r="CJ21" i="1"/>
  <c r="CJ257" i="1"/>
  <c r="X107" i="1"/>
  <c r="X25" i="1"/>
  <c r="Z46" i="1"/>
  <c r="Z177" i="1"/>
  <c r="Z118" i="1" s="1"/>
  <c r="Z215" i="1"/>
  <c r="Z258" i="1"/>
  <c r="CH25" i="1"/>
  <c r="CL27" i="1" s="1"/>
  <c r="CI21" i="1"/>
  <c r="Y177" i="1"/>
  <c r="Y118" i="1" s="1"/>
  <c r="Y138" i="1"/>
  <c r="Y258" i="1"/>
  <c r="Y215" i="1"/>
  <c r="Y194" i="1"/>
  <c r="Y193" i="1" s="1"/>
  <c r="Y206" i="1"/>
  <c r="CI133" i="1"/>
  <c r="CI137" i="1" s="1"/>
  <c r="CH137" i="1"/>
  <c r="Z20" i="1"/>
  <c r="Y25" i="1"/>
  <c r="Y107" i="1"/>
  <c r="Y197" i="1"/>
  <c r="Y20" i="1"/>
  <c r="Z197" i="1"/>
  <c r="Y36" i="1"/>
  <c r="Z218" i="1"/>
  <c r="Y257" i="1"/>
  <c r="X184" i="1"/>
  <c r="X138" i="1"/>
  <c r="CH21" i="1"/>
  <c r="CG25" i="1"/>
  <c r="CJ234" i="1"/>
  <c r="CH157" i="1"/>
  <c r="CH255" i="1" s="1"/>
  <c r="CH188" i="1"/>
  <c r="CI188" i="1" s="1"/>
  <c r="X36" i="1"/>
  <c r="CL21" i="1"/>
  <c r="CL197" i="1"/>
  <c r="CM192" i="1"/>
  <c r="CN192" i="1" s="1"/>
  <c r="CO192" i="1" s="1"/>
  <c r="JU20" i="4"/>
  <c r="CJ116" i="1"/>
  <c r="CJ112" i="1"/>
  <c r="CK137" i="1"/>
  <c r="Z25" i="1"/>
  <c r="AA27" i="1" s="1"/>
  <c r="Z107" i="1"/>
  <c r="JU19" i="4"/>
  <c r="CI25" i="1"/>
  <c r="CM20" i="1"/>
  <c r="CK140" i="1"/>
  <c r="CL211" i="1"/>
  <c r="KE19" i="4"/>
  <c r="CH163" i="1"/>
  <c r="CH165" i="1" s="1"/>
  <c r="Z165" i="1"/>
  <c r="AA206" i="1" s="1"/>
  <c r="AA207" i="1" s="1"/>
  <c r="AA208" i="1" s="1"/>
  <c r="KD20" i="4"/>
  <c r="KG19" i="4"/>
  <c r="CK116" i="1"/>
  <c r="CM142" i="1"/>
  <c r="CN142" i="1" s="1"/>
  <c r="CO142" i="1" s="1"/>
  <c r="CP142" i="1" s="1"/>
  <c r="CI74" i="1"/>
  <c r="CI116" i="1" s="1"/>
  <c r="JR20" i="4"/>
  <c r="CL88" i="1" s="1"/>
  <c r="Y218" i="1"/>
  <c r="X257" i="1"/>
  <c r="KA19" i="4"/>
  <c r="CH192" i="1"/>
  <c r="CI192" i="1" s="1"/>
  <c r="JO20" i="4"/>
  <c r="CI88" i="1" s="1"/>
  <c r="CI117" i="1" s="1"/>
  <c r="CK25" i="1"/>
  <c r="CL28" i="1" s="1"/>
  <c r="CO20" i="1"/>
  <c r="CI36" i="1"/>
  <c r="X177" i="1"/>
  <c r="X118" i="1" s="1"/>
  <c r="Z191" i="1"/>
  <c r="Z190" i="1" s="1"/>
  <c r="Z205" i="1"/>
  <c r="CJ117" i="1"/>
  <c r="CJ113" i="1"/>
  <c r="CK117" i="1"/>
  <c r="JZ19" i="4"/>
  <c r="Z36" i="1"/>
  <c r="JT19" i="4"/>
  <c r="JX19" i="4"/>
  <c r="JV19" i="4"/>
  <c r="KC19" i="4"/>
  <c r="CK153" i="1"/>
  <c r="CY20" i="1"/>
  <c r="DA4" i="1"/>
  <c r="CZ17" i="1"/>
  <c r="CZ19" i="1" s="1"/>
  <c r="CP189" i="1"/>
  <c r="CP188" i="1"/>
  <c r="DA126" i="1"/>
  <c r="DA172" i="1"/>
  <c r="AB54" i="1"/>
  <c r="AC54" i="1"/>
  <c r="CV54" i="1"/>
  <c r="CW54" i="1" s="1"/>
  <c r="CX54" i="1" s="1"/>
  <c r="CY54" i="1" s="1"/>
  <c r="AB44" i="1"/>
  <c r="CN55" i="1"/>
  <c r="CO55" i="1" s="1"/>
  <c r="CP55" i="1" s="1"/>
  <c r="CQ55" i="1" s="1"/>
  <c r="X190" i="1" l="1"/>
  <c r="Y212" i="1"/>
  <c r="Y210" i="1" s="1"/>
  <c r="Y190" i="1"/>
  <c r="Y207" i="1"/>
  <c r="CH191" i="1"/>
  <c r="Z255" i="1"/>
  <c r="Z253" i="1"/>
  <c r="Z212" i="1"/>
  <c r="Z210" i="1" s="1"/>
  <c r="CN193" i="1"/>
  <c r="CO134" i="1"/>
  <c r="X174" i="1"/>
  <c r="X175" i="1" s="1"/>
  <c r="CI211" i="1"/>
  <c r="CJ255" i="1"/>
  <c r="CK112" i="1"/>
  <c r="CK113" i="1"/>
  <c r="CI147" i="1"/>
  <c r="X195" i="1"/>
  <c r="Y255" i="1"/>
  <c r="Y195" i="1"/>
  <c r="Y253" i="1"/>
  <c r="Y174" i="1"/>
  <c r="CJ26" i="1"/>
  <c r="CJ37" i="1"/>
  <c r="AA222" i="1"/>
  <c r="X255" i="1"/>
  <c r="X253" i="1"/>
  <c r="CM36" i="1"/>
  <c r="CH26" i="1"/>
  <c r="CH37" i="1"/>
  <c r="CL39" i="1" s="1"/>
  <c r="Y37" i="1"/>
  <c r="Y26" i="1"/>
  <c r="CJ253" i="1"/>
  <c r="CJ212" i="1"/>
  <c r="CJ210" i="1" s="1"/>
  <c r="CK161" i="1"/>
  <c r="CK165" i="1" s="1"/>
  <c r="CJ103" i="1"/>
  <c r="CJ104" i="1"/>
  <c r="CJ105" i="1"/>
  <c r="CJ166" i="1"/>
  <c r="CJ174" i="1" s="1"/>
  <c r="CJ175" i="1" s="1"/>
  <c r="CJ191" i="1"/>
  <c r="JW20" i="4"/>
  <c r="JV15" i="4"/>
  <c r="JV20" i="4" s="1"/>
  <c r="Y175" i="1"/>
  <c r="Y198" i="1"/>
  <c r="Y199" i="1" s="1"/>
  <c r="Z27" i="1"/>
  <c r="CH177" i="1"/>
  <c r="CH138" i="1"/>
  <c r="CI215" i="1"/>
  <c r="CJ215" i="1"/>
  <c r="CI258" i="1"/>
  <c r="CJ258" i="1"/>
  <c r="CI28" i="1"/>
  <c r="X26" i="1"/>
  <c r="Y27" i="1"/>
  <c r="X37" i="1"/>
  <c r="CM194" i="1"/>
  <c r="CP192" i="1"/>
  <c r="AA214" i="1"/>
  <c r="AA219" i="1" s="1"/>
  <c r="AA220" i="1" s="1"/>
  <c r="CL49" i="1"/>
  <c r="CL50" i="1"/>
  <c r="CH28" i="1"/>
  <c r="CG37" i="1"/>
  <c r="CG26" i="1"/>
  <c r="CI212" i="1"/>
  <c r="CI210" i="1" s="1"/>
  <c r="CH194" i="1"/>
  <c r="CH193" i="1" s="1"/>
  <c r="CI193" i="1" s="1"/>
  <c r="CH166" i="1"/>
  <c r="CH174" i="1" s="1"/>
  <c r="CN36" i="1"/>
  <c r="CK143" i="1"/>
  <c r="CL42" i="1" s="1"/>
  <c r="CK215" i="1"/>
  <c r="CK258" i="1"/>
  <c r="CG73" i="1"/>
  <c r="CH74" i="1"/>
  <c r="CJ241" i="1"/>
  <c r="CJ242" i="1" s="1"/>
  <c r="CJ38" i="1"/>
  <c r="CJ43" i="1"/>
  <c r="CJ47" i="1" s="1"/>
  <c r="CK37" i="1"/>
  <c r="CL40" i="1" s="1"/>
  <c r="CK26" i="1"/>
  <c r="CQ142" i="1"/>
  <c r="CR142" i="1" s="1"/>
  <c r="CS142" i="1" s="1"/>
  <c r="CT142" i="1" s="1"/>
  <c r="AB142" i="1"/>
  <c r="Z206" i="1"/>
  <c r="Z207" i="1" s="1"/>
  <c r="Z166" i="1"/>
  <c r="Z174" i="1" s="1"/>
  <c r="Z175" i="1" s="1"/>
  <c r="Z194" i="1"/>
  <c r="CM149" i="1"/>
  <c r="Z37" i="1"/>
  <c r="Z26" i="1"/>
  <c r="CK27" i="1"/>
  <c r="CJ28" i="1"/>
  <c r="CI37" i="1"/>
  <c r="CI26" i="1"/>
  <c r="CM26" i="1" s="1"/>
  <c r="CM133" i="1"/>
  <c r="CK28" i="1"/>
  <c r="CH175" i="1"/>
  <c r="X241" i="1"/>
  <c r="X242" i="1" s="1"/>
  <c r="Y39" i="1"/>
  <c r="X121" i="1"/>
  <c r="X38" i="1"/>
  <c r="X43" i="1"/>
  <c r="CG38" i="1"/>
  <c r="CG43" i="1"/>
  <c r="CG47" i="1" s="1"/>
  <c r="CH40" i="1"/>
  <c r="CH38" i="1"/>
  <c r="CH241" i="1"/>
  <c r="CH242" i="1" s="1"/>
  <c r="CH43" i="1"/>
  <c r="CH47" i="1" s="1"/>
  <c r="CH190" i="1"/>
  <c r="CI190" i="1" s="1"/>
  <c r="CM190" i="1"/>
  <c r="CN190" i="1" s="1"/>
  <c r="DB4" i="1"/>
  <c r="DB17" i="1" s="1"/>
  <c r="DB19" i="1" s="1"/>
  <c r="DB20" i="1" s="1"/>
  <c r="DA17" i="1"/>
  <c r="DA19" i="1" s="1"/>
  <c r="DA21" i="1" s="1"/>
  <c r="CZ20" i="1"/>
  <c r="CZ21" i="1"/>
  <c r="CN194" i="1"/>
  <c r="CO193" i="1"/>
  <c r="CP134" i="1"/>
  <c r="CQ188" i="1"/>
  <c r="CQ189" i="1"/>
  <c r="DB126" i="1"/>
  <c r="DB172" i="1"/>
  <c r="AD54" i="1"/>
  <c r="AB55" i="1"/>
  <c r="CZ54" i="1"/>
  <c r="DA54" i="1" s="1"/>
  <c r="DB54" i="1" s="1"/>
  <c r="AE54" i="1" s="1"/>
  <c r="AC44" i="1"/>
  <c r="CR55" i="1"/>
  <c r="CS55" i="1" s="1"/>
  <c r="CT55" i="1" s="1"/>
  <c r="CU55" i="1" s="1"/>
  <c r="AV12" i="3"/>
  <c r="AY24" i="3"/>
  <c r="AW24" i="3"/>
  <c r="AW46" i="3"/>
  <c r="AT14" i="3"/>
  <c r="ET8" i="4" a="1"/>
  <c r="AY25" i="3"/>
  <c r="AY31" i="3"/>
  <c r="AT18" i="3"/>
  <c r="AU29" i="3"/>
  <c r="AS33" i="3"/>
  <c r="AX6" i="6" a="1"/>
  <c r="AW22" i="3"/>
  <c r="AY9" i="3"/>
  <c r="AT27" i="3"/>
  <c r="AZ37" i="3"/>
  <c r="AS38" i="3"/>
  <c r="AE6" i="6" a="1"/>
  <c r="AF36" i="3"/>
  <c r="AS16" i="3"/>
  <c r="EU6" i="4" a="1"/>
  <c r="AZ36" i="3"/>
  <c r="AY21" i="3"/>
  <c r="AY10" i="3"/>
  <c r="AN6" i="6" a="1"/>
  <c r="EM14" i="4" a="1"/>
  <c r="AZ29" i="3"/>
  <c r="AS39" i="3"/>
  <c r="AZ16" i="3"/>
  <c r="ER5" i="4" a="1"/>
  <c r="AY39" i="3"/>
  <c r="AL5" i="6" a="1"/>
  <c r="AB6" i="6" a="1"/>
  <c r="AF5" i="3"/>
  <c r="AY5" i="3"/>
  <c r="O5" i="6" a="1"/>
  <c r="AM6" i="6" a="1"/>
  <c r="AX15" i="3"/>
  <c r="J6" i="6" a="1"/>
  <c r="AV16" i="3"/>
  <c r="AZ13" i="3"/>
  <c r="AU39" i="3"/>
  <c r="AZ21" i="3"/>
  <c r="ER8" i="4" a="1"/>
  <c r="AX31" i="3"/>
  <c r="J5" i="6" a="1"/>
  <c r="AR5" i="6" a="1"/>
  <c r="AF9" i="3"/>
  <c r="AZ7" i="3"/>
  <c r="AS34" i="3"/>
  <c r="AV19" i="3"/>
  <c r="AV11" i="3"/>
  <c r="AS45" i="3"/>
  <c r="AU37" i="3"/>
  <c r="P6" i="6" a="1"/>
  <c r="ER13" i="4" a="1"/>
  <c r="AU31" i="3"/>
  <c r="EL6" i="4" a="1"/>
  <c r="AY14" i="3"/>
  <c r="AX32" i="3"/>
  <c r="AX41" i="3"/>
  <c r="AT28" i="3"/>
  <c r="ET5" i="4" a="1"/>
  <c r="AT5" i="3"/>
  <c r="AY46" i="3"/>
  <c r="AV26" i="3"/>
  <c r="AW17" i="3"/>
  <c r="AZ18" i="3"/>
  <c r="EM15" i="4" a="1"/>
  <c r="AX13" i="3"/>
  <c r="AV39" i="3"/>
  <c r="EL14" i="4" a="1"/>
  <c r="AW12" i="3"/>
  <c r="AS35" i="3"/>
  <c r="EO8" i="4" a="1"/>
  <c r="EN16" i="4" a="1"/>
  <c r="AW21" i="3"/>
  <c r="EQ11" i="4" a="1"/>
  <c r="AZ23" i="3"/>
  <c r="AD5" i="6" a="1"/>
  <c r="AX26" i="3"/>
  <c r="AW45" i="3"/>
  <c r="EM6" i="4" a="1"/>
  <c r="EV14" i="4" a="1"/>
  <c r="EW15" i="4" a="1"/>
  <c r="ES15" i="4" a="1"/>
  <c r="AT26" i="3"/>
  <c r="AU33" i="3"/>
  <c r="AX46" i="3"/>
  <c r="EM7" i="4" a="1"/>
  <c r="AU40" i="3"/>
  <c r="AS5" i="3"/>
  <c r="AV20" i="3"/>
  <c r="AZ14" i="3"/>
  <c r="F5" i="6" a="1"/>
  <c r="AU28" i="3"/>
  <c r="AY28" i="3"/>
  <c r="AT32" i="3"/>
  <c r="AU12" i="3"/>
  <c r="AW42" i="3"/>
  <c r="AU10" i="3"/>
  <c r="EP9" i="4" a="1"/>
  <c r="AY32" i="3"/>
  <c r="EU7" i="4" a="1"/>
  <c r="D5" i="6" a="1"/>
  <c r="AF46" i="3"/>
  <c r="AS22" i="3"/>
  <c r="AV15" i="3"/>
  <c r="AW7" i="3"/>
  <c r="AV40" i="3"/>
  <c r="EL15" i="4" a="1"/>
  <c r="AV33" i="3"/>
  <c r="AF26" i="3"/>
  <c r="ES13" i="4" a="1"/>
  <c r="AW31" i="3"/>
  <c r="AZ27" i="3"/>
  <c r="AW8" i="3"/>
  <c r="EM5" i="4" a="1"/>
  <c r="E6" i="6" a="1"/>
  <c r="AI6" i="6" a="1"/>
  <c r="AF31" i="3"/>
  <c r="AX35" i="3"/>
  <c r="EN14" i="4" a="1"/>
  <c r="C5" i="3"/>
  <c r="EN11" i="4" a="1"/>
  <c r="AZ42" i="3"/>
  <c r="AT5" i="6" a="1"/>
  <c r="AX17" i="3"/>
  <c r="AS20" i="3"/>
  <c r="AY17" i="3"/>
  <c r="AU27" i="3"/>
  <c r="AF32" i="3"/>
  <c r="AS31" i="3"/>
  <c r="AF24" i="3"/>
  <c r="AZ9" i="3"/>
  <c r="AT12" i="3"/>
  <c r="AY12" i="3"/>
  <c r="AT33" i="3"/>
  <c r="AQ5" i="6" a="1"/>
  <c r="AT7" i="3"/>
  <c r="AW9" i="3"/>
  <c r="AT20" i="3"/>
  <c r="AY38" i="3"/>
  <c r="EL7" i="4" a="1"/>
  <c r="AU34" i="3"/>
  <c r="AU45" i="3"/>
  <c r="AC6" i="6" a="1"/>
  <c r="AZ39" i="3"/>
  <c r="AT11" i="3"/>
  <c r="AF34" i="3"/>
  <c r="AF16" i="3"/>
  <c r="AU19" i="3"/>
  <c r="AG5" i="6" a="1"/>
  <c r="AW11" i="3"/>
  <c r="ER16" i="4" a="1"/>
  <c r="AD6" i="6" a="1"/>
  <c r="AZ46" i="3"/>
  <c r="EP13" i="4" a="1"/>
  <c r="EL11" i="4" a="1"/>
  <c r="AT6" i="6" a="1"/>
  <c r="AF22" i="3"/>
  <c r="AO5" i="6" a="1"/>
  <c r="AU5" i="6" a="1"/>
  <c r="AW20" i="3"/>
  <c r="AX14" i="3"/>
  <c r="AZ33" i="3"/>
  <c r="EU13" i="4" a="1"/>
  <c r="AY11" i="3"/>
  <c r="AW16" i="3"/>
  <c r="AT25" i="3"/>
  <c r="AZ28" i="3"/>
  <c r="AY34" i="3"/>
  <c r="AX7" i="3"/>
  <c r="ER7" i="4" a="1"/>
  <c r="AZ40" i="3"/>
  <c r="ET13" i="4" a="1"/>
  <c r="AR6" i="3"/>
  <c r="AP7" i="3"/>
  <c r="AY40" i="3"/>
  <c r="D6" i="6" a="1"/>
  <c r="AX9" i="3"/>
  <c r="AV21" i="3"/>
  <c r="AW6" i="3"/>
  <c r="EQ15" i="4" a="1"/>
  <c r="AU30" i="3"/>
  <c r="EL13" i="4" a="1"/>
  <c r="EO11" i="4" a="1"/>
  <c r="AZ11" i="3"/>
  <c r="EP14" i="4" a="1"/>
  <c r="AB5" i="3"/>
  <c r="AS6" i="3"/>
  <c r="AU14" i="3"/>
  <c r="AY16" i="3"/>
  <c r="AT31" i="3"/>
  <c r="AX5" i="6" a="1"/>
  <c r="AZ26" i="3"/>
  <c r="EO14" i="4" a="1"/>
  <c r="AR5" i="3"/>
  <c r="AX22" i="3"/>
  <c r="EN15" i="4" a="1"/>
  <c r="EN5" i="4" a="1"/>
  <c r="ES6" i="4" a="1"/>
  <c r="AW27" i="3"/>
  <c r="EL12" i="4" a="1"/>
  <c r="T6" i="6" a="1"/>
  <c r="AF30" i="3"/>
  <c r="EM12" i="4" a="1"/>
  <c r="AK6" i="6" a="1"/>
  <c r="AO6" i="6" a="1"/>
  <c r="EV6" i="4" a="1"/>
  <c r="AV27" i="3"/>
  <c r="EM9" i="4" a="1"/>
  <c r="AS24" i="3"/>
  <c r="EW12" i="4" a="1"/>
  <c r="AF38" i="3"/>
  <c r="Z5" i="6" a="1"/>
  <c r="AY36" i="3"/>
  <c r="AW14" i="3"/>
  <c r="AF19" i="3"/>
  <c r="G6" i="6" a="1"/>
  <c r="AU6" i="6" a="1"/>
  <c r="AY7" i="3"/>
  <c r="EW5" i="4" a="1"/>
  <c r="EU16" i="4" a="1"/>
  <c r="AW29" i="3"/>
  <c r="V6" i="6" a="1"/>
  <c r="AZ38" i="3"/>
  <c r="O6" i="6" a="1"/>
  <c r="EV9" i="4" a="1"/>
  <c r="AJ6" i="6" a="1"/>
  <c r="EP11" i="4" a="1"/>
  <c r="EQ14" i="4" a="1"/>
  <c r="AW33" i="3"/>
  <c r="AT39" i="3"/>
  <c r="AH5" i="6" a="1"/>
  <c r="AX28" i="3"/>
  <c r="ER9" i="4" a="1"/>
  <c r="AT23" i="3"/>
  <c r="G5" i="6" a="1"/>
  <c r="AV6" i="3"/>
  <c r="EV15" i="4" a="1"/>
  <c r="AT38" i="3"/>
  <c r="AS42" i="3"/>
  <c r="X6" i="6" a="1"/>
  <c r="AW25" i="3"/>
  <c r="AW41" i="3"/>
  <c r="AW40" i="3"/>
  <c r="AS36" i="3"/>
  <c r="H5" i="6" a="1"/>
  <c r="EW13" i="4" a="1"/>
  <c r="AT19" i="3"/>
  <c r="AN5" i="6" a="1"/>
  <c r="EV7" i="4" a="1"/>
  <c r="Z6" i="6" a="1"/>
  <c r="L6" i="6" a="1"/>
  <c r="EW14" i="4" a="1"/>
  <c r="AF11" i="3"/>
  <c r="AV29" i="3"/>
  <c r="T5" i="6" a="1"/>
  <c r="ES16" i="4" a="1"/>
  <c r="AV31" i="3"/>
  <c r="F45" i="3"/>
  <c r="C6" i="4" a="1"/>
  <c r="AZ20" i="3"/>
  <c r="AF8" i="3"/>
  <c r="AQ6" i="6" a="1"/>
  <c r="AV17" i="3"/>
  <c r="AY18" i="3"/>
  <c r="EO7" i="4" a="1"/>
  <c r="AU5" i="3"/>
  <c r="AF13" i="3"/>
  <c r="K6" i="6" a="1"/>
  <c r="AF6" i="3"/>
  <c r="AZ24" i="3"/>
  <c r="AZ32" i="3"/>
  <c r="AX42" i="3"/>
  <c r="ES14" i="4" a="1"/>
  <c r="EQ6" i="4" a="1"/>
  <c r="AT46" i="3"/>
  <c r="EP6" i="4" a="1"/>
  <c r="AV28" i="3"/>
  <c r="AW37" i="3"/>
  <c r="S6" i="6" a="1"/>
  <c r="AF15" i="3"/>
  <c r="EQ9" i="4" a="1"/>
  <c r="ET14" i="4" a="1"/>
  <c r="AX24" i="3"/>
  <c r="AX36" i="3"/>
  <c r="AP5" i="3"/>
  <c r="AX20" i="3"/>
  <c r="AU11" i="3"/>
  <c r="EV8" i="4" a="1"/>
  <c r="AW36" i="3"/>
  <c r="AV22" i="3"/>
  <c r="AY26" i="3"/>
  <c r="EQ7" i="4" a="1"/>
  <c r="AS26" i="3"/>
  <c r="AF35" i="3"/>
  <c r="AZ8" i="3"/>
  <c r="AT35" i="3"/>
  <c r="AW35" i="3"/>
  <c r="AX21" i="3"/>
  <c r="AY13" i="3"/>
  <c r="AE5" i="6" a="1"/>
  <c r="AS12" i="3"/>
  <c r="EL8" i="4" a="1"/>
  <c r="AY8" i="3"/>
  <c r="R5" i="6" a="1"/>
  <c r="F46" i="3"/>
  <c r="AU32" i="3"/>
  <c r="EP15" i="4" a="1"/>
  <c r="AV42" i="3"/>
  <c r="EW9" i="4" a="1"/>
  <c r="AI5" i="6" a="1"/>
  <c r="AZ30" i="3"/>
  <c r="EV16" i="4" a="1"/>
  <c r="AY41" i="3"/>
  <c r="AT6" i="3"/>
  <c r="EQ16" i="4" a="1"/>
  <c r="AV18" i="3"/>
  <c r="AF14" i="3"/>
  <c r="AF37" i="3"/>
  <c r="AT15" i="3"/>
  <c r="AP6" i="3"/>
  <c r="AF39" i="3"/>
  <c r="AW10" i="3"/>
  <c r="AP5" i="6" a="1"/>
  <c r="AW13" i="3"/>
  <c r="EO12" i="4" a="1"/>
  <c r="Y5" i="6" a="1"/>
  <c r="EN12" i="4" a="1"/>
  <c r="AX40" i="3"/>
  <c r="AX39" i="3"/>
  <c r="AT9" i="3"/>
  <c r="AW5" i="6" a="1"/>
  <c r="AS7" i="3"/>
  <c r="AS27" i="3"/>
  <c r="AY6" i="6" a="1"/>
  <c r="AT16" i="3"/>
  <c r="AX18" i="3"/>
  <c r="AU46" i="3"/>
  <c r="AS41" i="3"/>
  <c r="W5" i="6" a="1"/>
  <c r="AV14" i="3"/>
  <c r="AU38" i="3"/>
  <c r="EO5" i="4" a="1"/>
  <c r="ES9" i="4" a="1"/>
  <c r="AU23" i="3"/>
  <c r="AZ41" i="3"/>
  <c r="AM5" i="6" a="1"/>
  <c r="AX33" i="3"/>
  <c r="EU11" i="4" a="1"/>
  <c r="EW6" i="4" a="1"/>
  <c r="AV13" i="3"/>
  <c r="AV36" i="3"/>
  <c r="EQ13" i="4" a="1"/>
  <c r="AU22" i="3"/>
  <c r="P5" i="6" a="1"/>
  <c r="ET6" i="4" a="1"/>
  <c r="AS9" i="3"/>
  <c r="AT21" i="3"/>
  <c r="AF27" i="3"/>
  <c r="AW23" i="3"/>
  <c r="AS18" i="3"/>
  <c r="AX11" i="3"/>
  <c r="AS14" i="3"/>
  <c r="EL5" i="4" a="1"/>
  <c r="AH6" i="6" a="1"/>
  <c r="ES7" i="4" a="1"/>
  <c r="AZ15" i="3"/>
  <c r="AF33" i="3"/>
  <c r="AY42" i="3"/>
  <c r="AW34" i="3"/>
  <c r="AS23" i="3"/>
  <c r="EQ8" i="4" a="1"/>
  <c r="AS32" i="3"/>
  <c r="AY23" i="3"/>
  <c r="AV23" i="3"/>
  <c r="EU12" i="4" a="1"/>
  <c r="AS37" i="3"/>
  <c r="AX23" i="3"/>
  <c r="AT40" i="3"/>
  <c r="AF21" i="3"/>
  <c r="EV5" i="4" a="1"/>
  <c r="EP8" i="4" a="1"/>
  <c r="AU42" i="3"/>
  <c r="AU35" i="3"/>
  <c r="ES11" i="4" a="1"/>
  <c r="AU13" i="3"/>
  <c r="AZ12" i="3"/>
  <c r="AX12" i="3"/>
  <c r="AX10" i="3"/>
  <c r="AX25" i="3"/>
  <c r="ET15" i="4" a="1"/>
  <c r="EP16" i="4" a="1"/>
  <c r="AW38" i="3"/>
  <c r="AY35" i="3"/>
  <c r="EW7" i="4" a="1"/>
  <c r="AU20" i="3"/>
  <c r="AV37" i="3"/>
  <c r="AL6" i="6" a="1"/>
  <c r="AW15" i="3"/>
  <c r="AS10" i="3"/>
  <c r="EM8" i="4" a="1"/>
  <c r="AT45" i="3"/>
  <c r="AU9" i="3"/>
  <c r="AS11" i="3"/>
  <c r="ET11" i="4" a="1"/>
  <c r="AX34" i="3"/>
  <c r="AY15" i="3"/>
  <c r="AX6" i="3"/>
  <c r="EU5" i="4" a="1"/>
  <c r="C5" i="6" a="1"/>
  <c r="AS5" i="6" a="1"/>
  <c r="AX45" i="3"/>
  <c r="M5" i="6" a="1"/>
  <c r="AT17" i="3"/>
  <c r="EO16" i="4" a="1"/>
  <c r="AV9" i="3"/>
  <c r="Q6" i="6" a="1"/>
  <c r="H6" i="6" a="1"/>
  <c r="AW6" i="6" a="1"/>
  <c r="AV6" i="6" a="1"/>
  <c r="U5" i="6" a="1"/>
  <c r="EN7" i="4" a="1"/>
  <c r="ET9" i="4" a="1"/>
  <c r="AB5" i="6" a="1"/>
  <c r="EO6" i="4" a="1"/>
  <c r="AS25" i="3"/>
  <c r="AX19" i="3"/>
  <c r="AZ22" i="3"/>
  <c r="ET12" i="4" a="1"/>
  <c r="AG6" i="6" a="1"/>
  <c r="AX29" i="3"/>
  <c r="AT41" i="3"/>
  <c r="AV35" i="3"/>
  <c r="AV30" i="3"/>
  <c r="ER12" i="4" a="1"/>
  <c r="EU15" i="4" a="1"/>
  <c r="AV24" i="3"/>
  <c r="AR6" i="6" a="1"/>
  <c r="AT42" i="3"/>
  <c r="AZ31" i="3"/>
  <c r="AZ17" i="3"/>
  <c r="AW5" i="3"/>
  <c r="AU18" i="3"/>
  <c r="AJ5" i="6" a="1"/>
  <c r="N6" i="6" a="1"/>
  <c r="EO9" i="4" a="1"/>
  <c r="K5" i="6" a="1"/>
  <c r="AF18" i="3"/>
  <c r="AV5" i="3"/>
  <c r="EN6" i="4" a="1"/>
  <c r="AF28" i="3"/>
  <c r="L5" i="6" a="1"/>
  <c r="AV32" i="3"/>
  <c r="AT30" i="3"/>
  <c r="ES12" i="4" a="1"/>
  <c r="EL16" i="4" a="1"/>
  <c r="AZ5" i="3"/>
  <c r="ET16" i="4" a="1"/>
  <c r="N5" i="6" a="1"/>
  <c r="ES5" i="4" a="1"/>
  <c r="R6" i="6" a="1"/>
  <c r="AW39" i="3"/>
  <c r="AT34" i="3"/>
  <c r="AU36" i="3"/>
  <c r="AY6" i="3"/>
  <c r="AU8" i="3"/>
  <c r="AU26" i="3"/>
  <c r="AZ19" i="3"/>
  <c r="AU41" i="3"/>
  <c r="AC5" i="6" a="1"/>
  <c r="AV34" i="3"/>
  <c r="I6" i="6" a="1"/>
  <c r="AS19" i="3"/>
  <c r="AY22" i="3"/>
  <c r="ET7" i="4" a="1"/>
  <c r="AF45" i="3"/>
  <c r="AV46" i="3"/>
  <c r="AZ45" i="3"/>
  <c r="AX27" i="3"/>
  <c r="AV8" i="3"/>
  <c r="AF42" i="3"/>
  <c r="AY19" i="3"/>
  <c r="U6" i="6" a="1"/>
  <c r="AY20" i="3"/>
  <c r="Y6" i="6" a="1"/>
  <c r="AY33" i="3"/>
  <c r="AK5" i="6" a="1"/>
  <c r="EU8" i="4" a="1"/>
  <c r="AV7" i="3"/>
  <c r="EM13" i="4" a="1"/>
  <c r="EU14" i="4" a="1"/>
  <c r="I5" i="6" a="1"/>
  <c r="AS30" i="3"/>
  <c r="AU7" i="3"/>
  <c r="AY30" i="3"/>
  <c r="E5" i="6" a="1"/>
  <c r="EV12" i="4" a="1"/>
  <c r="EQ12" i="4" a="1"/>
  <c r="ER15" i="4" a="1"/>
  <c r="AF25" i="3"/>
  <c r="AX37" i="3"/>
  <c r="AF41" i="3"/>
  <c r="AU24" i="3"/>
  <c r="AU16" i="3"/>
  <c r="AY27" i="3"/>
  <c r="M6" i="6" a="1"/>
  <c r="AF5" i="6" a="1"/>
  <c r="AF20" i="3"/>
  <c r="AX8" i="3"/>
  <c r="EV13" i="4" a="1"/>
  <c r="AY5" i="6" a="1"/>
  <c r="AF12" i="3"/>
  <c r="AU15" i="3"/>
  <c r="EV11" i="4" a="1"/>
  <c r="AT37" i="3"/>
  <c r="AW26" i="3"/>
  <c r="AP6" i="6" a="1"/>
  <c r="AV38" i="3"/>
  <c r="AX38" i="3"/>
  <c r="AU21" i="3"/>
  <c r="ER6" i="4" a="1"/>
  <c r="AS13" i="3"/>
  <c r="AS21" i="3"/>
  <c r="AT36" i="3"/>
  <c r="AV25" i="3"/>
  <c r="EQ5" i="4" a="1"/>
  <c r="X5" i="6" a="1"/>
  <c r="EW11" i="4" a="1"/>
  <c r="AF23" i="3"/>
  <c r="S5" i="6" a="1"/>
  <c r="AA5" i="6" a="1"/>
  <c r="AW32" i="3"/>
  <c r="EP7" i="4" a="1"/>
  <c r="AR7" i="3"/>
  <c r="AT22" i="3"/>
  <c r="EN13" i="4" a="1"/>
  <c r="AX5" i="3"/>
  <c r="AY45" i="3"/>
  <c r="EP5" i="4" a="1"/>
  <c r="AF17" i="3"/>
  <c r="EM16" i="4" a="1"/>
  <c r="AZ34" i="3"/>
  <c r="ES8" i="4" a="1"/>
  <c r="AF6" i="6" a="1"/>
  <c r="AV5" i="6" a="1"/>
  <c r="ER14" i="4" a="1"/>
  <c r="AA6" i="6" a="1"/>
  <c r="AU6" i="3"/>
  <c r="W6" i="6" a="1"/>
  <c r="V5" i="6" a="1"/>
  <c r="AU25" i="3"/>
  <c r="AV45" i="3"/>
  <c r="AF40" i="3"/>
  <c r="AS46" i="3"/>
  <c r="AT13" i="3"/>
  <c r="AZ25" i="3"/>
  <c r="AS6" i="6" a="1"/>
  <c r="ER11" i="4" a="1"/>
  <c r="AU17" i="3"/>
  <c r="AW19" i="3"/>
  <c r="AY37" i="3"/>
  <c r="AS29" i="3"/>
  <c r="AZ35" i="3"/>
  <c r="AS17" i="3"/>
  <c r="EN8" i="4" a="1"/>
  <c r="C6" i="6" a="1"/>
  <c r="AS40" i="3"/>
  <c r="Q5" i="6" a="1"/>
  <c r="F6" i="6" a="1"/>
  <c r="EW16" i="4" a="1"/>
  <c r="C5" i="4" a="1"/>
  <c r="AS8" i="3"/>
  <c r="AF7" i="3"/>
  <c r="AF29" i="3"/>
  <c r="EO13" i="4" a="1"/>
  <c r="EU9" i="4" a="1"/>
  <c r="AS28" i="3"/>
  <c r="AV41" i="3"/>
  <c r="AW28" i="3"/>
  <c r="AT8" i="3"/>
  <c r="EW8" i="4" a="1"/>
  <c r="EO15" i="4" a="1"/>
  <c r="EN9" i="4" a="1"/>
  <c r="AT24" i="3"/>
  <c r="AS15" i="3"/>
  <c r="AW30" i="3"/>
  <c r="EL9" i="4" a="1"/>
  <c r="AW18" i="3"/>
  <c r="AF10" i="3"/>
  <c r="AT10" i="3"/>
  <c r="EP12" i="4" a="1"/>
  <c r="EM11" i="4" a="1"/>
  <c r="AX16" i="3"/>
  <c r="AX30" i="3"/>
  <c r="AT29" i="3"/>
  <c r="AZ6" i="3"/>
  <c r="AZ10" i="3"/>
  <c r="CG241" i="1" l="1"/>
  <c r="CG242" i="1" s="1"/>
  <c r="CI46" i="1"/>
  <c r="CH118" i="1"/>
  <c r="CK121" i="1"/>
  <c r="CH259" i="1"/>
  <c r="CJ235" i="1"/>
  <c r="CH195" i="1"/>
  <c r="CL198" i="1" s="1"/>
  <c r="CI40" i="1"/>
  <c r="CJ121" i="1"/>
  <c r="Y241" i="1"/>
  <c r="Y242" i="1" s="1"/>
  <c r="Y121" i="1"/>
  <c r="Y43" i="1"/>
  <c r="Y38" i="1"/>
  <c r="Y259" i="1"/>
  <c r="Y260" i="1" s="1"/>
  <c r="Z39" i="1"/>
  <c r="Z259" i="1"/>
  <c r="Z260" i="1" s="1"/>
  <c r="CQ192" i="1"/>
  <c r="CM191" i="1"/>
  <c r="CM195" i="1" s="1"/>
  <c r="CJ190" i="1"/>
  <c r="CK190" i="1" s="1"/>
  <c r="CJ195" i="1"/>
  <c r="AA39" i="1"/>
  <c r="AA259" i="1"/>
  <c r="AA260" i="1" s="1"/>
  <c r="CL57" i="1"/>
  <c r="CL61" i="1" s="1"/>
  <c r="CL51" i="1"/>
  <c r="CI161" i="1"/>
  <c r="CI194" i="1"/>
  <c r="CN26" i="1"/>
  <c r="CO26" i="1" s="1"/>
  <c r="CP26" i="1" s="1"/>
  <c r="CO36" i="1"/>
  <c r="CL215" i="1"/>
  <c r="CL258" i="1"/>
  <c r="CN149" i="1"/>
  <c r="CN211" i="1" s="1"/>
  <c r="CK43" i="1"/>
  <c r="CK47" i="1" s="1"/>
  <c r="CK38" i="1"/>
  <c r="CH117" i="1"/>
  <c r="CH120" i="1" s="1"/>
  <c r="CH101" i="1"/>
  <c r="CH116" i="1"/>
  <c r="CH119" i="1" s="1"/>
  <c r="Z195" i="1"/>
  <c r="Z193" i="1"/>
  <c r="CU142" i="1"/>
  <c r="CV142" i="1" s="1"/>
  <c r="CW142" i="1" s="1"/>
  <c r="CX142" i="1" s="1"/>
  <c r="AC142" i="1"/>
  <c r="CF73" i="1"/>
  <c r="CG74" i="1"/>
  <c r="CM140" i="1"/>
  <c r="CN140" i="1" s="1"/>
  <c r="CO140" i="1" s="1"/>
  <c r="CP140" i="1" s="1"/>
  <c r="CQ140" i="1" s="1"/>
  <c r="CR140" i="1" s="1"/>
  <c r="CS140" i="1" s="1"/>
  <c r="CT140" i="1" s="1"/>
  <c r="CU140" i="1" s="1"/>
  <c r="CV140" i="1" s="1"/>
  <c r="CW140" i="1" s="1"/>
  <c r="CX140" i="1" s="1"/>
  <c r="CY140" i="1" s="1"/>
  <c r="CZ140" i="1" s="1"/>
  <c r="DA140" i="1" s="1"/>
  <c r="DB140" i="1" s="1"/>
  <c r="CI43" i="1"/>
  <c r="CI47" i="1" s="1"/>
  <c r="CJ40" i="1"/>
  <c r="CI38" i="1"/>
  <c r="CI241" i="1"/>
  <c r="CI242" i="1" s="1"/>
  <c r="CI259" i="1"/>
  <c r="CI260" i="1" s="1"/>
  <c r="Z121" i="1"/>
  <c r="Z38" i="1"/>
  <c r="Z241" i="1"/>
  <c r="Z242" i="1" s="1"/>
  <c r="Z43" i="1"/>
  <c r="CJ259" i="1"/>
  <c r="CJ260" i="1" s="1"/>
  <c r="CK147" i="1"/>
  <c r="CK212" i="1" s="1"/>
  <c r="CK210" i="1" s="1"/>
  <c r="CM42" i="1"/>
  <c r="CN42" i="1" s="1"/>
  <c r="CO42" i="1" s="1"/>
  <c r="CP42" i="1" s="1"/>
  <c r="CQ42" i="1" s="1"/>
  <c r="CR42" i="1" s="1"/>
  <c r="CS42" i="1" s="1"/>
  <c r="CT42" i="1" s="1"/>
  <c r="CU42" i="1" s="1"/>
  <c r="CV42" i="1" s="1"/>
  <c r="CW42" i="1" s="1"/>
  <c r="CX42" i="1" s="1"/>
  <c r="CY42" i="1" s="1"/>
  <c r="CZ42" i="1" s="1"/>
  <c r="DA42" i="1" s="1"/>
  <c r="DB42" i="1" s="1"/>
  <c r="CN133" i="1"/>
  <c r="CM137" i="1"/>
  <c r="CM211" i="1"/>
  <c r="CJ50" i="1"/>
  <c r="CJ49" i="1"/>
  <c r="CK40" i="1"/>
  <c r="CK39" i="1"/>
  <c r="Y47" i="1"/>
  <c r="Y64" i="1"/>
  <c r="CG49" i="1"/>
  <c r="CG50" i="1"/>
  <c r="CI155" i="1"/>
  <c r="CI191" i="1"/>
  <c r="CH50" i="1"/>
  <c r="CL52" i="1" s="1"/>
  <c r="CH49" i="1"/>
  <c r="X64" i="1"/>
  <c r="X47" i="1"/>
  <c r="DB21" i="1"/>
  <c r="DA20" i="1"/>
  <c r="CP193" i="1"/>
  <c r="CO194" i="1"/>
  <c r="CN191" i="1"/>
  <c r="CN195" i="1" s="1"/>
  <c r="CO190" i="1"/>
  <c r="CQ134" i="1"/>
  <c r="BY31" i="1"/>
  <c r="CA18" i="1"/>
  <c r="CE31" i="1"/>
  <c r="CA31" i="1"/>
  <c r="CF31" i="1"/>
  <c r="CD31" i="1"/>
  <c r="BZ31" i="1"/>
  <c r="BL31" i="1"/>
  <c r="CC31" i="1"/>
  <c r="CB31" i="1"/>
  <c r="CF18" i="1"/>
  <c r="CD18" i="1"/>
  <c r="BY18" i="1"/>
  <c r="CE18" i="1"/>
  <c r="BZ18" i="1"/>
  <c r="CC18" i="1"/>
  <c r="CB18" i="1"/>
  <c r="BL18" i="1"/>
  <c r="CD34" i="1"/>
  <c r="CC54" i="1"/>
  <c r="CA17" i="1"/>
  <c r="CA240" i="1" s="1"/>
  <c r="CD48" i="1"/>
  <c r="AH7" i="6" s="1"/>
  <c r="CD44" i="1"/>
  <c r="CF45" i="1"/>
  <c r="BY54" i="1"/>
  <c r="BL54" i="1"/>
  <c r="CD55" i="1"/>
  <c r="AV7" i="6" s="1"/>
  <c r="CB29" i="1"/>
  <c r="R7" i="6" s="1"/>
  <c r="X7" i="6" s="1"/>
  <c r="CD54" i="1"/>
  <c r="CD24" i="1"/>
  <c r="V7" i="6" s="1"/>
  <c r="BY24" i="1"/>
  <c r="CB17" i="1"/>
  <c r="CB240" i="1" s="1"/>
  <c r="BY60" i="1"/>
  <c r="BL17" i="1"/>
  <c r="AW7" i="6" s="1"/>
  <c r="BY30" i="1"/>
  <c r="CA22" i="1"/>
  <c r="CB32" i="1"/>
  <c r="BZ45" i="1"/>
  <c r="O7" i="6" s="1"/>
  <c r="BL56" i="1"/>
  <c r="AQ7" i="6" s="1"/>
  <c r="CF17" i="1"/>
  <c r="JJ9" i="4" s="1"/>
  <c r="BY55" i="1"/>
  <c r="AM7" i="6" s="1"/>
  <c r="JM16" i="4" s="1"/>
  <c r="CF56" i="1"/>
  <c r="CA33" i="1"/>
  <c r="BL32" i="1"/>
  <c r="BL55" i="1"/>
  <c r="CF44" i="1"/>
  <c r="BL45" i="1"/>
  <c r="BZ54" i="1"/>
  <c r="CC34" i="1"/>
  <c r="CC30" i="1"/>
  <c r="JM9" i="4" s="1"/>
  <c r="CA30" i="1"/>
  <c r="JL16" i="4" s="1"/>
  <c r="BZ33" i="1"/>
  <c r="CB30" i="1"/>
  <c r="CC22" i="1"/>
  <c r="JK16" i="4" s="1"/>
  <c r="CA60" i="1"/>
  <c r="BZ23" i="1"/>
  <c r="CE24" i="1"/>
  <c r="CC23" i="1"/>
  <c r="C7" i="6" s="1"/>
  <c r="T7" i="6" s="1"/>
  <c r="BY33" i="1"/>
  <c r="CC55" i="1"/>
  <c r="CC17" i="1"/>
  <c r="CC240" i="1" s="1"/>
  <c r="CB44" i="1"/>
  <c r="JL9" i="4" s="1"/>
  <c r="CF48" i="1"/>
  <c r="AL7" i="6" s="1"/>
  <c r="BZ41" i="1"/>
  <c r="BZ203" i="1" s="1"/>
  <c r="BZ44" i="1"/>
  <c r="J7" i="6" s="1"/>
  <c r="BY56" i="1"/>
  <c r="Z7" i="6" s="1"/>
  <c r="BL29" i="1"/>
  <c r="CF22" i="1"/>
  <c r="CF32" i="1"/>
  <c r="BZ22" i="1"/>
  <c r="CA24" i="1"/>
  <c r="CD23" i="1"/>
  <c r="BL30" i="1"/>
  <c r="BY23" i="1"/>
  <c r="CE41" i="1"/>
  <c r="CE203" i="1" s="1"/>
  <c r="AD7" i="6" s="1"/>
  <c r="CF34" i="1"/>
  <c r="CE29" i="1"/>
  <c r="CA56" i="1"/>
  <c r="CD45" i="1"/>
  <c r="CB33" i="1"/>
  <c r="CD56" i="1"/>
  <c r="AP7" i="6" s="1"/>
  <c r="Y7" i="6" s="1"/>
  <c r="CA34" i="1"/>
  <c r="AA7" i="6" s="1"/>
  <c r="AJ7" i="6" s="1"/>
  <c r="BY17" i="1"/>
  <c r="BY32" i="1"/>
  <c r="CB48" i="1"/>
  <c r="CE34" i="1"/>
  <c r="I7" i="6" s="1"/>
  <c r="AK7" i="6" s="1"/>
  <c r="CE23" i="1"/>
  <c r="K7" i="6" s="1"/>
  <c r="F7" i="6" s="1"/>
  <c r="CB54" i="1"/>
  <c r="CF33" i="1"/>
  <c r="AC7" i="6" s="1"/>
  <c r="AE7" i="6" s="1"/>
  <c r="M7" i="6" s="1"/>
  <c r="Q7" i="6" s="1"/>
  <c r="CA55" i="1"/>
  <c r="BZ55" i="1"/>
  <c r="CA45" i="1"/>
  <c r="CF55" i="1"/>
  <c r="AU7" i="6" s="1"/>
  <c r="BL24" i="1"/>
  <c r="CE33" i="1"/>
  <c r="CB41" i="1"/>
  <c r="CB203" i="1" s="1"/>
  <c r="CC56" i="1"/>
  <c r="CC60" i="1"/>
  <c r="AX7" i="6" s="1"/>
  <c r="BZ32" i="1"/>
  <c r="AT7" i="6" s="1"/>
  <c r="S7" i="6" s="1"/>
  <c r="BY22" i="1"/>
  <c r="CE44" i="1"/>
  <c r="CA54" i="1"/>
  <c r="CB56" i="1"/>
  <c r="CA44" i="1"/>
  <c r="CF60" i="1"/>
  <c r="CF30" i="1"/>
  <c r="CA29" i="1"/>
  <c r="AN7" i="6" s="1"/>
  <c r="CE55" i="1"/>
  <c r="CC24" i="1"/>
  <c r="CE60" i="1"/>
  <c r="CF24" i="1"/>
  <c r="G7" i="6" s="1"/>
  <c r="BL41" i="1"/>
  <c r="AF7" i="6" s="1"/>
  <c r="CC29" i="1"/>
  <c r="CD29" i="1"/>
  <c r="JJ16" i="4" s="1"/>
  <c r="BY34" i="1"/>
  <c r="CB55" i="1"/>
  <c r="CE17" i="1"/>
  <c r="AB7" i="6" s="1"/>
  <c r="BL23" i="1"/>
  <c r="CD60" i="1"/>
  <c r="BY29" i="1"/>
  <c r="BZ24" i="1"/>
  <c r="CD30" i="1"/>
  <c r="L7" i="6" s="1"/>
  <c r="BL48" i="1"/>
  <c r="BZ17" i="1"/>
  <c r="BZ240" i="1" s="1"/>
  <c r="CA41" i="1"/>
  <c r="BZ48" i="1"/>
  <c r="BY41" i="1"/>
  <c r="BY203" i="1" s="1"/>
  <c r="AI7" i="6" s="1"/>
  <c r="CC48" i="1"/>
  <c r="D7" i="6" s="1"/>
  <c r="BZ30" i="1"/>
  <c r="AG7" i="6" s="1"/>
  <c r="BZ29" i="1"/>
  <c r="BL60" i="1"/>
  <c r="W7" i="6" s="1"/>
  <c r="CB60" i="1"/>
  <c r="CE56" i="1"/>
  <c r="CF29" i="1"/>
  <c r="CC32" i="1"/>
  <c r="CD32" i="1"/>
  <c r="CE22" i="1"/>
  <c r="BY44" i="1"/>
  <c r="CC44" i="1"/>
  <c r="BZ60" i="1"/>
  <c r="AS7" i="6" s="1"/>
  <c r="BZ56" i="1"/>
  <c r="CE45" i="1"/>
  <c r="CD22" i="1"/>
  <c r="BL44" i="1"/>
  <c r="CB23" i="1"/>
  <c r="CC41" i="1"/>
  <c r="CC203" i="1" s="1"/>
  <c r="BY48" i="1"/>
  <c r="H7" i="6" s="1"/>
  <c r="CA32" i="1"/>
  <c r="BZ34" i="1"/>
  <c r="CD17" i="1"/>
  <c r="CD240" i="1" s="1"/>
  <c r="AR7" i="6" s="1"/>
  <c r="CF23" i="1"/>
  <c r="BL22" i="1"/>
  <c r="BL33" i="1"/>
  <c r="JK9" i="4" s="1"/>
  <c r="AO7" i="6" s="1"/>
  <c r="CA48" i="1"/>
  <c r="BL34" i="1"/>
  <c r="CA23" i="1"/>
  <c r="CE54" i="1"/>
  <c r="CD33" i="1"/>
  <c r="P7" i="6" s="1"/>
  <c r="E7" i="6" s="1"/>
  <c r="U7" i="6" s="1"/>
  <c r="CC33" i="1"/>
  <c r="AY7" i="6" s="1"/>
  <c r="CD41" i="1"/>
  <c r="CB24" i="1"/>
  <c r="CC45" i="1"/>
  <c r="CB45" i="1"/>
  <c r="CE32" i="1"/>
  <c r="CE30" i="1"/>
  <c r="CF41" i="1"/>
  <c r="CF203" i="1" s="1"/>
  <c r="CB34" i="1"/>
  <c r="BY45" i="1"/>
  <c r="CF54" i="1"/>
  <c r="N7" i="6" s="1"/>
  <c r="CQ26" i="1"/>
  <c r="CR189" i="1"/>
  <c r="CR192" i="1"/>
  <c r="CR188" i="1"/>
  <c r="CJ64" i="1"/>
  <c r="AC55" i="1"/>
  <c r="CV55" i="1"/>
  <c r="CW55" i="1" s="1"/>
  <c r="CX55" i="1" s="1"/>
  <c r="CY55" i="1" s="1"/>
  <c r="AD44" i="1"/>
  <c r="C72" i="3"/>
  <c r="AS81" i="3"/>
  <c r="AU73" i="3"/>
  <c r="AW83" i="3"/>
  <c r="AW69" i="3"/>
  <c r="C55" i="3"/>
  <c r="AT72" i="3"/>
  <c r="AX89" i="3"/>
  <c r="AS74" i="3"/>
  <c r="AF92" i="3"/>
  <c r="AZ82" i="3"/>
  <c r="C87" i="3"/>
  <c r="AF58" i="3"/>
  <c r="AW79" i="3"/>
  <c r="AY82" i="3"/>
  <c r="AX97" i="3"/>
  <c r="AV94" i="3"/>
  <c r="AU89" i="3"/>
  <c r="AF56" i="3"/>
  <c r="AU50" i="3"/>
  <c r="AF64" i="3"/>
  <c r="AY79" i="3"/>
  <c r="C89" i="3"/>
  <c r="AU82" i="3"/>
  <c r="AY84" i="3"/>
  <c r="AS72" i="3"/>
  <c r="AY75" i="3"/>
  <c r="AV48" i="3"/>
  <c r="AW74" i="3"/>
  <c r="AY63" i="3"/>
  <c r="AW48" i="3"/>
  <c r="AW87" i="3"/>
  <c r="AT78" i="3"/>
  <c r="AT89" i="3"/>
  <c r="C69" i="3"/>
  <c r="AV67" i="3"/>
  <c r="AV81" i="3"/>
  <c r="AY83" i="3"/>
  <c r="AS78" i="3"/>
  <c r="AF76" i="3"/>
  <c r="AW67" i="3"/>
  <c r="AV75" i="3"/>
  <c r="AX91" i="3"/>
  <c r="C50" i="3"/>
  <c r="AY47" i="3"/>
  <c r="AT92" i="3"/>
  <c r="AZ97" i="3"/>
  <c r="C97" i="3"/>
  <c r="AV80" i="3"/>
  <c r="AX85" i="3"/>
  <c r="AS48" i="3"/>
  <c r="AS67" i="3"/>
  <c r="AS65" i="3"/>
  <c r="AF82" i="3"/>
  <c r="AF87" i="3"/>
  <c r="AV77" i="3"/>
  <c r="AX71" i="3"/>
  <c r="AY66" i="3"/>
  <c r="C74" i="3"/>
  <c r="AF65" i="3"/>
  <c r="AW86" i="3"/>
  <c r="AX66" i="3"/>
  <c r="AS61" i="3"/>
  <c r="AS68" i="3"/>
  <c r="C58" i="3"/>
  <c r="AT60" i="3"/>
  <c r="AT71" i="3"/>
  <c r="AZ61" i="3"/>
  <c r="AZ90" i="3"/>
  <c r="AV62" i="3"/>
  <c r="AV97" i="3"/>
  <c r="AZ55" i="3"/>
  <c r="AX55" i="3"/>
  <c r="AU83" i="3"/>
  <c r="AU64" i="3"/>
  <c r="AY93" i="3"/>
  <c r="AS91" i="3"/>
  <c r="AU85" i="3"/>
  <c r="AX74" i="3"/>
  <c r="AY60" i="3"/>
  <c r="AT82" i="3"/>
  <c r="AW63" i="3"/>
  <c r="AV85" i="3"/>
  <c r="AU95" i="3"/>
  <c r="AV76" i="3"/>
  <c r="AV90" i="3"/>
  <c r="AX47" i="3"/>
  <c r="AW88" i="3"/>
  <c r="AZ49" i="3"/>
  <c r="AW50" i="3"/>
  <c r="AT47" i="3"/>
  <c r="AV79" i="3"/>
  <c r="AT69" i="3"/>
  <c r="AF60" i="3"/>
  <c r="AF73" i="3"/>
  <c r="AZ65" i="3"/>
  <c r="AT86" i="3"/>
  <c r="AY57" i="3"/>
  <c r="AX60" i="3"/>
  <c r="AU59" i="3"/>
  <c r="AV87" i="3"/>
  <c r="AX48" i="3"/>
  <c r="AF95" i="3"/>
  <c r="AT87" i="3"/>
  <c r="AU80" i="3"/>
  <c r="AY95" i="3"/>
  <c r="AV84" i="3"/>
  <c r="AT75" i="3"/>
  <c r="AZ64" i="3"/>
  <c r="AY65" i="3"/>
  <c r="AZ63" i="3"/>
  <c r="AU67" i="3"/>
  <c r="AV56" i="3"/>
  <c r="AU97" i="3"/>
  <c r="C77" i="3"/>
  <c r="AX62" i="3"/>
  <c r="AW59" i="3"/>
  <c r="AX49" i="3"/>
  <c r="AU47" i="3"/>
  <c r="AU49" i="3"/>
  <c r="AU56" i="3"/>
  <c r="AZ57" i="3"/>
  <c r="AZ71" i="3"/>
  <c r="AZ85" i="3"/>
  <c r="C78" i="3"/>
  <c r="AV70" i="3"/>
  <c r="AZ87" i="3"/>
  <c r="AS70" i="3"/>
  <c r="AU62" i="3"/>
  <c r="AV57" i="3"/>
  <c r="AV71" i="3"/>
  <c r="AY77" i="3"/>
  <c r="AF84" i="3"/>
  <c r="AX92" i="3"/>
  <c r="AW90" i="3"/>
  <c r="C88" i="3"/>
  <c r="AU70" i="3"/>
  <c r="AX83" i="3"/>
  <c r="C57" i="3"/>
  <c r="AU93" i="3"/>
  <c r="AU74" i="3"/>
  <c r="AZ81" i="3"/>
  <c r="AF74" i="3"/>
  <c r="AY96" i="3"/>
  <c r="AX84" i="3"/>
  <c r="AZ60" i="3"/>
  <c r="AT63" i="3"/>
  <c r="AX95" i="3"/>
  <c r="C86" i="3"/>
  <c r="AY73" i="3"/>
  <c r="AW71" i="3"/>
  <c r="AZ50" i="3"/>
  <c r="AT59" i="3"/>
  <c r="AF88" i="3"/>
  <c r="AX93" i="3"/>
  <c r="AX86" i="3"/>
  <c r="AT68" i="3"/>
  <c r="AX56" i="3"/>
  <c r="AY90" i="3"/>
  <c r="AY72" i="3"/>
  <c r="AT97" i="3"/>
  <c r="C68" i="3"/>
  <c r="AZ80" i="3"/>
  <c r="AW92" i="3"/>
  <c r="AS86" i="3"/>
  <c r="AX82" i="3"/>
  <c r="AF91" i="3"/>
  <c r="AT54" i="3"/>
  <c r="AZ78" i="3"/>
  <c r="AT64" i="3"/>
  <c r="AW60" i="3"/>
  <c r="AV83" i="3"/>
  <c r="AX80" i="3"/>
  <c r="AY55" i="3"/>
  <c r="AV89" i="3"/>
  <c r="C54" i="3"/>
  <c r="AV47" i="3"/>
  <c r="AT57" i="3"/>
  <c r="AW47" i="3"/>
  <c r="AT73" i="3"/>
  <c r="AU88" i="3"/>
  <c r="C96" i="3"/>
  <c r="AZ73" i="3"/>
  <c r="AU81" i="3"/>
  <c r="C75" i="3"/>
  <c r="AY48" i="3"/>
  <c r="AY59" i="3"/>
  <c r="AF72" i="3"/>
  <c r="AZ84" i="3"/>
  <c r="AU87" i="3"/>
  <c r="AS54" i="3"/>
  <c r="AS87" i="3"/>
  <c r="AT83" i="3"/>
  <c r="AV59" i="3"/>
  <c r="AU65" i="3"/>
  <c r="AW66" i="3"/>
  <c r="AS97" i="3"/>
  <c r="C95" i="3"/>
  <c r="AU86" i="3"/>
  <c r="AZ72" i="3"/>
  <c r="AZ93" i="3"/>
  <c r="AU75" i="3"/>
  <c r="AZ74" i="3"/>
  <c r="AZ47" i="3"/>
  <c r="AV61" i="3"/>
  <c r="AZ76" i="3"/>
  <c r="AX61" i="3"/>
  <c r="AZ88" i="3"/>
  <c r="AT88" i="3"/>
  <c r="AY91" i="3"/>
  <c r="AS57" i="3"/>
  <c r="AX81" i="3"/>
  <c r="AV49" i="3"/>
  <c r="AS71" i="3"/>
  <c r="AW93" i="3"/>
  <c r="AY67" i="3"/>
  <c r="AT76" i="3"/>
  <c r="AW57" i="3"/>
  <c r="AZ56" i="3"/>
  <c r="AY70" i="3"/>
  <c r="AF75" i="3"/>
  <c r="AW72" i="3"/>
  <c r="AS83" i="3"/>
  <c r="C62" i="3"/>
  <c r="AX88" i="3"/>
  <c r="AF62" i="3"/>
  <c r="AV78" i="3"/>
  <c r="AV88" i="3"/>
  <c r="AT56" i="3"/>
  <c r="AU92" i="3"/>
  <c r="AT85" i="3"/>
  <c r="AZ54" i="3"/>
  <c r="AV91" i="3"/>
  <c r="AT48" i="3"/>
  <c r="AW78" i="3"/>
  <c r="AV69" i="3"/>
  <c r="AX58" i="3"/>
  <c r="AV95" i="3"/>
  <c r="AF83" i="3"/>
  <c r="AX76" i="3"/>
  <c r="AW49" i="3"/>
  <c r="AX77" i="3"/>
  <c r="C79" i="3"/>
  <c r="AY85" i="3"/>
  <c r="AW54" i="3"/>
  <c r="C71" i="3"/>
  <c r="AY49" i="3"/>
  <c r="C92" i="3"/>
  <c r="AW81" i="3"/>
  <c r="AU60" i="3"/>
  <c r="AZ83" i="3"/>
  <c r="AZ66" i="3"/>
  <c r="AS66" i="3"/>
  <c r="AY64" i="3"/>
  <c r="AX63" i="3"/>
  <c r="AT61" i="3"/>
  <c r="AY92" i="3"/>
  <c r="AS75" i="3"/>
  <c r="AW73" i="3"/>
  <c r="AZ94" i="3"/>
  <c r="AY62" i="3"/>
  <c r="AX87" i="3"/>
  <c r="AS79" i="3"/>
  <c r="AX78" i="3"/>
  <c r="AW55" i="3"/>
  <c r="AS73" i="3"/>
  <c r="AU63" i="3"/>
  <c r="AV58" i="3"/>
  <c r="C84" i="3"/>
  <c r="C80" i="3"/>
  <c r="AS64" i="3"/>
  <c r="AV66" i="3"/>
  <c r="AZ92" i="3"/>
  <c r="C73" i="3"/>
  <c r="AS69" i="3"/>
  <c r="AS88" i="3"/>
  <c r="AT77" i="3"/>
  <c r="AZ77" i="3"/>
  <c r="AF80" i="3"/>
  <c r="AF70" i="3"/>
  <c r="AS76" i="3"/>
  <c r="AY94" i="3"/>
  <c r="AF69" i="3"/>
  <c r="AY68" i="3"/>
  <c r="AY58" i="3"/>
  <c r="C83" i="3"/>
  <c r="AZ70" i="3"/>
  <c r="AZ75" i="3"/>
  <c r="AX67" i="3"/>
  <c r="AX59" i="3"/>
  <c r="C90" i="3"/>
  <c r="AS95" i="3"/>
  <c r="AX50" i="3"/>
  <c r="AZ91" i="3"/>
  <c r="AT93" i="3"/>
  <c r="AY89" i="3"/>
  <c r="AX72" i="3"/>
  <c r="C81" i="3"/>
  <c r="AF61" i="3"/>
  <c r="AT58" i="3"/>
  <c r="AX96" i="3"/>
  <c r="AS85" i="3"/>
  <c r="AS50" i="3"/>
  <c r="AU96" i="3"/>
  <c r="AW58" i="3"/>
  <c r="AU55" i="3"/>
  <c r="AU77" i="3"/>
  <c r="AU79" i="3"/>
  <c r="AV54" i="3"/>
  <c r="AU94" i="3"/>
  <c r="AU69" i="3"/>
  <c r="AU57" i="3"/>
  <c r="AF49" i="3"/>
  <c r="AT55" i="3"/>
  <c r="AW94" i="3"/>
  <c r="AW96" i="3"/>
  <c r="AV65" i="3"/>
  <c r="AW61" i="3"/>
  <c r="C60" i="3"/>
  <c r="AV73" i="3"/>
  <c r="AT90" i="3"/>
  <c r="AS84" i="3"/>
  <c r="C67" i="3"/>
  <c r="AW70" i="3"/>
  <c r="AX79" i="3"/>
  <c r="AY74" i="3"/>
  <c r="AU61" i="3"/>
  <c r="AT62" i="3"/>
  <c r="AW89" i="3"/>
  <c r="AT91" i="3"/>
  <c r="AX73" i="3"/>
  <c r="C82" i="3"/>
  <c r="AY76" i="3"/>
  <c r="C70" i="3"/>
  <c r="AZ69" i="3"/>
  <c r="AS89" i="3"/>
  <c r="AS93" i="3"/>
  <c r="AV64" i="3"/>
  <c r="AS62" i="3"/>
  <c r="AZ95" i="3"/>
  <c r="AV82" i="3"/>
  <c r="AY61" i="3"/>
  <c r="AF47" i="3"/>
  <c r="AU66" i="3"/>
  <c r="AV55" i="3"/>
  <c r="AW65" i="3"/>
  <c r="AF96" i="3"/>
  <c r="AZ58" i="3"/>
  <c r="AX70" i="3"/>
  <c r="AV68" i="3"/>
  <c r="AF63" i="3"/>
  <c r="AT70" i="3"/>
  <c r="AU68" i="3"/>
  <c r="AZ59" i="3"/>
  <c r="AF67" i="3"/>
  <c r="AS63" i="3"/>
  <c r="AU91" i="3"/>
  <c r="AS58" i="3"/>
  <c r="AF93" i="3"/>
  <c r="AS90" i="3"/>
  <c r="AF78" i="3"/>
  <c r="AS60" i="3"/>
  <c r="AW97" i="3"/>
  <c r="AY97" i="3"/>
  <c r="AF89" i="3"/>
  <c r="AY78" i="3"/>
  <c r="AF71" i="3"/>
  <c r="C93" i="3"/>
  <c r="C61" i="3"/>
  <c r="AF94" i="3"/>
  <c r="AV96" i="3"/>
  <c r="AY50" i="3"/>
  <c r="AV72" i="3"/>
  <c r="AY81" i="3"/>
  <c r="AX54" i="3"/>
  <c r="AW91" i="3"/>
  <c r="AF86" i="3"/>
  <c r="AT49" i="3"/>
  <c r="AX94" i="3"/>
  <c r="AT79" i="3"/>
  <c r="AV92" i="3"/>
  <c r="AS77" i="3"/>
  <c r="AT50" i="3"/>
  <c r="AW82" i="3"/>
  <c r="AT94" i="3"/>
  <c r="AU54" i="3"/>
  <c r="AT66" i="3"/>
  <c r="AV93" i="3"/>
  <c r="AF85" i="3"/>
  <c r="AS96" i="3"/>
  <c r="C63" i="3"/>
  <c r="AY87" i="3"/>
  <c r="AT96" i="3"/>
  <c r="AS56" i="3"/>
  <c r="AW56" i="3"/>
  <c r="AZ68" i="3"/>
  <c r="AS55" i="3"/>
  <c r="AT95" i="3"/>
  <c r="AU78" i="3"/>
  <c r="C94" i="3"/>
  <c r="AT65" i="3"/>
  <c r="AW80" i="3"/>
  <c r="AS82" i="3"/>
  <c r="AV63" i="3"/>
  <c r="AW77" i="3"/>
  <c r="AY69" i="3"/>
  <c r="C66" i="3"/>
  <c r="C59" i="3"/>
  <c r="AS80" i="3"/>
  <c r="AZ67" i="3"/>
  <c r="AV86" i="3"/>
  <c r="AX68" i="3"/>
  <c r="AF90" i="3"/>
  <c r="AY86" i="3"/>
  <c r="AV74" i="3"/>
  <c r="C85" i="3"/>
  <c r="AZ96" i="3"/>
  <c r="C76" i="3"/>
  <c r="AS92" i="3"/>
  <c r="AS59" i="3"/>
  <c r="AF68" i="3"/>
  <c r="AT74" i="3"/>
  <c r="AW84" i="3"/>
  <c r="AX90" i="3"/>
  <c r="AF54" i="3"/>
  <c r="AX69" i="3"/>
  <c r="AW76" i="3"/>
  <c r="AY54" i="3"/>
  <c r="AZ79" i="3"/>
  <c r="AU90" i="3"/>
  <c r="AU72" i="3"/>
  <c r="AW95" i="3"/>
  <c r="AT84" i="3"/>
  <c r="AF57" i="3"/>
  <c r="AX75" i="3"/>
  <c r="AU71" i="3"/>
  <c r="AZ89" i="3"/>
  <c r="AY88" i="3"/>
  <c r="AF81" i="3"/>
  <c r="AT81" i="3"/>
  <c r="AT80" i="3"/>
  <c r="AF77" i="3"/>
  <c r="AT67" i="3"/>
  <c r="AZ86" i="3"/>
  <c r="AU48" i="3"/>
  <c r="AW75" i="3"/>
  <c r="AF55" i="3"/>
  <c r="AF66" i="3"/>
  <c r="AW64" i="3"/>
  <c r="AY80" i="3"/>
  <c r="AW68" i="3"/>
  <c r="AX64" i="3"/>
  <c r="C91" i="3"/>
  <c r="AW85" i="3"/>
  <c r="AY71" i="3"/>
  <c r="AU58" i="3"/>
  <c r="AU84" i="3"/>
  <c r="AF79" i="3"/>
  <c r="AF59" i="3"/>
  <c r="AV60" i="3"/>
  <c r="AX57" i="3"/>
  <c r="AU76" i="3"/>
  <c r="AV50" i="3"/>
  <c r="AX65" i="3"/>
  <c r="AS94" i="3"/>
  <c r="AF97" i="3"/>
  <c r="AY56" i="3"/>
  <c r="C64" i="3"/>
  <c r="AW62" i="3"/>
  <c r="C65" i="3"/>
  <c r="C56" i="3"/>
  <c r="AZ48" i="3"/>
  <c r="AZ62" i="3"/>
  <c r="CK155" i="1" l="1"/>
  <c r="CK157" i="1" s="1"/>
  <c r="CK166" i="1" s="1"/>
  <c r="CK191" i="1"/>
  <c r="CK195" i="1" s="1"/>
  <c r="Z198" i="1"/>
  <c r="Z199" i="1" s="1"/>
  <c r="AA198" i="1"/>
  <c r="AA199" i="1" s="1"/>
  <c r="CP36" i="1"/>
  <c r="CM258" i="1"/>
  <c r="CM215" i="1"/>
  <c r="CO133" i="1"/>
  <c r="CN137" i="1"/>
  <c r="Z47" i="1"/>
  <c r="Z64" i="1"/>
  <c r="CI49" i="1"/>
  <c r="CI50" i="1"/>
  <c r="CE73" i="1"/>
  <c r="CF74" i="1"/>
  <c r="CO149" i="1"/>
  <c r="CP149" i="1" s="1"/>
  <c r="CJ243" i="1"/>
  <c r="CJ51" i="1"/>
  <c r="CJ254" i="1" s="1"/>
  <c r="CJ57" i="1"/>
  <c r="CY142" i="1"/>
  <c r="CZ142" i="1" s="1"/>
  <c r="DA142" i="1" s="1"/>
  <c r="DB142" i="1" s="1"/>
  <c r="AE142" i="1" s="1"/>
  <c r="AD142" i="1"/>
  <c r="CH103" i="1"/>
  <c r="CH105" i="1"/>
  <c r="CH104" i="1"/>
  <c r="CK50" i="1"/>
  <c r="CL53" i="1" s="1"/>
  <c r="CK49" i="1"/>
  <c r="Y49" i="1"/>
  <c r="Y50" i="1"/>
  <c r="X50" i="1"/>
  <c r="X49" i="1"/>
  <c r="CH51" i="1"/>
  <c r="CH254" i="1" s="1"/>
  <c r="CH243" i="1"/>
  <c r="CH57" i="1"/>
  <c r="CH53" i="1"/>
  <c r="CG51" i="1"/>
  <c r="CG254" i="1" s="1"/>
  <c r="CG243" i="1"/>
  <c r="CG57" i="1"/>
  <c r="CQ193" i="1"/>
  <c r="CP194" i="1"/>
  <c r="CO191" i="1"/>
  <c r="CO195" i="1" s="1"/>
  <c r="CP190" i="1"/>
  <c r="CR134" i="1"/>
  <c r="BZ134" i="1"/>
  <c r="CA134" i="1" s="1"/>
  <c r="BL82" i="1"/>
  <c r="CF83" i="1"/>
  <c r="CB155" i="1"/>
  <c r="CC155" i="1" s="1"/>
  <c r="CD162" i="1"/>
  <c r="CD192" i="1" s="1"/>
  <c r="CE192" i="1" s="1"/>
  <c r="CB173" i="1"/>
  <c r="CC173" i="1" s="1"/>
  <c r="BL133" i="1"/>
  <c r="BM133" i="1" s="1"/>
  <c r="CD142" i="1"/>
  <c r="CD133" i="1"/>
  <c r="CE133" i="1" s="1"/>
  <c r="CF136" i="1"/>
  <c r="CG136" i="1" s="1"/>
  <c r="CB136" i="1"/>
  <c r="CC136" i="1" s="1"/>
  <c r="CB161" i="1"/>
  <c r="CC161" i="1" s="1"/>
  <c r="CB153" i="1"/>
  <c r="CB188" i="1" s="1"/>
  <c r="CC188" i="1" s="1"/>
  <c r="BZ162" i="1"/>
  <c r="BZ192" i="1" s="1"/>
  <c r="CA192" i="1" s="1"/>
  <c r="BZ173" i="1"/>
  <c r="CA173" i="1" s="1"/>
  <c r="BZ163" i="1"/>
  <c r="CA163" i="1" s="1"/>
  <c r="BZ169" i="1"/>
  <c r="BZ159" i="1"/>
  <c r="CA159" i="1" s="1"/>
  <c r="BZ141" i="1"/>
  <c r="BL154" i="1"/>
  <c r="BL189" i="1" s="1"/>
  <c r="BM189" i="1" s="1"/>
  <c r="BL162" i="1"/>
  <c r="BL192" i="1" s="1"/>
  <c r="BM192" i="1" s="1"/>
  <c r="BL131" i="1"/>
  <c r="BM131" i="1" s="1"/>
  <c r="CA82" i="1"/>
  <c r="CF82" i="1"/>
  <c r="CF155" i="1"/>
  <c r="CG155" i="1" s="1"/>
  <c r="CF142" i="1"/>
  <c r="CB83" i="1"/>
  <c r="CF153" i="1"/>
  <c r="CF188" i="1" s="1"/>
  <c r="CG188" i="1" s="1"/>
  <c r="CG153" i="1" s="1"/>
  <c r="CF131" i="1"/>
  <c r="CG131" i="1" s="1"/>
  <c r="CB158" i="1"/>
  <c r="CC158" i="1" s="1"/>
  <c r="CF173" i="1"/>
  <c r="CG173" i="1" s="1"/>
  <c r="CB134" i="1"/>
  <c r="CC134" i="1" s="1"/>
  <c r="CB172" i="1"/>
  <c r="CC172" i="1" s="1"/>
  <c r="CD83" i="1"/>
  <c r="CB168" i="1"/>
  <c r="CD154" i="1"/>
  <c r="CD189" i="1" s="1"/>
  <c r="CE189" i="1" s="1"/>
  <c r="CD131" i="1"/>
  <c r="CE131" i="1" s="1"/>
  <c r="BL134" i="1"/>
  <c r="CD140" i="1"/>
  <c r="CD160" i="1"/>
  <c r="CE160" i="1" s="1"/>
  <c r="CD168" i="1"/>
  <c r="CD151" i="1"/>
  <c r="CE151" i="1" s="1"/>
  <c r="CF149" i="1"/>
  <c r="CF135" i="1"/>
  <c r="CG135" i="1" s="1"/>
  <c r="CB151" i="1"/>
  <c r="CC151" i="1" s="1"/>
  <c r="BL163" i="1"/>
  <c r="BM163" i="1" s="1"/>
  <c r="BL172" i="1"/>
  <c r="BM172" i="1" s="1"/>
  <c r="BL173" i="1"/>
  <c r="CB135" i="1"/>
  <c r="CC135" i="1" s="1"/>
  <c r="CE83" i="1"/>
  <c r="BZ168" i="1"/>
  <c r="BZ172" i="1"/>
  <c r="CA172" i="1" s="1"/>
  <c r="BZ128" i="1"/>
  <c r="BZ136" i="1"/>
  <c r="CA136" i="1" s="1"/>
  <c r="CF154" i="1"/>
  <c r="CF189" i="1" s="1"/>
  <c r="CG189" i="1" s="1"/>
  <c r="CG154" i="1" s="1"/>
  <c r="CF141" i="1"/>
  <c r="CF158" i="1"/>
  <c r="CB128" i="1"/>
  <c r="CB154" i="1"/>
  <c r="CB189" i="1" s="1"/>
  <c r="CC189" i="1" s="1"/>
  <c r="CD169" i="1"/>
  <c r="CD161" i="1"/>
  <c r="CE161" i="1" s="1"/>
  <c r="CB82" i="1"/>
  <c r="BZ164" i="1"/>
  <c r="CA164" i="1" s="1"/>
  <c r="BZ142" i="1"/>
  <c r="BZ126" i="1"/>
  <c r="BZ156" i="1"/>
  <c r="CA156" i="1" s="1"/>
  <c r="BZ83" i="1"/>
  <c r="BZ133" i="1"/>
  <c r="CA133" i="1" s="1"/>
  <c r="BZ135" i="1"/>
  <c r="CA135" i="1" s="1"/>
  <c r="BZ151" i="1"/>
  <c r="CA151" i="1" s="1"/>
  <c r="BZ140" i="1"/>
  <c r="BL142" i="1"/>
  <c r="BL158" i="1"/>
  <c r="BM158" i="1" s="1"/>
  <c r="CF133" i="1"/>
  <c r="CF162" i="1"/>
  <c r="CF192" i="1" s="1"/>
  <c r="CG192" i="1" s="1"/>
  <c r="CG162" i="1" s="1"/>
  <c r="CD163" i="1"/>
  <c r="CE163" i="1" s="1"/>
  <c r="CF163" i="1"/>
  <c r="CG163" i="1" s="1"/>
  <c r="CB140" i="1"/>
  <c r="CB163" i="1"/>
  <c r="CC163" i="1" s="1"/>
  <c r="BY83" i="1"/>
  <c r="CD172" i="1"/>
  <c r="CE172" i="1" s="1"/>
  <c r="CD144" i="1"/>
  <c r="CE144" i="1" s="1"/>
  <c r="BL169" i="1"/>
  <c r="CB162" i="1"/>
  <c r="CB192" i="1" s="1"/>
  <c r="CC192" i="1" s="1"/>
  <c r="CB127" i="1"/>
  <c r="CC127" i="1" s="1"/>
  <c r="BL159" i="1"/>
  <c r="BM159" i="1" s="1"/>
  <c r="CD136" i="1"/>
  <c r="CE136" i="1" s="1"/>
  <c r="CD156" i="1"/>
  <c r="CE156" i="1" s="1"/>
  <c r="CD128" i="1"/>
  <c r="CD155" i="1"/>
  <c r="CE155" i="1" s="1"/>
  <c r="CD164" i="1"/>
  <c r="CE164" i="1" s="1"/>
  <c r="CD149" i="1"/>
  <c r="CE149" i="1" s="1"/>
  <c r="CF126" i="1"/>
  <c r="CF127" i="1"/>
  <c r="CG127" i="1" s="1"/>
  <c r="CF160" i="1"/>
  <c r="CG160" i="1" s="1"/>
  <c r="CF172" i="1"/>
  <c r="CG172" i="1" s="1"/>
  <c r="CB169" i="1"/>
  <c r="CB149" i="1"/>
  <c r="AI83" i="1"/>
  <c r="BL156" i="1"/>
  <c r="BM156" i="1" s="1"/>
  <c r="BL144" i="1"/>
  <c r="BM144" i="1" s="1"/>
  <c r="BL135" i="1"/>
  <c r="BM135" i="1" s="1"/>
  <c r="CB133" i="1"/>
  <c r="CC133" i="1" s="1"/>
  <c r="BL155" i="1"/>
  <c r="BM155" i="1" s="1"/>
  <c r="BZ144" i="1"/>
  <c r="CA144" i="1" s="1"/>
  <c r="BZ82" i="1"/>
  <c r="BL161" i="1"/>
  <c r="BM161" i="1" s="1"/>
  <c r="CB141" i="1"/>
  <c r="CF156" i="1"/>
  <c r="CG156" i="1" s="1"/>
  <c r="CB156" i="1"/>
  <c r="CC156" i="1" s="1"/>
  <c r="CD82" i="1"/>
  <c r="CC83" i="1"/>
  <c r="CD127" i="1"/>
  <c r="CE127" i="1" s="1"/>
  <c r="BL128" i="1"/>
  <c r="CD134" i="1"/>
  <c r="CE134" i="1" s="1"/>
  <c r="CF168" i="1"/>
  <c r="CF161" i="1"/>
  <c r="CG161" i="1" s="1"/>
  <c r="CE82" i="1"/>
  <c r="BZ154" i="1"/>
  <c r="BZ189" i="1" s="1"/>
  <c r="CA189" i="1" s="1"/>
  <c r="BZ131" i="1"/>
  <c r="CA131" i="1" s="1"/>
  <c r="BZ153" i="1"/>
  <c r="BZ188" i="1" s="1"/>
  <c r="CA188" i="1" s="1"/>
  <c r="BZ127" i="1"/>
  <c r="CA127" i="1" s="1"/>
  <c r="BZ158" i="1"/>
  <c r="BZ160" i="1"/>
  <c r="CA160" i="1" s="1"/>
  <c r="BZ155" i="1"/>
  <c r="CA155" i="1" s="1"/>
  <c r="BZ149" i="1"/>
  <c r="CA149" i="1" s="1"/>
  <c r="BZ161" i="1"/>
  <c r="CA161" i="1" s="1"/>
  <c r="BL164" i="1"/>
  <c r="BM164" i="1" s="1"/>
  <c r="BL153" i="1"/>
  <c r="BL188" i="1" s="1"/>
  <c r="BM188" i="1" s="1"/>
  <c r="BL140" i="1"/>
  <c r="BL141" i="1"/>
  <c r="CA83" i="1"/>
  <c r="CF164" i="1"/>
  <c r="CG164" i="1" s="1"/>
  <c r="CF159" i="1"/>
  <c r="CG159" i="1" s="1"/>
  <c r="CF169" i="1"/>
  <c r="CB126" i="1"/>
  <c r="CC126" i="1" s="1"/>
  <c r="CF140" i="1"/>
  <c r="CF128" i="1"/>
  <c r="CG128" i="1" s="1"/>
  <c r="CF134" i="1"/>
  <c r="CG134" i="1" s="1"/>
  <c r="CD135" i="1"/>
  <c r="CE135" i="1" s="1"/>
  <c r="CB164" i="1"/>
  <c r="CC164" i="1" s="1"/>
  <c r="CB144" i="1"/>
  <c r="CC144" i="1" s="1"/>
  <c r="CB160" i="1"/>
  <c r="CC160" i="1" s="1"/>
  <c r="CD126" i="1"/>
  <c r="BL149" i="1"/>
  <c r="CB142" i="1"/>
  <c r="BL136" i="1"/>
  <c r="BM136" i="1" s="1"/>
  <c r="CD141" i="1"/>
  <c r="CD153" i="1"/>
  <c r="CD188" i="1" s="1"/>
  <c r="CE188" i="1" s="1"/>
  <c r="CD159" i="1"/>
  <c r="CE159" i="1" s="1"/>
  <c r="CD158" i="1"/>
  <c r="CE158" i="1" s="1"/>
  <c r="CD173" i="1"/>
  <c r="CE173" i="1" s="1"/>
  <c r="CF144" i="1"/>
  <c r="CG144" i="1" s="1"/>
  <c r="CF151" i="1"/>
  <c r="CG151" i="1" s="1"/>
  <c r="CC82" i="1"/>
  <c r="CB159" i="1"/>
  <c r="CC159" i="1" s="1"/>
  <c r="CB131" i="1"/>
  <c r="CC131" i="1" s="1"/>
  <c r="BL168" i="1"/>
  <c r="BL126" i="1"/>
  <c r="BM126" i="1" s="1"/>
  <c r="BL160" i="1"/>
  <c r="BM160" i="1" s="1"/>
  <c r="BL151" i="1"/>
  <c r="BM151" i="1" s="1"/>
  <c r="BL127" i="1"/>
  <c r="BM127" i="1" s="1"/>
  <c r="BL262" i="1"/>
  <c r="CH107" i="1"/>
  <c r="CH108" i="1" s="1"/>
  <c r="CB146" i="1"/>
  <c r="CC146" i="1" s="1"/>
  <c r="CF146" i="1"/>
  <c r="CG146" i="1" s="1"/>
  <c r="CD146" i="1"/>
  <c r="CE146" i="1" s="1"/>
  <c r="BL146" i="1"/>
  <c r="BM146" i="1" s="1"/>
  <c r="BZ146" i="1"/>
  <c r="CA146" i="1" s="1"/>
  <c r="BL152" i="1"/>
  <c r="CD152" i="1"/>
  <c r="CB152" i="1"/>
  <c r="CF152" i="1"/>
  <c r="BZ152" i="1"/>
  <c r="CA261" i="1"/>
  <c r="JJ21" i="4"/>
  <c r="CD86" i="1" s="1"/>
  <c r="CA19" i="1"/>
  <c r="CA25" i="1" s="1"/>
  <c r="CA26" i="1" s="1"/>
  <c r="JK14" i="4"/>
  <c r="BL19" i="1"/>
  <c r="BL25" i="1" s="1"/>
  <c r="BY19" i="1"/>
  <c r="BY25" i="1" s="1"/>
  <c r="BL203" i="1"/>
  <c r="CF19" i="1"/>
  <c r="AA67" i="1" s="1"/>
  <c r="CF261" i="1"/>
  <c r="JL21" i="4"/>
  <c r="CF86" i="1" s="1"/>
  <c r="CF107" i="1"/>
  <c r="CF108" i="1" s="1"/>
  <c r="CB35" i="1"/>
  <c r="CE240" i="1"/>
  <c r="CC262" i="1"/>
  <c r="CA35" i="1"/>
  <c r="CE261" i="1"/>
  <c r="CC261" i="1"/>
  <c r="JM7" i="4"/>
  <c r="CA262" i="1"/>
  <c r="JJ8" i="4"/>
  <c r="CF35" i="1"/>
  <c r="BZ261" i="1"/>
  <c r="BZ19" i="1"/>
  <c r="CA203" i="1"/>
  <c r="CD262" i="1"/>
  <c r="CB107" i="1"/>
  <c r="JK21" i="4"/>
  <c r="CE86" i="1" s="1"/>
  <c r="JK15" i="4"/>
  <c r="CD261" i="1"/>
  <c r="JL14" i="4"/>
  <c r="CC35" i="1"/>
  <c r="BY35" i="1"/>
  <c r="CI107" i="1"/>
  <c r="CI108" i="1" s="1"/>
  <c r="CI111" i="1" s="1"/>
  <c r="CF240" i="1"/>
  <c r="BY262" i="1"/>
  <c r="JL8" i="4"/>
  <c r="CE35" i="1"/>
  <c r="BL261" i="1"/>
  <c r="CE107" i="1"/>
  <c r="CD19" i="1"/>
  <c r="CD25" i="1" s="1"/>
  <c r="CH27" i="1" s="1"/>
  <c r="CC19" i="1"/>
  <c r="CD203" i="1"/>
  <c r="CE19" i="1"/>
  <c r="CG107" i="1"/>
  <c r="CG108" i="1" s="1"/>
  <c r="CD107" i="1"/>
  <c r="CB19" i="1"/>
  <c r="CB25" i="1" s="1"/>
  <c r="CB261" i="1"/>
  <c r="CC107" i="1"/>
  <c r="JJ15" i="4"/>
  <c r="CB262" i="1"/>
  <c r="BY261" i="1"/>
  <c r="CD35" i="1"/>
  <c r="JM8" i="4"/>
  <c r="JL7" i="4"/>
  <c r="CF262" i="1"/>
  <c r="JJ7" i="4"/>
  <c r="JK8" i="4"/>
  <c r="JM21" i="4"/>
  <c r="CG86" i="1" s="1"/>
  <c r="BZ262" i="1"/>
  <c r="CE262" i="1"/>
  <c r="JK7" i="4"/>
  <c r="BL35" i="1"/>
  <c r="JL15" i="4"/>
  <c r="BZ35" i="1"/>
  <c r="JM14" i="4"/>
  <c r="JM15" i="4"/>
  <c r="JJ14" i="4"/>
  <c r="CR26" i="1"/>
  <c r="CS26" i="1" s="1"/>
  <c r="CS189" i="1"/>
  <c r="CS192" i="1"/>
  <c r="CS188" i="1"/>
  <c r="AD55" i="1"/>
  <c r="CZ55" i="1"/>
  <c r="DA55" i="1" s="1"/>
  <c r="DB55" i="1" s="1"/>
  <c r="AE44" i="1"/>
  <c r="U17" i="1"/>
  <c r="V17" i="1"/>
  <c r="W17" i="1"/>
  <c r="CM49" i="1" l="1"/>
  <c r="CN49" i="1" s="1"/>
  <c r="CO49" i="1" s="1"/>
  <c r="CQ36" i="1"/>
  <c r="CR36" i="1" s="1"/>
  <c r="CK57" i="1"/>
  <c r="CK51" i="1"/>
  <c r="CK52" i="1"/>
  <c r="CK53" i="1"/>
  <c r="CD73" i="1"/>
  <c r="CE74" i="1"/>
  <c r="CE108" i="1" s="1"/>
  <c r="CE111" i="1" s="1"/>
  <c r="Z50" i="1"/>
  <c r="AA52" i="1" s="1"/>
  <c r="Z49" i="1"/>
  <c r="CJ61" i="1"/>
  <c r="CJ75" i="1"/>
  <c r="CJ202" i="1"/>
  <c r="CJ204" i="1" s="1"/>
  <c r="CO211" i="1"/>
  <c r="CI51" i="1"/>
  <c r="CI254" i="1" s="1"/>
  <c r="CI243" i="1"/>
  <c r="CI57" i="1"/>
  <c r="CJ236" i="1"/>
  <c r="CJ53" i="1"/>
  <c r="CN258" i="1"/>
  <c r="CN215" i="1"/>
  <c r="CP211" i="1"/>
  <c r="CQ149" i="1"/>
  <c r="CP133" i="1"/>
  <c r="CO137" i="1"/>
  <c r="CI53" i="1"/>
  <c r="CH202" i="1"/>
  <c r="CH204" i="1" s="1"/>
  <c r="CH75" i="1"/>
  <c r="CH61" i="1"/>
  <c r="CJ63" i="1"/>
  <c r="X51" i="1"/>
  <c r="X254" i="1" s="1"/>
  <c r="Y52" i="1"/>
  <c r="X57" i="1"/>
  <c r="X243" i="1"/>
  <c r="Y51" i="1"/>
  <c r="Y254" i="1" s="1"/>
  <c r="Y57" i="1"/>
  <c r="Y243" i="1"/>
  <c r="CG61" i="1"/>
  <c r="CG75" i="1"/>
  <c r="CG202" i="1"/>
  <c r="CG204" i="1" s="1"/>
  <c r="CR193" i="1"/>
  <c r="CQ194" i="1"/>
  <c r="CP191" i="1"/>
  <c r="CP195" i="1" s="1"/>
  <c r="CQ190" i="1"/>
  <c r="CS134" i="1"/>
  <c r="BZ170" i="1"/>
  <c r="BL170" i="1"/>
  <c r="CB211" i="1"/>
  <c r="CA126" i="1"/>
  <c r="BZ129" i="1"/>
  <c r="BL129" i="1"/>
  <c r="CB170" i="1"/>
  <c r="CC218" i="1" s="1"/>
  <c r="CG133" i="1"/>
  <c r="CG137" i="1" s="1"/>
  <c r="CF137" i="1"/>
  <c r="CD143" i="1"/>
  <c r="CE42" i="1" s="1"/>
  <c r="CC149" i="1"/>
  <c r="CD211" i="1" s="1"/>
  <c r="CE126" i="1"/>
  <c r="CD129" i="1"/>
  <c r="BM149" i="1"/>
  <c r="BM211" i="1" s="1"/>
  <c r="CD170" i="1"/>
  <c r="CF211" i="1"/>
  <c r="CE137" i="1"/>
  <c r="BM134" i="1"/>
  <c r="BM137" i="1" s="1"/>
  <c r="BL137" i="1"/>
  <c r="CG149" i="1"/>
  <c r="CG158" i="1"/>
  <c r="CG165" i="1" s="1"/>
  <c r="CF165" i="1"/>
  <c r="CF194" i="1" s="1"/>
  <c r="CF193" i="1" s="1"/>
  <c r="CG126" i="1"/>
  <c r="CG129" i="1" s="1"/>
  <c r="CF129" i="1"/>
  <c r="CF101" i="1" s="1"/>
  <c r="CF103" i="1" s="1"/>
  <c r="CA158" i="1"/>
  <c r="BZ165" i="1"/>
  <c r="BZ194" i="1" s="1"/>
  <c r="BZ193" i="1" s="1"/>
  <c r="BZ143" i="1"/>
  <c r="BZ147" i="1" s="1"/>
  <c r="CA137" i="1"/>
  <c r="CB143" i="1"/>
  <c r="CF170" i="1"/>
  <c r="BL143" i="1"/>
  <c r="CF143" i="1"/>
  <c r="CF147" i="1" s="1"/>
  <c r="CC137" i="1"/>
  <c r="CB137" i="1"/>
  <c r="CE211" i="1"/>
  <c r="BZ137" i="1"/>
  <c r="CB165" i="1"/>
  <c r="CB194" i="1" s="1"/>
  <c r="CB193" i="1" s="1"/>
  <c r="BL165" i="1"/>
  <c r="BL194" i="1" s="1"/>
  <c r="BL193" i="1" s="1"/>
  <c r="CD165" i="1"/>
  <c r="CD194" i="1" s="1"/>
  <c r="CD193" i="1" s="1"/>
  <c r="CB129" i="1"/>
  <c r="CD137" i="1"/>
  <c r="CH111" i="1"/>
  <c r="CH112" i="1"/>
  <c r="CH113" i="1"/>
  <c r="BM152" i="1"/>
  <c r="BL157" i="1"/>
  <c r="CE152" i="1"/>
  <c r="CD157" i="1"/>
  <c r="CC152" i="1"/>
  <c r="CB157" i="1"/>
  <c r="CG152" i="1"/>
  <c r="CG157" i="1" s="1"/>
  <c r="CG191" i="1" s="1"/>
  <c r="CG190" i="1" s="1"/>
  <c r="CF157" i="1"/>
  <c r="CA152" i="1"/>
  <c r="BZ157" i="1"/>
  <c r="CA36" i="1"/>
  <c r="CA21" i="1"/>
  <c r="JK19" i="4"/>
  <c r="CE87" i="1" s="1"/>
  <c r="BL36" i="1"/>
  <c r="CC20" i="1"/>
  <c r="CC36" i="1"/>
  <c r="CI234" i="1"/>
  <c r="CF25" i="1"/>
  <c r="CG21" i="1"/>
  <c r="CJ20" i="1"/>
  <c r="BY36" i="1"/>
  <c r="JL20" i="4"/>
  <c r="CF88" i="1" s="1"/>
  <c r="CF113" i="1" s="1"/>
  <c r="BZ25" i="1"/>
  <c r="CD27" i="1" s="1"/>
  <c r="CF36" i="1"/>
  <c r="Y67" i="1"/>
  <c r="JJ19" i="4"/>
  <c r="CD87" i="1" s="1"/>
  <c r="JM20" i="4"/>
  <c r="CG88" i="1" s="1"/>
  <c r="CD36" i="1"/>
  <c r="JM19" i="4"/>
  <c r="CG87" i="1" s="1"/>
  <c r="CE162" i="1"/>
  <c r="CE165" i="1" s="1"/>
  <c r="CE194" i="1" s="1"/>
  <c r="CE193" i="1" s="1"/>
  <c r="CF111" i="1"/>
  <c r="JJ20" i="4"/>
  <c r="CD88" i="1" s="1"/>
  <c r="JL19" i="4"/>
  <c r="CF87" i="1" s="1"/>
  <c r="JK20" i="4"/>
  <c r="CE88" i="1" s="1"/>
  <c r="CA37" i="1"/>
  <c r="CA241" i="1" s="1"/>
  <c r="CA242" i="1" s="1"/>
  <c r="CD197" i="1"/>
  <c r="CD20" i="1"/>
  <c r="BZ21" i="1"/>
  <c r="CD234" i="1"/>
  <c r="BZ36" i="1"/>
  <c r="CE153" i="1"/>
  <c r="CE197" i="1"/>
  <c r="CG197" i="1"/>
  <c r="CF20" i="1"/>
  <c r="CH234" i="1"/>
  <c r="CJ197" i="1"/>
  <c r="CE36" i="1"/>
  <c r="CC25" i="1"/>
  <c r="CC28" i="1" s="1"/>
  <c r="CF234" i="1"/>
  <c r="CB21" i="1"/>
  <c r="CH253" i="1"/>
  <c r="Z67" i="1"/>
  <c r="CE20" i="1"/>
  <c r="CG111" i="1"/>
  <c r="CG234" i="1"/>
  <c r="CF21" i="1"/>
  <c r="CF197" i="1"/>
  <c r="CE234" i="1"/>
  <c r="CC21" i="1"/>
  <c r="CC234" i="1"/>
  <c r="CE154" i="1"/>
  <c r="CB36" i="1"/>
  <c r="CB26" i="1"/>
  <c r="CB37" i="1"/>
  <c r="CB28" i="1"/>
  <c r="CD37" i="1"/>
  <c r="CH39" i="1" s="1"/>
  <c r="CD21" i="1"/>
  <c r="CH20" i="1"/>
  <c r="CI197" i="1"/>
  <c r="CI112" i="1"/>
  <c r="CE25" i="1"/>
  <c r="CE28" i="1" s="1"/>
  <c r="CI20" i="1"/>
  <c r="CD26" i="1"/>
  <c r="CI113" i="1"/>
  <c r="CG20" i="1"/>
  <c r="CE21" i="1"/>
  <c r="CH197" i="1"/>
  <c r="CA211" i="1"/>
  <c r="BL26" i="1"/>
  <c r="BL37" i="1"/>
  <c r="BY26" i="1"/>
  <c r="BY37" i="1"/>
  <c r="CT26" i="1"/>
  <c r="CU26" i="1" s="1"/>
  <c r="CT188" i="1"/>
  <c r="CT192" i="1"/>
  <c r="CT189" i="1"/>
  <c r="AE55" i="1"/>
  <c r="V240" i="1"/>
  <c r="W240" i="1"/>
  <c r="U240" i="1"/>
  <c r="CP49" i="1" l="1"/>
  <c r="CQ49" i="1" s="1"/>
  <c r="CR49" i="1" s="1"/>
  <c r="CF37" i="1"/>
  <c r="AA69" i="1" s="1"/>
  <c r="AA68" i="1"/>
  <c r="Z52" i="1"/>
  <c r="CE117" i="1"/>
  <c r="CS36" i="1"/>
  <c r="CT36" i="1" s="1"/>
  <c r="CO258" i="1"/>
  <c r="CO215" i="1"/>
  <c r="CQ133" i="1"/>
  <c r="CP137" i="1"/>
  <c r="CI75" i="1"/>
  <c r="CJ78" i="1" s="1"/>
  <c r="CI202" i="1"/>
  <c r="CI204" i="1" s="1"/>
  <c r="CI128" i="1"/>
  <c r="CI129" i="1" s="1"/>
  <c r="CI61" i="1"/>
  <c r="CC73" i="1"/>
  <c r="CD74" i="1"/>
  <c r="CD108" i="1" s="1"/>
  <c r="CD111" i="1" s="1"/>
  <c r="CQ211" i="1"/>
  <c r="CR149" i="1"/>
  <c r="Z57" i="1"/>
  <c r="Z51" i="1"/>
  <c r="Z254" i="1" s="1"/>
  <c r="Z243" i="1"/>
  <c r="CK61" i="1"/>
  <c r="CK128" i="1"/>
  <c r="CK129" i="1" s="1"/>
  <c r="CK75" i="1"/>
  <c r="Y63" i="1"/>
  <c r="Y61" i="1"/>
  <c r="Y216" i="1"/>
  <c r="Y214" i="1" s="1"/>
  <c r="Y202" i="1"/>
  <c r="Y204" i="1" s="1"/>
  <c r="Y208" i="1" s="1"/>
  <c r="Y222" i="1" s="1"/>
  <c r="X63" i="1"/>
  <c r="X61" i="1"/>
  <c r="X202" i="1"/>
  <c r="X204" i="1" s="1"/>
  <c r="CS49" i="1"/>
  <c r="CT49" i="1" s="1"/>
  <c r="CC211" i="1"/>
  <c r="CG258" i="1"/>
  <c r="CS193" i="1"/>
  <c r="CR194" i="1"/>
  <c r="CQ191" i="1"/>
  <c r="CQ195" i="1" s="1"/>
  <c r="CR190" i="1"/>
  <c r="CH211" i="1"/>
  <c r="CG211" i="1"/>
  <c r="CA218" i="1"/>
  <c r="BZ257" i="1"/>
  <c r="CT134" i="1"/>
  <c r="CD215" i="1"/>
  <c r="CF258" i="1"/>
  <c r="BM218" i="1"/>
  <c r="BL257" i="1"/>
  <c r="CF215" i="1"/>
  <c r="CF138" i="1"/>
  <c r="BL138" i="1"/>
  <c r="BL177" i="1"/>
  <c r="BL118" i="1" s="1"/>
  <c r="CA42" i="1"/>
  <c r="CA143" i="1"/>
  <c r="CB147" i="1"/>
  <c r="CC42" i="1"/>
  <c r="CC143" i="1"/>
  <c r="BZ177" i="1"/>
  <c r="BZ138" i="1"/>
  <c r="CF104" i="1"/>
  <c r="CD147" i="1"/>
  <c r="CE143" i="1"/>
  <c r="CE218" i="1"/>
  <c r="CD257" i="1"/>
  <c r="CA258" i="1"/>
  <c r="CA215" i="1"/>
  <c r="BM215" i="1"/>
  <c r="BM258" i="1"/>
  <c r="CH216" i="1"/>
  <c r="CG101" i="1"/>
  <c r="CG104" i="1" s="1"/>
  <c r="CG216" i="1"/>
  <c r="CG218" i="1"/>
  <c r="CF177" i="1"/>
  <c r="CF257" i="1"/>
  <c r="BM143" i="1"/>
  <c r="BM147" i="1" s="1"/>
  <c r="BL147" i="1"/>
  <c r="BL255" i="1" s="1"/>
  <c r="CG42" i="1"/>
  <c r="CG143" i="1"/>
  <c r="CH258" i="1"/>
  <c r="CH260" i="1" s="1"/>
  <c r="CH215" i="1"/>
  <c r="CG138" i="1"/>
  <c r="CG215" i="1"/>
  <c r="CB258" i="1"/>
  <c r="CB138" i="1"/>
  <c r="CB177" i="1"/>
  <c r="CB215" i="1"/>
  <c r="CB257" i="1"/>
  <c r="CC258" i="1"/>
  <c r="CC215" i="1"/>
  <c r="CE215" i="1"/>
  <c r="CD258" i="1"/>
  <c r="CD138" i="1"/>
  <c r="CD177" i="1"/>
  <c r="CE258" i="1"/>
  <c r="BL191" i="1"/>
  <c r="BL166" i="1"/>
  <c r="CD191" i="1"/>
  <c r="CD166" i="1"/>
  <c r="CB191" i="1"/>
  <c r="CB166" i="1"/>
  <c r="CF191" i="1"/>
  <c r="CF166" i="1"/>
  <c r="CF174" i="1" s="1"/>
  <c r="BZ191" i="1"/>
  <c r="BZ166" i="1"/>
  <c r="BZ174" i="1" s="1"/>
  <c r="CE112" i="1"/>
  <c r="CE116" i="1"/>
  <c r="BZ28" i="1"/>
  <c r="BZ37" i="1"/>
  <c r="BZ26" i="1"/>
  <c r="CA28" i="1"/>
  <c r="CG194" i="1"/>
  <c r="CH206" i="1"/>
  <c r="CG206" i="1"/>
  <c r="CJ27" i="1"/>
  <c r="CF26" i="1"/>
  <c r="CG28" i="1"/>
  <c r="CF27" i="1"/>
  <c r="BZ255" i="1"/>
  <c r="CF255" i="1"/>
  <c r="CF253" i="1"/>
  <c r="CF117" i="1"/>
  <c r="CF105" i="1"/>
  <c r="CG117" i="1"/>
  <c r="CG113" i="1"/>
  <c r="CG116" i="1"/>
  <c r="CG112" i="1"/>
  <c r="CF116" i="1"/>
  <c r="CF112" i="1"/>
  <c r="CG40" i="1"/>
  <c r="CI121" i="1"/>
  <c r="CG27" i="1"/>
  <c r="CC26" i="1"/>
  <c r="Y68" i="1"/>
  <c r="CC37" i="1"/>
  <c r="CC43" i="1" s="1"/>
  <c r="CC47" i="1" s="1"/>
  <c r="CD28" i="1"/>
  <c r="CC27" i="1"/>
  <c r="CE157" i="1"/>
  <c r="CE206" i="1"/>
  <c r="CG205" i="1"/>
  <c r="CF206" i="1"/>
  <c r="CA43" i="1"/>
  <c r="CA47" i="1" s="1"/>
  <c r="CA50" i="1" s="1"/>
  <c r="CA57" i="1" s="1"/>
  <c r="CA202" i="1" s="1"/>
  <c r="CA204" i="1" s="1"/>
  <c r="CI235" i="1"/>
  <c r="CA38" i="1"/>
  <c r="CG259" i="1"/>
  <c r="CE113" i="1"/>
  <c r="CF38" i="1"/>
  <c r="CF241" i="1"/>
  <c r="CF242" i="1" s="1"/>
  <c r="CJ39" i="1"/>
  <c r="CF43" i="1"/>
  <c r="CG166" i="1"/>
  <c r="CH205" i="1"/>
  <c r="CD38" i="1"/>
  <c r="CB38" i="1"/>
  <c r="CB241" i="1"/>
  <c r="CB242" i="1" s="1"/>
  <c r="CB43" i="1"/>
  <c r="CB47" i="1" s="1"/>
  <c r="CB40" i="1"/>
  <c r="CB259" i="1"/>
  <c r="CF39" i="1"/>
  <c r="CD241" i="1"/>
  <c r="CD242" i="1" s="1"/>
  <c r="CD43" i="1"/>
  <c r="CD47" i="1" s="1"/>
  <c r="CD50" i="1" s="1"/>
  <c r="CD243" i="1" s="1"/>
  <c r="CF28" i="1"/>
  <c r="CE27" i="1"/>
  <c r="CI27" i="1"/>
  <c r="Z68" i="1"/>
  <c r="CE37" i="1"/>
  <c r="CG235" i="1" s="1"/>
  <c r="CE26" i="1"/>
  <c r="BY43" i="1"/>
  <c r="BY47" i="1" s="1"/>
  <c r="BY38" i="1"/>
  <c r="BL43" i="1"/>
  <c r="BL47" i="1" s="1"/>
  <c r="BL38" i="1"/>
  <c r="CV26" i="1"/>
  <c r="CU188" i="1"/>
  <c r="CU189" i="1"/>
  <c r="CU192" i="1"/>
  <c r="AB159" i="1"/>
  <c r="A1" i="1"/>
  <c r="CD101" i="1" l="1"/>
  <c r="CD103" i="1" s="1"/>
  <c r="CD113" i="1"/>
  <c r="CD112" i="1"/>
  <c r="CJ96" i="1"/>
  <c r="CJ95" i="1"/>
  <c r="CJ94" i="1"/>
  <c r="CD117" i="1"/>
  <c r="CK78" i="1"/>
  <c r="CU36" i="1"/>
  <c r="CV36" i="1" s="1"/>
  <c r="CJ216" i="1"/>
  <c r="CJ214" i="1" s="1"/>
  <c r="CI216" i="1"/>
  <c r="CI214" i="1" s="1"/>
  <c r="CI138" i="1"/>
  <c r="CI64" i="1" s="1"/>
  <c r="CI101" i="1"/>
  <c r="CD105" i="1"/>
  <c r="CD116" i="1"/>
  <c r="CD104" i="1"/>
  <c r="CK216" i="1"/>
  <c r="CK138" i="1"/>
  <c r="Z63" i="1"/>
  <c r="Z61" i="1"/>
  <c r="Z202" i="1"/>
  <c r="Z204" i="1" s="1"/>
  <c r="Z208" i="1" s="1"/>
  <c r="Z222" i="1" s="1"/>
  <c r="Z216" i="1"/>
  <c r="Z214" i="1" s="1"/>
  <c r="CR211" i="1"/>
  <c r="CS149" i="1"/>
  <c r="CB73" i="1"/>
  <c r="CC74" i="1"/>
  <c r="CC108" i="1" s="1"/>
  <c r="CR133" i="1"/>
  <c r="CQ137" i="1"/>
  <c r="CP258" i="1"/>
  <c r="CP215" i="1"/>
  <c r="Y219" i="1"/>
  <c r="Y220" i="1" s="1"/>
  <c r="CG260" i="1"/>
  <c r="CT193" i="1"/>
  <c r="CS194" i="1"/>
  <c r="CF175" i="1"/>
  <c r="CR191" i="1"/>
  <c r="CR195" i="1" s="1"/>
  <c r="CS190" i="1"/>
  <c r="CA147" i="1"/>
  <c r="CB42" i="1"/>
  <c r="CB174" i="1"/>
  <c r="CB175" i="1" s="1"/>
  <c r="CD174" i="1"/>
  <c r="CD175" i="1" s="1"/>
  <c r="CU134" i="1"/>
  <c r="CB255" i="1"/>
  <c r="CB253" i="1"/>
  <c r="CE147" i="1"/>
  <c r="CF42" i="1"/>
  <c r="CB260" i="1"/>
  <c r="CG214" i="1"/>
  <c r="BZ175" i="1"/>
  <c r="CD42" i="1"/>
  <c r="CC147" i="1"/>
  <c r="BZ118" i="1"/>
  <c r="CA46" i="1"/>
  <c r="CD253" i="1"/>
  <c r="CD255" i="1"/>
  <c r="CH214" i="1"/>
  <c r="CG103" i="1"/>
  <c r="CG105" i="1"/>
  <c r="CF118" i="1"/>
  <c r="CG46" i="1"/>
  <c r="CH42" i="1"/>
  <c r="CG147" i="1"/>
  <c r="CB118" i="1"/>
  <c r="CC46" i="1"/>
  <c r="CD118" i="1"/>
  <c r="CE46" i="1"/>
  <c r="CF190" i="1"/>
  <c r="CF195" i="1"/>
  <c r="CJ198" i="1" s="1"/>
  <c r="BL195" i="1"/>
  <c r="BL190" i="1"/>
  <c r="CD195" i="1"/>
  <c r="CD190" i="1"/>
  <c r="CB195" i="1"/>
  <c r="CB190" i="1"/>
  <c r="BZ190" i="1"/>
  <c r="BZ195" i="1"/>
  <c r="CG207" i="1"/>
  <c r="CG208" i="1" s="1"/>
  <c r="BZ38" i="1"/>
  <c r="BZ43" i="1"/>
  <c r="CA259" i="1"/>
  <c r="CA260" i="1" s="1"/>
  <c r="CA40" i="1"/>
  <c r="BZ241" i="1"/>
  <c r="BZ242" i="1" s="1"/>
  <c r="CD39" i="1"/>
  <c r="BZ40" i="1"/>
  <c r="BZ259" i="1"/>
  <c r="CB121" i="1"/>
  <c r="CH207" i="1"/>
  <c r="CH208" i="1" s="1"/>
  <c r="CD121" i="1"/>
  <c r="CC259" i="1"/>
  <c r="CC260" i="1" s="1"/>
  <c r="CE205" i="1"/>
  <c r="CE207" i="1" s="1"/>
  <c r="CE166" i="1"/>
  <c r="CG193" i="1"/>
  <c r="CG195" i="1"/>
  <c r="CC241" i="1"/>
  <c r="CC242" i="1" s="1"/>
  <c r="CG39" i="1"/>
  <c r="Y69" i="1"/>
  <c r="CC38" i="1"/>
  <c r="CC235" i="1"/>
  <c r="CD259" i="1"/>
  <c r="CD260" i="1" s="1"/>
  <c r="CC121" i="1"/>
  <c r="CD235" i="1"/>
  <c r="CC40" i="1"/>
  <c r="CD40" i="1"/>
  <c r="CC39" i="1"/>
  <c r="CC50" i="1"/>
  <c r="CC49" i="1"/>
  <c r="CF47" i="1"/>
  <c r="CE191" i="1"/>
  <c r="CF205" i="1"/>
  <c r="CF207" i="1" s="1"/>
  <c r="CA49" i="1"/>
  <c r="CA128" i="1"/>
  <c r="CA129" i="1" s="1"/>
  <c r="CH52" i="1"/>
  <c r="CD49" i="1"/>
  <c r="CA61" i="1"/>
  <c r="CA243" i="1"/>
  <c r="CA51" i="1"/>
  <c r="CA254" i="1" s="1"/>
  <c r="CD51" i="1"/>
  <c r="CD254" i="1" s="1"/>
  <c r="CF121" i="1"/>
  <c r="CD64" i="1"/>
  <c r="CD57" i="1"/>
  <c r="CD61" i="1" s="1"/>
  <c r="CE40" i="1"/>
  <c r="CE121" i="1"/>
  <c r="CE235" i="1"/>
  <c r="CB49" i="1"/>
  <c r="CB50" i="1"/>
  <c r="CE259" i="1"/>
  <c r="CE260" i="1" s="1"/>
  <c r="CF259" i="1"/>
  <c r="CF260" i="1" s="1"/>
  <c r="CE241" i="1"/>
  <c r="CE242" i="1" s="1"/>
  <c r="Z69" i="1"/>
  <c r="CE39" i="1"/>
  <c r="CH121" i="1"/>
  <c r="CE38" i="1"/>
  <c r="CG121" i="1"/>
  <c r="CE43" i="1"/>
  <c r="CH235" i="1"/>
  <c r="CF40" i="1"/>
  <c r="CI39" i="1"/>
  <c r="CF235" i="1"/>
  <c r="BL50" i="1"/>
  <c r="BL49" i="1"/>
  <c r="BY49" i="1"/>
  <c r="BY50" i="1"/>
  <c r="CU49" i="1"/>
  <c r="CV49" i="1" s="1"/>
  <c r="CW26" i="1"/>
  <c r="CX26" i="1" s="1"/>
  <c r="CV188" i="1"/>
  <c r="CV192" i="1"/>
  <c r="CV189" i="1"/>
  <c r="AC159" i="1"/>
  <c r="CW36" i="1" l="1"/>
  <c r="CK96" i="1"/>
  <c r="CK95" i="1"/>
  <c r="CK94" i="1"/>
  <c r="CI104" i="1"/>
  <c r="CI103" i="1"/>
  <c r="CI105" i="1"/>
  <c r="CQ258" i="1"/>
  <c r="CQ215" i="1"/>
  <c r="CS211" i="1"/>
  <c r="CT149" i="1"/>
  <c r="CS133" i="1"/>
  <c r="CR137" i="1"/>
  <c r="CA73" i="1"/>
  <c r="CB74" i="1"/>
  <c r="Z219" i="1"/>
  <c r="Z220" i="1" s="1"/>
  <c r="CU193" i="1"/>
  <c r="CT194" i="1"/>
  <c r="CD120" i="1"/>
  <c r="CD123" i="1" s="1"/>
  <c r="CD119" i="1"/>
  <c r="CD122" i="1" s="1"/>
  <c r="CS191" i="1"/>
  <c r="CS195" i="1" s="1"/>
  <c r="CT190" i="1"/>
  <c r="CA212" i="1"/>
  <c r="CA210" i="1" s="1"/>
  <c r="CB212" i="1"/>
  <c r="CB210" i="1" s="1"/>
  <c r="CE212" i="1"/>
  <c r="CE210" i="1" s="1"/>
  <c r="CF212" i="1"/>
  <c r="CF210" i="1" s="1"/>
  <c r="CH212" i="1"/>
  <c r="CH210" i="1" s="1"/>
  <c r="CH222" i="1" s="1"/>
  <c r="CG212" i="1"/>
  <c r="CG210" i="1" s="1"/>
  <c r="CV134" i="1"/>
  <c r="CD212" i="1"/>
  <c r="CD210" i="1" s="1"/>
  <c r="CC212" i="1"/>
  <c r="CC210" i="1" s="1"/>
  <c r="CF198" i="1"/>
  <c r="CF119" i="1"/>
  <c r="CF122" i="1" s="1"/>
  <c r="CF120" i="1"/>
  <c r="CF123" i="1" s="1"/>
  <c r="CD198" i="1"/>
  <c r="CH198" i="1"/>
  <c r="BZ47" i="1"/>
  <c r="CB64" i="1"/>
  <c r="CD236" i="1"/>
  <c r="CF50" i="1"/>
  <c r="CF49" i="1"/>
  <c r="CC52" i="1"/>
  <c r="CG52" i="1"/>
  <c r="CC243" i="1"/>
  <c r="CC57" i="1"/>
  <c r="CC51" i="1"/>
  <c r="CC254" i="1" s="1"/>
  <c r="CD53" i="1"/>
  <c r="CE190" i="1"/>
  <c r="CE195" i="1"/>
  <c r="CA216" i="1"/>
  <c r="CA214" i="1" s="1"/>
  <c r="CA138" i="1"/>
  <c r="CC53" i="1"/>
  <c r="CD202" i="1"/>
  <c r="CD204" i="1" s="1"/>
  <c r="Y70" i="1"/>
  <c r="CD75" i="1"/>
  <c r="CH122" i="1"/>
  <c r="CH123" i="1"/>
  <c r="CF64" i="1"/>
  <c r="CH64" i="1"/>
  <c r="CG64" i="1"/>
  <c r="CE47" i="1"/>
  <c r="CB57" i="1"/>
  <c r="CB53" i="1"/>
  <c r="CB243" i="1"/>
  <c r="CB51" i="1"/>
  <c r="CB254" i="1" s="1"/>
  <c r="BL57" i="1"/>
  <c r="BL51" i="1"/>
  <c r="BL254" i="1" s="1"/>
  <c r="CM73" i="1"/>
  <c r="CN73" i="1" s="1"/>
  <c r="CO73" i="1" s="1"/>
  <c r="CP73" i="1" s="1"/>
  <c r="CQ73" i="1" s="1"/>
  <c r="CR73" i="1" s="1"/>
  <c r="CS73" i="1" s="1"/>
  <c r="CT73" i="1" s="1"/>
  <c r="CU73" i="1" s="1"/>
  <c r="CV73" i="1" s="1"/>
  <c r="CW73" i="1" s="1"/>
  <c r="CX73" i="1" s="1"/>
  <c r="CY73" i="1" s="1"/>
  <c r="CZ73" i="1" s="1"/>
  <c r="DA73" i="1" s="1"/>
  <c r="DB73" i="1" s="1"/>
  <c r="BY51" i="1"/>
  <c r="BY254" i="1" s="1"/>
  <c r="BY57" i="1"/>
  <c r="CW49" i="1"/>
  <c r="CX49" i="1" s="1"/>
  <c r="CY26" i="1"/>
  <c r="CZ26" i="1" s="1"/>
  <c r="CW189" i="1"/>
  <c r="CW188" i="1"/>
  <c r="CW192" i="1"/>
  <c r="AE159" i="1"/>
  <c r="AD159" i="1"/>
  <c r="CF243" i="1" l="1"/>
  <c r="AA70" i="1"/>
  <c r="CX36" i="1"/>
  <c r="CY36" i="1"/>
  <c r="CZ36" i="1" s="1"/>
  <c r="DA36" i="1" s="1"/>
  <c r="DB36" i="1" s="1"/>
  <c r="CB108" i="1"/>
  <c r="CB101" i="1"/>
  <c r="BZ73" i="1"/>
  <c r="CA74" i="1"/>
  <c r="CT211" i="1"/>
  <c r="CU149" i="1"/>
  <c r="CU211" i="1" s="1"/>
  <c r="CR258" i="1"/>
  <c r="CR215" i="1"/>
  <c r="CT133" i="1"/>
  <c r="CS137" i="1"/>
  <c r="CV193" i="1"/>
  <c r="CU194" i="1"/>
  <c r="CG222" i="1"/>
  <c r="CG219" i="1"/>
  <c r="CG169" i="1" s="1"/>
  <c r="CG170" i="1" s="1"/>
  <c r="CG220" i="1" s="1"/>
  <c r="CT191" i="1"/>
  <c r="CT195" i="1" s="1"/>
  <c r="CU190" i="1"/>
  <c r="CW134" i="1"/>
  <c r="CF52" i="1"/>
  <c r="CF51" i="1"/>
  <c r="CF254" i="1" s="1"/>
  <c r="BZ50" i="1"/>
  <c r="BZ49" i="1"/>
  <c r="CJ52" i="1"/>
  <c r="CG53" i="1"/>
  <c r="CI236" i="1"/>
  <c r="CF57" i="1"/>
  <c r="CD63" i="1"/>
  <c r="CC61" i="1"/>
  <c r="CC128" i="1"/>
  <c r="CC129" i="1" s="1"/>
  <c r="CC75" i="1"/>
  <c r="CC202" i="1"/>
  <c r="CC204" i="1" s="1"/>
  <c r="CB75" i="1"/>
  <c r="CB61" i="1"/>
  <c r="CB202" i="1"/>
  <c r="CB204" i="1" s="1"/>
  <c r="CB216" i="1"/>
  <c r="CB214" i="1" s="1"/>
  <c r="CE50" i="1"/>
  <c r="CE49" i="1"/>
  <c r="BY202" i="1"/>
  <c r="BY204" i="1" s="1"/>
  <c r="BY61" i="1"/>
  <c r="BL202" i="1"/>
  <c r="BL204" i="1" s="1"/>
  <c r="BL61" i="1"/>
  <c r="CY49" i="1"/>
  <c r="CZ49" i="1" s="1"/>
  <c r="DA26" i="1"/>
  <c r="DB26" i="1" s="1"/>
  <c r="CX192" i="1"/>
  <c r="CX189" i="1"/>
  <c r="CX188" i="1"/>
  <c r="AB135" i="1"/>
  <c r="AB145" i="1"/>
  <c r="AB144" i="1"/>
  <c r="AB136" i="1"/>
  <c r="AB131" i="1"/>
  <c r="AB160" i="1"/>
  <c r="AB152" i="1"/>
  <c r="AB127" i="1"/>
  <c r="CS258" i="1" l="1"/>
  <c r="CS215" i="1"/>
  <c r="CU133" i="1"/>
  <c r="CT137" i="1"/>
  <c r="CV149" i="1"/>
  <c r="CV211" i="1" s="1"/>
  <c r="CA75" i="1"/>
  <c r="CA101" i="1"/>
  <c r="BY73" i="1"/>
  <c r="BZ74" i="1"/>
  <c r="BZ101" i="1" s="1"/>
  <c r="CW193" i="1"/>
  <c r="CV194" i="1"/>
  <c r="CU191" i="1"/>
  <c r="CU195" i="1" s="1"/>
  <c r="CV190" i="1"/>
  <c r="CX134" i="1"/>
  <c r="BZ51" i="1"/>
  <c r="BZ254" i="1" s="1"/>
  <c r="BZ53" i="1"/>
  <c r="CC236" i="1"/>
  <c r="BZ57" i="1"/>
  <c r="CC63" i="1" s="1"/>
  <c r="BZ243" i="1"/>
  <c r="CD52" i="1"/>
  <c r="CA53" i="1"/>
  <c r="CG257" i="1"/>
  <c r="CH218" i="1"/>
  <c r="CH219" i="1" s="1"/>
  <c r="CH220" i="1" s="1"/>
  <c r="CG253" i="1"/>
  <c r="CG255" i="1"/>
  <c r="CG174" i="1"/>
  <c r="CG175" i="1" s="1"/>
  <c r="CG177" i="1"/>
  <c r="CF202" i="1"/>
  <c r="CF204" i="1" s="1"/>
  <c r="CF208" i="1" s="1"/>
  <c r="CF222" i="1" s="1"/>
  <c r="CF61" i="1"/>
  <c r="CF75" i="1"/>
  <c r="CI78" i="1" s="1"/>
  <c r="CI63" i="1"/>
  <c r="CC101" i="1"/>
  <c r="CC138" i="1"/>
  <c r="CC64" i="1" s="1"/>
  <c r="CC216" i="1"/>
  <c r="CC214" i="1" s="1"/>
  <c r="CD216" i="1"/>
  <c r="CD214" i="1" s="1"/>
  <c r="CG236" i="1"/>
  <c r="CI52" i="1"/>
  <c r="CH236" i="1"/>
  <c r="CE53" i="1"/>
  <c r="CE51" i="1"/>
  <c r="CE254" i="1" s="1"/>
  <c r="CE52" i="1"/>
  <c r="CF53" i="1"/>
  <c r="CE57" i="1"/>
  <c r="CF236" i="1"/>
  <c r="CE236" i="1"/>
  <c r="Z70" i="1"/>
  <c r="CE243" i="1"/>
  <c r="DA49" i="1"/>
  <c r="DB49" i="1" s="1"/>
  <c r="CY189" i="1"/>
  <c r="CY188" i="1"/>
  <c r="CY192" i="1"/>
  <c r="AC145" i="1"/>
  <c r="AC135" i="1"/>
  <c r="AB173" i="1"/>
  <c r="AC131" i="1"/>
  <c r="AC160" i="1"/>
  <c r="AB156" i="1"/>
  <c r="AB163" i="1"/>
  <c r="AC152" i="1"/>
  <c r="AC136" i="1"/>
  <c r="AB164" i="1"/>
  <c r="AC127" i="1"/>
  <c r="AC144" i="1"/>
  <c r="CD78" i="1" l="1"/>
  <c r="CD95" i="1" s="1"/>
  <c r="CV133" i="1"/>
  <c r="CU137" i="1"/>
  <c r="CT258" i="1"/>
  <c r="CT215" i="1"/>
  <c r="BX73" i="1"/>
  <c r="BW73" i="1" s="1"/>
  <c r="BV73" i="1" s="1"/>
  <c r="BU73" i="1" s="1"/>
  <c r="BT73" i="1" s="1"/>
  <c r="BS73" i="1" s="1"/>
  <c r="BR73" i="1" s="1"/>
  <c r="BQ73" i="1" s="1"/>
  <c r="BP73" i="1" s="1"/>
  <c r="BO73" i="1" s="1"/>
  <c r="BN73" i="1" s="1"/>
  <c r="BM73" i="1" s="1"/>
  <c r="BL73" i="1" s="1"/>
  <c r="BY74" i="1"/>
  <c r="BY75" i="1" s="1"/>
  <c r="CW149" i="1"/>
  <c r="CW211" i="1" s="1"/>
  <c r="CX193" i="1"/>
  <c r="CW194" i="1"/>
  <c r="CV191" i="1"/>
  <c r="CV195" i="1" s="1"/>
  <c r="CW190" i="1"/>
  <c r="CY134" i="1"/>
  <c r="CB63" i="1"/>
  <c r="BZ75" i="1"/>
  <c r="BZ61" i="1"/>
  <c r="BZ202" i="1"/>
  <c r="BZ204" i="1" s="1"/>
  <c r="CH46" i="1"/>
  <c r="CG118" i="1"/>
  <c r="CI96" i="1"/>
  <c r="CI94" i="1"/>
  <c r="CI95" i="1"/>
  <c r="CE61" i="1"/>
  <c r="CE128" i="1"/>
  <c r="CE129" i="1" s="1"/>
  <c r="CE63" i="1" s="1"/>
  <c r="CE202" i="1"/>
  <c r="CE204" i="1" s="1"/>
  <c r="CE208" i="1" s="1"/>
  <c r="CE222" i="1" s="1"/>
  <c r="CE75" i="1"/>
  <c r="CF63" i="1"/>
  <c r="CG63" i="1"/>
  <c r="CH63" i="1"/>
  <c r="CZ192" i="1"/>
  <c r="CZ189" i="1"/>
  <c r="CZ188" i="1"/>
  <c r="AE145" i="1"/>
  <c r="AD145" i="1"/>
  <c r="AE135" i="1"/>
  <c r="AD135" i="1"/>
  <c r="AC173" i="1"/>
  <c r="AE160" i="1"/>
  <c r="AD160" i="1"/>
  <c r="AE152" i="1"/>
  <c r="AD152" i="1"/>
  <c r="AD127" i="1"/>
  <c r="AE127" i="1"/>
  <c r="AC163" i="1"/>
  <c r="AE136" i="1"/>
  <c r="AD136" i="1"/>
  <c r="AE144" i="1"/>
  <c r="AD144" i="1"/>
  <c r="AC164" i="1"/>
  <c r="AC156" i="1"/>
  <c r="AE131" i="1"/>
  <c r="AD131" i="1"/>
  <c r="CD96" i="1" l="1"/>
  <c r="CD94" i="1"/>
  <c r="CX149" i="1"/>
  <c r="CY149" i="1" s="1"/>
  <c r="CU258" i="1"/>
  <c r="CU215" i="1"/>
  <c r="BK73" i="1"/>
  <c r="BJ73" i="1" s="1"/>
  <c r="BI73" i="1" s="1"/>
  <c r="BH73" i="1" s="1"/>
  <c r="BG73" i="1" s="1"/>
  <c r="BF73" i="1" s="1"/>
  <c r="BE73" i="1" s="1"/>
  <c r="BD73" i="1" s="1"/>
  <c r="BC73" i="1" s="1"/>
  <c r="BB73" i="1" s="1"/>
  <c r="BA73" i="1" s="1"/>
  <c r="AZ73" i="1" s="1"/>
  <c r="AY73" i="1" s="1"/>
  <c r="AX73" i="1" s="1"/>
  <c r="AW73" i="1" s="1"/>
  <c r="AV73" i="1" s="1"/>
  <c r="AU73" i="1" s="1"/>
  <c r="AT73" i="1" s="1"/>
  <c r="AS73" i="1" s="1"/>
  <c r="AR73" i="1" s="1"/>
  <c r="AQ73" i="1" s="1"/>
  <c r="AP73" i="1" s="1"/>
  <c r="AO73" i="1" s="1"/>
  <c r="AN73" i="1" s="1"/>
  <c r="AM73" i="1" s="1"/>
  <c r="AL73" i="1" s="1"/>
  <c r="BL74" i="1"/>
  <c r="CW133" i="1"/>
  <c r="CV137" i="1"/>
  <c r="CY193" i="1"/>
  <c r="CX194" i="1"/>
  <c r="CW191" i="1"/>
  <c r="CW195" i="1" s="1"/>
  <c r="CX190" i="1"/>
  <c r="CZ134" i="1"/>
  <c r="CC78" i="1"/>
  <c r="CB78" i="1"/>
  <c r="CG120" i="1"/>
  <c r="CG123" i="1" s="1"/>
  <c r="CG119" i="1"/>
  <c r="CG122" i="1" s="1"/>
  <c r="CF78" i="1"/>
  <c r="CH78" i="1"/>
  <c r="CG78" i="1"/>
  <c r="CK79" i="1" s="1"/>
  <c r="CE78" i="1"/>
  <c r="CE101" i="1"/>
  <c r="CF216" i="1"/>
  <c r="CF214" i="1" s="1"/>
  <c r="CE138" i="1"/>
  <c r="CE64" i="1" s="1"/>
  <c r="CE216" i="1"/>
  <c r="CE214" i="1" s="1"/>
  <c r="CE219" i="1" s="1"/>
  <c r="CE169" i="1" s="1"/>
  <c r="CE170" i="1" s="1"/>
  <c r="CE174" i="1" s="1"/>
  <c r="DA188" i="1"/>
  <c r="DA189" i="1"/>
  <c r="DA192" i="1"/>
  <c r="AE173" i="1"/>
  <c r="AD173" i="1"/>
  <c r="AE163" i="1"/>
  <c r="AD163" i="1"/>
  <c r="AE164" i="1"/>
  <c r="AD164" i="1"/>
  <c r="AE156" i="1"/>
  <c r="AD156" i="1"/>
  <c r="BY240" i="1"/>
  <c r="CX211" i="1" l="1"/>
  <c r="CV258" i="1"/>
  <c r="CV215" i="1"/>
  <c r="CX133" i="1"/>
  <c r="CW137" i="1"/>
  <c r="BL101" i="1"/>
  <c r="BL75" i="1"/>
  <c r="AK73" i="1"/>
  <c r="AJ73" i="1" s="1"/>
  <c r="AI73" i="1" s="1"/>
  <c r="AL74" i="1"/>
  <c r="CY211" i="1"/>
  <c r="CZ149" i="1"/>
  <c r="CZ193" i="1"/>
  <c r="CY194" i="1"/>
  <c r="DA134" i="1"/>
  <c r="CX191" i="1"/>
  <c r="CX195" i="1" s="1"/>
  <c r="CY190" i="1"/>
  <c r="CE103" i="1"/>
  <c r="CE104" i="1"/>
  <c r="CE105" i="1"/>
  <c r="CE253" i="1"/>
  <c r="CE94" i="1"/>
  <c r="CE95" i="1"/>
  <c r="CI79" i="1"/>
  <c r="CE96" i="1"/>
  <c r="CE257" i="1"/>
  <c r="CG79" i="1"/>
  <c r="CG94" i="1"/>
  <c r="CG96" i="1"/>
  <c r="CG95" i="1"/>
  <c r="CE177" i="1"/>
  <c r="CE118" i="1" s="1"/>
  <c r="CE120" i="1" s="1"/>
  <c r="CE123" i="1" s="1"/>
  <c r="CF218" i="1"/>
  <c r="CF219" i="1" s="1"/>
  <c r="CF220" i="1" s="1"/>
  <c r="CE255" i="1"/>
  <c r="CH79" i="1"/>
  <c r="CH95" i="1"/>
  <c r="CK99" i="1" s="1"/>
  <c r="CH94" i="1"/>
  <c r="CH96" i="1"/>
  <c r="CE220" i="1"/>
  <c r="CF79" i="1"/>
  <c r="CJ79" i="1"/>
  <c r="CF96" i="1"/>
  <c r="CF94" i="1"/>
  <c r="CF95" i="1"/>
  <c r="DB189" i="1"/>
  <c r="DB188" i="1"/>
  <c r="DB192" i="1"/>
  <c r="CE175" i="1"/>
  <c r="AB29" i="1"/>
  <c r="CZ211" i="1" l="1"/>
  <c r="DA149" i="1"/>
  <c r="CW258" i="1"/>
  <c r="CW215" i="1"/>
  <c r="CY133" i="1"/>
  <c r="CX137" i="1"/>
  <c r="DA193" i="1"/>
  <c r="CZ194" i="1"/>
  <c r="DB134" i="1"/>
  <c r="CY191" i="1"/>
  <c r="CY195" i="1" s="1"/>
  <c r="CZ190" i="1"/>
  <c r="CJ99" i="1"/>
  <c r="CH99" i="1"/>
  <c r="CF46" i="1"/>
  <c r="CI99" i="1"/>
  <c r="CG99" i="1"/>
  <c r="CE119" i="1"/>
  <c r="CE122" i="1" s="1"/>
  <c r="AC29" i="1"/>
  <c r="BY241" i="1"/>
  <c r="BY242" i="1" s="1"/>
  <c r="CX258" i="1" l="1"/>
  <c r="CX215" i="1"/>
  <c r="DB149" i="1"/>
  <c r="DB211" i="1" s="1"/>
  <c r="DA211" i="1"/>
  <c r="CZ133" i="1"/>
  <c r="CY137" i="1"/>
  <c r="DB193" i="1"/>
  <c r="DB194" i="1" s="1"/>
  <c r="DA194" i="1"/>
  <c r="CZ191" i="1"/>
  <c r="CZ195" i="1" s="1"/>
  <c r="DA190" i="1"/>
  <c r="AD29" i="1"/>
  <c r="BY243" i="1"/>
  <c r="DA133" i="1" l="1"/>
  <c r="CZ137" i="1"/>
  <c r="CY215" i="1"/>
  <c r="CY258" i="1"/>
  <c r="DA191" i="1"/>
  <c r="DA195" i="1" s="1"/>
  <c r="DB190" i="1"/>
  <c r="DB191" i="1" s="1"/>
  <c r="DB195" i="1" s="1"/>
  <c r="AE29" i="1"/>
  <c r="CZ258" i="1" l="1"/>
  <c r="CZ215" i="1"/>
  <c r="DB133" i="1"/>
  <c r="DB137" i="1" s="1"/>
  <c r="DA137" i="1"/>
  <c r="BI74" i="1"/>
  <c r="AT74" i="1"/>
  <c r="BT74" i="1"/>
  <c r="AV74" i="1"/>
  <c r="AX74" i="1"/>
  <c r="AR74" i="1"/>
  <c r="DA215" i="1" l="1"/>
  <c r="DA258" i="1"/>
  <c r="DB258" i="1"/>
  <c r="DB215" i="1"/>
  <c r="AO74" i="1"/>
  <c r="BK74" i="1"/>
  <c r="AN74" i="1"/>
  <c r="AW74" i="1"/>
  <c r="BB74" i="1"/>
  <c r="BM74" i="1"/>
  <c r="BQ74" i="1"/>
  <c r="AJ74" i="1"/>
  <c r="BS74" i="1"/>
  <c r="BR74" i="1"/>
  <c r="BO74" i="1"/>
  <c r="AM74" i="1"/>
  <c r="AI74" i="1"/>
  <c r="AP74" i="1"/>
  <c r="AZ74" i="1"/>
  <c r="AS74" i="1"/>
  <c r="BN74" i="1"/>
  <c r="BU74" i="1"/>
  <c r="BA74" i="1"/>
  <c r="BC74" i="1"/>
  <c r="AU74" i="1"/>
  <c r="BW74" i="1"/>
  <c r="BP74" i="1"/>
  <c r="BJ74" i="1"/>
  <c r="BH74" i="1"/>
  <c r="BX74" i="1"/>
  <c r="BG74" i="1"/>
  <c r="AQ74" i="1"/>
  <c r="AY74" i="1"/>
  <c r="AK74" i="1"/>
  <c r="BE74" i="1"/>
  <c r="BD74" i="1"/>
  <c r="BV74" i="1"/>
  <c r="BF74" i="1"/>
  <c r="BL240" i="1" l="1"/>
  <c r="AB149" i="1" l="1"/>
  <c r="CN86" i="1" l="1"/>
  <c r="AB211" i="1"/>
  <c r="CO86" i="1" l="1"/>
  <c r="CL203" i="1"/>
  <c r="CM72" i="1"/>
  <c r="CP86" i="1" l="1"/>
  <c r="CN72" i="1"/>
  <c r="CM74" i="1"/>
  <c r="CL74" i="1"/>
  <c r="K26" i="2"/>
  <c r="F22" i="3"/>
  <c r="BP5" i="4" a="1"/>
  <c r="H7" i="4" a="1"/>
  <c r="E25" i="2"/>
  <c r="BG5" i="4" a="1"/>
  <c r="BL11" i="4" a="1"/>
  <c r="N29" i="2"/>
  <c r="AN46" i="3"/>
  <c r="AR5" i="4" a="1"/>
  <c r="N16" i="4" a="1"/>
  <c r="X10" i="2"/>
  <c r="R16" i="4" a="1"/>
  <c r="CV5" i="4" a="1"/>
  <c r="EK11" i="4" a="1"/>
  <c r="AR80" i="3"/>
  <c r="C59" i="2"/>
  <c r="AK9" i="4" a="1"/>
  <c r="AV5" i="4" a="1"/>
  <c r="AG6" i="4" a="1"/>
  <c r="I13" i="2"/>
  <c r="BS15" i="4" a="1"/>
  <c r="CK7" i="4" a="1"/>
  <c r="N6" i="2"/>
  <c r="D21" i="2"/>
  <c r="DL14" i="4" a="1"/>
  <c r="AU12" i="4" a="1"/>
  <c r="I23" i="2"/>
  <c r="AR19" i="3"/>
  <c r="DA14" i="4" a="1"/>
  <c r="J11" i="4" a="1"/>
  <c r="E9" i="2"/>
  <c r="BG11" i="4" a="1"/>
  <c r="CC12" i="4" a="1"/>
  <c r="T19" i="2"/>
  <c r="CQ14" i="4" a="1"/>
  <c r="BT14" i="4" a="1"/>
  <c r="G34" i="2"/>
  <c r="T46" i="3"/>
  <c r="AR8" i="4" a="1"/>
  <c r="AO6" i="4" a="1"/>
  <c r="AR49" i="3"/>
  <c r="T23" i="2"/>
  <c r="X5" i="4" a="1"/>
  <c r="DI15" i="4" a="1"/>
  <c r="F17" i="2"/>
  <c r="K5" i="2"/>
  <c r="F32" i="3"/>
  <c r="CK11" i="4" a="1"/>
  <c r="E22" i="2"/>
  <c r="BG12" i="4" a="1"/>
  <c r="BL15" i="4" a="1"/>
  <c r="AR62" i="3"/>
  <c r="AK7" i="4" a="1"/>
  <c r="H16" i="4" a="1"/>
  <c r="H28" i="2"/>
  <c r="P16" i="4" a="1"/>
  <c r="DV8" i="4" a="1"/>
  <c r="N27" i="2"/>
  <c r="G23" i="3"/>
  <c r="W5" i="4" a="1"/>
  <c r="DK12" i="4" a="1"/>
  <c r="F18" i="3"/>
  <c r="DV5" i="4" a="1"/>
  <c r="BQ13" i="4" a="1"/>
  <c r="S10" i="2"/>
  <c r="CN15" i="4" a="1"/>
  <c r="AM13" i="4" a="1"/>
  <c r="R27" i="2"/>
  <c r="DE12" i="4" a="1"/>
  <c r="CY6" i="4" a="1"/>
  <c r="T20" i="2"/>
  <c r="AE11" i="4" a="1"/>
  <c r="E26" i="2"/>
  <c r="BW15" i="4" a="1"/>
  <c r="AJ8" i="4" a="1"/>
  <c r="D25" i="3"/>
  <c r="BC7" i="4" a="1"/>
  <c r="AR76" i="3"/>
  <c r="BE7" i="4" a="1"/>
  <c r="G28" i="2"/>
  <c r="AZ9" i="4" a="1"/>
  <c r="X22" i="2"/>
  <c r="BS6" i="4" a="1"/>
  <c r="CY14" i="4" a="1"/>
  <c r="W12" i="2"/>
  <c r="D35" i="3"/>
  <c r="L7" i="4" a="1"/>
  <c r="T10" i="2"/>
  <c r="H14" i="4" a="1"/>
  <c r="G30" i="2"/>
  <c r="BW9" i="4" a="1"/>
  <c r="DS6" i="4" a="1"/>
  <c r="U17" i="2"/>
  <c r="F11" i="3"/>
  <c r="AO9" i="4" a="1"/>
  <c r="CN11" i="4" a="1"/>
  <c r="AO16" i="4" a="1"/>
  <c r="V27" i="2"/>
  <c r="N13" i="4" a="1"/>
  <c r="CE9" i="4" a="1"/>
  <c r="AR55" i="3"/>
  <c r="DY8" i="4" a="1"/>
  <c r="AI12" i="4" a="1"/>
  <c r="I46" i="3"/>
  <c r="K9" i="4" a="1"/>
  <c r="EK6" i="4" a="1"/>
  <c r="AR65" i="3"/>
  <c r="BU13" i="4" a="1"/>
  <c r="EH5" i="4" a="1"/>
  <c r="BU8" i="4" a="1"/>
  <c r="L12" i="4" a="1"/>
  <c r="BV13" i="4" a="1"/>
  <c r="S7" i="4" a="1"/>
  <c r="C18" i="2"/>
  <c r="CC16" i="4" a="1"/>
  <c r="X63" i="2"/>
  <c r="BI7" i="4" a="1"/>
  <c r="AY15" i="4" a="1"/>
  <c r="BN14" i="4" a="1"/>
  <c r="Q15" i="4" a="1"/>
  <c r="C7" i="4" a="1"/>
  <c r="D17" i="3"/>
  <c r="W36" i="2"/>
  <c r="DH14" i="4" a="1"/>
  <c r="AD6" i="4" a="1"/>
  <c r="G15" i="3"/>
  <c r="CM16" i="4" a="1"/>
  <c r="W31" i="2"/>
  <c r="AD11" i="3"/>
  <c r="AB6" i="4" a="1"/>
  <c r="AO15" i="4" a="1"/>
  <c r="AR74" i="3"/>
  <c r="AP15" i="4" a="1"/>
  <c r="AD13" i="4" a="1"/>
  <c r="P16" i="2"/>
  <c r="D6" i="4" a="1"/>
  <c r="DW7" i="4" a="1"/>
  <c r="Q5" i="2"/>
  <c r="O10" i="2"/>
  <c r="DQ13" i="4" a="1"/>
  <c r="EB11" i="4" a="1"/>
  <c r="O19" i="2"/>
  <c r="G21" i="3"/>
  <c r="R17" i="2"/>
  <c r="DG11" i="4" a="1"/>
  <c r="BY16" i="4" a="1"/>
  <c r="K21" i="2"/>
  <c r="E16" i="3"/>
  <c r="AS5" i="4" a="1"/>
  <c r="H13" i="4" a="1"/>
  <c r="H5" i="2"/>
  <c r="N12" i="2"/>
  <c r="BF12" i="4" a="1"/>
  <c r="E15" i="4" a="1"/>
  <c r="I15" i="2"/>
  <c r="D41" i="3"/>
  <c r="CK13" i="4" a="1"/>
  <c r="E14" i="2"/>
  <c r="M45" i="3"/>
  <c r="AQ5" i="4" a="1"/>
  <c r="S6" i="4" a="1"/>
  <c r="AR54" i="3"/>
  <c r="EE12" i="4" a="1"/>
  <c r="CL13" i="4" a="1"/>
  <c r="K35" i="2"/>
  <c r="BN7" i="4" a="1"/>
  <c r="EK16" i="4" a="1"/>
  <c r="U12" i="2"/>
  <c r="D6" i="2"/>
  <c r="AQ46" i="3"/>
  <c r="Z7" i="4" a="1"/>
  <c r="Z12" i="4" a="1"/>
  <c r="P30" i="2"/>
  <c r="K36" i="2"/>
  <c r="K45" i="3"/>
  <c r="K10" i="2"/>
  <c r="AR18" i="3"/>
  <c r="CQ11" i="4" a="1"/>
  <c r="H12" i="2"/>
  <c r="G26" i="3"/>
  <c r="I16" i="4" a="1"/>
  <c r="J24" i="2"/>
  <c r="F8" i="3"/>
  <c r="BM13" i="4" a="1"/>
  <c r="P15" i="4" a="1"/>
  <c r="F9" i="2"/>
  <c r="G29" i="2"/>
  <c r="BC15" i="4" a="1"/>
  <c r="X8" i="2"/>
  <c r="BC11" i="4" a="1"/>
  <c r="CA12" i="4" a="1"/>
  <c r="U15" i="2"/>
  <c r="N46" i="3"/>
  <c r="BM9" i="4" a="1"/>
  <c r="H8" i="2"/>
  <c r="F20" i="3"/>
  <c r="EF16" i="4" a="1"/>
  <c r="BS12" i="4" a="1"/>
  <c r="Y16" i="4" a="1"/>
  <c r="Z13" i="4" a="1"/>
  <c r="F8" i="2"/>
  <c r="U9" i="4" a="1"/>
  <c r="G7" i="4" a="1"/>
  <c r="DL13" i="4" a="1"/>
  <c r="CE15" i="4" a="1"/>
  <c r="AR40" i="3"/>
  <c r="F15" i="4" a="1"/>
  <c r="AR10" i="3"/>
  <c r="EG9" i="4" a="1"/>
  <c r="X24" i="2"/>
  <c r="ED9" i="4" a="1"/>
  <c r="CJ7" i="4" a="1"/>
  <c r="P32" i="2"/>
  <c r="DM15" i="4" a="1"/>
  <c r="CI5" i="4" a="1"/>
  <c r="F12" i="4" a="1"/>
  <c r="AE14" i="4" a="1"/>
  <c r="D5" i="2"/>
  <c r="N30" i="2"/>
  <c r="AZ5" i="4" a="1"/>
  <c r="G5" i="2"/>
  <c r="C15" i="4" a="1"/>
  <c r="CN5" i="4" a="1"/>
  <c r="I13" i="4" a="1"/>
  <c r="R25" i="2"/>
  <c r="F23" i="3"/>
  <c r="EC8" i="4" a="1"/>
  <c r="N9" i="2"/>
  <c r="N33" i="2"/>
  <c r="EB6" i="4" a="1"/>
  <c r="F28" i="2"/>
  <c r="Y5" i="4" a="1"/>
  <c r="DC11" i="4" a="1"/>
  <c r="L10" i="2"/>
  <c r="D45" i="3"/>
  <c r="CC5" i="4" a="1"/>
  <c r="L7" i="2"/>
  <c r="DH6" i="4" a="1"/>
  <c r="R5" i="2"/>
  <c r="G11" i="3"/>
  <c r="T35" i="2"/>
  <c r="AL5" i="4" a="1"/>
  <c r="CY13" i="4" a="1"/>
  <c r="X29" i="2"/>
  <c r="AN9" i="4" a="1"/>
  <c r="AT7" i="4" a="1"/>
  <c r="BP12" i="4" a="1"/>
  <c r="BZ7" i="4" a="1"/>
  <c r="DF8" i="4" a="1"/>
  <c r="CT7" i="4" a="1"/>
  <c r="W10" i="2"/>
  <c r="DR11" i="4" a="1"/>
  <c r="DR15" i="4" a="1"/>
  <c r="AJ9" i="4" a="1"/>
  <c r="EC5" i="4" a="1"/>
  <c r="BK8" i="4" a="1"/>
  <c r="EJ11" i="4" a="1"/>
  <c r="CR9" i="4" a="1"/>
  <c r="Q26" i="2"/>
  <c r="BT6" i="4" a="1"/>
  <c r="L11" i="2"/>
  <c r="M13" i="4" a="1"/>
  <c r="Z46" i="3"/>
  <c r="BR13" i="4" a="1"/>
  <c r="C27" i="2"/>
  <c r="CR6" i="4" a="1"/>
  <c r="AA46" i="3"/>
  <c r="EJ7" i="4" a="1"/>
  <c r="H54" i="2"/>
  <c r="J12" i="4" a="1"/>
  <c r="AB46" i="3"/>
  <c r="AS12" i="4" a="1"/>
  <c r="BK11" i="4" a="1"/>
  <c r="D36" i="2"/>
  <c r="DZ9" i="4" a="1"/>
  <c r="L13" i="2"/>
  <c r="DX7" i="4" a="1"/>
  <c r="M15" i="2"/>
  <c r="DL9" i="4" a="1"/>
  <c r="J45" i="3"/>
  <c r="G20" i="2"/>
  <c r="AO14" i="4" a="1"/>
  <c r="E14" i="3"/>
  <c r="BY6" i="4" a="1"/>
  <c r="Q55" i="2"/>
  <c r="H49" i="2"/>
  <c r="AU16" i="4" a="1"/>
  <c r="G20" i="3"/>
  <c r="L23" i="2"/>
  <c r="DT8" i="4" a="1"/>
  <c r="BV5" i="4" a="1"/>
  <c r="G12" i="2"/>
  <c r="EI7" i="4" a="1"/>
  <c r="G7" i="2"/>
  <c r="AS15" i="4" a="1"/>
  <c r="CP5" i="4" a="1"/>
  <c r="CR5" i="4" a="1"/>
  <c r="E23" i="2"/>
  <c r="W9" i="4" a="1"/>
  <c r="DU15" i="4" a="1"/>
  <c r="C7" i="2"/>
  <c r="T24" i="2"/>
  <c r="U14" i="2"/>
  <c r="C24" i="2"/>
  <c r="CB15" i="4" a="1"/>
  <c r="O5" i="2"/>
  <c r="M25" i="2"/>
  <c r="BP14" i="4" a="1"/>
  <c r="AR26" i="3"/>
  <c r="X16" i="2"/>
  <c r="R32" i="2"/>
  <c r="O32" i="2"/>
  <c r="BD9" i="4" a="1"/>
  <c r="CV14" i="4" a="1"/>
  <c r="AZ13" i="4" a="1"/>
  <c r="AN15" i="4" a="1"/>
  <c r="Q10" i="2"/>
  <c r="EH12" i="4" a="1"/>
  <c r="EG11" i="4" a="1"/>
  <c r="F28" i="3"/>
  <c r="Q16" i="2"/>
  <c r="L9" i="4" a="1"/>
  <c r="AL9" i="4" a="1"/>
  <c r="DJ6" i="4" a="1"/>
  <c r="S5" i="4" a="1"/>
  <c r="S46" i="3"/>
  <c r="EF12" i="4" a="1"/>
  <c r="AF7" i="4" a="1"/>
  <c r="DN12" i="4" a="1"/>
  <c r="CA16" i="4" a="1"/>
  <c r="BH15" i="4" a="1"/>
  <c r="CS15" i="4" a="1"/>
  <c r="AL14" i="4" a="1"/>
  <c r="DT6" i="4" a="1"/>
  <c r="C16" i="2"/>
  <c r="AD5" i="3"/>
  <c r="J18" i="2"/>
  <c r="AS6" i="4" a="1"/>
  <c r="CX16" i="4" a="1"/>
  <c r="BH14" i="4" a="1"/>
  <c r="D6" i="3"/>
  <c r="BT11" i="4" a="1"/>
  <c r="H32" i="2"/>
  <c r="EJ5" i="4" a="1"/>
  <c r="R33" i="2"/>
  <c r="CM7" i="4" a="1"/>
  <c r="W6" i="4" a="1"/>
  <c r="BK13" i="4" a="1"/>
  <c r="BI8" i="4" a="1"/>
  <c r="R12" i="2"/>
  <c r="CY5" i="4" a="1"/>
  <c r="ED8" i="4" a="1"/>
  <c r="AD74" i="3"/>
  <c r="AD81" i="3"/>
  <c r="CX6" i="4" a="1"/>
  <c r="AA12" i="4" a="1"/>
  <c r="AP16" i="4" a="1"/>
  <c r="CH14" i="4" a="1"/>
  <c r="AR12" i="3"/>
  <c r="EG14" i="4" a="1"/>
  <c r="F14" i="3"/>
  <c r="BM15" i="4" a="1"/>
  <c r="DW13" i="4" a="1"/>
  <c r="AA5" i="4" a="1"/>
  <c r="H6" i="2"/>
  <c r="DU13" i="4" a="1"/>
  <c r="I14" i="2"/>
  <c r="CK15" i="4" a="1"/>
  <c r="Y11" i="4" a="1"/>
  <c r="EA14" i="4" a="1"/>
  <c r="D35" i="2"/>
  <c r="CI14" i="4" a="1"/>
  <c r="DK13" i="4" a="1"/>
  <c r="D9" i="3"/>
  <c r="G26" i="2"/>
  <c r="G22" i="2"/>
  <c r="BM5" i="4" a="1"/>
  <c r="BS9" i="4" a="1"/>
  <c r="Q13" i="4" a="1"/>
  <c r="I21" i="2"/>
  <c r="AJ11" i="4" a="1"/>
  <c r="X31" i="2"/>
  <c r="CK9" i="4" a="1"/>
  <c r="W15" i="4" a="1"/>
  <c r="AB8" i="4" a="1"/>
  <c r="F34" i="3"/>
  <c r="DG14" i="4" a="1"/>
  <c r="X7" i="2"/>
  <c r="CT16" i="4" a="1"/>
  <c r="CD15" i="4" a="1"/>
  <c r="AA8" i="4" a="1"/>
  <c r="W7" i="4" a="1"/>
  <c r="ED12" i="4" a="1"/>
  <c r="AR64" i="3"/>
  <c r="CS7" i="4" a="1"/>
  <c r="AV13" i="4" a="1"/>
  <c r="E20" i="2"/>
  <c r="AR72" i="3"/>
  <c r="AH11" i="4" a="1"/>
  <c r="U10" i="2"/>
  <c r="G10" i="3"/>
  <c r="F7" i="2"/>
  <c r="D18" i="3"/>
  <c r="BJ16" i="4" a="1"/>
  <c r="BD7" i="4" a="1"/>
  <c r="G18" i="2"/>
  <c r="D8" i="4" a="1"/>
  <c r="AD15" i="3"/>
  <c r="AX9" i="4" a="1"/>
  <c r="L30" i="2"/>
  <c r="AD79" i="3"/>
  <c r="AD72" i="3"/>
  <c r="O33" i="2"/>
  <c r="AJ12" i="4" a="1"/>
  <c r="BL16" i="4" a="1"/>
  <c r="BH16" i="4" a="1"/>
  <c r="DW5" i="4" a="1"/>
  <c r="DU8" i="4" a="1"/>
  <c r="D13" i="4" a="1"/>
  <c r="CG7" i="4" a="1"/>
  <c r="CH12" i="4" a="1"/>
  <c r="AM15" i="4" a="1"/>
  <c r="AR14" i="4" a="1"/>
  <c r="S8" i="2"/>
  <c r="P10" i="2"/>
  <c r="BU6" i="4" a="1"/>
  <c r="D40" i="3"/>
  <c r="BX13" i="4" a="1"/>
  <c r="K27" i="2"/>
  <c r="DO6" i="4" a="1"/>
  <c r="DR5" i="4" a="1"/>
  <c r="D13" i="3"/>
  <c r="X19" i="2"/>
  <c r="G19" i="2"/>
  <c r="DM5" i="4" a="1"/>
  <c r="F12" i="2"/>
  <c r="E36" i="3"/>
  <c r="X14" i="2"/>
  <c r="BK15" i="4" a="1"/>
  <c r="H27" i="2"/>
  <c r="BX11" i="4" a="1"/>
  <c r="EA11" i="4" a="1"/>
  <c r="AI6" i="4" a="1"/>
  <c r="DW6" i="4" a="1"/>
  <c r="K7" i="2"/>
  <c r="DX6" i="4" a="1"/>
  <c r="BW5" i="4" a="1"/>
  <c r="W32" i="2"/>
  <c r="K13" i="2"/>
  <c r="BA5" i="4" a="1"/>
  <c r="L5" i="4" a="1"/>
  <c r="D30" i="2"/>
  <c r="BI13" i="4" a="1"/>
  <c r="C6" i="2"/>
  <c r="BO15" i="4" a="1"/>
  <c r="BA15" i="4" a="1"/>
  <c r="CF5" i="4" a="1"/>
  <c r="BU14" i="4" a="1"/>
  <c r="ED11" i="4" a="1"/>
  <c r="N5" i="4" a="1"/>
  <c r="DC16" i="4" a="1"/>
  <c r="O12" i="2"/>
  <c r="E34" i="3"/>
  <c r="V8" i="4" a="1"/>
  <c r="AW6" i="4" a="1"/>
  <c r="J8" i="2"/>
  <c r="EF13" i="4" a="1"/>
  <c r="AW11" i="4" a="1"/>
  <c r="I5" i="2"/>
  <c r="AH13" i="4" a="1"/>
  <c r="ED5" i="4" a="1"/>
  <c r="F24" i="2"/>
  <c r="C35" i="2"/>
  <c r="DG15" i="4" a="1"/>
  <c r="AT13" i="4" a="1"/>
  <c r="V35" i="2"/>
  <c r="N45" i="3"/>
  <c r="J20" i="2"/>
  <c r="CV9" i="4" a="1"/>
  <c r="AY13" i="4" a="1"/>
  <c r="X66" i="2"/>
  <c r="G6" i="3"/>
  <c r="DW14" i="4" a="1"/>
  <c r="DI6" i="4" a="1"/>
  <c r="AR91" i="3"/>
  <c r="N23" i="2"/>
  <c r="DQ8" i="4" a="1"/>
  <c r="BV6" i="4" a="1"/>
  <c r="Q33" i="2"/>
  <c r="AR31" i="3"/>
  <c r="BZ13" i="4" a="1"/>
  <c r="R54" i="2"/>
  <c r="Q45" i="3"/>
  <c r="BS13" i="4" a="1"/>
  <c r="W16" i="4" a="1"/>
  <c r="W70" i="2"/>
  <c r="CF14" i="4" a="1"/>
  <c r="AT9" i="4" a="1"/>
  <c r="O18" i="2"/>
  <c r="D28" i="3"/>
  <c r="M16" i="4" a="1"/>
  <c r="V34" i="2"/>
  <c r="W16" i="2"/>
  <c r="E40" i="3"/>
  <c r="BV16" i="4" a="1"/>
  <c r="DW9" i="4" a="1"/>
  <c r="T13" i="2"/>
  <c r="S26" i="2"/>
  <c r="AR8" i="3"/>
  <c r="R29" i="2"/>
  <c r="D8" i="3"/>
  <c r="CS5" i="4" a="1"/>
  <c r="T34" i="2"/>
  <c r="F10" i="3"/>
  <c r="DT9" i="4" a="1"/>
  <c r="AE5" i="4" a="1"/>
  <c r="V25" i="2"/>
  <c r="AE12" i="4" a="1"/>
  <c r="BS5" i="4" a="1"/>
  <c r="R9" i="2"/>
  <c r="V29" i="2"/>
  <c r="CJ13" i="4" a="1"/>
  <c r="L35" i="2"/>
  <c r="CW16" i="4" a="1"/>
  <c r="X6" i="4" a="1"/>
  <c r="E33" i="2"/>
  <c r="F6" i="3"/>
  <c r="EG7" i="4" a="1"/>
  <c r="F23" i="2"/>
  <c r="V15" i="2"/>
  <c r="AK15" i="4" a="1"/>
  <c r="BO12" i="4" a="1"/>
  <c r="F21" i="3"/>
  <c r="N15" i="4" a="1"/>
  <c r="AR71" i="3"/>
  <c r="BL8" i="4" a="1"/>
  <c r="CZ11" i="4" a="1"/>
  <c r="BH12" i="4" a="1"/>
  <c r="DE5" i="4" a="1"/>
  <c r="D16" i="3"/>
  <c r="AT8" i="4" a="1"/>
  <c r="AD14" i="3"/>
  <c r="AA14" i="4" a="1"/>
  <c r="M17" i="2"/>
  <c r="CB9" i="4" a="1"/>
  <c r="BZ16" i="4" a="1"/>
  <c r="L21" i="2"/>
  <c r="CN16" i="4" a="1"/>
  <c r="BR15" i="4" a="1"/>
  <c r="E27" i="3"/>
  <c r="AS16" i="4" a="1"/>
  <c r="J5" i="2"/>
  <c r="V5" i="2"/>
  <c r="CA11" i="4" a="1"/>
  <c r="P14" i="2"/>
  <c r="AI14" i="4" a="1"/>
  <c r="CJ15" i="4" a="1"/>
  <c r="CA9" i="4" a="1"/>
  <c r="M16" i="2"/>
  <c r="E38" i="3"/>
  <c r="BF14" i="4" a="1"/>
  <c r="T5" i="2"/>
  <c r="N36" i="2"/>
  <c r="DM13" i="4" a="1"/>
  <c r="T22" i="2"/>
  <c r="R45" i="3"/>
  <c r="DM16" i="4" a="1"/>
  <c r="P9" i="2"/>
  <c r="AR17" i="3"/>
  <c r="AA13" i="4" a="1"/>
  <c r="DS14" i="4" a="1"/>
  <c r="X9" i="4" a="1"/>
  <c r="O35" i="2"/>
  <c r="V13" i="2"/>
  <c r="EB13" i="4" a="1"/>
  <c r="CW14" i="4" a="1"/>
  <c r="BY11" i="4" a="1"/>
  <c r="F32" i="2"/>
  <c r="I7" i="4" a="1"/>
  <c r="BO11" i="4" a="1"/>
  <c r="C12" i="4" a="1"/>
  <c r="L11" i="4" a="1"/>
  <c r="CI9" i="4" a="1"/>
  <c r="CP14" i="4" a="1"/>
  <c r="F11" i="2"/>
  <c r="BI5" i="4" a="1"/>
  <c r="AH6" i="4" a="1"/>
  <c r="CT12" i="4" a="1"/>
  <c r="CV13" i="4" a="1"/>
  <c r="K59" i="2"/>
  <c r="DI14" i="4" a="1"/>
  <c r="AV14" i="4" a="1"/>
  <c r="J13" i="2"/>
  <c r="F42" i="3"/>
  <c r="DP8" i="4" a="1"/>
  <c r="AN16" i="4" a="1"/>
  <c r="J29" i="2"/>
  <c r="AD7" i="4" a="1"/>
  <c r="EF8" i="4" a="1"/>
  <c r="Q12" i="2"/>
  <c r="C15" i="2"/>
  <c r="DA8" i="4" a="1"/>
  <c r="CL7" i="4" a="1"/>
  <c r="R20" i="2"/>
  <c r="M14" i="2"/>
  <c r="O14" i="2"/>
  <c r="CP8" i="4" a="1"/>
  <c r="CZ7" i="4" a="1"/>
  <c r="M35" i="2"/>
  <c r="AN8" i="4" a="1"/>
  <c r="CG6" i="4" a="1"/>
  <c r="Q30" i="2"/>
  <c r="W25" i="2"/>
  <c r="S45" i="3"/>
  <c r="BB14" i="4" a="1"/>
  <c r="BQ12" i="4" a="1"/>
  <c r="H18" i="2"/>
  <c r="DH15" i="4" a="1"/>
  <c r="H15" i="4" a="1"/>
  <c r="S28" i="2"/>
  <c r="CZ12" i="4" a="1"/>
  <c r="DS8" i="4" a="1"/>
  <c r="P7" i="2"/>
  <c r="V45" i="3"/>
  <c r="BS14" i="4" a="1"/>
  <c r="CV8" i="4" a="1"/>
  <c r="I36" i="2"/>
  <c r="R6" i="4" a="1"/>
  <c r="EE8" i="4" a="1"/>
  <c r="T30" i="2"/>
  <c r="R31" i="2"/>
  <c r="E19" i="3"/>
  <c r="AS13" i="4" a="1"/>
  <c r="BQ5" i="4" a="1"/>
  <c r="J16" i="2"/>
  <c r="W33" i="2"/>
  <c r="BB13" i="4" a="1"/>
  <c r="G27" i="2"/>
  <c r="BQ7" i="4" a="1"/>
  <c r="DC8" i="4" a="1"/>
  <c r="S34" i="2"/>
  <c r="L45" i="3"/>
  <c r="CA6" i="4" a="1"/>
  <c r="D17" i="2"/>
  <c r="E7" i="3"/>
  <c r="DX5" i="4" a="1"/>
  <c r="DO7" i="4" a="1"/>
  <c r="K18" i="2"/>
  <c r="V17" i="2"/>
  <c r="DY5" i="4" a="1"/>
  <c r="X25" i="2"/>
  <c r="T9" i="2"/>
  <c r="BN9" i="4" a="1"/>
  <c r="W20" i="2"/>
  <c r="DT12" i="4" a="1"/>
  <c r="EE15" i="4" a="1"/>
  <c r="S17" i="2"/>
  <c r="AD16" i="3"/>
  <c r="H23" i="2"/>
  <c r="AP7" i="4" a="1"/>
  <c r="BZ9" i="4" a="1"/>
  <c r="EB14" i="4" a="1"/>
  <c r="AR11" i="3"/>
  <c r="CD6" i="4" a="1"/>
  <c r="J21" i="2"/>
  <c r="BW12" i="4" a="1"/>
  <c r="W23" i="2"/>
  <c r="DO14" i="4" a="1"/>
  <c r="DX11" i="4" a="1"/>
  <c r="DC12" i="4" a="1"/>
  <c r="K13" i="4" a="1"/>
  <c r="AR21" i="3"/>
  <c r="AV15" i="4" a="1"/>
  <c r="CU13" i="4" a="1"/>
  <c r="AR95" i="3"/>
  <c r="DP12" i="4" a="1"/>
  <c r="AP13" i="4" a="1"/>
  <c r="DD13" i="4" a="1"/>
  <c r="DH11" i="4" a="1"/>
  <c r="D39" i="3"/>
  <c r="D27" i="3"/>
  <c r="C14" i="4" a="1"/>
  <c r="Q7" i="2"/>
  <c r="CW7" i="4" a="1"/>
  <c r="L36" i="2"/>
  <c r="G6" i="4" a="1"/>
  <c r="N17" i="2"/>
  <c r="AI7" i="4" a="1"/>
  <c r="AQ9" i="4" a="1"/>
  <c r="D28" i="2"/>
  <c r="C11" i="2"/>
  <c r="CY9" i="4" a="1"/>
  <c r="U8" i="2"/>
  <c r="X7" i="4" a="1"/>
  <c r="BB12" i="4" a="1"/>
  <c r="M5" i="2"/>
  <c r="BE15" i="4" a="1"/>
  <c r="W30" i="2"/>
  <c r="P18" i="2"/>
  <c r="CI11" i="4" a="1"/>
  <c r="T18" i="2"/>
  <c r="X15" i="4" a="1"/>
  <c r="N14" i="2"/>
  <c r="P15" i="2"/>
  <c r="AU6" i="4" a="1"/>
  <c r="AO45" i="3"/>
  <c r="BK9" i="4" a="1"/>
  <c r="CR7" i="4" a="1"/>
  <c r="J7" i="2"/>
  <c r="EH14" i="4" a="1"/>
  <c r="DW8" i="4" a="1"/>
  <c r="DJ9" i="4" a="1"/>
  <c r="C65" i="2"/>
  <c r="DK14" i="4" a="1"/>
  <c r="CW13" i="4" a="1"/>
  <c r="H12" i="4" a="1"/>
  <c r="P46" i="3"/>
  <c r="DI13" i="4" a="1"/>
  <c r="H16" i="2"/>
  <c r="AH9" i="4" a="1"/>
  <c r="E10" i="3"/>
  <c r="DB15" i="4" a="1"/>
  <c r="E24" i="3"/>
  <c r="DN11" i="4" a="1"/>
  <c r="I20" i="2"/>
  <c r="F13" i="4" a="1"/>
  <c r="W74" i="2"/>
  <c r="BT12" i="4" a="1"/>
  <c r="E35" i="2"/>
  <c r="DR6" i="4" a="1"/>
  <c r="AR83" i="3"/>
  <c r="CR11" i="4" a="1"/>
  <c r="DL11" i="4" a="1"/>
  <c r="N19" i="2"/>
  <c r="CE11" i="4" a="1"/>
  <c r="U32" i="2"/>
  <c r="CB6" i="4" a="1"/>
  <c r="Q15" i="2"/>
  <c r="DK6" i="4" a="1"/>
  <c r="D11" i="3"/>
  <c r="AZ8" i="4" a="1"/>
  <c r="EK8" i="4" a="1"/>
  <c r="W28" i="2"/>
  <c r="DS16" i="4" a="1"/>
  <c r="DM12" i="4" a="1"/>
  <c r="R10" i="2"/>
  <c r="DE11" i="4" a="1"/>
  <c r="AR73" i="3"/>
  <c r="L14" i="4" a="1"/>
  <c r="CU9" i="4" a="1"/>
  <c r="E24" i="2"/>
  <c r="G14" i="3"/>
  <c r="AX15" i="4" a="1"/>
  <c r="BJ12" i="4" a="1"/>
  <c r="X46" i="3"/>
  <c r="Q23" i="2"/>
  <c r="O25" i="2"/>
  <c r="U35" i="2"/>
  <c r="AY5" i="4" a="1"/>
  <c r="AD46" i="3"/>
  <c r="Q24" i="2"/>
  <c r="N28" i="2"/>
  <c r="BH6" i="4" a="1"/>
  <c r="D26" i="3"/>
  <c r="F38" i="3"/>
  <c r="O21" i="2"/>
  <c r="DV12" i="4" a="1"/>
  <c r="DY11" i="4" a="1"/>
  <c r="M6" i="2"/>
  <c r="BW8" i="4" a="1"/>
  <c r="CU8" i="4" a="1"/>
  <c r="BU12" i="4" a="1"/>
  <c r="E27" i="2"/>
  <c r="BA12" i="4" a="1"/>
  <c r="K17" i="2"/>
  <c r="DO13" i="4" a="1"/>
  <c r="R11" i="4" a="1"/>
  <c r="K23" i="2"/>
  <c r="F5" i="3"/>
  <c r="I17" i="2"/>
  <c r="E11" i="4" a="1"/>
  <c r="DF16" i="4" a="1"/>
  <c r="U13" i="2"/>
  <c r="AK5" i="4" a="1"/>
  <c r="DO8" i="4" a="1"/>
  <c r="G21" i="2"/>
  <c r="J6" i="4" a="1"/>
  <c r="AZ15" i="4" a="1"/>
  <c r="E25" i="3"/>
  <c r="BJ6" i="4" a="1"/>
  <c r="BP9" i="4" a="1"/>
  <c r="G9" i="3"/>
  <c r="I27" i="2"/>
  <c r="AZ11" i="4" a="1"/>
  <c r="CA13" i="4" a="1"/>
  <c r="AP5" i="4" a="1"/>
  <c r="DY14" i="4" a="1"/>
  <c r="G12" i="4" a="1"/>
  <c r="D22" i="2"/>
  <c r="X8" i="4" a="1"/>
  <c r="AA15" i="4" a="1"/>
  <c r="E6" i="4" a="1"/>
  <c r="AY6" i="4" a="1"/>
  <c r="AR78" i="3"/>
  <c r="J8" i="4" a="1"/>
  <c r="CL16" i="4" a="1"/>
  <c r="G25" i="2"/>
  <c r="CD13" i="4" a="1"/>
  <c r="M11" i="4" a="1"/>
  <c r="AV8" i="4" a="1"/>
  <c r="S9" i="4" a="1"/>
  <c r="CZ16" i="4" a="1"/>
  <c r="C31" i="2"/>
  <c r="Q14" i="2"/>
  <c r="AD55" i="3"/>
  <c r="AD95" i="3"/>
  <c r="BV11" i="4" a="1"/>
  <c r="AS9" i="4" a="1"/>
  <c r="EB12" i="4" a="1"/>
  <c r="DV11" i="4" a="1"/>
  <c r="AZ6" i="4" a="1"/>
  <c r="ED7" i="4" a="1"/>
  <c r="AW7" i="4" a="1"/>
  <c r="CW11" i="4" a="1"/>
  <c r="O15" i="2"/>
  <c r="Q25" i="2"/>
  <c r="K25" i="2"/>
  <c r="U7" i="2"/>
  <c r="AA45" i="3"/>
  <c r="BO9" i="4" a="1"/>
  <c r="EJ9" i="4" a="1"/>
  <c r="T14" i="2"/>
  <c r="Q12" i="4" a="1"/>
  <c r="K20" i="2"/>
  <c r="E13" i="4" a="1"/>
  <c r="DZ16" i="4" a="1"/>
  <c r="BE11" i="4" a="1"/>
  <c r="F14" i="2"/>
  <c r="AR48" i="3"/>
  <c r="K9" i="2"/>
  <c r="CL15" i="4" a="1"/>
  <c r="J9" i="4" a="1"/>
  <c r="F36" i="3"/>
  <c r="M46" i="3"/>
  <c r="AR92" i="3"/>
  <c r="N26" i="2"/>
  <c r="BU15" i="4" a="1"/>
  <c r="AO5" i="4" a="1"/>
  <c r="EF9" i="4" a="1"/>
  <c r="Q29" i="2"/>
  <c r="G10" i="2"/>
  <c r="DE13" i="4" a="1"/>
  <c r="R12" i="4" a="1"/>
  <c r="BT7" i="4" a="1"/>
  <c r="DV7" i="4" a="1"/>
  <c r="DC5" i="4" a="1"/>
  <c r="AB14" i="4" a="1"/>
  <c r="K16" i="4" a="1"/>
  <c r="AI11" i="4" a="1"/>
  <c r="I9" i="4" a="1"/>
  <c r="H31" i="2"/>
  <c r="C11" i="4" a="1"/>
  <c r="AU8" i="4" a="1"/>
  <c r="CZ8" i="4" a="1"/>
  <c r="BO13" i="4" a="1"/>
  <c r="CG11" i="4" a="1"/>
  <c r="O11" i="4" a="1"/>
  <c r="R8" i="4" a="1"/>
  <c r="DV9" i="4" a="1"/>
  <c r="U8" i="4" a="1"/>
  <c r="BE8" i="4" a="1"/>
  <c r="BQ15" i="4" a="1"/>
  <c r="V28" i="2"/>
  <c r="AD9" i="3"/>
  <c r="AL16" i="4" a="1"/>
  <c r="W46" i="2"/>
  <c r="EI13" i="4" a="1"/>
  <c r="AN14" i="4" a="1"/>
  <c r="G14" i="4" a="1"/>
  <c r="DD11" i="4" a="1"/>
  <c r="CK16" i="4" a="1"/>
  <c r="Q17" i="2"/>
  <c r="U9" i="2"/>
  <c r="E21" i="2"/>
  <c r="AK13" i="4" a="1"/>
  <c r="AX11" i="4" a="1"/>
  <c r="CF8" i="4" a="1"/>
  <c r="BH9" i="4" a="1"/>
  <c r="AN45" i="3"/>
  <c r="AG7" i="4" a="1"/>
  <c r="F89" i="2"/>
  <c r="R15" i="4" a="1"/>
  <c r="P5" i="4" a="1"/>
  <c r="AJ46" i="3"/>
  <c r="F16" i="3"/>
  <c r="DI5" i="4" a="1"/>
  <c r="DG13" i="4" a="1"/>
  <c r="N24" i="2"/>
  <c r="D34" i="3"/>
  <c r="AW13" i="4" a="1"/>
  <c r="AD18" i="3"/>
  <c r="CZ6" i="4" a="1"/>
  <c r="F39" i="3"/>
  <c r="BP15" i="4" a="1"/>
  <c r="K12" i="4" a="1"/>
  <c r="AR60" i="3"/>
  <c r="CW9" i="4" a="1"/>
  <c r="DH7" i="4" a="1"/>
  <c r="DP14" i="4" a="1"/>
  <c r="Q31" i="2"/>
  <c r="DE16" i="4" a="1"/>
  <c r="T25" i="2"/>
  <c r="AG13" i="4" a="1"/>
  <c r="BH13" i="4" a="1"/>
  <c r="DQ14" i="4" a="1"/>
  <c r="P36" i="2"/>
  <c r="CW6" i="4" a="1"/>
  <c r="CA8" i="4" a="1"/>
  <c r="R15" i="2"/>
  <c r="U29" i="2"/>
  <c r="V6" i="4" a="1"/>
  <c r="DK8" i="4" a="1"/>
  <c r="S27" i="2"/>
  <c r="AD66" i="3"/>
  <c r="AD75" i="3"/>
  <c r="DL15" i="4" a="1"/>
  <c r="H17" i="2"/>
  <c r="CJ11" i="4" a="1"/>
  <c r="P29" i="2"/>
  <c r="E10" i="2"/>
  <c r="BL9" i="4" a="1"/>
  <c r="K6" i="4" a="1"/>
  <c r="E32" i="2"/>
  <c r="D36" i="3"/>
  <c r="DO9" i="4" a="1"/>
  <c r="BX15" i="4" a="1"/>
  <c r="C29" i="2"/>
  <c r="CN14" i="4" a="1"/>
  <c r="CJ6" i="4" a="1"/>
  <c r="U18" i="2"/>
  <c r="Q34" i="2"/>
  <c r="EI6" i="4" a="1"/>
  <c r="AM8" i="4" a="1"/>
  <c r="T29" i="2"/>
  <c r="AB12" i="4" a="1"/>
  <c r="I34" i="2"/>
  <c r="DP5" i="4" a="1"/>
  <c r="BA11" i="4" a="1"/>
  <c r="D23" i="2"/>
  <c r="CT11" i="4" a="1"/>
  <c r="I8" i="4" a="1"/>
  <c r="S25" i="2"/>
  <c r="Q28" i="2"/>
  <c r="F18" i="2"/>
  <c r="DU11" i="4" a="1"/>
  <c r="DH16" i="4" a="1"/>
  <c r="P33" i="2"/>
  <c r="DB14" i="4" a="1"/>
  <c r="BX6" i="4" a="1"/>
  <c r="J12" i="2"/>
  <c r="AV9" i="4" a="1"/>
  <c r="BJ14" i="4" a="1"/>
  <c r="Q6" i="2"/>
  <c r="F19" i="3"/>
  <c r="D9" i="4" a="1"/>
  <c r="BU16" i="4" a="1"/>
  <c r="T16" i="2"/>
  <c r="V15" i="4" a="1"/>
  <c r="DF9" i="4" a="1"/>
  <c r="G31" i="2"/>
  <c r="Q11" i="2"/>
  <c r="G16" i="3"/>
  <c r="N14" i="4" a="1"/>
  <c r="DY15" i="4" a="1"/>
  <c r="AR93" i="3"/>
  <c r="K24" i="2"/>
  <c r="DF15" i="4" a="1"/>
  <c r="N31" i="2"/>
  <c r="AN7" i="4" a="1"/>
  <c r="AL7" i="4" a="1"/>
  <c r="T33" i="2"/>
  <c r="G19" i="3"/>
  <c r="DF6" i="4" a="1"/>
  <c r="J10" i="2"/>
  <c r="AD7" i="3"/>
  <c r="J14" i="4" a="1"/>
  <c r="AJ15" i="4" a="1"/>
  <c r="T21" i="2"/>
  <c r="J35" i="2"/>
  <c r="AX14" i="4" a="1"/>
  <c r="M27" i="2"/>
  <c r="D12" i="2"/>
  <c r="BW7" i="4" a="1"/>
  <c r="F35" i="2"/>
  <c r="BC9" i="4" a="1"/>
  <c r="DP6" i="4" a="1"/>
  <c r="L33" i="2"/>
  <c r="E31" i="3"/>
  <c r="J26" i="2"/>
  <c r="AN13" i="4" a="1"/>
  <c r="AE16" i="4" a="1"/>
  <c r="AF6" i="4" a="1"/>
  <c r="AR13" i="3"/>
  <c r="DF12" i="4" a="1"/>
  <c r="Q19" i="2"/>
  <c r="EF15" i="4" a="1"/>
  <c r="D34" i="2"/>
  <c r="AR23" i="3"/>
  <c r="BC13" i="4" a="1"/>
  <c r="AP9" i="4" a="1"/>
  <c r="EE5" i="4" a="1"/>
  <c r="AM46" i="3"/>
  <c r="DQ15" i="4" a="1"/>
  <c r="E5" i="4" a="1"/>
  <c r="R26" i="2"/>
  <c r="BD5" i="4" a="1"/>
  <c r="DJ11" i="4" a="1"/>
  <c r="P14" i="4" a="1"/>
  <c r="DA16" i="4" a="1"/>
  <c r="E39" i="3"/>
  <c r="AI46" i="3"/>
  <c r="X11" i="4" a="1"/>
  <c r="U16" i="2"/>
  <c r="AE7" i="4" a="1"/>
  <c r="R8" i="2"/>
  <c r="DG7" i="4" a="1"/>
  <c r="J25" i="2"/>
  <c r="CR13" i="4" a="1"/>
  <c r="BN6" i="4" a="1"/>
  <c r="P23" i="2"/>
  <c r="E7" i="2"/>
  <c r="DA12" i="4" a="1"/>
  <c r="M26" i="2"/>
  <c r="AK14" i="4" a="1"/>
  <c r="BL7" i="4" a="1"/>
  <c r="J6" i="2"/>
  <c r="EC15" i="4" a="1"/>
  <c r="W17" i="2"/>
  <c r="V9" i="2"/>
  <c r="AB16" i="4" a="1"/>
  <c r="S22" i="2"/>
  <c r="EG5" i="4" a="1"/>
  <c r="D29" i="2"/>
  <c r="S16" i="4" a="1"/>
  <c r="AM12" i="4" a="1"/>
  <c r="AR38" i="3"/>
  <c r="T15" i="4" a="1"/>
  <c r="T13" i="4" a="1"/>
  <c r="DL8" i="4" a="1"/>
  <c r="EE7" i="4" a="1"/>
  <c r="BA8" i="4" a="1"/>
  <c r="CF13" i="4" a="1"/>
  <c r="AR56" i="3"/>
  <c r="CJ8" i="4" a="1"/>
  <c r="BW6" i="4" a="1"/>
  <c r="CO15" i="4" a="1"/>
  <c r="P5" i="2"/>
  <c r="R11" i="2"/>
  <c r="BO5" i="4" a="1"/>
  <c r="AY8" i="4" a="1"/>
  <c r="X34" i="2"/>
  <c r="DT7" i="4" a="1"/>
  <c r="N7" i="4" a="1"/>
  <c r="C21" i="2"/>
  <c r="E11" i="3"/>
  <c r="AL15" i="4" a="1"/>
  <c r="BL5" i="4" a="1"/>
  <c r="X23" i="2"/>
  <c r="F31" i="3"/>
  <c r="BO16" i="4" a="1"/>
  <c r="EC6" i="4" a="1"/>
  <c r="M7" i="2"/>
  <c r="D20" i="2"/>
  <c r="AD12" i="3"/>
  <c r="DN6" i="4" a="1"/>
  <c r="DG6" i="4" a="1"/>
  <c r="AR70" i="3"/>
  <c r="DI16" i="4" a="1"/>
  <c r="AR15" i="4" a="1"/>
  <c r="P28" i="2"/>
  <c r="V14" i="2"/>
  <c r="Y45" i="3"/>
  <c r="CH13" i="4" a="1"/>
  <c r="CR14" i="4" a="1"/>
  <c r="H14" i="2"/>
  <c r="CN7" i="4" a="1"/>
  <c r="DY6" i="4" a="1"/>
  <c r="O24" i="2"/>
  <c r="AG9" i="4" a="1"/>
  <c r="DX16" i="4" a="1"/>
  <c r="R23" i="2"/>
  <c r="CX7" i="4" a="1"/>
  <c r="C16" i="4" a="1"/>
  <c r="CM5" i="4" a="1"/>
  <c r="AR79" i="3"/>
  <c r="ED6" i="4" a="1"/>
  <c r="S14" i="4" a="1"/>
  <c r="V22" i="2"/>
  <c r="L28" i="2"/>
  <c r="DC9" i="4" a="1"/>
  <c r="DZ7" i="4" a="1"/>
  <c r="U36" i="2"/>
  <c r="E18" i="3"/>
  <c r="K22" i="2"/>
  <c r="AB9" i="4" a="1"/>
  <c r="AR69" i="3"/>
  <c r="C8" i="4" a="1"/>
  <c r="BN15" i="4" a="1"/>
  <c r="O29" i="2"/>
  <c r="T16" i="4" a="1"/>
  <c r="CD14" i="4" a="1"/>
  <c r="J36" i="2"/>
  <c r="DS12" i="4" a="1"/>
  <c r="AY16" i="4" a="1"/>
  <c r="O7" i="2"/>
  <c r="AD10" i="3"/>
  <c r="DV16" i="4" a="1"/>
  <c r="CS16" i="4" a="1"/>
  <c r="N34" i="2"/>
  <c r="G46" i="3"/>
  <c r="CD7" i="4" a="1"/>
  <c r="H10" i="2"/>
  <c r="CC8" i="4" a="1"/>
  <c r="BH8" i="4" a="1"/>
  <c r="R14" i="2"/>
  <c r="CD5" i="4" a="1"/>
  <c r="AR81" i="3"/>
  <c r="X9" i="2"/>
  <c r="AJ5" i="4" a="1"/>
  <c r="I9" i="2"/>
  <c r="EJ14" i="4" a="1"/>
  <c r="BC14" i="4" a="1"/>
  <c r="K19" i="2"/>
  <c r="CP7" i="4" a="1"/>
  <c r="I30" i="2"/>
  <c r="EA5" i="4" a="1"/>
  <c r="O6" i="2"/>
  <c r="U12" i="4" a="1"/>
  <c r="I16" i="2"/>
  <c r="AM45" i="3"/>
  <c r="DQ7" i="4" a="1"/>
  <c r="Q56" i="2"/>
  <c r="D15" i="3"/>
  <c r="DT16" i="4" a="1"/>
  <c r="J22" i="2"/>
  <c r="AW5" i="4" a="1"/>
  <c r="H19" i="2"/>
  <c r="CY15" i="4" a="1"/>
  <c r="K15" i="4" a="1"/>
  <c r="AF15" i="4" a="1"/>
  <c r="D33" i="3"/>
  <c r="V16" i="4" a="1"/>
  <c r="AC45" i="3"/>
  <c r="DH5" i="4" a="1"/>
  <c r="J17" i="2"/>
  <c r="DQ9" i="4" a="1"/>
  <c r="T5" i="4" a="1"/>
  <c r="D33" i="2"/>
  <c r="EI16" i="4" a="1"/>
  <c r="AP6" i="4" a="1"/>
  <c r="AR87" i="3"/>
  <c r="DJ14" i="4" a="1"/>
  <c r="F5" i="4" a="1"/>
  <c r="M10" i="2"/>
  <c r="CZ15" i="4" a="1"/>
  <c r="M21" i="2"/>
  <c r="F11" i="4" a="1"/>
  <c r="AV6" i="4" a="1"/>
  <c r="E18" i="2"/>
  <c r="EF7" i="4" a="1"/>
  <c r="AV12" i="4" a="1"/>
  <c r="DU7" i="4" a="1"/>
  <c r="U30" i="2"/>
  <c r="BG8" i="4" a="1"/>
  <c r="CG9" i="4" a="1"/>
  <c r="DI12" i="4" a="1"/>
  <c r="CA15" i="4" a="1"/>
  <c r="BY7" i="4" a="1"/>
  <c r="BC6" i="4" a="1"/>
  <c r="BM11" i="4" a="1"/>
  <c r="AL46" i="3"/>
  <c r="AQ7" i="4" a="1"/>
  <c r="Q16" i="4" a="1"/>
  <c r="DW12" i="4" a="1"/>
  <c r="T8" i="2"/>
  <c r="AD5" i="4" a="1"/>
  <c r="EH7" i="4" a="1"/>
  <c r="H8" i="4" a="1"/>
  <c r="DA15" i="4" a="1"/>
  <c r="BD11" i="4" a="1"/>
  <c r="DL7" i="4" a="1"/>
  <c r="BI14" i="4" a="1"/>
  <c r="AT16" i="4" a="1"/>
  <c r="D24" i="2"/>
  <c r="N13" i="2"/>
  <c r="I10" i="2"/>
  <c r="D37" i="3"/>
  <c r="BP11" i="4" a="1"/>
  <c r="CO14" i="4" a="1"/>
  <c r="F13" i="2"/>
  <c r="M23" i="2"/>
  <c r="BS7" i="4" a="1"/>
  <c r="R22" i="2"/>
  <c r="G8" i="3"/>
  <c r="P6" i="2"/>
  <c r="S33" i="2"/>
  <c r="E26" i="3"/>
  <c r="M19" i="2"/>
  <c r="N22" i="2"/>
  <c r="E11" i="2"/>
  <c r="AR35" i="3"/>
  <c r="DI9" i="4" a="1"/>
  <c r="F9" i="3"/>
  <c r="J5" i="4" a="1"/>
  <c r="CS13" i="4" a="1"/>
  <c r="DJ8" i="4" a="1"/>
  <c r="CX11" i="4" a="1"/>
  <c r="EI12" i="4" a="1"/>
  <c r="DX14" i="4" a="1"/>
  <c r="DD15" i="4" a="1"/>
  <c r="BF6" i="4" a="1"/>
  <c r="BR7" i="4" a="1"/>
  <c r="H11" i="4" a="1"/>
  <c r="CT6" i="4" a="1"/>
  <c r="S35" i="2"/>
  <c r="X21" i="2"/>
  <c r="D10" i="3"/>
  <c r="E16" i="2"/>
  <c r="O16" i="2"/>
  <c r="DL5" i="4" a="1"/>
  <c r="CK8" i="4" a="1"/>
  <c r="S16" i="2"/>
  <c r="D12" i="3"/>
  <c r="BA6" i="4" a="1"/>
  <c r="BX8" i="4" a="1"/>
  <c r="DN9" i="4" a="1"/>
  <c r="C23" i="2"/>
  <c r="I29" i="2"/>
  <c r="AL12" i="4" a="1"/>
  <c r="X18" i="2"/>
  <c r="E12" i="3"/>
  <c r="W45" i="3"/>
  <c r="O6" i="4" a="1"/>
  <c r="CO11" i="4" a="1"/>
  <c r="AI13" i="4" a="1"/>
  <c r="D24" i="3"/>
  <c r="AH16" i="4" a="1"/>
  <c r="AD6" i="3"/>
  <c r="CB7" i="4" a="1"/>
  <c r="AU15" i="4" a="1"/>
  <c r="BO7" i="4" a="1"/>
  <c r="U23" i="2"/>
  <c r="T15" i="2"/>
  <c r="CP6" i="4" a="1"/>
  <c r="C8" i="2"/>
  <c r="BR8" i="4" a="1"/>
  <c r="O30" i="2"/>
  <c r="H35" i="2"/>
  <c r="BW11" i="4" a="1"/>
  <c r="E17" i="3"/>
  <c r="L9" i="2"/>
  <c r="AE15" i="4" a="1"/>
  <c r="U6" i="2"/>
  <c r="H26" i="2"/>
  <c r="Q18" i="2"/>
  <c r="AV11" i="4" a="1"/>
  <c r="DZ6" i="4" a="1"/>
  <c r="CE6" i="4" a="1"/>
  <c r="G18" i="3"/>
  <c r="W22" i="2"/>
  <c r="CO9" i="4" a="1"/>
  <c r="C33" i="2"/>
  <c r="CB13" i="4" a="1"/>
  <c r="D5" i="3"/>
  <c r="DF14" i="4" a="1"/>
  <c r="V33" i="2"/>
  <c r="BI15" i="4" a="1"/>
  <c r="DE15" i="4" a="1"/>
  <c r="CQ9" i="4" a="1"/>
  <c r="CT5" i="4" a="1"/>
  <c r="CF11" i="4" a="1"/>
  <c r="CO5" i="4" a="1"/>
  <c r="BX12" i="4" a="1"/>
  <c r="AG15" i="4" a="1"/>
  <c r="DI8" i="4" a="1"/>
  <c r="BE13" i="4" a="1"/>
  <c r="BE6" i="4" a="1"/>
  <c r="AI5" i="4" a="1"/>
  <c r="BQ6" i="4" a="1"/>
  <c r="EC14" i="4" a="1"/>
  <c r="DJ16" i="4" a="1"/>
  <c r="DD5" i="4" a="1"/>
  <c r="DB12" i="4" a="1"/>
  <c r="CC6" i="4" a="1"/>
  <c r="BY12" i="4" a="1"/>
  <c r="BB9" i="4" a="1"/>
  <c r="BI9" i="4" a="1"/>
  <c r="F13" i="3"/>
  <c r="D82" i="3"/>
  <c r="D59" i="3"/>
  <c r="AD73" i="3"/>
  <c r="D68" i="3"/>
  <c r="D74" i="3"/>
  <c r="EG13" i="4" a="1"/>
  <c r="J31" i="2"/>
  <c r="G33" i="2"/>
  <c r="M20" i="2"/>
  <c r="AC15" i="4" a="1"/>
  <c r="V26" i="2"/>
  <c r="M8" i="2"/>
  <c r="E15" i="2"/>
  <c r="AG5" i="4" a="1"/>
  <c r="D11" i="4" a="1"/>
  <c r="CF7" i="4" a="1"/>
  <c r="E22" i="3"/>
  <c r="AM6" i="4" a="1"/>
  <c r="F21" i="2"/>
  <c r="EH16" i="4" a="1"/>
  <c r="N5" i="2"/>
  <c r="DD7" i="4" a="1"/>
  <c r="G11" i="2"/>
  <c r="K12" i="2"/>
  <c r="I19" i="2"/>
  <c r="AQ14" i="4" a="1"/>
  <c r="K7" i="4" a="1"/>
  <c r="BG13" i="4" a="1"/>
  <c r="R6" i="2"/>
  <c r="DK5" i="4" a="1"/>
  <c r="DV14" i="4" a="1"/>
  <c r="BU5" i="4" a="1"/>
  <c r="DC15" i="4" a="1"/>
  <c r="D75" i="3"/>
  <c r="AD89" i="3"/>
  <c r="CD9" i="4" a="1"/>
  <c r="F25" i="3"/>
  <c r="J15" i="2"/>
  <c r="V12" i="2"/>
  <c r="G12" i="3"/>
  <c r="T31" i="2"/>
  <c r="L13" i="4" a="1"/>
  <c r="W7" i="2"/>
  <c r="D13" i="2"/>
  <c r="W18" i="2"/>
  <c r="DN14" i="4" a="1"/>
  <c r="AY9" i="4" a="1"/>
  <c r="AX6" i="4" a="1"/>
  <c r="K43" i="2"/>
  <c r="R46" i="3"/>
  <c r="EH9" i="4" a="1"/>
  <c r="AP45" i="3"/>
  <c r="AR42" i="3"/>
  <c r="F15" i="2"/>
  <c r="DC14" i="4" a="1"/>
  <c r="S32" i="2"/>
  <c r="E28" i="3"/>
  <c r="S8" i="4" a="1"/>
  <c r="U33" i="2"/>
  <c r="X33" i="2"/>
  <c r="Q78" i="2"/>
  <c r="D69" i="3"/>
  <c r="AD76" i="3"/>
  <c r="L27" i="2"/>
  <c r="P19" i="2"/>
  <c r="CV16" i="4" a="1"/>
  <c r="BV8" i="4" a="1"/>
  <c r="F34" i="2"/>
  <c r="AS8" i="4" a="1"/>
  <c r="X36" i="2"/>
  <c r="ED16" i="4" a="1"/>
  <c r="DR13" i="4" a="1"/>
  <c r="CE5" i="4" a="1"/>
  <c r="N7" i="2"/>
  <c r="AM11" i="4" a="1"/>
  <c r="EJ8" i="4" a="1"/>
  <c r="AD12" i="4" a="1"/>
  <c r="AR84" i="3"/>
  <c r="P13" i="4" a="1"/>
  <c r="BH5" i="4" a="1"/>
  <c r="K34" i="2"/>
  <c r="AK12" i="4" a="1"/>
  <c r="T6" i="2"/>
  <c r="V14" i="4" a="1"/>
  <c r="Q21" i="2"/>
  <c r="T17" i="2"/>
  <c r="V19" i="2"/>
  <c r="EI11" i="4" a="1"/>
  <c r="DA7" i="4" a="1"/>
  <c r="X92" i="2"/>
  <c r="P12" i="4" a="1"/>
  <c r="E37" i="3"/>
  <c r="AM16" i="4" a="1"/>
  <c r="BV7" i="4" a="1"/>
  <c r="R16" i="2"/>
  <c r="CH11" i="4" a="1"/>
  <c r="M5" i="4" a="1"/>
  <c r="U20" i="2"/>
  <c r="D15" i="2"/>
  <c r="BR14" i="4" a="1"/>
  <c r="J15" i="4" a="1"/>
  <c r="AM5" i="4" a="1"/>
  <c r="D12" i="4" a="1"/>
  <c r="BR12" i="4" a="1"/>
  <c r="U34" i="2"/>
  <c r="BJ8" i="4" a="1"/>
  <c r="I15" i="4" a="1"/>
  <c r="S12" i="4" a="1"/>
  <c r="BK16" i="4" a="1"/>
  <c r="AZ12" i="4" a="1"/>
  <c r="AN5" i="4" a="1"/>
  <c r="CG8" i="4" a="1"/>
  <c r="C14" i="2"/>
  <c r="CW8" i="4" a="1"/>
  <c r="H6" i="4" a="1"/>
  <c r="J14" i="2"/>
  <c r="F27" i="3"/>
  <c r="CC15" i="4" a="1"/>
  <c r="DA13" i="4" a="1"/>
  <c r="BI16" i="4" a="1"/>
  <c r="AC12" i="4" a="1"/>
  <c r="S13" i="4" a="1"/>
  <c r="BT9" i="4" a="1"/>
  <c r="CW15" i="4" a="1"/>
  <c r="CJ14" i="4" a="1"/>
  <c r="C30" i="2"/>
  <c r="E30" i="2"/>
  <c r="ED13" i="4" a="1"/>
  <c r="E29" i="3"/>
  <c r="BZ6" i="4" a="1"/>
  <c r="T14" i="4" a="1"/>
  <c r="EK12" i="4" a="1"/>
  <c r="C10" i="2"/>
  <c r="BM16" i="4" a="1"/>
  <c r="CO12" i="4" a="1"/>
  <c r="CL5" i="4" a="1"/>
  <c r="X28" i="2"/>
  <c r="T36" i="2"/>
  <c r="M36" i="2"/>
  <c r="BE14" i="4" a="1"/>
  <c r="S9" i="2"/>
  <c r="AW16" i="4" a="1"/>
  <c r="AR89" i="3"/>
  <c r="D31" i="3"/>
  <c r="BC5" i="4" a="1"/>
  <c r="BU7" i="4" a="1"/>
  <c r="AR90" i="3"/>
  <c r="CE8" i="4" a="1"/>
  <c r="L15" i="2"/>
  <c r="N15" i="2"/>
  <c r="AR82" i="3"/>
  <c r="M12" i="4" a="1"/>
  <c r="L29" i="2"/>
  <c r="CI12" i="4" a="1"/>
  <c r="EI14" i="4" a="1"/>
  <c r="AR20" i="3"/>
  <c r="CT15" i="4" a="1"/>
  <c r="D46" i="3"/>
  <c r="DP15" i="4" a="1"/>
  <c r="CO13" i="4" a="1"/>
  <c r="BM12" i="4" a="1"/>
  <c r="H21" i="2"/>
  <c r="AQ8" i="4" a="1"/>
  <c r="Y46" i="3"/>
  <c r="AT11" i="4" a="1"/>
  <c r="M8" i="4" a="1"/>
  <c r="DD14" i="4" a="1"/>
  <c r="DB5" i="4" a="1"/>
  <c r="I12" i="2"/>
  <c r="E29" i="2"/>
  <c r="Q54" i="2"/>
  <c r="O13" i="2"/>
  <c r="U26" i="2"/>
  <c r="L8" i="2"/>
  <c r="AF48" i="3"/>
  <c r="AB11" i="4" a="1"/>
  <c r="AB15" i="4" a="1"/>
  <c r="EC11" i="4" a="1"/>
  <c r="F29" i="3"/>
  <c r="CU7" i="4" a="1"/>
  <c r="AR50" i="3"/>
  <c r="BG7" i="4" a="1"/>
  <c r="CS14" i="4" a="1"/>
  <c r="DU14" i="4" a="1"/>
  <c r="I6" i="2"/>
  <c r="BN8" i="4" a="1"/>
  <c r="AI8" i="4" a="1"/>
  <c r="CM8" i="4" a="1"/>
  <c r="AI15" i="4" a="1"/>
  <c r="EI15" i="4" a="1"/>
  <c r="BD12" i="4" a="1"/>
  <c r="DB8" i="4" a="1"/>
  <c r="U13" i="4" a="1"/>
  <c r="J30" i="2"/>
  <c r="BM7" i="4" a="1"/>
  <c r="DX8" i="4" a="1"/>
  <c r="BP13" i="4" a="1"/>
  <c r="H29" i="2"/>
  <c r="F16" i="4" a="1"/>
  <c r="BR9" i="4" a="1"/>
  <c r="G36" i="2"/>
  <c r="K29" i="2"/>
  <c r="E17" i="2"/>
  <c r="DE9" i="4" a="1"/>
  <c r="X20" i="2"/>
  <c r="DU12" i="4" a="1"/>
  <c r="U24" i="2"/>
  <c r="BX9" i="4" a="1"/>
  <c r="BJ9" i="4" a="1"/>
  <c r="AQ12" i="4" a="1"/>
  <c r="AS47" i="3"/>
  <c r="AF12" i="4" a="1"/>
  <c r="L22" i="2"/>
  <c r="F12" i="3"/>
  <c r="F30" i="3"/>
  <c r="CE14" i="4" a="1"/>
  <c r="G14" i="2"/>
  <c r="DX9" i="4" a="1"/>
  <c r="AO11" i="4" a="1"/>
  <c r="BY8" i="4" a="1"/>
  <c r="CB14" i="4" a="1"/>
  <c r="DK7" i="4" a="1"/>
  <c r="EH13" i="4" a="1"/>
  <c r="AU11" i="4" a="1"/>
  <c r="L15" i="4" a="1"/>
  <c r="AR88" i="3"/>
  <c r="DM9" i="4" a="1"/>
  <c r="CY16" i="4" a="1"/>
  <c r="BG9" i="4" a="1"/>
  <c r="EA12" i="4" a="1"/>
  <c r="BL6" i="4" a="1"/>
  <c r="AF14" i="4" a="1"/>
  <c r="E12" i="4" a="1"/>
  <c r="P6" i="4" a="1"/>
  <c r="I5" i="4" a="1"/>
  <c r="U45" i="3"/>
  <c r="AQ16" i="4" a="1"/>
  <c r="BF5" i="4" a="1"/>
  <c r="U11" i="2"/>
  <c r="DY7" i="4" a="1"/>
  <c r="CN12" i="4" a="1"/>
  <c r="Q6" i="4" a="1"/>
  <c r="AU9" i="4" a="1"/>
  <c r="O16" i="4" a="1"/>
  <c r="DQ16" i="4" a="1"/>
  <c r="K5" i="4" a="1"/>
  <c r="CQ7" i="4" a="1"/>
  <c r="AC13" i="4" a="1"/>
  <c r="AD86" i="3"/>
  <c r="AD96" i="3"/>
  <c r="D90" i="3"/>
  <c r="H15" i="2"/>
  <c r="S14" i="2"/>
  <c r="G23" i="2"/>
  <c r="J27" i="2"/>
  <c r="DP9" i="4" a="1"/>
  <c r="BL14" i="4" a="1"/>
  <c r="AB45" i="3"/>
  <c r="F41" i="3"/>
  <c r="AC5" i="4" a="1"/>
  <c r="AR37" i="3"/>
  <c r="O12" i="4" a="1"/>
  <c r="CS12" i="4" a="1"/>
  <c r="BA9" i="4" a="1"/>
  <c r="AT5" i="4" a="1"/>
  <c r="E8" i="3"/>
  <c r="F6" i="4" a="1"/>
  <c r="F17" i="3"/>
  <c r="CH8" i="4" a="1"/>
  <c r="CC13" i="4" a="1"/>
  <c r="EK5" i="4" a="1"/>
  <c r="N9" i="4" a="1"/>
  <c r="V7" i="2"/>
  <c r="DA9" i="4" a="1"/>
  <c r="AT6" i="4" a="1"/>
  <c r="AR86" i="3"/>
  <c r="AA16" i="4" a="1"/>
  <c r="P25" i="2"/>
  <c r="BR16" i="4" a="1"/>
  <c r="D79" i="3"/>
  <c r="O20" i="2"/>
  <c r="D29" i="3"/>
  <c r="I33" i="2"/>
  <c r="CQ13" i="4" a="1"/>
  <c r="F7" i="4" a="1"/>
  <c r="DC7" i="4" a="1"/>
  <c r="T7" i="2"/>
  <c r="Q57" i="2"/>
  <c r="BV12" i="4" a="1"/>
  <c r="BM14" i="4" a="1"/>
  <c r="D32" i="3"/>
  <c r="CG15" i="4" a="1"/>
  <c r="F14" i="4" a="1"/>
  <c r="CB5" i="4" a="1"/>
  <c r="L8" i="4" a="1"/>
  <c r="E6" i="3"/>
  <c r="AO12" i="4" a="1"/>
  <c r="AR36" i="3"/>
  <c r="D20" i="3"/>
  <c r="BW14" i="4" a="1"/>
  <c r="AE9" i="4" a="1"/>
  <c r="AQ15" i="4" a="1"/>
  <c r="Z11" i="4" a="1"/>
  <c r="CF9" i="4" a="1"/>
  <c r="G24" i="3"/>
  <c r="DH13" i="4" a="1"/>
  <c r="D60" i="3"/>
  <c r="AD63" i="3"/>
  <c r="D7" i="4" a="1"/>
  <c r="G13" i="2"/>
  <c r="H24" i="2"/>
  <c r="DT5" i="4" a="1"/>
  <c r="AR68" i="3"/>
  <c r="CC7" i="4" a="1"/>
  <c r="D7" i="3"/>
  <c r="DF11" i="4" a="1"/>
  <c r="F5" i="2"/>
  <c r="EA6" i="4" a="1"/>
  <c r="G5" i="3"/>
  <c r="BV15" i="4" a="1"/>
  <c r="W11" i="2"/>
  <c r="CS6" i="4" a="1"/>
  <c r="X13" i="4" a="1"/>
  <c r="Q69" i="2"/>
  <c r="AW14" i="4" a="1"/>
  <c r="P11" i="2"/>
  <c r="CQ12" i="4" a="1"/>
  <c r="H99" i="2"/>
  <c r="AL8" i="4" a="1"/>
  <c r="Q32" i="2"/>
  <c r="DG12" i="4" a="1"/>
  <c r="CI7" i="4" a="1"/>
  <c r="O27" i="2"/>
  <c r="AJ16" i="4" a="1"/>
  <c r="AR25" i="3"/>
  <c r="DZ5" i="4" a="1"/>
  <c r="P13" i="2"/>
  <c r="W8" i="2"/>
  <c r="AA6" i="4" a="1"/>
  <c r="DO5" i="4" a="1"/>
  <c r="L20" i="2"/>
  <c r="K11" i="2"/>
  <c r="AC16" i="4" a="1"/>
  <c r="E45" i="2"/>
  <c r="O13" i="4" a="1"/>
  <c r="G16" i="2"/>
  <c r="BC16" i="4" a="1"/>
  <c r="CY11" i="4" a="1"/>
  <c r="EJ16" i="4" a="1"/>
  <c r="T11" i="2"/>
  <c r="R7" i="4" a="1"/>
  <c r="CC9" i="4" a="1"/>
  <c r="W19" i="2"/>
  <c r="L26" i="2"/>
  <c r="S13" i="2"/>
  <c r="S36" i="2"/>
  <c r="DL16" i="4" a="1"/>
  <c r="S7" i="2"/>
  <c r="Q8" i="2"/>
  <c r="G9" i="4" a="1"/>
  <c r="AK45" i="3"/>
  <c r="W29" i="2"/>
  <c r="L32" i="2"/>
  <c r="F6" i="2"/>
  <c r="EK9" i="4" a="1"/>
  <c r="EI5" i="4" a="1"/>
  <c r="CX9" i="4" a="1"/>
  <c r="CH16" i="4" a="1"/>
  <c r="C32" i="2"/>
  <c r="Q11" i="4" a="1"/>
  <c r="AQ6" i="4" a="1"/>
  <c r="DR16" i="4" a="1"/>
  <c r="E19" i="2"/>
  <c r="EK15" i="4" a="1"/>
  <c r="DS7" i="4" a="1"/>
  <c r="EJ6" i="4" a="1"/>
  <c r="BJ13" i="4" a="1"/>
  <c r="W46" i="3"/>
  <c r="K11" i="4" a="1"/>
  <c r="AB13" i="4" a="1"/>
  <c r="CP12" i="4" a="1"/>
  <c r="V32" i="2"/>
  <c r="DE6" i="4" a="1"/>
  <c r="AL13" i="4" a="1"/>
  <c r="T11" i="4" a="1"/>
  <c r="CE7" i="4" a="1"/>
  <c r="T45" i="3"/>
  <c r="BJ11" i="4" a="1"/>
  <c r="S12" i="2"/>
  <c r="BC12" i="4" a="1"/>
  <c r="CY12" i="4" a="1"/>
  <c r="DQ5" i="4" a="1"/>
  <c r="Z8" i="4" a="1"/>
  <c r="F29" i="2"/>
  <c r="E20" i="3"/>
  <c r="CG12" i="4" a="1"/>
  <c r="P22" i="2"/>
  <c r="DB7" i="4" a="1"/>
  <c r="EA9" i="4" a="1"/>
  <c r="CN8" i="4" a="1"/>
  <c r="BB16" i="4" a="1"/>
  <c r="P24" i="2"/>
  <c r="EJ15" i="4" a="1"/>
  <c r="CL14" i="4" a="1"/>
  <c r="AD78" i="3"/>
  <c r="G91" i="3"/>
  <c r="AD97" i="3"/>
  <c r="AD88" i="3"/>
  <c r="AD68" i="3"/>
  <c r="AD61" i="3"/>
  <c r="D73" i="3"/>
  <c r="K46" i="3"/>
  <c r="DX15" i="4" a="1"/>
  <c r="AV7" i="4" a="1"/>
  <c r="U19" i="2"/>
  <c r="C19" i="2"/>
  <c r="AR59" i="3"/>
  <c r="AE45" i="3"/>
  <c r="D8" i="2"/>
  <c r="S21" i="2"/>
  <c r="N25" i="2"/>
  <c r="AR57" i="3"/>
  <c r="DY16" i="4" a="1"/>
  <c r="EE6" i="4" a="1"/>
  <c r="BN12" i="4" a="1"/>
  <c r="V11" i="4" a="1"/>
  <c r="J7" i="4" a="1"/>
  <c r="K30" i="2"/>
  <c r="D14" i="4" a="1"/>
  <c r="E30" i="3"/>
  <c r="AK16" i="4" a="1"/>
  <c r="I35" i="2"/>
  <c r="L6" i="4" a="1"/>
  <c r="M11" i="2"/>
  <c r="AP12" i="4" a="1"/>
  <c r="CJ12" i="4" a="1"/>
  <c r="Q46" i="2"/>
  <c r="BP7" i="4" a="1"/>
  <c r="AD17" i="3"/>
  <c r="DD8" i="4" a="1"/>
  <c r="U28" i="2"/>
  <c r="AD11" i="4" a="1"/>
  <c r="N21" i="2"/>
  <c r="D32" i="2"/>
  <c r="AR28" i="3"/>
  <c r="L46" i="3"/>
  <c r="F75" i="2"/>
  <c r="Q13" i="2"/>
  <c r="G29" i="3"/>
  <c r="BL13" i="4" a="1"/>
  <c r="V36" i="2"/>
  <c r="G17" i="3"/>
  <c r="L24" i="2"/>
  <c r="G31" i="3"/>
  <c r="BC8" i="4" a="1"/>
  <c r="BZ14" i="4" a="1"/>
  <c r="BI11" i="4" a="1"/>
  <c r="DJ5" i="4" a="1"/>
  <c r="T26" i="2"/>
  <c r="V30" i="2"/>
  <c r="W13" i="4" a="1"/>
  <c r="P9" i="4" a="1"/>
  <c r="BG14" i="4" a="1"/>
  <c r="J11" i="2"/>
  <c r="CU5" i="4" a="1"/>
  <c r="BM8" i="4" a="1"/>
  <c r="S18" i="2"/>
  <c r="BK5" i="4" a="1"/>
  <c r="V8" i="2"/>
  <c r="BA7" i="4" a="1"/>
  <c r="R13" i="4" a="1"/>
  <c r="AO8" i="4" a="1"/>
  <c r="V46" i="3"/>
  <c r="BX5" i="4" a="1"/>
  <c r="Y7" i="4" a="1"/>
  <c r="L31" i="2"/>
  <c r="EK13" i="4" a="1"/>
  <c r="CG16" i="4" a="1"/>
  <c r="J19" i="2"/>
  <c r="N32" i="2"/>
  <c r="BN11" i="4" a="1"/>
  <c r="CU6" i="4" a="1"/>
  <c r="F26" i="2"/>
  <c r="F40" i="3"/>
  <c r="S29" i="2"/>
  <c r="BF11" i="4" a="1"/>
  <c r="AR16" i="4" a="1"/>
  <c r="X12" i="4" a="1"/>
  <c r="W21" i="2"/>
  <c r="AC8" i="4" a="1"/>
  <c r="D7" i="2"/>
  <c r="AR30" i="3"/>
  <c r="M6" i="4" a="1"/>
  <c r="DN15" i="4" a="1"/>
  <c r="C20" i="2"/>
  <c r="AD13" i="3"/>
  <c r="CB16" i="4" a="1"/>
  <c r="DG16" i="4" a="1"/>
  <c r="CC11" i="4" a="1"/>
  <c r="AG8" i="4" a="1"/>
  <c r="BD6" i="4" a="1"/>
  <c r="CM14" i="4" a="1"/>
  <c r="BY14" i="4" a="1"/>
  <c r="K33" i="2"/>
  <c r="E14" i="4" a="1"/>
  <c r="DN16" i="4" a="1"/>
  <c r="F15" i="3"/>
  <c r="E9" i="3"/>
  <c r="BU9" i="4" a="1"/>
  <c r="DV15" i="4" a="1"/>
  <c r="DN5" i="4" a="1"/>
  <c r="O31" i="2"/>
  <c r="W14" i="4" a="1"/>
  <c r="U22" i="2"/>
  <c r="EB5" i="4" a="1"/>
  <c r="AZ16" i="4" a="1"/>
  <c r="R24" i="2"/>
  <c r="S30" i="2"/>
  <c r="BA16" i="4" a="1"/>
  <c r="M34" i="2"/>
  <c r="CU11" i="4" a="1"/>
  <c r="BB5" i="4" a="1"/>
  <c r="DH9" i="4" a="1"/>
  <c r="X26" i="2"/>
  <c r="DP13" i="4" a="1"/>
  <c r="J9" i="2"/>
  <c r="P26" i="2"/>
  <c r="D87" i="3"/>
  <c r="AD65" i="3"/>
  <c r="AD71" i="3"/>
  <c r="AD60" i="3"/>
  <c r="AD93" i="3"/>
  <c r="AS7" i="4" a="1"/>
  <c r="W9" i="2"/>
  <c r="Y15" i="4" a="1"/>
  <c r="Z14" i="4" a="1"/>
  <c r="AQ45" i="3"/>
  <c r="AX8" i="4" a="1"/>
  <c r="AH7" i="4" a="1"/>
  <c r="S24" i="2"/>
  <c r="DJ7" i="4" a="1"/>
  <c r="M22" i="2"/>
  <c r="BB15" i="4" a="1"/>
  <c r="DX13" i="4" a="1"/>
  <c r="AM9" i="4" a="1"/>
  <c r="EA15" i="4" a="1"/>
  <c r="CM6" i="4" a="1"/>
  <c r="EF5" i="4" a="1"/>
  <c r="EB8" i="4" a="1"/>
  <c r="E45" i="3"/>
  <c r="O5" i="4" a="1"/>
  <c r="CH6" i="4" a="1"/>
  <c r="U7" i="4" a="1"/>
  <c r="BP16" i="4" a="1"/>
  <c r="EA7" i="4" a="1"/>
  <c r="H11" i="2"/>
  <c r="DM14" i="4" a="1"/>
  <c r="F27" i="2"/>
  <c r="DP11" i="4" a="1"/>
  <c r="O8" i="4" a="1"/>
  <c r="D72" i="3"/>
  <c r="AD94" i="3"/>
  <c r="CJ9" i="4" a="1"/>
  <c r="M12" i="2"/>
  <c r="D27" i="2"/>
  <c r="AD14" i="4" a="1"/>
  <c r="Q59" i="2"/>
  <c r="F30" i="2"/>
  <c r="N12" i="4" a="1"/>
  <c r="Y13" i="4" a="1"/>
  <c r="BZ5" i="4" a="1"/>
  <c r="AO6" i="3"/>
  <c r="F36" i="2"/>
  <c r="E9" i="4" a="1"/>
  <c r="CW5" i="4" a="1"/>
  <c r="AB5" i="4" a="1"/>
  <c r="V11" i="2"/>
  <c r="BG15" i="4" a="1"/>
  <c r="EK7" i="4" a="1"/>
  <c r="CP15" i="4" a="1"/>
  <c r="AA9" i="4" a="1"/>
  <c r="E12" i="2"/>
  <c r="S62" i="2"/>
  <c r="BP6" i="4" a="1"/>
  <c r="CP11" i="4" a="1"/>
  <c r="E8" i="4" a="1"/>
  <c r="CY7" i="4" a="1"/>
  <c r="AF13" i="4" a="1"/>
  <c r="AD67" i="3"/>
  <c r="AD80" i="3"/>
  <c r="D61" i="3"/>
  <c r="DR14" i="4" a="1"/>
  <c r="AG12" i="4" a="1"/>
  <c r="AD45" i="3"/>
  <c r="CZ14" i="4" a="1"/>
  <c r="E15" i="3"/>
  <c r="DM7" i="4" a="1"/>
  <c r="R21" i="2"/>
  <c r="CC14" i="4" a="1"/>
  <c r="AR58" i="3"/>
  <c r="DK15" i="4" a="1"/>
  <c r="K8" i="2"/>
  <c r="CF15" i="4" a="1"/>
  <c r="H25" i="2"/>
  <c r="BU11" i="4" a="1"/>
  <c r="AH15" i="4" a="1"/>
  <c r="V18" i="2"/>
  <c r="AF11" i="4" a="1"/>
  <c r="AR22" i="3"/>
  <c r="DS15" i="4" a="1"/>
  <c r="S5" i="2"/>
  <c r="EC13" i="4" a="1"/>
  <c r="F24" i="3"/>
  <c r="W12" i="4" a="1"/>
  <c r="CQ8" i="4" a="1"/>
  <c r="X17" i="2"/>
  <c r="CX5" i="4" a="1"/>
  <c r="AE6" i="4" a="1"/>
  <c r="K87" i="2"/>
  <c r="CO6" i="4" a="1"/>
  <c r="J34" i="2"/>
  <c r="AB7" i="4" a="1"/>
  <c r="DG5" i="4" a="1"/>
  <c r="V31" i="2"/>
  <c r="G30" i="3"/>
  <c r="BR11" i="4" a="1"/>
  <c r="DG8" i="4" a="1"/>
  <c r="AD8" i="3"/>
  <c r="E6" i="2"/>
  <c r="Q9" i="2"/>
  <c r="P20" i="2"/>
  <c r="I12" i="4" a="1"/>
  <c r="AO46" i="3"/>
  <c r="E28" i="2"/>
  <c r="S20" i="2"/>
  <c r="DD9" i="4" a="1"/>
  <c r="AH46" i="3"/>
  <c r="CF16" i="4" a="1"/>
  <c r="AR85" i="3"/>
  <c r="CS11" i="4" a="1"/>
  <c r="AR11" i="4" a="1"/>
  <c r="E5" i="3"/>
  <c r="O15" i="4" a="1"/>
  <c r="DF13" i="4" a="1"/>
  <c r="EC7" i="4" a="1"/>
  <c r="C12" i="2"/>
  <c r="L16" i="2"/>
  <c r="L19" i="2"/>
  <c r="BB7" i="4" a="1"/>
  <c r="DP16" i="4" a="1"/>
  <c r="E34" i="2"/>
  <c r="F35" i="3"/>
  <c r="AR94" i="3"/>
  <c r="BK12" i="4" a="1"/>
  <c r="AR13" i="4" a="1"/>
  <c r="M13" i="2"/>
  <c r="EG6" i="4" a="1"/>
  <c r="DT13" i="4" a="1"/>
  <c r="C46" i="3"/>
  <c r="U27" i="2"/>
  <c r="J16" i="4" a="1"/>
  <c r="AZ14" i="4" a="1"/>
  <c r="EC12" i="4" a="1"/>
  <c r="DO15" i="4" a="1"/>
  <c r="E16" i="4" a="1"/>
  <c r="P27" i="2"/>
  <c r="U31" i="2"/>
  <c r="AX13" i="4" a="1"/>
  <c r="R9" i="4" a="1"/>
  <c r="AR9" i="4" a="1"/>
  <c r="EI9" i="4" a="1"/>
  <c r="F20" i="2"/>
  <c r="EA8" i="4" a="1"/>
  <c r="DI11" i="4" a="1"/>
  <c r="C13" i="4" a="1"/>
  <c r="EJ12" i="4" a="1"/>
  <c r="D15" i="4" a="1"/>
  <c r="AK8" i="4" a="1"/>
  <c r="EA16" i="4" a="1"/>
  <c r="O34" i="2"/>
  <c r="AR6" i="4" a="1"/>
  <c r="AW9" i="4" a="1"/>
  <c r="CD16" i="4" a="1"/>
  <c r="CU16" i="4" a="1"/>
  <c r="DE14" i="4" a="1"/>
  <c r="W24" i="2"/>
  <c r="Q27" i="2"/>
  <c r="E91" i="3"/>
  <c r="D83" i="3"/>
  <c r="E68" i="3"/>
  <c r="AD54" i="3"/>
  <c r="D78" i="3"/>
  <c r="E94" i="3"/>
  <c r="G83" i="3"/>
  <c r="DL12" i="4" a="1"/>
  <c r="S23" i="2"/>
  <c r="O36" i="2"/>
  <c r="AR34" i="3"/>
  <c r="O9" i="2"/>
  <c r="Q36" i="2"/>
  <c r="I28" i="2"/>
  <c r="AR24" i="3"/>
  <c r="AQ13" i="4" a="1"/>
  <c r="EC9" i="4" a="1"/>
  <c r="CF12" i="4" a="1"/>
  <c r="M7" i="4" a="1"/>
  <c r="DC6" i="4" a="1"/>
  <c r="X32" i="2"/>
  <c r="BN13" i="4" a="1"/>
  <c r="BX16" i="4" a="1"/>
  <c r="CU15" i="4" a="1"/>
  <c r="EK14" i="4" a="1"/>
  <c r="U6" i="4" a="1"/>
  <c r="DK16" i="4" a="1"/>
  <c r="D18" i="2"/>
  <c r="I14" i="4" a="1"/>
  <c r="G15" i="4" a="1"/>
  <c r="EB15" i="4" a="1"/>
  <c r="AW15" i="4" a="1"/>
  <c r="CI8" i="4" a="1"/>
  <c r="V12" i="4" a="1"/>
  <c r="AD9" i="4" a="1"/>
  <c r="EE11" i="4" a="1"/>
  <c r="R28" i="2"/>
  <c r="BD14" i="4" a="1"/>
  <c r="DS13" i="4" a="1"/>
  <c r="G17" i="2"/>
  <c r="BD16" i="4" a="1"/>
  <c r="CP9" i="4" a="1"/>
  <c r="H5" i="4" a="1"/>
  <c r="AD16" i="4" a="1"/>
  <c r="CB8" i="4" a="1"/>
  <c r="I26" i="2"/>
  <c r="DR9" i="4" a="1"/>
  <c r="V7" i="4" a="1"/>
  <c r="G67" i="3"/>
  <c r="AD57" i="3"/>
  <c r="D97" i="3"/>
  <c r="G68" i="3"/>
  <c r="D64" i="3"/>
  <c r="G54" i="3"/>
  <c r="J32" i="2"/>
  <c r="E36" i="2"/>
  <c r="E13" i="2"/>
  <c r="X41" i="2"/>
  <c r="E8" i="2"/>
  <c r="CV7" i="4" a="1"/>
  <c r="D11" i="2"/>
  <c r="P34" i="2"/>
  <c r="D21" i="3"/>
  <c r="EB16" i="4" a="1"/>
  <c r="Y14" i="4" a="1"/>
  <c r="CD12" i="4" a="1"/>
  <c r="AL45" i="3"/>
  <c r="X5" i="2"/>
  <c r="AU13" i="4" a="1"/>
  <c r="BB6" i="4" a="1"/>
  <c r="CH9" i="4" a="1"/>
  <c r="R34" i="2"/>
  <c r="CX12" i="4" a="1"/>
  <c r="H7" i="2"/>
  <c r="CA14" i="4" a="1"/>
  <c r="I11" i="4" a="1"/>
  <c r="DW15" i="4" a="1"/>
  <c r="L14" i="2"/>
  <c r="R7" i="2"/>
  <c r="D23" i="3"/>
  <c r="AY11" i="4" a="1"/>
  <c r="CY8" i="4" a="1"/>
  <c r="AI45" i="3"/>
  <c r="DM6" i="4" a="1"/>
  <c r="CU14" i="4" a="1"/>
  <c r="EA13" i="4" a="1"/>
  <c r="EF11" i="4" a="1"/>
  <c r="DK9" i="4" a="1"/>
  <c r="AT15" i="4" a="1"/>
  <c r="K14" i="4" a="1"/>
  <c r="DN7" i="4" a="1"/>
  <c r="U5" i="4" a="1"/>
  <c r="BR5" i="4" a="1"/>
  <c r="BF9" i="4" a="1"/>
  <c r="CV12" i="4" a="1"/>
  <c r="M9" i="2"/>
  <c r="DU5" i="4" a="1"/>
  <c r="BM6" i="4" a="1"/>
  <c r="AU7" i="4" a="1"/>
  <c r="DB9" i="4" a="1"/>
  <c r="EG8" i="4" a="1"/>
  <c r="E71" i="3"/>
  <c r="AD58" i="3"/>
  <c r="G64" i="3"/>
  <c r="G78" i="3"/>
  <c r="D76" i="3"/>
  <c r="AD92" i="3"/>
  <c r="G94" i="3"/>
  <c r="G76" i="3"/>
  <c r="G82" i="3"/>
  <c r="G95" i="3"/>
  <c r="G62" i="3"/>
  <c r="E56" i="3"/>
  <c r="E63" i="3"/>
  <c r="E59" i="3"/>
  <c r="E76" i="3"/>
  <c r="E69" i="3"/>
  <c r="AJ14" i="4" a="1"/>
  <c r="CX13" i="4" a="1"/>
  <c r="D14" i="2"/>
  <c r="F9" i="4" a="1"/>
  <c r="Q9" i="4" a="1"/>
  <c r="AF8" i="4" a="1"/>
  <c r="CI13" i="4" a="1"/>
  <c r="U15" i="4" a="1"/>
  <c r="CR15" i="4" a="1"/>
  <c r="BJ5" i="4" a="1"/>
  <c r="H34" i="2"/>
  <c r="P21" i="2"/>
  <c r="BP8" i="4" a="1"/>
  <c r="CB12" i="4" a="1"/>
  <c r="DA5" i="4" a="1"/>
  <c r="K8" i="4" a="1"/>
  <c r="H9" i="4" a="1"/>
  <c r="M9" i="4" a="1"/>
  <c r="BF8" i="4" a="1"/>
  <c r="DR8" i="4" a="1"/>
  <c r="AU5" i="4" a="1"/>
  <c r="T7" i="4" a="1"/>
  <c r="AD70" i="3"/>
  <c r="AD87" i="3"/>
  <c r="D56" i="3"/>
  <c r="Q46" i="3"/>
  <c r="AP11" i="4" a="1"/>
  <c r="U14" i="4" a="1"/>
  <c r="E35" i="3"/>
  <c r="DL6" i="4" a="1"/>
  <c r="G28" i="3"/>
  <c r="CX15" i="4" a="1"/>
  <c r="BA14" i="4" a="1"/>
  <c r="N8" i="4" a="1"/>
  <c r="O11" i="2"/>
  <c r="L34" i="2"/>
  <c r="U5" i="2"/>
  <c r="W11" i="4" a="1"/>
  <c r="N11" i="4" a="1"/>
  <c r="BG16" i="4" a="1"/>
  <c r="W27" i="2"/>
  <c r="AC11" i="4" a="1"/>
  <c r="X13" i="2"/>
  <c r="DD6" i="4" a="1"/>
  <c r="BZ11" i="4" a="1"/>
  <c r="N11" i="2"/>
  <c r="BE5" i="4" a="1"/>
  <c r="EH11" i="4" a="1"/>
  <c r="N6" i="4" a="1"/>
  <c r="G24" i="2"/>
  <c r="AH5" i="4" a="1"/>
  <c r="AR97" i="3"/>
  <c r="L16" i="4" a="1"/>
  <c r="BZ15" i="4" a="1"/>
  <c r="G35" i="2"/>
  <c r="CL11" i="4" a="1"/>
  <c r="AR33" i="3"/>
  <c r="EE14" i="4" a="1"/>
  <c r="DD12" i="4" a="1"/>
  <c r="AW12" i="4" a="1"/>
  <c r="CR8" i="4" a="1"/>
  <c r="EJ13" i="4" a="1"/>
  <c r="AM7" i="4" a="1"/>
  <c r="DZ11" i="4" a="1"/>
  <c r="CJ16" i="4" a="1"/>
  <c r="H20" i="2"/>
  <c r="J23" i="2"/>
  <c r="H13" i="2"/>
  <c r="J46" i="3"/>
  <c r="DB16" i="4" a="1"/>
  <c r="BX14" i="4" a="1"/>
  <c r="AJ6" i="4" a="1"/>
  <c r="AR66" i="3"/>
  <c r="BQ9" i="4" a="1"/>
  <c r="W26" i="2"/>
  <c r="O14" i="4" a="1"/>
  <c r="AC9" i="4" a="1"/>
  <c r="C22" i="2"/>
  <c r="DU16" i="4" a="1"/>
  <c r="M18" i="2"/>
  <c r="CE16" i="4" a="1"/>
  <c r="BG6" i="4" a="1"/>
  <c r="CH15" i="4" a="1"/>
  <c r="AI16" i="4" a="1"/>
  <c r="EH6" i="4" a="1"/>
  <c r="AY12" i="4" a="1"/>
  <c r="DB13" i="4" a="1"/>
  <c r="CA5" i="4" a="1"/>
  <c r="I11" i="2"/>
  <c r="BV14" i="4" a="1"/>
  <c r="Z16" i="4" a="1"/>
  <c r="DT11" i="4" a="1"/>
  <c r="AR29" i="3"/>
  <c r="DZ12" i="4" a="1"/>
  <c r="BB8" i="4" a="1"/>
  <c r="CL9" i="4" a="1"/>
  <c r="AD15" i="4" a="1"/>
  <c r="CI6" i="4" a="1"/>
  <c r="W15" i="2"/>
  <c r="N18" i="2"/>
  <c r="E5" i="2"/>
  <c r="DH8" i="4" a="1"/>
  <c r="AA7" i="4" a="1"/>
  <c r="DY9" i="4" a="1"/>
  <c r="L5" i="2"/>
  <c r="AH8" i="4" a="1"/>
  <c r="F31" i="2"/>
  <c r="EE13" i="4" a="1"/>
  <c r="U11" i="4" a="1"/>
  <c r="I31" i="2"/>
  <c r="AO7" i="4" a="1"/>
  <c r="BO6" i="4" a="1"/>
  <c r="CN6" i="4" a="1"/>
  <c r="Q20" i="2"/>
  <c r="AX16" i="4" a="1"/>
  <c r="F33" i="3"/>
  <c r="AP14" i="4" a="1"/>
  <c r="DO12" i="4" a="1"/>
  <c r="BE12" i="4" a="1"/>
  <c r="BE9" i="4" a="1"/>
  <c r="DJ12" i="4" a="1"/>
  <c r="Z45" i="3"/>
  <c r="CT9" i="4" a="1"/>
  <c r="K6" i="2"/>
  <c r="CG13" i="4" a="1"/>
  <c r="D19" i="2"/>
  <c r="AR75" i="3"/>
  <c r="CQ6" i="4" a="1"/>
  <c r="CA7" i="4" a="1"/>
  <c r="G45" i="3"/>
  <c r="CS9" i="4" a="1"/>
  <c r="DZ15" i="4" a="1"/>
  <c r="K28" i="2"/>
  <c r="G13" i="3"/>
  <c r="AR39" i="3"/>
  <c r="DM11" i="4" a="1"/>
  <c r="K14" i="2"/>
  <c r="AD62" i="3"/>
  <c r="AD83" i="3"/>
  <c r="D94" i="3"/>
  <c r="D88" i="3"/>
  <c r="AD82" i="3"/>
  <c r="P31" i="2"/>
  <c r="AR96" i="3"/>
  <c r="S31" i="2"/>
  <c r="G8" i="2"/>
  <c r="G11" i="4" a="1"/>
  <c r="CN9" i="4" a="1"/>
  <c r="P17" i="2"/>
  <c r="X12" i="2"/>
  <c r="C28" i="2"/>
  <c r="I22" i="2"/>
  <c r="AM14" i="4" a="1"/>
  <c r="BQ16" i="4" a="1"/>
  <c r="V10" i="2"/>
  <c r="O8" i="2"/>
  <c r="AS49" i="3"/>
  <c r="D16" i="2"/>
  <c r="DM8" i="4" a="1"/>
  <c r="C36" i="2"/>
  <c r="CK12" i="4" a="1"/>
  <c r="DE8" i="4" a="1"/>
  <c r="V23" i="2"/>
  <c r="EE16" i="4" a="1"/>
  <c r="CL8" i="4" a="1"/>
  <c r="DO11" i="4" a="1"/>
  <c r="AX5" i="4" a="1"/>
  <c r="BI6" i="4" a="1"/>
  <c r="ED15" i="4" a="1"/>
  <c r="V21" i="2"/>
  <c r="CH5" i="4" a="1"/>
  <c r="AE46" i="3"/>
  <c r="Q14" i="4" a="1"/>
  <c r="W14" i="2"/>
  <c r="BY5" i="4" a="1"/>
  <c r="P8" i="4" a="1"/>
  <c r="CB11" i="4" a="1"/>
  <c r="H33" i="2"/>
  <c r="BI12" i="4" a="1"/>
  <c r="AR7" i="4" a="1"/>
  <c r="CZ9" i="4" a="1"/>
  <c r="H22" i="2"/>
  <c r="D10" i="2"/>
  <c r="DD16" i="4" a="1"/>
  <c r="CL12" i="4" a="1"/>
  <c r="AU14" i="4" a="1"/>
  <c r="F10" i="2"/>
  <c r="AW8" i="4" a="1"/>
  <c r="BA13" i="4" a="1"/>
  <c r="AF5" i="4" a="1"/>
  <c r="EG16" i="4" a="1"/>
  <c r="S11" i="2"/>
  <c r="BQ11" i="4" a="1"/>
  <c r="F37" i="3"/>
  <c r="E42" i="3"/>
  <c r="T32" i="2"/>
  <c r="D92" i="3"/>
  <c r="D58" i="3"/>
  <c r="K16" i="2"/>
  <c r="CZ13" i="4" a="1"/>
  <c r="BW13" i="4" a="1"/>
  <c r="BL12" i="4" a="1"/>
  <c r="J33" i="2"/>
  <c r="AK6" i="4" a="1"/>
  <c r="R13" i="2"/>
  <c r="M30" i="2"/>
  <c r="EC16" i="4" a="1"/>
  <c r="DA11" i="4" a="1"/>
  <c r="Q58" i="2"/>
  <c r="R30" i="2"/>
  <c r="CP16" i="4" a="1"/>
  <c r="Z15" i="4" a="1"/>
  <c r="N16" i="2"/>
  <c r="EH8" i="4" a="1"/>
  <c r="G7" i="3"/>
  <c r="DY12" i="4" a="1"/>
  <c r="BZ8" i="4" a="1"/>
  <c r="I8" i="2"/>
  <c r="D42" i="3"/>
  <c r="BF15" i="4" a="1"/>
  <c r="O28" i="2"/>
  <c r="G32" i="2"/>
  <c r="R5" i="4" a="1"/>
  <c r="H46" i="3"/>
  <c r="D47" i="2"/>
  <c r="CK5" i="4" a="1"/>
  <c r="G9" i="2"/>
  <c r="BR6" i="4" a="1"/>
  <c r="W5" i="2"/>
  <c r="D26" i="2"/>
  <c r="DC13" i="4" a="1"/>
  <c r="O45" i="3"/>
  <c r="AC6" i="4" a="1"/>
  <c r="EB7" i="4" a="1"/>
  <c r="AN11" i="4" a="1"/>
  <c r="T12" i="4" a="1"/>
  <c r="AR14" i="3"/>
  <c r="BD15" i="4" a="1"/>
  <c r="N20" i="2"/>
  <c r="EH15" i="4" a="1"/>
  <c r="AY7" i="4" a="1"/>
  <c r="CT8" i="4" a="1"/>
  <c r="AQ6" i="3"/>
  <c r="DR7" i="4" a="1"/>
  <c r="U16" i="4" a="1"/>
  <c r="AG14" i="4" a="1"/>
  <c r="CI15" i="4" a="1"/>
  <c r="T12" i="2"/>
  <c r="BT5" i="4" a="1"/>
  <c r="C9" i="2"/>
  <c r="DW16" i="4" a="1"/>
  <c r="CL6" i="4" a="1"/>
  <c r="EG12" i="4" a="1"/>
  <c r="CM11" i="4" a="1"/>
  <c r="E32" i="3"/>
  <c r="EB9" i="4" a="1"/>
  <c r="BE16" i="4" a="1"/>
  <c r="AG11" i="4" a="1"/>
  <c r="BH7" i="4" a="1"/>
  <c r="DG9" i="4" a="1"/>
  <c r="BT8" i="4" a="1"/>
  <c r="H36" i="2"/>
  <c r="D5" i="4" a="1"/>
  <c r="CI16" i="4" a="1"/>
  <c r="AQ11" i="4" a="1"/>
  <c r="AN12" i="4" a="1"/>
  <c r="F22" i="2"/>
  <c r="Z6" i="4" a="1"/>
  <c r="AT12" i="4" a="1"/>
  <c r="AR77" i="3"/>
  <c r="R36" i="2"/>
  <c r="C26" i="2"/>
  <c r="F33" i="2"/>
  <c r="G65" i="3"/>
  <c r="E78" i="3"/>
  <c r="E87" i="3"/>
  <c r="BO14" i="4" a="1"/>
  <c r="V13" i="4" a="1"/>
  <c r="DW11" i="4" a="1"/>
  <c r="AE8" i="4" a="1"/>
  <c r="AN6" i="4" a="1"/>
  <c r="AP8" i="4" a="1"/>
  <c r="CQ16" i="4" a="1"/>
  <c r="AD77" i="3"/>
  <c r="E83" i="3"/>
  <c r="D84" i="3"/>
  <c r="H30" i="2"/>
  <c r="S11" i="4" a="1"/>
  <c r="CO7" i="4" a="1"/>
  <c r="T28" i="2"/>
  <c r="CG14" i="4" a="1"/>
  <c r="I25" i="2"/>
  <c r="G5" i="4" a="1"/>
  <c r="P12" i="2"/>
  <c r="DS5" i="4" a="1"/>
  <c r="CP13" i="4" a="1"/>
  <c r="Q22" i="2"/>
  <c r="Z5" i="4" a="1"/>
  <c r="BW16" i="4" a="1"/>
  <c r="AC7" i="4" a="1"/>
  <c r="CV15" i="4" a="1"/>
  <c r="N10" i="2"/>
  <c r="BH11" i="4" a="1"/>
  <c r="AY14" i="4" a="1"/>
  <c r="G16" i="4" a="1"/>
  <c r="E7" i="4" a="1"/>
  <c r="AP46" i="3"/>
  <c r="T6" i="4" a="1"/>
  <c r="P45" i="3"/>
  <c r="DZ13" i="4" a="1"/>
  <c r="CO8" i="4" a="1"/>
  <c r="BS8" i="4" a="1"/>
  <c r="R19" i="2"/>
  <c r="N35" i="2"/>
  <c r="BF13" i="4" a="1"/>
  <c r="G27" i="3"/>
  <c r="G80" i="3"/>
  <c r="X11" i="2"/>
  <c r="CH7" i="4" a="1"/>
  <c r="D22" i="3"/>
  <c r="BD8" i="4" a="1"/>
  <c r="U46" i="3"/>
  <c r="CR12" i="4" a="1"/>
  <c r="E58" i="3"/>
  <c r="AD69" i="3"/>
  <c r="E55" i="3"/>
  <c r="E33" i="3"/>
  <c r="AE13" i="4" a="1"/>
  <c r="C45" i="3"/>
  <c r="BY13" i="4" a="1"/>
  <c r="D9" i="2"/>
  <c r="X16" i="4" a="1"/>
  <c r="N8" i="2"/>
  <c r="C25" i="2"/>
  <c r="AR67" i="3"/>
  <c r="G13" i="4" a="1"/>
  <c r="AG46" i="3"/>
  <c r="M31" i="2"/>
  <c r="W13" i="2"/>
  <c r="X45" i="3"/>
  <c r="DO16" i="4" a="1"/>
  <c r="D25" i="2"/>
  <c r="DK11" i="4" a="1"/>
  <c r="DI7" i="4" a="1"/>
  <c r="L6" i="2"/>
  <c r="F19" i="2"/>
  <c r="W35" i="2"/>
  <c r="U25" i="2"/>
  <c r="F7" i="3"/>
  <c r="DF5" i="4" a="1"/>
  <c r="P69" i="2"/>
  <c r="R14" i="4" a="1"/>
  <c r="AJ45" i="3"/>
  <c r="E41" i="3"/>
  <c r="CM13" i="4" a="1"/>
  <c r="I32" i="2"/>
  <c r="D71" i="3"/>
  <c r="E85" i="3"/>
  <c r="G70" i="3"/>
  <c r="E13" i="3"/>
  <c r="CV11" i="4" a="1"/>
  <c r="BF16" i="4" a="1"/>
  <c r="L17" i="2"/>
  <c r="E21" i="3"/>
  <c r="DT14" i="4" a="1"/>
  <c r="EF6" i="4" a="1"/>
  <c r="AF50" i="3"/>
  <c r="AT14" i="4" a="1"/>
  <c r="O17" i="2"/>
  <c r="DJ13" i="4" a="1"/>
  <c r="BK7" i="4" a="1"/>
  <c r="S6" i="2"/>
  <c r="BT13" i="4" a="1"/>
  <c r="BJ15" i="4" a="1"/>
  <c r="Q5" i="4" a="1"/>
  <c r="I24" i="2"/>
  <c r="Y9" i="4" a="1"/>
  <c r="Y6" i="4" a="1"/>
  <c r="DS11" i="4" a="1"/>
  <c r="E46" i="3"/>
  <c r="U21" i="2"/>
  <c r="H9" i="2"/>
  <c r="DT15" i="4" a="1"/>
  <c r="BY15" i="4" a="1"/>
  <c r="AJ13" i="4" a="1"/>
  <c r="Y12" i="4" a="1"/>
  <c r="AS14" i="4" a="1"/>
  <c r="V20" i="2"/>
  <c r="O23" i="2"/>
  <c r="CO16" i="4" a="1"/>
  <c r="F26" i="3"/>
  <c r="AR32" i="3"/>
  <c r="CU12" i="4" a="1"/>
  <c r="BX7" i="4" a="1"/>
  <c r="G75" i="3"/>
  <c r="G90" i="3"/>
  <c r="G57" i="3"/>
  <c r="AD84" i="3"/>
  <c r="D62" i="3"/>
  <c r="G55" i="3"/>
  <c r="G84" i="3"/>
  <c r="G56" i="3"/>
  <c r="G66" i="3"/>
  <c r="E81" i="3"/>
  <c r="E60" i="3"/>
  <c r="E64" i="3"/>
  <c r="E86" i="3"/>
  <c r="AF16" i="4" a="1"/>
  <c r="AR45" i="3"/>
  <c r="AZ7" i="4" a="1"/>
  <c r="DQ11" i="4" a="1"/>
  <c r="DH12" i="4" a="1"/>
  <c r="CD8" i="4" a="1"/>
  <c r="T27" i="2"/>
  <c r="CM15" i="4" a="1"/>
  <c r="AG16" i="4" a="1"/>
  <c r="CV6" i="4" a="1"/>
  <c r="T8" i="4" a="1"/>
  <c r="CN13" i="4" a="1"/>
  <c r="AX12" i="4" a="1"/>
  <c r="CT13" i="4" a="1"/>
  <c r="X30" i="2"/>
  <c r="E57" i="3"/>
  <c r="D67" i="3"/>
  <c r="DN13" i="4" a="1"/>
  <c r="CM9" i="4" a="1"/>
  <c r="O26" i="2"/>
  <c r="P8" i="2"/>
  <c r="E31" i="2"/>
  <c r="AX7" i="4" a="1"/>
  <c r="DB6" i="4" a="1"/>
  <c r="AR61" i="3"/>
  <c r="DY13" i="4" a="1"/>
  <c r="DN8" i="4" a="1"/>
  <c r="S15" i="4" a="1"/>
  <c r="BN5" i="4" a="1"/>
  <c r="D16" i="4" a="1"/>
  <c r="DJ15" i="4" a="1"/>
  <c r="AK11" i="4" a="1"/>
  <c r="CG5" i="4" a="1"/>
  <c r="T9" i="4" a="1"/>
  <c r="J13" i="4" a="1"/>
  <c r="W34" i="2"/>
  <c r="E89" i="3"/>
  <c r="G60" i="3"/>
  <c r="G96" i="3"/>
  <c r="E84" i="3"/>
  <c r="E70" i="3"/>
  <c r="G81" i="3"/>
  <c r="G88" i="3"/>
  <c r="BS11" i="4" a="1"/>
  <c r="Q35" i="2"/>
  <c r="J28" i="2"/>
  <c r="AL11" i="4" a="1"/>
  <c r="C17" i="2"/>
  <c r="M28" i="2"/>
  <c r="DR12" i="4" a="1"/>
  <c r="BY9" i="4" a="1"/>
  <c r="EE9" i="4" a="1"/>
  <c r="L25" i="2"/>
  <c r="CQ5" i="4" a="1"/>
  <c r="CS8" i="4" a="1"/>
  <c r="DU9" i="4" a="1"/>
  <c r="CW12" i="4" a="1"/>
  <c r="DV13" i="4" a="1"/>
  <c r="AJ7" i="4" a="1"/>
  <c r="BF7" i="4" a="1"/>
  <c r="BS16" i="4" a="1"/>
  <c r="E65" i="3"/>
  <c r="D80" i="3"/>
  <c r="G61" i="3"/>
  <c r="G89" i="3"/>
  <c r="G92" i="3"/>
  <c r="E93" i="3"/>
  <c r="AS11" i="4" a="1"/>
  <c r="S15" i="2"/>
  <c r="V9" i="4" a="1"/>
  <c r="DE7" i="4" a="1"/>
  <c r="DF7" i="4" a="1"/>
  <c r="P11" i="4" a="1"/>
  <c r="D55" i="3"/>
  <c r="E92" i="3"/>
  <c r="G77" i="3"/>
  <c r="G25" i="3"/>
  <c r="L18" i="2"/>
  <c r="CK6" i="4" a="1"/>
  <c r="Z9" i="4" a="1"/>
  <c r="AA11" i="4" a="1"/>
  <c r="I18" i="2"/>
  <c r="AR63" i="3"/>
  <c r="M32" i="2"/>
  <c r="AR12" i="4" a="1"/>
  <c r="C34" i="2"/>
  <c r="CE12" i="4" a="1"/>
  <c r="V5" i="4" a="1"/>
  <c r="G22" i="3"/>
  <c r="O22" i="2"/>
  <c r="G8" i="4" a="1"/>
  <c r="AR16" i="3"/>
  <c r="C13" i="2"/>
  <c r="CF6" i="4" a="1"/>
  <c r="H45" i="3"/>
  <c r="X14" i="4" a="1"/>
  <c r="EI8" i="4" a="1"/>
  <c r="CX14" i="4" a="1"/>
  <c r="DZ8" i="4" a="1"/>
  <c r="CR16" i="4" a="1"/>
  <c r="ED14" i="4" a="1"/>
  <c r="AR9" i="3"/>
  <c r="BJ7" i="4" a="1"/>
  <c r="CQ15" i="4" a="1"/>
  <c r="CD11" i="4" a="1"/>
  <c r="DQ6" i="4" a="1"/>
  <c r="G69" i="3"/>
  <c r="AD90" i="3"/>
  <c r="G86" i="3"/>
  <c r="AD85" i="3"/>
  <c r="AL6" i="4" a="1"/>
  <c r="AH14" i="4" a="1"/>
  <c r="C9" i="4" a="1"/>
  <c r="P35" i="2"/>
  <c r="Q8" i="4" a="1"/>
  <c r="AR46" i="3"/>
  <c r="V24" i="2"/>
  <c r="AF9" i="4" a="1"/>
  <c r="DA6" i="4" a="1"/>
  <c r="E23" i="3"/>
  <c r="AR47" i="3"/>
  <c r="R35" i="2"/>
  <c r="BT16" i="4" a="1"/>
  <c r="AR15" i="3"/>
  <c r="DX12" i="4" a="1"/>
  <c r="G6" i="2"/>
  <c r="BO8" i="4" a="1"/>
  <c r="M33" i="2"/>
  <c r="X35" i="2"/>
  <c r="BK14" i="4" a="1"/>
  <c r="M29" i="2"/>
  <c r="L12" i="2"/>
  <c r="AI9" i="4" a="1"/>
  <c r="BK6" i="4" a="1"/>
  <c r="CE13" i="4" a="1"/>
  <c r="AH45" i="3"/>
  <c r="BB11" i="4" a="1"/>
  <c r="DU6" i="4" a="1"/>
  <c r="DV6" i="4" a="1"/>
  <c r="DP7" i="4" a="1"/>
  <c r="AR27" i="3"/>
  <c r="DS9" i="4" a="1"/>
  <c r="D14" i="3"/>
  <c r="O9" i="4" a="1"/>
  <c r="X15" i="2"/>
  <c r="E67" i="3"/>
  <c r="AD91" i="3"/>
  <c r="G97" i="3"/>
  <c r="G63" i="3"/>
  <c r="D66" i="3"/>
  <c r="G71" i="3"/>
  <c r="G87" i="3"/>
  <c r="G93" i="3"/>
  <c r="G58" i="3"/>
  <c r="E74" i="3"/>
  <c r="E77" i="3"/>
  <c r="E72" i="3"/>
  <c r="E79" i="3"/>
  <c r="D19" i="3"/>
  <c r="G15" i="2"/>
  <c r="DZ14" i="4" a="1"/>
  <c r="X27" i="2"/>
  <c r="I45" i="3"/>
  <c r="CK14" i="4" a="1"/>
  <c r="E96" i="3"/>
  <c r="E66" i="3"/>
  <c r="K32" i="2"/>
  <c r="BT15" i="4" a="1"/>
  <c r="DB11" i="4" a="1"/>
  <c r="D30" i="3"/>
  <c r="BQ14" i="4" a="1"/>
  <c r="EG15" i="4" a="1"/>
  <c r="M15" i="4" a="1"/>
  <c r="AR41" i="3"/>
  <c r="AC46" i="3"/>
  <c r="M24" i="2"/>
  <c r="P7" i="4" a="1"/>
  <c r="F25" i="2"/>
  <c r="R18" i="2"/>
  <c r="CT14" i="4" a="1"/>
  <c r="AV16" i="4" a="1"/>
  <c r="AG45" i="3"/>
  <c r="E90" i="3"/>
  <c r="G72" i="3"/>
  <c r="F8" i="4" a="1"/>
  <c r="BN16" i="4" a="1"/>
  <c r="AH12" i="4" a="1"/>
  <c r="D38" i="3"/>
  <c r="CZ5" i="4" a="1"/>
  <c r="BV9" i="4" a="1"/>
  <c r="I7" i="2"/>
  <c r="O46" i="3"/>
  <c r="CM12" i="4" a="1"/>
  <c r="BZ12" i="4" a="1"/>
  <c r="Q7" i="4" a="1"/>
  <c r="V16" i="2"/>
  <c r="CJ5" i="4" a="1"/>
  <c r="CX8" i="4" a="1"/>
  <c r="DQ12" i="4" a="1"/>
  <c r="AC14" i="4" a="1"/>
  <c r="AD64" i="3"/>
  <c r="AD56" i="3"/>
  <c r="E97" i="3"/>
  <c r="G59" i="3"/>
  <c r="G79" i="3"/>
  <c r="E54" i="3"/>
  <c r="E82" i="3"/>
  <c r="G85" i="3"/>
  <c r="AD59" i="3"/>
  <c r="O7" i="4" a="1"/>
  <c r="BD13" i="4" a="1"/>
  <c r="AK46" i="3"/>
  <c r="K31" i="2"/>
  <c r="W8" i="4" a="1"/>
  <c r="Y8" i="4" a="1"/>
  <c r="M14" i="4" a="1"/>
  <c r="AD8" i="4" a="1"/>
  <c r="BQ8" i="4" a="1"/>
  <c r="EF14" i="4" a="1"/>
  <c r="D31" i="2"/>
  <c r="K15" i="2"/>
  <c r="AO13" i="4" a="1"/>
  <c r="F16" i="2"/>
  <c r="I6" i="4" a="1"/>
  <c r="S19" i="2"/>
  <c r="E80" i="3"/>
  <c r="G74" i="3"/>
  <c r="G73" i="3"/>
  <c r="E62" i="3"/>
  <c r="E88" i="3"/>
  <c r="E75" i="3"/>
  <c r="D70" i="3"/>
  <c r="D54" i="3"/>
  <c r="D65" i="3"/>
  <c r="D91" i="3"/>
  <c r="D57" i="3"/>
  <c r="D81" i="3"/>
  <c r="D96" i="3"/>
  <c r="D95" i="3"/>
  <c r="D93" i="3"/>
  <c r="D85" i="3"/>
  <c r="D89" i="3"/>
  <c r="D63" i="3"/>
  <c r="D77" i="3"/>
  <c r="D86" i="3"/>
  <c r="E61" i="3"/>
  <c r="E73" i="3"/>
  <c r="F91" i="3" l="1"/>
  <c r="F67" i="3"/>
  <c r="F78" i="3"/>
  <c r="F88" i="3"/>
  <c r="F64" i="3"/>
  <c r="F82" i="3"/>
  <c r="F61" i="3"/>
  <c r="F86" i="3"/>
  <c r="F55" i="3"/>
  <c r="F54" i="3"/>
  <c r="F60" i="3"/>
  <c r="F65" i="3"/>
  <c r="F97" i="3"/>
  <c r="F47" i="3"/>
  <c r="F84" i="3"/>
  <c r="F66" i="3"/>
  <c r="F48" i="3"/>
  <c r="F79" i="3"/>
  <c r="F70" i="3"/>
  <c r="F80" i="3"/>
  <c r="F72" i="3"/>
  <c r="F77" i="3"/>
  <c r="F94" i="3"/>
  <c r="F56" i="3"/>
  <c r="F62" i="3"/>
  <c r="F49" i="3"/>
  <c r="F92" i="3"/>
  <c r="F69" i="3"/>
  <c r="F87" i="3"/>
  <c r="F76" i="3"/>
  <c r="F50" i="3"/>
  <c r="F93" i="3"/>
  <c r="F90" i="3"/>
  <c r="F63" i="3"/>
  <c r="F73" i="3"/>
  <c r="F71" i="3"/>
  <c r="F85" i="3"/>
  <c r="F83" i="3"/>
  <c r="F58" i="3"/>
  <c r="F95" i="3"/>
  <c r="F75" i="3"/>
  <c r="F89" i="3"/>
  <c r="F59" i="3"/>
  <c r="F68" i="3"/>
  <c r="F74" i="3"/>
  <c r="F57" i="3"/>
  <c r="F96" i="3"/>
  <c r="F81" i="3"/>
  <c r="E95" i="3"/>
  <c r="AJ149" i="1"/>
  <c r="AK149" i="1" s="1"/>
  <c r="AJ134" i="1"/>
  <c r="AK134" i="1" s="1"/>
  <c r="AJ162" i="1"/>
  <c r="AJ156" i="1"/>
  <c r="AK156" i="1" s="1"/>
  <c r="AJ173" i="1"/>
  <c r="AK173" i="1" s="1"/>
  <c r="AJ172" i="1"/>
  <c r="AK172" i="1" s="1"/>
  <c r="AJ153" i="1"/>
  <c r="AJ127" i="1"/>
  <c r="AK127" i="1" s="1"/>
  <c r="AJ163" i="1"/>
  <c r="AK163" i="1" s="1"/>
  <c r="AJ159" i="1"/>
  <c r="AK159" i="1" s="1"/>
  <c r="AJ142" i="1"/>
  <c r="R31" i="1"/>
  <c r="J32" i="1"/>
  <c r="BJ126" i="1"/>
  <c r="BJ158" i="1"/>
  <c r="H18" i="1"/>
  <c r="IJ16" i="4" s="1"/>
  <c r="Q34" i="1"/>
  <c r="E45" i="1"/>
  <c r="J54" i="1"/>
  <c r="W41" i="1"/>
  <c r="W203" i="1" s="1"/>
  <c r="F32" i="1"/>
  <c r="AJ160" i="1"/>
  <c r="AK160" i="1" s="1"/>
  <c r="BJ163" i="1"/>
  <c r="BK163" i="1" s="1"/>
  <c r="W32" i="1"/>
  <c r="HS9" i="4" s="1"/>
  <c r="AJ32" i="1"/>
  <c r="JC9" i="4" s="1"/>
  <c r="K24" i="1"/>
  <c r="L56" i="1"/>
  <c r="W60" i="1"/>
  <c r="L55" i="1"/>
  <c r="F17" i="1"/>
  <c r="F240" i="1" s="1"/>
  <c r="BX33" i="1"/>
  <c r="IL16" i="4" s="1"/>
  <c r="Q60" i="1"/>
  <c r="AK44" i="1"/>
  <c r="O60" i="1"/>
  <c r="BJ156" i="1"/>
  <c r="BK156" i="1" s="1"/>
  <c r="BJ135" i="1"/>
  <c r="BK135" i="1" s="1"/>
  <c r="IT16" i="4" s="1"/>
  <c r="B33" i="1"/>
  <c r="BX29" i="1"/>
  <c r="L54" i="1"/>
  <c r="BX134" i="1"/>
  <c r="BY134" i="1" s="1"/>
  <c r="H34" i="1"/>
  <c r="K34" i="1"/>
  <c r="AM45" i="1"/>
  <c r="R32" i="1"/>
  <c r="AJ168" i="1"/>
  <c r="K45" i="1"/>
  <c r="JG9" i="4" s="1"/>
  <c r="B30" i="1"/>
  <c r="P60" i="1"/>
  <c r="W48" i="1"/>
  <c r="HY16" i="4" s="1"/>
  <c r="S41" i="1"/>
  <c r="S203" i="1" s="1"/>
  <c r="AJ133" i="1"/>
  <c r="AK133" i="1" s="1"/>
  <c r="BJ155" i="1"/>
  <c r="BK155" i="1" s="1"/>
  <c r="AL56" i="1"/>
  <c r="IS16" i="4" s="1"/>
  <c r="N44" i="1"/>
  <c r="R17" i="1"/>
  <c r="N30" i="1"/>
  <c r="BL83" i="1"/>
  <c r="AK31" i="1"/>
  <c r="K30" i="1"/>
  <c r="H54" i="1"/>
  <c r="T45" i="1"/>
  <c r="V60" i="1"/>
  <c r="E31" i="1"/>
  <c r="K17" i="1"/>
  <c r="K240" i="1" s="1"/>
  <c r="C45" i="1"/>
  <c r="V33" i="1"/>
  <c r="B45" i="1"/>
  <c r="HV16" i="4" s="1"/>
  <c r="BJ141" i="1"/>
  <c r="W22" i="1"/>
  <c r="M60" i="1"/>
  <c r="Q31" i="1"/>
  <c r="IM16" i="4" s="1"/>
  <c r="O24" i="1"/>
  <c r="H45" i="1"/>
  <c r="G48" i="1"/>
  <c r="AJ155" i="1"/>
  <c r="AK155" i="1" s="1"/>
  <c r="BJ149" i="1"/>
  <c r="BK149" i="1" s="1"/>
  <c r="BL211" i="1" s="1"/>
  <c r="E55" i="1"/>
  <c r="BX149" i="1"/>
  <c r="BY149" i="1" s="1"/>
  <c r="BZ211" i="1" s="1"/>
  <c r="IQ16" i="4" s="1"/>
  <c r="IY9" i="4" s="1"/>
  <c r="IG16" i="4" s="1"/>
  <c r="JF9" i="4" s="1"/>
  <c r="S24" i="1"/>
  <c r="HU16" i="4" s="1"/>
  <c r="BX32" i="1"/>
  <c r="C133" i="1"/>
  <c r="F54" i="1"/>
  <c r="AJ60" i="1"/>
  <c r="Q48" i="1"/>
  <c r="L48" i="1"/>
  <c r="Q33" i="1"/>
  <c r="I55" i="1"/>
  <c r="AJ128" i="1"/>
  <c r="AJ164" i="1"/>
  <c r="AK164" i="1" s="1"/>
  <c r="S54" i="1"/>
  <c r="AK60" i="1"/>
  <c r="R22" i="1"/>
  <c r="IX16" i="4" s="1"/>
  <c r="G55" i="1"/>
  <c r="V29" i="1"/>
  <c r="U44" i="1"/>
  <c r="BY82" i="1"/>
  <c r="IK16" i="4" s="1"/>
  <c r="W24" i="1"/>
  <c r="O30" i="1"/>
  <c r="BX172" i="1"/>
  <c r="BY172" i="1" s="1"/>
  <c r="BJ154" i="1"/>
  <c r="AJ136" i="1"/>
  <c r="AK136" i="1" s="1"/>
  <c r="BJ169" i="1"/>
  <c r="BJ133" i="1"/>
  <c r="BK133" i="1" s="1"/>
  <c r="J29" i="1"/>
  <c r="C31" i="1"/>
  <c r="J17" i="1"/>
  <c r="IG9" i="4" s="1"/>
  <c r="JE9" i="4" s="1"/>
  <c r="M34" i="1"/>
  <c r="V32" i="1"/>
  <c r="IR9" i="4" s="1"/>
  <c r="BX48" i="1"/>
  <c r="H22" i="1"/>
  <c r="L34" i="1"/>
  <c r="IK9" i="4" s="1"/>
  <c r="BX160" i="1"/>
  <c r="BY160" i="1" s="1"/>
  <c r="G33" i="1"/>
  <c r="I44" i="1"/>
  <c r="F60" i="1"/>
  <c r="HR16" i="4" s="1"/>
  <c r="M22" i="1"/>
  <c r="W33" i="1"/>
  <c r="V41" i="1"/>
  <c r="N22" i="1"/>
  <c r="AM41" i="1"/>
  <c r="AM203" i="1" s="1"/>
  <c r="AK55" i="1"/>
  <c r="AJ126" i="1"/>
  <c r="AK126" i="1" s="1"/>
  <c r="BJ161" i="1"/>
  <c r="BK161" i="1" s="1"/>
  <c r="BJ142" i="1"/>
  <c r="HP9" i="4" s="1"/>
  <c r="C29" i="1"/>
  <c r="BJ164" i="1"/>
  <c r="BK164" i="1" s="1"/>
  <c r="BJ128" i="1"/>
  <c r="AJ44" i="1"/>
  <c r="Q18" i="1"/>
  <c r="K29" i="1"/>
  <c r="G18" i="1"/>
  <c r="JF16" i="4" s="1"/>
  <c r="AJ31" i="1"/>
  <c r="C22" i="1"/>
  <c r="W126" i="1"/>
  <c r="D33" i="1"/>
  <c r="I54" i="1"/>
  <c r="AJ158" i="1"/>
  <c r="AK158" i="1" s="1"/>
  <c r="BJ127" i="1"/>
  <c r="BK127" i="1" s="1"/>
  <c r="F30" i="1"/>
  <c r="HX9" i="4" s="1"/>
  <c r="C34" i="1"/>
  <c r="W54" i="1"/>
  <c r="BX54" i="1"/>
  <c r="R44" i="1"/>
  <c r="AJ151" i="1"/>
  <c r="AK151" i="1" s="1"/>
  <c r="AJ169" i="1"/>
  <c r="P41" i="1"/>
  <c r="P203" i="1" s="1"/>
  <c r="IU16" i="4" s="1"/>
  <c r="HT9" i="4" s="1"/>
  <c r="O41" i="1"/>
  <c r="T41" i="1"/>
  <c r="L33" i="1"/>
  <c r="AL55" i="1"/>
  <c r="JB16" i="4" s="1"/>
  <c r="K31" i="1"/>
  <c r="B24" i="1"/>
  <c r="BX156" i="1"/>
  <c r="BY156" i="1" s="1"/>
  <c r="IP16" i="4" s="1"/>
  <c r="IX9" i="4" s="1"/>
  <c r="D17" i="1"/>
  <c r="W30" i="1"/>
  <c r="U34" i="1"/>
  <c r="G45" i="1"/>
  <c r="BX128" i="1"/>
  <c r="BY128" i="1" s="1"/>
  <c r="AK33" i="1"/>
  <c r="BJ168" i="1"/>
  <c r="D24" i="1"/>
  <c r="HW9" i="4" s="1"/>
  <c r="IT15" i="4" s="1"/>
  <c r="U22" i="1"/>
  <c r="E48" i="1"/>
  <c r="C41" i="1"/>
  <c r="L24" i="1"/>
  <c r="AJ144" i="1"/>
  <c r="AK144" i="1" s="1"/>
  <c r="E41" i="1"/>
  <c r="E203" i="1" s="1"/>
  <c r="G22" i="1"/>
  <c r="IA9" i="4" s="1"/>
  <c r="BJ131" i="1"/>
  <c r="BK131" i="1" s="1"/>
  <c r="BJ159" i="1"/>
  <c r="BK159" i="1" s="1"/>
  <c r="AJ161" i="1"/>
  <c r="AK161" i="1" s="1"/>
  <c r="R48" i="1"/>
  <c r="AL33" i="1"/>
  <c r="J55" i="1"/>
  <c r="IY16" i="4" s="1"/>
  <c r="C18" i="1"/>
  <c r="R56" i="1"/>
  <c r="M54" i="1"/>
  <c r="I31" i="1"/>
  <c r="R34" i="1"/>
  <c r="I22" i="1"/>
  <c r="U48" i="1"/>
  <c r="AM30" i="1"/>
  <c r="AM48" i="1"/>
  <c r="P33" i="1"/>
  <c r="E168" i="1"/>
  <c r="BX41" i="1"/>
  <c r="C54" i="1"/>
  <c r="BJ30" i="1"/>
  <c r="L22" i="1"/>
  <c r="H60" i="1"/>
  <c r="J48" i="1"/>
  <c r="JE16" i="4" s="1"/>
  <c r="BX127" i="1"/>
  <c r="BY127" i="1" s="1"/>
  <c r="M45" i="1"/>
  <c r="B31" i="1"/>
  <c r="T31" i="1"/>
  <c r="BJ140" i="1"/>
  <c r="BJ136" i="1"/>
  <c r="BK136" i="1" s="1"/>
  <c r="BJ151" i="1"/>
  <c r="BK151" i="1" s="1"/>
  <c r="IF16" i="4" s="1"/>
  <c r="AK18" i="1"/>
  <c r="E56" i="1"/>
  <c r="R24" i="1"/>
  <c r="U54" i="1"/>
  <c r="D31" i="1"/>
  <c r="B54" i="1"/>
  <c r="IV9" i="4" s="1"/>
  <c r="JI9" i="4" s="1"/>
  <c r="E17" i="1"/>
  <c r="K54" i="1"/>
  <c r="V56" i="1"/>
  <c r="R18" i="1"/>
  <c r="R33" i="1"/>
  <c r="V31" i="1"/>
  <c r="IO9" i="4" s="1"/>
  <c r="S22" i="1"/>
  <c r="D131" i="1"/>
  <c r="J22" i="1"/>
  <c r="O33" i="1"/>
  <c r="BX45" i="1"/>
  <c r="HZ16" i="4" s="1"/>
  <c r="N41" i="1"/>
  <c r="N203" i="1" s="1"/>
  <c r="P54" i="1"/>
  <c r="O22" i="1"/>
  <c r="V22" i="1"/>
  <c r="BX140" i="1"/>
  <c r="F33" i="1"/>
  <c r="BJ134" i="1"/>
  <c r="BK134" i="1" s="1"/>
  <c r="AJ131" i="1"/>
  <c r="AK131" i="1" s="1"/>
  <c r="AJ18" i="1"/>
  <c r="AK17" i="1"/>
  <c r="AK240" i="1" s="1"/>
  <c r="IQ15" i="4" s="1"/>
  <c r="P164" i="1"/>
  <c r="S18" i="1"/>
  <c r="H55" i="1"/>
  <c r="AJ48" i="1"/>
  <c r="AJ152" i="1"/>
  <c r="AK152" i="1" s="1"/>
  <c r="O45" i="1"/>
  <c r="HW16" i="4" s="1"/>
  <c r="HW21" i="4" s="1"/>
  <c r="AQ86" i="1" s="1"/>
  <c r="IW9" i="4" s="1"/>
  <c r="U18" i="1"/>
  <c r="U19" i="1" s="1"/>
  <c r="U107" i="1" s="1"/>
  <c r="AL30" i="1"/>
  <c r="JB9" i="4" s="1"/>
  <c r="I41" i="1"/>
  <c r="I203" i="1" s="1"/>
  <c r="F44" i="1"/>
  <c r="R29" i="1"/>
  <c r="G32" i="1"/>
  <c r="AJ135" i="1"/>
  <c r="AK135" i="1" s="1"/>
  <c r="BJ172" i="1"/>
  <c r="BK172" i="1" s="1"/>
  <c r="HS16" i="4" s="1"/>
  <c r="HS21" i="4" s="1"/>
  <c r="AM86" i="1" s="1"/>
  <c r="T22" i="1"/>
  <c r="JA9" i="4" s="1"/>
  <c r="BX136" i="1"/>
  <c r="BY136" i="1" s="1"/>
  <c r="F29" i="1"/>
  <c r="AL23" i="1"/>
  <c r="D30" i="1"/>
  <c r="J56" i="1"/>
  <c r="HP16" i="4" s="1"/>
  <c r="HP21" i="4" s="1"/>
  <c r="AJ86" i="1" s="1"/>
  <c r="G56" i="1"/>
  <c r="I48" i="1"/>
  <c r="JI15" i="4" s="1"/>
  <c r="IS8" i="4" s="1"/>
  <c r="H17" i="1"/>
  <c r="H240" i="1" s="1"/>
  <c r="BX83" i="1"/>
  <c r="AL48" i="1"/>
  <c r="N33" i="1"/>
  <c r="P162" i="1"/>
  <c r="D56" i="1"/>
  <c r="H24" i="1"/>
  <c r="HS8" i="4" s="1"/>
  <c r="BX18" i="1"/>
  <c r="K56" i="1"/>
  <c r="BX154" i="1"/>
  <c r="M32" i="1"/>
  <c r="K32" i="1"/>
  <c r="BX135" i="1"/>
  <c r="BY135" i="1" s="1"/>
  <c r="BX162" i="1"/>
  <c r="AK48" i="1"/>
  <c r="D48" i="1"/>
  <c r="B48" i="1"/>
  <c r="IR14" i="4" s="1"/>
  <c r="IL9" i="4" s="1"/>
  <c r="I29" i="1"/>
  <c r="B29" i="1"/>
  <c r="IQ8" i="4" s="1"/>
  <c r="II16" i="4" s="1"/>
  <c r="C32" i="1"/>
  <c r="IA16" i="4" s="1"/>
  <c r="U31" i="1"/>
  <c r="S30" i="1"/>
  <c r="HV14" i="4" s="1"/>
  <c r="S17" i="1"/>
  <c r="S240" i="1" s="1"/>
  <c r="BX155" i="1"/>
  <c r="BY155" i="1" s="1"/>
  <c r="M18" i="1"/>
  <c r="O31" i="1"/>
  <c r="K41" i="1"/>
  <c r="K203" i="1" s="1"/>
  <c r="AJ141" i="1"/>
  <c r="P169" i="1"/>
  <c r="W55" i="1"/>
  <c r="T55" i="1"/>
  <c r="AK41" i="1"/>
  <c r="AK203" i="1" s="1"/>
  <c r="R54" i="1"/>
  <c r="E32" i="1"/>
  <c r="BX60" i="1"/>
  <c r="JH9" i="4" s="1"/>
  <c r="J128" i="1"/>
  <c r="IE9" i="4" s="1"/>
  <c r="V34" i="1"/>
  <c r="C33" i="1"/>
  <c r="V18" i="1"/>
  <c r="V19" i="1" s="1"/>
  <c r="AM23" i="1"/>
  <c r="U24" i="1"/>
  <c r="I32" i="1"/>
  <c r="AL45" i="1"/>
  <c r="BJ162" i="1"/>
  <c r="Q17" i="1"/>
  <c r="H31" i="1"/>
  <c r="J24" i="1"/>
  <c r="F22" i="1"/>
  <c r="JH16" i="4" s="1"/>
  <c r="D32" i="1"/>
  <c r="F55" i="1"/>
  <c r="AJ146" i="1"/>
  <c r="AK146" i="1" s="1"/>
  <c r="AJ140" i="1"/>
  <c r="AJ154" i="1"/>
  <c r="IF9" i="4" s="1"/>
  <c r="IZ16" i="4" s="1"/>
  <c r="JG14" i="4" s="1"/>
  <c r="U55" i="1"/>
  <c r="B55" i="1"/>
  <c r="IS9" i="4" s="1"/>
  <c r="AM34" i="1"/>
  <c r="P34" i="1"/>
  <c r="T17" i="1"/>
  <c r="T240" i="1" s="1"/>
  <c r="AK30" i="1"/>
  <c r="G60" i="1"/>
  <c r="N48" i="1"/>
  <c r="IL8" i="4" s="1"/>
  <c r="S32" i="1"/>
  <c r="T44" i="1"/>
  <c r="BJ17" i="1"/>
  <c r="BJ240" i="1" s="1"/>
  <c r="AK23" i="1"/>
  <c r="W34" i="1"/>
  <c r="H56" i="1"/>
  <c r="B44" i="1"/>
  <c r="AJ23" i="1"/>
  <c r="AJ22" i="1"/>
  <c r="R60" i="1"/>
  <c r="BX55" i="1"/>
  <c r="D22" i="1"/>
  <c r="L31" i="1"/>
  <c r="AK56" i="1"/>
  <c r="R55" i="1"/>
  <c r="O17" i="1"/>
  <c r="O240" i="1" s="1"/>
  <c r="L44" i="1"/>
  <c r="E33" i="1"/>
  <c r="M33" i="1"/>
  <c r="T48" i="1"/>
  <c r="D34" i="1"/>
  <c r="BX161" i="1"/>
  <c r="BY161" i="1" s="1"/>
  <c r="C55" i="1"/>
  <c r="I30" i="1"/>
  <c r="G31" i="1"/>
  <c r="AJ33" i="1"/>
  <c r="P136" i="1"/>
  <c r="N17" i="1"/>
  <c r="N240" i="1" s="1"/>
  <c r="H48" i="1"/>
  <c r="J31" i="1"/>
  <c r="BX153" i="1"/>
  <c r="Q29" i="1"/>
  <c r="IP7" i="4" s="1"/>
  <c r="JD16" i="4" s="1"/>
  <c r="BJ22" i="1"/>
  <c r="N18" i="1"/>
  <c r="IE16" i="4" s="1"/>
  <c r="IE21" i="4" s="1"/>
  <c r="AY86" i="1" s="1"/>
  <c r="N56" i="1"/>
  <c r="BX141" i="1"/>
  <c r="AK34" i="1"/>
  <c r="BX152" i="1"/>
  <c r="BY152" i="1" s="1"/>
  <c r="Q44" i="1"/>
  <c r="HY9" i="4" s="1"/>
  <c r="G29" i="1"/>
  <c r="U29" i="1"/>
  <c r="BX142" i="1"/>
  <c r="BJ23" i="1"/>
  <c r="L18" i="1"/>
  <c r="W44" i="1"/>
  <c r="AK24" i="1"/>
  <c r="Q22" i="1"/>
  <c r="BX126" i="1"/>
  <c r="BY126" i="1" s="1"/>
  <c r="C56" i="1"/>
  <c r="V30" i="1"/>
  <c r="I17" i="1"/>
  <c r="I240" i="1" s="1"/>
  <c r="D18" i="1"/>
  <c r="O44" i="1"/>
  <c r="I45" i="1"/>
  <c r="IW16" i="4" s="1"/>
  <c r="IW21" i="4" s="1"/>
  <c r="BQ86" i="1" s="1"/>
  <c r="IB9" i="4" s="1"/>
  <c r="BX44" i="1"/>
  <c r="P31" i="1"/>
  <c r="K55" i="1"/>
  <c r="E60" i="1"/>
  <c r="C24" i="1"/>
  <c r="L41" i="1"/>
  <c r="I60" i="1"/>
  <c r="S55" i="1"/>
  <c r="AM29" i="1"/>
  <c r="P22" i="1"/>
  <c r="P17" i="1"/>
  <c r="ID9" i="4" s="1"/>
  <c r="I24" i="1"/>
  <c r="O55" i="1"/>
  <c r="E34" i="1"/>
  <c r="R45" i="1"/>
  <c r="R261" i="1" s="1"/>
  <c r="C44" i="1"/>
  <c r="S56" i="1"/>
  <c r="T34" i="1"/>
  <c r="B56" i="1"/>
  <c r="D54" i="1"/>
  <c r="O56" i="1"/>
  <c r="G30" i="1"/>
  <c r="BJ160" i="1"/>
  <c r="BK160" i="1" s="1"/>
  <c r="R41" i="1"/>
  <c r="JA8" i="4" s="1"/>
  <c r="T56" i="1"/>
  <c r="Q32" i="1"/>
  <c r="IO8" i="4" s="1"/>
  <c r="S45" i="1"/>
  <c r="BX131" i="1"/>
  <c r="BY131" i="1" s="1"/>
  <c r="BJ34" i="1"/>
  <c r="AJ54" i="1"/>
  <c r="AL29" i="1"/>
  <c r="IH9" i="4" s="1"/>
  <c r="P30" i="1"/>
  <c r="P56" i="1"/>
  <c r="BX164" i="1"/>
  <c r="BY164" i="1" s="1"/>
  <c r="E29" i="1"/>
  <c r="S29" i="1"/>
  <c r="T18" i="1"/>
  <c r="J45" i="1"/>
  <c r="J261" i="1" s="1"/>
  <c r="P45" i="1"/>
  <c r="N32" i="1"/>
  <c r="IE7" i="4" s="1"/>
  <c r="JG7" i="4" s="1"/>
  <c r="IC9" i="4" s="1"/>
  <c r="BJ173" i="1"/>
  <c r="P29" i="1"/>
  <c r="F45" i="1"/>
  <c r="IR16" i="4" s="1"/>
  <c r="IR21" i="4" s="1"/>
  <c r="BL86" i="1" s="1"/>
  <c r="BL103" i="1" s="1"/>
  <c r="BX151" i="1"/>
  <c r="BY151" i="1" s="1"/>
  <c r="H41" i="1"/>
  <c r="AK45" i="1"/>
  <c r="T33" i="1"/>
  <c r="H30" i="1"/>
  <c r="J44" i="1"/>
  <c r="J30" i="1"/>
  <c r="D41" i="1"/>
  <c r="L17" i="1"/>
  <c r="L240" i="1" s="1"/>
  <c r="AJ56" i="1"/>
  <c r="T60" i="1"/>
  <c r="N45" i="1"/>
  <c r="P44" i="1"/>
  <c r="AM32" i="1"/>
  <c r="IU9" i="4" s="1"/>
  <c r="JC16" i="4" s="1"/>
  <c r="AJ24" i="1"/>
  <c r="P32" i="1"/>
  <c r="T54" i="1"/>
  <c r="M31" i="1"/>
  <c r="BX169" i="1"/>
  <c r="D60" i="1"/>
  <c r="AK22" i="1"/>
  <c r="IZ9" i="4" s="1"/>
  <c r="I18" i="1"/>
  <c r="II9" i="4" s="1"/>
  <c r="O32" i="1"/>
  <c r="M29" i="1"/>
  <c r="S34" i="1"/>
  <c r="O34" i="1"/>
  <c r="V48" i="1"/>
  <c r="B22" i="1"/>
  <c r="M30" i="1"/>
  <c r="P18" i="1"/>
  <c r="BX173" i="1"/>
  <c r="BY173" i="1" s="1"/>
  <c r="BX31" i="1"/>
  <c r="V44" i="1"/>
  <c r="BX24" i="1"/>
  <c r="IN9" i="4" s="1"/>
  <c r="G44" i="1"/>
  <c r="BJ29" i="1"/>
  <c r="R30" i="1"/>
  <c r="IJ9" i="4" s="1"/>
  <c r="W45" i="1"/>
  <c r="W261" i="1" s="1"/>
  <c r="U30" i="1"/>
  <c r="J34" i="1"/>
  <c r="JB7" i="4" s="1"/>
  <c r="C30" i="1"/>
  <c r="F41" i="1"/>
  <c r="F203" i="1" s="1"/>
  <c r="V55" i="1"/>
  <c r="S48" i="1"/>
  <c r="IV8" i="4" s="1"/>
  <c r="O18" i="1"/>
  <c r="G34" i="1"/>
  <c r="V45" i="1"/>
  <c r="V261" i="1" s="1"/>
  <c r="P48" i="1"/>
  <c r="IB8" i="4" s="1"/>
  <c r="L60" i="1"/>
  <c r="N29" i="1"/>
  <c r="L29" i="1"/>
  <c r="B32" i="1"/>
  <c r="P24" i="1"/>
  <c r="I56" i="1"/>
  <c r="AL60" i="1"/>
  <c r="I33" i="1"/>
  <c r="E22" i="1"/>
  <c r="IQ9" i="4" s="1"/>
  <c r="E54" i="1"/>
  <c r="U33" i="1"/>
  <c r="N60" i="1"/>
  <c r="HV9" i="4" s="1"/>
  <c r="BX30" i="1"/>
  <c r="JA16" i="4" s="1"/>
  <c r="O29" i="1"/>
  <c r="IC16" i="4" s="1"/>
  <c r="IN16" i="4" s="1"/>
  <c r="L30" i="1"/>
  <c r="BJ32" i="1"/>
  <c r="ID8" i="4" s="1"/>
  <c r="AJ29" i="1"/>
  <c r="IJ8" i="4" s="1"/>
  <c r="AL31" i="1"/>
  <c r="U32" i="1"/>
  <c r="E44" i="1"/>
  <c r="AL17" i="1"/>
  <c r="D55" i="1"/>
  <c r="K60" i="1"/>
  <c r="U56" i="1"/>
  <c r="U45" i="1"/>
  <c r="U261" i="1" s="1"/>
  <c r="AL22" i="1"/>
  <c r="Q56" i="1"/>
  <c r="BX17" i="1"/>
  <c r="S33" i="1"/>
  <c r="AJ41" i="1"/>
  <c r="AJ203" i="1" s="1"/>
  <c r="N34" i="1"/>
  <c r="Q162" i="1"/>
  <c r="P55" i="1"/>
  <c r="M44" i="1"/>
  <c r="BX163" i="1"/>
  <c r="BY163" i="1" s="1"/>
  <c r="AM17" i="1"/>
  <c r="AM240" i="1" s="1"/>
  <c r="U60" i="1"/>
  <c r="B60" i="1"/>
  <c r="HV8" i="4" s="1"/>
  <c r="AK54" i="1"/>
  <c r="N24" i="1"/>
  <c r="IK15" i="4" s="1"/>
  <c r="B17" i="1"/>
  <c r="B240" i="1" s="1"/>
  <c r="C48" i="1"/>
  <c r="J33" i="1"/>
  <c r="V54" i="1"/>
  <c r="J18" i="1"/>
  <c r="G41" i="1"/>
  <c r="G203" i="1" s="1"/>
  <c r="W29" i="1"/>
  <c r="E24" i="1"/>
  <c r="F31" i="1"/>
  <c r="W31" i="1"/>
  <c r="J41" i="1"/>
  <c r="J203" i="1" s="1"/>
  <c r="IC14" i="4" s="1"/>
  <c r="IH16" i="4" s="1"/>
  <c r="N55" i="1"/>
  <c r="BJ144" i="1"/>
  <c r="BK144" i="1" s="1"/>
  <c r="BJ152" i="1"/>
  <c r="K48" i="1"/>
  <c r="BJ33" i="1"/>
  <c r="F34" i="1"/>
  <c r="AJ34" i="1"/>
  <c r="E18" i="1"/>
  <c r="AM22" i="1"/>
  <c r="BX144" i="1"/>
  <c r="BY144" i="1" s="1"/>
  <c r="BX158" i="1"/>
  <c r="BY158" i="1" s="1"/>
  <c r="W18" i="1"/>
  <c r="W19" i="1" s="1"/>
  <c r="AL54" i="1"/>
  <c r="HX8" i="4" s="1"/>
  <c r="C60" i="1"/>
  <c r="H29" i="1"/>
  <c r="G17" i="1"/>
  <c r="G240" i="1" s="1"/>
  <c r="AL32" i="1"/>
  <c r="JH14" i="4" s="1"/>
  <c r="BX23" i="1"/>
  <c r="IB16" i="4" s="1"/>
  <c r="IB21" i="4" s="1"/>
  <c r="AV86" i="1" s="1"/>
  <c r="BJ153" i="1"/>
  <c r="BJ146" i="1"/>
  <c r="BK146" i="1" s="1"/>
  <c r="Q24" i="1"/>
  <c r="Q55" i="1"/>
  <c r="G54" i="1"/>
  <c r="AJ17" i="1"/>
  <c r="IV16" i="4" s="1"/>
  <c r="IV21" i="4" s="1"/>
  <c r="BP86" i="1" s="1"/>
  <c r="I34" i="1"/>
  <c r="HR9" i="4" s="1"/>
  <c r="AL41" i="1"/>
  <c r="AL203" i="1" s="1"/>
  <c r="N54" i="1"/>
  <c r="Q54" i="1"/>
  <c r="BX56" i="1"/>
  <c r="L45" i="1"/>
  <c r="T29" i="1"/>
  <c r="B18" i="1"/>
  <c r="D44" i="1"/>
  <c r="F18" i="1"/>
  <c r="F24" i="1"/>
  <c r="K44" i="1"/>
  <c r="AM18" i="1"/>
  <c r="G172" i="1"/>
  <c r="AK32" i="1"/>
  <c r="L32" i="1"/>
  <c r="K33" i="1"/>
  <c r="G162" i="1"/>
  <c r="G192" i="1" s="1"/>
  <c r="JI7" i="4" s="1"/>
  <c r="B41" i="1"/>
  <c r="B262" i="1" s="1"/>
  <c r="K22" i="1"/>
  <c r="IT9" i="4" s="1"/>
  <c r="II8" i="4" s="1"/>
  <c r="HZ9" i="4" s="1"/>
  <c r="W56" i="1"/>
  <c r="S60" i="1"/>
  <c r="AM24" i="1"/>
  <c r="K18" i="1"/>
  <c r="M55" i="1"/>
  <c r="AL44" i="1"/>
  <c r="Q45" i="1"/>
  <c r="M48" i="1"/>
  <c r="HY14" i="4" s="1"/>
  <c r="O54" i="1"/>
  <c r="BX22" i="1"/>
  <c r="HU9" i="4" s="1"/>
  <c r="AL18" i="1"/>
  <c r="T32" i="1"/>
  <c r="IG15" i="4" s="1"/>
  <c r="F56" i="1"/>
  <c r="HQ16" i="4" s="1"/>
  <c r="HQ21" i="4" s="1"/>
  <c r="AK86" i="1" s="1"/>
  <c r="G24" i="1"/>
  <c r="BX34" i="1"/>
  <c r="O48" i="1"/>
  <c r="HW7" i="4" s="1"/>
  <c r="C17" i="1"/>
  <c r="T24" i="1"/>
  <c r="JI16" i="4" s="1"/>
  <c r="JI21" i="4" s="1"/>
  <c r="CC86" i="1" s="1"/>
  <c r="CC94" i="1" s="1"/>
  <c r="J60" i="1"/>
  <c r="D29" i="1"/>
  <c r="H32" i="1"/>
  <c r="M24" i="1"/>
  <c r="AK29" i="1"/>
  <c r="Q30" i="1"/>
  <c r="AM31" i="1"/>
  <c r="N31" i="1"/>
  <c r="JE7" i="4" s="1"/>
  <c r="BX146" i="1"/>
  <c r="BY146" i="1" s="1"/>
  <c r="BJ24" i="1"/>
  <c r="AM33" i="1"/>
  <c r="AJ30" i="1"/>
  <c r="II7" i="4" s="1"/>
  <c r="W141" i="1"/>
  <c r="IO16" i="4" s="1"/>
  <c r="IO21" i="4" s="1"/>
  <c r="BI86" i="1" s="1"/>
  <c r="B34" i="1"/>
  <c r="IM8" i="4" s="1"/>
  <c r="BX159" i="1"/>
  <c r="BY159" i="1" s="1"/>
  <c r="U41" i="1"/>
  <c r="AL24" i="1"/>
  <c r="T30" i="1"/>
  <c r="F48" i="1"/>
  <c r="AJ55" i="1"/>
  <c r="V24" i="1"/>
  <c r="IW14" i="4" s="1"/>
  <c r="IG7" i="4" s="1"/>
  <c r="AJ45" i="1"/>
  <c r="Q41" i="1"/>
  <c r="AL34" i="1"/>
  <c r="AM44" i="1"/>
  <c r="M41" i="1"/>
  <c r="BX133" i="1"/>
  <c r="BY133" i="1" s="1"/>
  <c r="E30" i="1"/>
  <c r="S44" i="1"/>
  <c r="BX82" i="1"/>
  <c r="S31" i="1"/>
  <c r="H44" i="1"/>
  <c r="M17" i="1"/>
  <c r="M240" i="1" s="1"/>
  <c r="H33" i="1"/>
  <c r="BX168" i="1"/>
  <c r="M56" i="1"/>
  <c r="D45" i="1"/>
  <c r="JH7" i="4"/>
  <c r="IA8" i="4"/>
  <c r="IS7" i="4"/>
  <c r="HT15" i="4"/>
  <c r="HU7" i="4"/>
  <c r="IA15" i="4"/>
  <c r="HX15" i="4"/>
  <c r="HR7" i="4"/>
  <c r="JB15" i="4"/>
  <c r="IV7" i="4"/>
  <c r="JA15" i="4"/>
  <c r="IE8" i="4"/>
  <c r="IN14" i="4"/>
  <c r="IE14" i="4"/>
  <c r="IM7" i="4"/>
  <c r="JH15" i="4"/>
  <c r="IR15" i="4"/>
  <c r="IB7" i="4"/>
  <c r="HQ14" i="4"/>
  <c r="IO15" i="4"/>
  <c r="IB15" i="4"/>
  <c r="JC7" i="4"/>
  <c r="HU8" i="4"/>
  <c r="JG8" i="4"/>
  <c r="HQ15" i="4"/>
  <c r="HQ8" i="4"/>
  <c r="IH8" i="4"/>
  <c r="ID7" i="4"/>
  <c r="IU7" i="4"/>
  <c r="HP7" i="4"/>
  <c r="IA14" i="4"/>
  <c r="IQ7" i="4"/>
  <c r="JA14" i="4"/>
  <c r="IY14" i="4"/>
  <c r="II14" i="4"/>
  <c r="IL14" i="4"/>
  <c r="IS14" i="4"/>
  <c r="IZ7" i="4"/>
  <c r="HR8" i="4"/>
  <c r="IW7" i="4"/>
  <c r="HP15" i="4"/>
  <c r="IJ14" i="4"/>
  <c r="IE15" i="4"/>
  <c r="JE8" i="4"/>
  <c r="IG14" i="4"/>
  <c r="JF14" i="4"/>
  <c r="JI14" i="4"/>
  <c r="JI19" i="4" s="1"/>
  <c r="CC87" i="1" s="1"/>
  <c r="JF8" i="4"/>
  <c r="IN15" i="4"/>
  <c r="HP8" i="4"/>
  <c r="IV15" i="4"/>
  <c r="IF8" i="4"/>
  <c r="IZ14" i="4"/>
  <c r="ID15" i="4"/>
  <c r="HZ14" i="4"/>
  <c r="IU8" i="4"/>
  <c r="IQ14" i="4"/>
  <c r="IP14" i="4"/>
  <c r="IX15" i="4"/>
  <c r="JF7" i="4"/>
  <c r="IA7" i="4"/>
  <c r="IP8" i="4"/>
  <c r="IU14" i="4"/>
  <c r="IX14" i="4"/>
  <c r="JB8" i="4"/>
  <c r="IH14" i="4"/>
  <c r="JD14" i="4"/>
  <c r="JC8" i="4"/>
  <c r="IK7" i="4"/>
  <c r="HX7" i="4"/>
  <c r="JH8" i="4"/>
  <c r="HU14" i="4"/>
  <c r="HR15" i="4"/>
  <c r="HR20" i="4" s="1"/>
  <c r="AL88" i="1" s="1"/>
  <c r="IW8" i="4"/>
  <c r="HS15" i="4"/>
  <c r="IY15" i="4"/>
  <c r="IR7" i="4"/>
  <c r="JA7" i="4"/>
  <c r="IC7" i="4"/>
  <c r="HS7" i="4"/>
  <c r="IT8" i="4"/>
  <c r="IT14" i="4"/>
  <c r="IJ15" i="4"/>
  <c r="JD8" i="4"/>
  <c r="IF7" i="4"/>
  <c r="HY15" i="4"/>
  <c r="IU15" i="4"/>
  <c r="CL108" i="1"/>
  <c r="CL116" i="1"/>
  <c r="CL117" i="1"/>
  <c r="CL212" i="1"/>
  <c r="CL210" i="1" s="1"/>
  <c r="CM41" i="1"/>
  <c r="CM141" i="1" s="1"/>
  <c r="AB86" i="1"/>
  <c r="CQ86" i="1"/>
  <c r="AC149" i="1"/>
  <c r="CN74" i="1"/>
  <c r="CO72" i="1"/>
  <c r="C261" i="1" l="1"/>
  <c r="T35" i="1"/>
  <c r="IM9" i="4" s="1"/>
  <c r="IM21" i="4"/>
  <c r="BG86" i="1" s="1"/>
  <c r="IN21" i="4"/>
  <c r="BH86" i="1" s="1"/>
  <c r="Q261" i="1"/>
  <c r="BX35" i="1"/>
  <c r="Q35" i="1"/>
  <c r="AJ211" i="1"/>
  <c r="AI205" i="1"/>
  <c r="AI207" i="1" s="1"/>
  <c r="AK211" i="1"/>
  <c r="AL153" i="1"/>
  <c r="AL172" i="1"/>
  <c r="AM172" i="1" s="1"/>
  <c r="AL83" i="1"/>
  <c r="AL127" i="1"/>
  <c r="AM127" i="1" s="1"/>
  <c r="AL146" i="1"/>
  <c r="AM146" i="1" s="1"/>
  <c r="AL161" i="1"/>
  <c r="AM161" i="1" s="1"/>
  <c r="AL141" i="1"/>
  <c r="AL164" i="1"/>
  <c r="AM164" i="1" s="1"/>
  <c r="AL140" i="1"/>
  <c r="AL82" i="1"/>
  <c r="ID16" i="4" s="1"/>
  <c r="AL162" i="1"/>
  <c r="AL173" i="1"/>
  <c r="AM173" i="1" s="1"/>
  <c r="AL128" i="1"/>
  <c r="AL169" i="1"/>
  <c r="AL156" i="1"/>
  <c r="AM156" i="1" s="1"/>
  <c r="AL133" i="1"/>
  <c r="AM133" i="1" s="1"/>
  <c r="AL142" i="1"/>
  <c r="HX16" i="4" s="1"/>
  <c r="AL152" i="1"/>
  <c r="AL155" i="1"/>
  <c r="AM155" i="1" s="1"/>
  <c r="AL159" i="1"/>
  <c r="AM159" i="1" s="1"/>
  <c r="AL126" i="1"/>
  <c r="AM126" i="1" s="1"/>
  <c r="JG16" i="4" s="1"/>
  <c r="JG21" i="4" s="1"/>
  <c r="CA86" i="1" s="1"/>
  <c r="AL149" i="1"/>
  <c r="AM149" i="1" s="1"/>
  <c r="AM211" i="1" s="1"/>
  <c r="AL144" i="1"/>
  <c r="AM144" i="1" s="1"/>
  <c r="AL168" i="1"/>
  <c r="AL160" i="1"/>
  <c r="AM160" i="1" s="1"/>
  <c r="AL154" i="1"/>
  <c r="AL131" i="1"/>
  <c r="AM131" i="1" s="1"/>
  <c r="IP9" i="4" s="1"/>
  <c r="AL158" i="1"/>
  <c r="AM158" i="1" s="1"/>
  <c r="AL136" i="1"/>
  <c r="AM136" i="1" s="1"/>
  <c r="AL151" i="1"/>
  <c r="AM151" i="1" s="1"/>
  <c r="AL134" i="1"/>
  <c r="AM134" i="1" s="1"/>
  <c r="JD9" i="4" s="1"/>
  <c r="HQ9" i="4" s="1"/>
  <c r="AL163" i="1"/>
  <c r="AM163" i="1" s="1"/>
  <c r="AL135" i="1"/>
  <c r="AM135" i="1" s="1"/>
  <c r="Q192" i="1"/>
  <c r="BJ188" i="1"/>
  <c r="BK188" i="1" s="1"/>
  <c r="L261" i="1"/>
  <c r="AJ46" i="1"/>
  <c r="BY137" i="1"/>
  <c r="BX170" i="1"/>
  <c r="BY218" i="1" s="1"/>
  <c r="HT16" i="4" s="1"/>
  <c r="HT21" i="4" s="1"/>
  <c r="AN86" i="1" s="1"/>
  <c r="D261" i="1"/>
  <c r="HQ7" i="4" s="1"/>
  <c r="AJ42" i="1"/>
  <c r="K261" i="1"/>
  <c r="E35" i="1"/>
  <c r="AL261" i="1"/>
  <c r="C35" i="1"/>
  <c r="P35" i="1"/>
  <c r="IK21" i="4"/>
  <c r="BE86" i="1" s="1"/>
  <c r="W35" i="1"/>
  <c r="W36" i="1" s="1"/>
  <c r="AK19" i="1"/>
  <c r="P261" i="1"/>
  <c r="JA21" i="4"/>
  <c r="BU86" i="1" s="1"/>
  <c r="AM35" i="1"/>
  <c r="IH21" i="4"/>
  <c r="BB86" i="1" s="1"/>
  <c r="BX189" i="1"/>
  <c r="BY189" i="1" s="1"/>
  <c r="K19" i="1"/>
  <c r="F262" i="1"/>
  <c r="F261" i="1"/>
  <c r="L19" i="1"/>
  <c r="F19" i="1"/>
  <c r="F25" i="1" s="1"/>
  <c r="F26" i="1" s="1"/>
  <c r="BX19" i="1"/>
  <c r="CC197" i="1" s="1"/>
  <c r="AM107" i="1"/>
  <c r="AM108" i="1" s="1"/>
  <c r="AL262" i="1"/>
  <c r="V197" i="1"/>
  <c r="F35" i="1"/>
  <c r="L35" i="1"/>
  <c r="J35" i="1"/>
  <c r="IT21" i="4"/>
  <c r="BN86" i="1" s="1"/>
  <c r="K262" i="1"/>
  <c r="BX157" i="1"/>
  <c r="BX191" i="1" s="1"/>
  <c r="BY129" i="1"/>
  <c r="U35" i="1"/>
  <c r="V25" i="1"/>
  <c r="V26" i="1" s="1"/>
  <c r="O35" i="1"/>
  <c r="P19" i="1"/>
  <c r="W20" i="1"/>
  <c r="M261" i="1"/>
  <c r="V35" i="1"/>
  <c r="V36" i="1" s="1"/>
  <c r="AL157" i="1"/>
  <c r="AL143" i="1"/>
  <c r="AM143" i="1" s="1"/>
  <c r="AM147" i="1" s="1"/>
  <c r="AK137" i="1"/>
  <c r="BK137" i="1"/>
  <c r="JF21" i="4"/>
  <c r="BZ86" i="1" s="1"/>
  <c r="BZ103" i="1" s="1"/>
  <c r="AJ170" i="1"/>
  <c r="AK218" i="1" s="1"/>
  <c r="IY21" i="4"/>
  <c r="BS86" i="1" s="1"/>
  <c r="JE21" i="4"/>
  <c r="BY86" i="1" s="1"/>
  <c r="BX143" i="1"/>
  <c r="IA21" i="4"/>
  <c r="AU86" i="1" s="1"/>
  <c r="U25" i="1"/>
  <c r="AM137" i="1"/>
  <c r="N261" i="1"/>
  <c r="JC21" i="4"/>
  <c r="BW86" i="1" s="1"/>
  <c r="O19" i="1"/>
  <c r="T19" i="1"/>
  <c r="U20" i="1" s="1"/>
  <c r="S35" i="1"/>
  <c r="I262" i="1"/>
  <c r="AM19" i="1"/>
  <c r="AM25" i="1" s="1"/>
  <c r="W197" i="1"/>
  <c r="I35" i="1"/>
  <c r="AM261" i="1"/>
  <c r="AK35" i="1"/>
  <c r="AK36" i="1" s="1"/>
  <c r="M19" i="1"/>
  <c r="M20" i="1" s="1"/>
  <c r="H35" i="1"/>
  <c r="AJ35" i="1"/>
  <c r="IU20" i="4"/>
  <c r="BO88" i="1" s="1"/>
  <c r="BO117" i="1" s="1"/>
  <c r="G262" i="1"/>
  <c r="BX240" i="1"/>
  <c r="J262" i="1"/>
  <c r="G19" i="1"/>
  <c r="CA107" i="1"/>
  <c r="CA108" i="1" s="1"/>
  <c r="CA111" i="1" s="1"/>
  <c r="W262" i="1"/>
  <c r="H261" i="1"/>
  <c r="B19" i="1"/>
  <c r="B25" i="1" s="1"/>
  <c r="B26" i="1" s="1"/>
  <c r="S261" i="1"/>
  <c r="S262" i="1"/>
  <c r="N19" i="1"/>
  <c r="S19" i="1"/>
  <c r="N262" i="1"/>
  <c r="AM262" i="1"/>
  <c r="BX129" i="1"/>
  <c r="BX101" i="1" s="1"/>
  <c r="I261" i="1"/>
  <c r="I19" i="1"/>
  <c r="G261" i="1"/>
  <c r="H19" i="1"/>
  <c r="BJ170" i="1"/>
  <c r="BK218" i="1" s="1"/>
  <c r="BJ143" i="1"/>
  <c r="BK126" i="1"/>
  <c r="BJ129" i="1"/>
  <c r="AL170" i="1"/>
  <c r="AM218" i="1" s="1"/>
  <c r="BJ165" i="1"/>
  <c r="BJ194" i="1" s="1"/>
  <c r="BK158" i="1"/>
  <c r="AJ137" i="1"/>
  <c r="AL129" i="1"/>
  <c r="AL137" i="1"/>
  <c r="AJ143" i="1"/>
  <c r="AK42" i="1" s="1"/>
  <c r="AJ189" i="1"/>
  <c r="AK189" i="1" s="1"/>
  <c r="BK152" i="1"/>
  <c r="AM152" i="1"/>
  <c r="HX20" i="4"/>
  <c r="AR88" i="1" s="1"/>
  <c r="AR117" i="1" s="1"/>
  <c r="HP20" i="4"/>
  <c r="AJ88" i="1" s="1"/>
  <c r="ID20" i="4"/>
  <c r="AX88" i="1" s="1"/>
  <c r="AX117" i="1" s="1"/>
  <c r="JF19" i="4"/>
  <c r="BZ87" i="1" s="1"/>
  <c r="L107" i="1"/>
  <c r="JA19" i="4"/>
  <c r="BU87" i="1" s="1"/>
  <c r="BU116" i="1" s="1"/>
  <c r="II19" i="4"/>
  <c r="BC87" i="1" s="1"/>
  <c r="BC116" i="1" s="1"/>
  <c r="IA19" i="4"/>
  <c r="AU87" i="1" s="1"/>
  <c r="AU116" i="1" s="1"/>
  <c r="IC19" i="4"/>
  <c r="AW87" i="1" s="1"/>
  <c r="AW116" i="1" s="1"/>
  <c r="IR19" i="4"/>
  <c r="BL87" i="1" s="1"/>
  <c r="HQ20" i="4"/>
  <c r="AK88" i="1" s="1"/>
  <c r="JH19" i="4"/>
  <c r="CB87" i="1" s="1"/>
  <c r="IO20" i="4"/>
  <c r="BI88" i="1" s="1"/>
  <c r="BI117" i="1" s="1"/>
  <c r="JB20" i="4"/>
  <c r="BV88" i="1" s="1"/>
  <c r="BV117" i="1" s="1"/>
  <c r="IS19" i="4"/>
  <c r="BM87" i="1" s="1"/>
  <c r="BM116" i="1" s="1"/>
  <c r="IJ20" i="4"/>
  <c r="BD88" i="1" s="1"/>
  <c r="BD117" i="1" s="1"/>
  <c r="CC111" i="1"/>
  <c r="JH20" i="4"/>
  <c r="CB88" i="1" s="1"/>
  <c r="JA20" i="4"/>
  <c r="BU88" i="1" s="1"/>
  <c r="BU117" i="1" s="1"/>
  <c r="IV20" i="4"/>
  <c r="BP88" i="1" s="1"/>
  <c r="BP117" i="1" s="1"/>
  <c r="IZ19" i="4"/>
  <c r="BT87" i="1" s="1"/>
  <c r="BT116" i="1" s="1"/>
  <c r="IE19" i="4"/>
  <c r="AY87" i="1" s="1"/>
  <c r="AY116" i="1" s="1"/>
  <c r="CC103" i="1"/>
  <c r="IG19" i="4"/>
  <c r="BA87" i="1" s="1"/>
  <c r="BA116" i="1" s="1"/>
  <c r="IQ20" i="4"/>
  <c r="BK88" i="1" s="1"/>
  <c r="BK117" i="1" s="1"/>
  <c r="IP19" i="4"/>
  <c r="BJ87" i="1" s="1"/>
  <c r="BJ116" i="1" s="1"/>
  <c r="IE20" i="4"/>
  <c r="AY88" i="1" s="1"/>
  <c r="AY117" i="1" s="1"/>
  <c r="JG19" i="4"/>
  <c r="CA87" i="1" s="1"/>
  <c r="IT20" i="4"/>
  <c r="BN88" i="1" s="1"/>
  <c r="BN117" i="1" s="1"/>
  <c r="IW19" i="4"/>
  <c r="BQ87" i="1" s="1"/>
  <c r="BQ116" i="1" s="1"/>
  <c r="IU19" i="4"/>
  <c r="BO87" i="1" s="1"/>
  <c r="BO116" i="1" s="1"/>
  <c r="IQ19" i="4"/>
  <c r="BK87" i="1" s="1"/>
  <c r="BK116" i="1" s="1"/>
  <c r="IB20" i="4"/>
  <c r="AV88" i="1" s="1"/>
  <c r="AV117" i="1" s="1"/>
  <c r="HS20" i="4"/>
  <c r="AM88" i="1" s="1"/>
  <c r="HU19" i="4"/>
  <c r="AO87" i="1" s="1"/>
  <c r="AO116" i="1" s="1"/>
  <c r="HQ19" i="4"/>
  <c r="AK87" i="1" s="1"/>
  <c r="IA20" i="4"/>
  <c r="AU88" i="1" s="1"/>
  <c r="AU117" i="1" s="1"/>
  <c r="BK211" i="1"/>
  <c r="BY211" i="1"/>
  <c r="AJ165" i="1"/>
  <c r="AJ206" i="1" s="1"/>
  <c r="AJ157" i="1"/>
  <c r="BJ137" i="1"/>
  <c r="AJ129" i="1"/>
  <c r="BX165" i="1"/>
  <c r="BX194" i="1" s="1"/>
  <c r="BJ157" i="1"/>
  <c r="BX137" i="1"/>
  <c r="IV14" i="4"/>
  <c r="IV19" i="4" s="1"/>
  <c r="BP87" i="1" s="1"/>
  <c r="BP116" i="1" s="1"/>
  <c r="W25" i="1"/>
  <c r="W107" i="1"/>
  <c r="X197" i="1"/>
  <c r="X20" i="1"/>
  <c r="AL240" i="1"/>
  <c r="AL19" i="1"/>
  <c r="IZ15" i="4"/>
  <c r="D203" i="1"/>
  <c r="D262" i="1"/>
  <c r="HV15" i="4"/>
  <c r="HV20" i="4" s="1"/>
  <c r="AP88" i="1" s="1"/>
  <c r="AP117" i="1" s="1"/>
  <c r="IJ7" i="4"/>
  <c r="IJ19" i="4" s="1"/>
  <c r="BD87" i="1" s="1"/>
  <c r="BD116" i="1" s="1"/>
  <c r="G35" i="1"/>
  <c r="IR8" i="4"/>
  <c r="IR20" i="4" s="1"/>
  <c r="BL88" i="1" s="1"/>
  <c r="BL105" i="1" s="1"/>
  <c r="IZ21" i="4"/>
  <c r="BT86" i="1" s="1"/>
  <c r="BJ192" i="1"/>
  <c r="BK192" i="1" s="1"/>
  <c r="IX8" i="4"/>
  <c r="HZ21" i="4"/>
  <c r="AT86" i="1" s="1"/>
  <c r="JE15" i="4"/>
  <c r="JE20" i="4" s="1"/>
  <c r="BY88" i="1" s="1"/>
  <c r="BY117" i="1" s="1"/>
  <c r="HP14" i="4"/>
  <c r="HP19" i="4" s="1"/>
  <c r="AJ87" i="1" s="1"/>
  <c r="BX203" i="1"/>
  <c r="BX262" i="1"/>
  <c r="HX14" i="4"/>
  <c r="HX19" i="4" s="1"/>
  <c r="AR87" i="1" s="1"/>
  <c r="AR116" i="1" s="1"/>
  <c r="JC14" i="4"/>
  <c r="JC19" i="4" s="1"/>
  <c r="BW87" i="1" s="1"/>
  <c r="BW116" i="1" s="1"/>
  <c r="IP15" i="4"/>
  <c r="O203" i="1"/>
  <c r="O262" i="1"/>
  <c r="HV7" i="4"/>
  <c r="HV19" i="4" s="1"/>
  <c r="AP87" i="1" s="1"/>
  <c r="AP116" i="1" s="1"/>
  <c r="IF14" i="4"/>
  <c r="IF19" i="4" s="1"/>
  <c r="AZ87" i="1" s="1"/>
  <c r="AZ116" i="1" s="1"/>
  <c r="HR21" i="4"/>
  <c r="AL86" i="1" s="1"/>
  <c r="IM14" i="4"/>
  <c r="IM19" i="4" s="1"/>
  <c r="BG87" i="1" s="1"/>
  <c r="BG116" i="1" s="1"/>
  <c r="BJ189" i="1"/>
  <c r="BK189" i="1" s="1"/>
  <c r="HT8" i="4"/>
  <c r="HT20" i="4" s="1"/>
  <c r="AN88" i="1" s="1"/>
  <c r="AN117" i="1" s="1"/>
  <c r="IH15" i="4"/>
  <c r="IH20" i="4" s="1"/>
  <c r="BB88" i="1" s="1"/>
  <c r="BB117" i="1" s="1"/>
  <c r="IK14" i="4"/>
  <c r="IK19" i="4" s="1"/>
  <c r="BE87" i="1" s="1"/>
  <c r="BE116" i="1" s="1"/>
  <c r="T261" i="1"/>
  <c r="II15" i="4"/>
  <c r="II20" i="4" s="1"/>
  <c r="BC88" i="1" s="1"/>
  <c r="BC117" i="1" s="1"/>
  <c r="HY21" i="4"/>
  <c r="AS86" i="1" s="1"/>
  <c r="IH7" i="4"/>
  <c r="IH19" i="4" s="1"/>
  <c r="BB87" i="1" s="1"/>
  <c r="BB116" i="1" s="1"/>
  <c r="HS14" i="4"/>
  <c r="HS19" i="4" s="1"/>
  <c r="AM87" i="1" s="1"/>
  <c r="IP20" i="4"/>
  <c r="BJ88" i="1" s="1"/>
  <c r="BJ117" i="1" s="1"/>
  <c r="M203" i="1"/>
  <c r="M262" i="1"/>
  <c r="C240" i="1"/>
  <c r="C19" i="1"/>
  <c r="N35" i="1"/>
  <c r="H203" i="1"/>
  <c r="H262" i="1"/>
  <c r="IC21" i="4"/>
  <c r="AW86" i="1" s="1"/>
  <c r="P262" i="1"/>
  <c r="P240" i="1"/>
  <c r="BX188" i="1"/>
  <c r="IW15" i="4"/>
  <c r="IW20" i="4" s="1"/>
  <c r="BQ88" i="1" s="1"/>
  <c r="BQ117" i="1" s="1"/>
  <c r="R35" i="1"/>
  <c r="O261" i="1"/>
  <c r="IO7" i="4"/>
  <c r="BX261" i="1"/>
  <c r="IF21" i="4"/>
  <c r="AZ86" i="1" s="1"/>
  <c r="HZ7" i="4"/>
  <c r="IP21" i="4"/>
  <c r="BJ86" i="1" s="1"/>
  <c r="HX21" i="4"/>
  <c r="AR86" i="1" s="1"/>
  <c r="D35" i="1"/>
  <c r="JF15" i="4"/>
  <c r="JF20" i="4" s="1"/>
  <c r="BZ88" i="1" s="1"/>
  <c r="HT14" i="4"/>
  <c r="HU21" i="4"/>
  <c r="AO86" i="1" s="1"/>
  <c r="IQ21" i="4"/>
  <c r="BK86" i="1" s="1"/>
  <c r="HV21" i="4"/>
  <c r="AP86" i="1" s="1"/>
  <c r="JD15" i="4"/>
  <c r="JD20" i="4" s="1"/>
  <c r="BX88" i="1" s="1"/>
  <c r="HU15" i="4"/>
  <c r="HU20" i="4" s="1"/>
  <c r="AO88" i="1" s="1"/>
  <c r="AO117" i="1" s="1"/>
  <c r="JI8" i="4"/>
  <c r="JI20" i="4" s="1"/>
  <c r="CC88" i="1" s="1"/>
  <c r="AJ188" i="1"/>
  <c r="AJ192" i="1"/>
  <c r="Q203" i="1"/>
  <c r="Q262" i="1"/>
  <c r="U262" i="1"/>
  <c r="U203" i="1"/>
  <c r="AJ240" i="1"/>
  <c r="AJ19" i="1"/>
  <c r="IB14" i="4"/>
  <c r="IB19" i="4" s="1"/>
  <c r="AV87" i="1" s="1"/>
  <c r="AV116" i="1" s="1"/>
  <c r="AL35" i="1"/>
  <c r="R203" i="1"/>
  <c r="R262" i="1"/>
  <c r="JG15" i="4"/>
  <c r="JG20" i="4" s="1"/>
  <c r="CA88" i="1" s="1"/>
  <c r="JD7" i="4"/>
  <c r="JD19" i="4" s="1"/>
  <c r="BX87" i="1" s="1"/>
  <c r="JD21" i="4"/>
  <c r="BX86" i="1" s="1"/>
  <c r="IT7" i="4"/>
  <c r="IT19" i="4" s="1"/>
  <c r="BN87" i="1" s="1"/>
  <c r="BN116" i="1" s="1"/>
  <c r="IL7" i="4"/>
  <c r="IL19" i="4" s="1"/>
  <c r="BF87" i="1" s="1"/>
  <c r="BF116" i="1" s="1"/>
  <c r="JB14" i="4"/>
  <c r="JB19" i="4" s="1"/>
  <c r="BV87" i="1" s="1"/>
  <c r="BV116" i="1" s="1"/>
  <c r="IC8" i="4"/>
  <c r="II21" i="4"/>
  <c r="BC86" i="1" s="1"/>
  <c r="BX192" i="1"/>
  <c r="P192" i="1"/>
  <c r="IC15" i="4"/>
  <c r="IC20" i="4" s="1"/>
  <c r="AW88" i="1" s="1"/>
  <c r="AW117" i="1" s="1"/>
  <c r="IX7" i="4"/>
  <c r="IX19" i="4" s="1"/>
  <c r="BR87" i="1" s="1"/>
  <c r="BR116" i="1" s="1"/>
  <c r="IG8" i="4"/>
  <c r="IG20" i="4" s="1"/>
  <c r="BA88" i="1" s="1"/>
  <c r="BA117" i="1" s="1"/>
  <c r="HW15" i="4"/>
  <c r="JC15" i="4"/>
  <c r="JC20" i="4" s="1"/>
  <c r="BW88" i="1" s="1"/>
  <c r="BW117" i="1" s="1"/>
  <c r="D19" i="1"/>
  <c r="D240" i="1"/>
  <c r="T203" i="1"/>
  <c r="T262" i="1"/>
  <c r="IO14" i="4"/>
  <c r="V262" i="1"/>
  <c r="V203" i="1"/>
  <c r="HZ8" i="4"/>
  <c r="IX21" i="4"/>
  <c r="BR86" i="1" s="1"/>
  <c r="IN8" i="4"/>
  <c r="B261" i="1"/>
  <c r="ID14" i="4"/>
  <c r="ID19" i="4" s="1"/>
  <c r="AX87" i="1" s="1"/>
  <c r="AX116" i="1" s="1"/>
  <c r="R240" i="1"/>
  <c r="R19" i="1"/>
  <c r="IN7" i="4"/>
  <c r="IN19" i="4" s="1"/>
  <c r="BH87" i="1" s="1"/>
  <c r="BH116" i="1" s="1"/>
  <c r="IY7" i="4"/>
  <c r="IY19" i="4" s="1"/>
  <c r="BS87" i="1" s="1"/>
  <c r="BS116" i="1" s="1"/>
  <c r="K35" i="1"/>
  <c r="IL21" i="4"/>
  <c r="BF86" i="1" s="1"/>
  <c r="IK8" i="4"/>
  <c r="IK20" i="4" s="1"/>
  <c r="BE88" i="1" s="1"/>
  <c r="BE117" i="1" s="1"/>
  <c r="IL15" i="4"/>
  <c r="IL20" i="4" s="1"/>
  <c r="BF88" i="1" s="1"/>
  <c r="BF117" i="1" s="1"/>
  <c r="IJ21" i="4"/>
  <c r="BD86" i="1" s="1"/>
  <c r="HZ19" i="4"/>
  <c r="AT87" i="1" s="1"/>
  <c r="AT116" i="1" s="1"/>
  <c r="IN20" i="4"/>
  <c r="BH88" i="1" s="1"/>
  <c r="BH117" i="1" s="1"/>
  <c r="M35" i="1"/>
  <c r="IM15" i="4"/>
  <c r="IM20" i="4" s="1"/>
  <c r="BG88" i="1" s="1"/>
  <c r="BG117" i="1" s="1"/>
  <c r="HR14" i="4"/>
  <c r="HR19" i="4" s="1"/>
  <c r="AL87" i="1" s="1"/>
  <c r="L203" i="1"/>
  <c r="L262" i="1"/>
  <c r="HY7" i="4"/>
  <c r="HY19" i="4" s="1"/>
  <c r="AS87" i="1" s="1"/>
  <c r="AS116" i="1" s="1"/>
  <c r="JE14" i="4"/>
  <c r="JE19" i="4" s="1"/>
  <c r="BY87" i="1" s="1"/>
  <c r="JH21" i="4"/>
  <c r="CB86" i="1" s="1"/>
  <c r="Q19" i="1"/>
  <c r="Q240" i="1"/>
  <c r="V107" i="1"/>
  <c r="V20" i="1"/>
  <c r="E19" i="1"/>
  <c r="E240" i="1"/>
  <c r="B35" i="1"/>
  <c r="HW14" i="4"/>
  <c r="HW19" i="4" s="1"/>
  <c r="AQ87" i="1" s="1"/>
  <c r="AQ116" i="1" s="1"/>
  <c r="IF15" i="4"/>
  <c r="IF20" i="4" s="1"/>
  <c r="AZ88" i="1" s="1"/>
  <c r="AZ117" i="1" s="1"/>
  <c r="C203" i="1"/>
  <c r="C262" i="1"/>
  <c r="HZ15" i="4"/>
  <c r="HZ20" i="4" s="1"/>
  <c r="AT88" i="1" s="1"/>
  <c r="AT117" i="1" s="1"/>
  <c r="JB21" i="4"/>
  <c r="BV86" i="1" s="1"/>
  <c r="IU21" i="4"/>
  <c r="BO86" i="1" s="1"/>
  <c r="IZ8" i="4"/>
  <c r="J240" i="1"/>
  <c r="J19" i="1"/>
  <c r="IY8" i="4"/>
  <c r="IY20" i="4" s="1"/>
  <c r="BS88" i="1" s="1"/>
  <c r="BS117" i="1" s="1"/>
  <c r="IG21" i="4"/>
  <c r="BA86" i="1" s="1"/>
  <c r="HY8" i="4"/>
  <c r="HY20" i="4" s="1"/>
  <c r="AS88" i="1" s="1"/>
  <c r="AS117" i="1" s="1"/>
  <c r="IS21" i="4"/>
  <c r="BM86" i="1" s="1"/>
  <c r="IS15" i="4"/>
  <c r="IS20" i="4" s="1"/>
  <c r="BM88" i="1" s="1"/>
  <c r="BM117" i="1" s="1"/>
  <c r="HT7" i="4"/>
  <c r="HW8" i="4"/>
  <c r="CL111" i="1"/>
  <c r="CL113" i="1"/>
  <c r="CM113" i="1" s="1"/>
  <c r="CN113" i="1" s="1"/>
  <c r="CO113" i="1" s="1"/>
  <c r="CP113" i="1" s="1"/>
  <c r="CQ113" i="1" s="1"/>
  <c r="CR113" i="1" s="1"/>
  <c r="CS113" i="1" s="1"/>
  <c r="CT113" i="1" s="1"/>
  <c r="CU113" i="1" s="1"/>
  <c r="CV113" i="1" s="1"/>
  <c r="CW113" i="1" s="1"/>
  <c r="CX113" i="1" s="1"/>
  <c r="CY113" i="1" s="1"/>
  <c r="CZ113" i="1" s="1"/>
  <c r="DA113" i="1" s="1"/>
  <c r="DB113" i="1" s="1"/>
  <c r="CL112" i="1"/>
  <c r="CM112" i="1" s="1"/>
  <c r="CN112" i="1" s="1"/>
  <c r="CO112" i="1" s="1"/>
  <c r="CP112" i="1" s="1"/>
  <c r="CQ112" i="1" s="1"/>
  <c r="CR112" i="1" s="1"/>
  <c r="CS112" i="1" s="1"/>
  <c r="CT112" i="1" s="1"/>
  <c r="CU112" i="1" s="1"/>
  <c r="CV112" i="1" s="1"/>
  <c r="CW112" i="1" s="1"/>
  <c r="CX112" i="1" s="1"/>
  <c r="CY112" i="1" s="1"/>
  <c r="CZ112" i="1" s="1"/>
  <c r="DA112" i="1" s="1"/>
  <c r="DB112" i="1" s="1"/>
  <c r="CM143" i="1"/>
  <c r="CM147" i="1" s="1"/>
  <c r="CM212" i="1" s="1"/>
  <c r="CM210" i="1" s="1"/>
  <c r="AL117" i="1"/>
  <c r="CC104" i="1"/>
  <c r="CC116" i="1"/>
  <c r="CC112" i="1"/>
  <c r="CC95" i="1"/>
  <c r="CF99" i="1" s="1"/>
  <c r="CM203" i="1"/>
  <c r="CR86" i="1"/>
  <c r="AC211" i="1"/>
  <c r="AB158" i="1"/>
  <c r="AB126" i="1"/>
  <c r="CO74" i="1"/>
  <c r="CP72" i="1"/>
  <c r="CA103" i="1" l="1"/>
  <c r="AM111" i="1"/>
  <c r="BY101" i="1"/>
  <c r="BZ216" i="1"/>
  <c r="BY21" i="1"/>
  <c r="CB20" i="1"/>
  <c r="AL211" i="1"/>
  <c r="AK25" i="1"/>
  <c r="K107" i="1"/>
  <c r="K25" i="1"/>
  <c r="P25" i="1"/>
  <c r="P20" i="1"/>
  <c r="L20" i="1"/>
  <c r="BZ258" i="1"/>
  <c r="BZ260" i="1" s="1"/>
  <c r="BZ215" i="1"/>
  <c r="BY138" i="1"/>
  <c r="BY143" i="1"/>
  <c r="BX147" i="1"/>
  <c r="BX255" i="1" s="1"/>
  <c r="BX195" i="1"/>
  <c r="CB198" i="1" s="1"/>
  <c r="AL165" i="1"/>
  <c r="AL194" i="1" s="1"/>
  <c r="BY258" i="1"/>
  <c r="AM36" i="1"/>
  <c r="M25" i="1"/>
  <c r="M26" i="1" s="1"/>
  <c r="L197" i="1"/>
  <c r="H197" i="1"/>
  <c r="N107" i="1"/>
  <c r="N20" i="1"/>
  <c r="AL188" i="1"/>
  <c r="AM188" i="1" s="1"/>
  <c r="BJ193" i="1"/>
  <c r="BX103" i="1"/>
  <c r="Q197" i="1"/>
  <c r="L25" i="1"/>
  <c r="BX36" i="1"/>
  <c r="BX25" i="1"/>
  <c r="U197" i="1"/>
  <c r="T107" i="1"/>
  <c r="T25" i="1"/>
  <c r="U27" i="1" s="1"/>
  <c r="CA234" i="1"/>
  <c r="AL189" i="1"/>
  <c r="AM189" i="1" s="1"/>
  <c r="AL192" i="1"/>
  <c r="AM192" i="1" s="1"/>
  <c r="ID21" i="4"/>
  <c r="AX86" i="1" s="1"/>
  <c r="F107" i="1"/>
  <c r="BY42" i="1"/>
  <c r="I20" i="1"/>
  <c r="J197" i="1"/>
  <c r="BX177" i="1"/>
  <c r="BX118" i="1" s="1"/>
  <c r="M197" i="1"/>
  <c r="F20" i="1"/>
  <c r="M107" i="1"/>
  <c r="P197" i="1"/>
  <c r="P107" i="1"/>
  <c r="V37" i="1"/>
  <c r="V241" i="1" s="1"/>
  <c r="V242" i="1" s="1"/>
  <c r="Q20" i="1"/>
  <c r="F197" i="1"/>
  <c r="G20" i="1"/>
  <c r="H20" i="1"/>
  <c r="G197" i="1"/>
  <c r="O20" i="1"/>
  <c r="BX257" i="1"/>
  <c r="AJ36" i="1"/>
  <c r="AM21" i="1"/>
  <c r="BX138" i="1"/>
  <c r="AM37" i="1"/>
  <c r="AM43" i="1" s="1"/>
  <c r="AM47" i="1" s="1"/>
  <c r="AM26" i="1"/>
  <c r="BY216" i="1"/>
  <c r="T20" i="1"/>
  <c r="T197" i="1"/>
  <c r="C20" i="1"/>
  <c r="BX166" i="1"/>
  <c r="BX174" i="1" s="1"/>
  <c r="BX175" i="1" s="1"/>
  <c r="I25" i="1"/>
  <c r="I26" i="1" s="1"/>
  <c r="B36" i="1"/>
  <c r="B37" i="1"/>
  <c r="B38" i="1" s="1"/>
  <c r="AJ138" i="1"/>
  <c r="V27" i="1"/>
  <c r="U26" i="1"/>
  <c r="O197" i="1"/>
  <c r="O107" i="1"/>
  <c r="O25" i="1"/>
  <c r="G25" i="1"/>
  <c r="G107" i="1"/>
  <c r="N197" i="1"/>
  <c r="N25" i="1"/>
  <c r="S25" i="1"/>
  <c r="S107" i="1"/>
  <c r="I197" i="1"/>
  <c r="I107" i="1"/>
  <c r="H107" i="1"/>
  <c r="H25" i="1"/>
  <c r="H26" i="1" s="1"/>
  <c r="IX20" i="4"/>
  <c r="BR88" i="1" s="1"/>
  <c r="BR117" i="1" s="1"/>
  <c r="AL36" i="1"/>
  <c r="IO19" i="4"/>
  <c r="BI87" i="1" s="1"/>
  <c r="BI116" i="1" s="1"/>
  <c r="BK258" i="1"/>
  <c r="AK215" i="1"/>
  <c r="AM258" i="1"/>
  <c r="BK143" i="1"/>
  <c r="BJ147" i="1"/>
  <c r="BJ255" i="1" s="1"/>
  <c r="BL215" i="1"/>
  <c r="BL258" i="1"/>
  <c r="BJ101" i="1"/>
  <c r="BJ257" i="1"/>
  <c r="AJ177" i="1"/>
  <c r="AK46" i="1" s="1"/>
  <c r="AJ215" i="1"/>
  <c r="AM42" i="1"/>
  <c r="AL147" i="1"/>
  <c r="AL101" i="1"/>
  <c r="AL105" i="1" s="1"/>
  <c r="AL257" i="1"/>
  <c r="AL215" i="1"/>
  <c r="AM215" i="1"/>
  <c r="AJ194" i="1"/>
  <c r="AK143" i="1"/>
  <c r="AL177" i="1"/>
  <c r="BJ138" i="1"/>
  <c r="BJ177" i="1"/>
  <c r="BJ118" i="1" s="1"/>
  <c r="AJ147" i="1"/>
  <c r="BK215" i="1"/>
  <c r="AL258" i="1"/>
  <c r="AL138" i="1"/>
  <c r="AJ205" i="1"/>
  <c r="AJ191" i="1"/>
  <c r="BJ191" i="1"/>
  <c r="BJ166" i="1"/>
  <c r="AL191" i="1"/>
  <c r="AM112" i="1"/>
  <c r="AM116" i="1"/>
  <c r="BZ104" i="1"/>
  <c r="BZ98" i="1"/>
  <c r="BZ116" i="1"/>
  <c r="BZ119" i="1" s="1"/>
  <c r="AM117" i="1"/>
  <c r="AM113" i="1"/>
  <c r="BL116" i="1"/>
  <c r="BL119" i="1" s="1"/>
  <c r="BL104" i="1"/>
  <c r="CA105" i="1"/>
  <c r="CA117" i="1"/>
  <c r="CA113" i="1"/>
  <c r="CB95" i="1"/>
  <c r="CB112" i="1"/>
  <c r="CB104" i="1"/>
  <c r="CB116" i="1"/>
  <c r="CB119" i="1" s="1"/>
  <c r="CB122" i="1" s="1"/>
  <c r="CC105" i="1"/>
  <c r="CC113" i="1"/>
  <c r="CC117" i="1"/>
  <c r="AL116" i="1"/>
  <c r="BZ117" i="1"/>
  <c r="BZ120" i="1" s="1"/>
  <c r="BZ105" i="1"/>
  <c r="CB105" i="1"/>
  <c r="CB117" i="1"/>
  <c r="CB120" i="1" s="1"/>
  <c r="CB123" i="1" s="1"/>
  <c r="CC96" i="1"/>
  <c r="CB113" i="1"/>
  <c r="BL117" i="1"/>
  <c r="BL120" i="1" s="1"/>
  <c r="CB96" i="1"/>
  <c r="CA112" i="1"/>
  <c r="CA116" i="1"/>
  <c r="CA104" i="1"/>
  <c r="BY116" i="1"/>
  <c r="BY98" i="1"/>
  <c r="BY215" i="1"/>
  <c r="AJ166" i="1"/>
  <c r="BX98" i="1"/>
  <c r="BX104" i="1"/>
  <c r="BX116" i="1"/>
  <c r="BX117" i="1"/>
  <c r="BX105" i="1"/>
  <c r="R107" i="1"/>
  <c r="R20" i="1"/>
  <c r="R197" i="1"/>
  <c r="S197" i="1"/>
  <c r="R25" i="1"/>
  <c r="S20" i="1"/>
  <c r="BY192" i="1"/>
  <c r="BX193" i="1"/>
  <c r="D36" i="1"/>
  <c r="W26" i="1"/>
  <c r="W27" i="1"/>
  <c r="W37" i="1"/>
  <c r="X27" i="1"/>
  <c r="K20" i="1"/>
  <c r="J25" i="1"/>
  <c r="K197" i="1"/>
  <c r="J107" i="1"/>
  <c r="J20" i="1"/>
  <c r="D25" i="1"/>
  <c r="D197" i="1"/>
  <c r="D20" i="1"/>
  <c r="AK21" i="1"/>
  <c r="AJ25" i="1"/>
  <c r="AM234" i="1"/>
  <c r="C36" i="1"/>
  <c r="C25" i="1"/>
  <c r="C197" i="1"/>
  <c r="E20" i="1"/>
  <c r="E25" i="1"/>
  <c r="E197" i="1"/>
  <c r="E36" i="1"/>
  <c r="E107" i="1"/>
  <c r="Q25" i="1"/>
  <c r="Q107" i="1"/>
  <c r="HT19" i="4"/>
  <c r="AN87" i="1" s="1"/>
  <c r="AN116" i="1" s="1"/>
  <c r="BY188" i="1"/>
  <c r="BX190" i="1"/>
  <c r="IZ20" i="4"/>
  <c r="BT88" i="1" s="1"/>
  <c r="BT117" i="1" s="1"/>
  <c r="CB111" i="1"/>
  <c r="CB94" i="1"/>
  <c r="CB103" i="1"/>
  <c r="HW20" i="4"/>
  <c r="AQ88" i="1" s="1"/>
  <c r="AQ117" i="1" s="1"/>
  <c r="AL25" i="1"/>
  <c r="AL21" i="1"/>
  <c r="CN41" i="1"/>
  <c r="CN141" i="1" s="1"/>
  <c r="CS86" i="1"/>
  <c r="AB172" i="1"/>
  <c r="CP74" i="1"/>
  <c r="CQ72" i="1"/>
  <c r="AC126" i="1"/>
  <c r="AC158" i="1"/>
  <c r="CB234" i="1"/>
  <c r="BQ1" i="1"/>
  <c r="BR1" i="1" s="1"/>
  <c r="BS1" i="1" s="1"/>
  <c r="BT1" i="1" s="1"/>
  <c r="AL166" i="1" l="1"/>
  <c r="L26" i="1"/>
  <c r="M27" i="1"/>
  <c r="BZ214" i="1"/>
  <c r="N27" i="1"/>
  <c r="V121" i="1"/>
  <c r="V38" i="1"/>
  <c r="BY46" i="1"/>
  <c r="BX26" i="1"/>
  <c r="CB27" i="1"/>
  <c r="BY28" i="1"/>
  <c r="BX37" i="1"/>
  <c r="P26" i="1"/>
  <c r="AK37" i="1"/>
  <c r="AK26" i="1"/>
  <c r="BY103" i="1"/>
  <c r="BY104" i="1"/>
  <c r="BY105" i="1"/>
  <c r="K26" i="1"/>
  <c r="L27" i="1"/>
  <c r="AM241" i="1"/>
  <c r="AM242" i="1" s="1"/>
  <c r="BY214" i="1"/>
  <c r="BZ42" i="1"/>
  <c r="BY147" i="1"/>
  <c r="AL193" i="1"/>
  <c r="V43" i="1"/>
  <c r="V47" i="1" s="1"/>
  <c r="AM38" i="1"/>
  <c r="T26" i="1"/>
  <c r="AM50" i="1"/>
  <c r="AM51" i="1" s="1"/>
  <c r="AM254" i="1" s="1"/>
  <c r="AM49" i="1"/>
  <c r="W259" i="1"/>
  <c r="J27" i="1"/>
  <c r="I27" i="1"/>
  <c r="B121" i="1"/>
  <c r="AJ174" i="1"/>
  <c r="AJ175" i="1" s="1"/>
  <c r="AJ207" i="1"/>
  <c r="AL174" i="1"/>
  <c r="AL175" i="1" s="1"/>
  <c r="BL42" i="1"/>
  <c r="BK147" i="1"/>
  <c r="BL212" i="1" s="1"/>
  <c r="BL210" i="1" s="1"/>
  <c r="BJ103" i="1"/>
  <c r="BJ104" i="1"/>
  <c r="BJ105" i="1"/>
  <c r="AM212" i="1"/>
  <c r="AM210" i="1" s="1"/>
  <c r="AL255" i="1"/>
  <c r="AK147" i="1"/>
  <c r="AL42" i="1"/>
  <c r="BJ119" i="1"/>
  <c r="BJ120" i="1"/>
  <c r="AL103" i="1"/>
  <c r="AL104" i="1"/>
  <c r="AL118" i="1"/>
  <c r="AM46" i="1"/>
  <c r="AJ212" i="1"/>
  <c r="AJ210" i="1" s="1"/>
  <c r="BJ195" i="1"/>
  <c r="BJ190" i="1"/>
  <c r="AL190" i="1"/>
  <c r="AL195" i="1"/>
  <c r="CE99" i="1"/>
  <c r="BX119" i="1"/>
  <c r="BX120" i="1"/>
  <c r="AK241" i="1"/>
  <c r="AK242" i="1" s="1"/>
  <c r="AK38" i="1"/>
  <c r="AK43" i="1"/>
  <c r="AK47" i="1" s="1"/>
  <c r="BX38" i="1"/>
  <c r="BX43" i="1"/>
  <c r="CB39" i="1"/>
  <c r="CA121" i="1"/>
  <c r="BX241" i="1"/>
  <c r="BX242" i="1" s="1"/>
  <c r="P27" i="1"/>
  <c r="O26" i="1"/>
  <c r="G27" i="1"/>
  <c r="H27" i="1"/>
  <c r="G26" i="1"/>
  <c r="O27" i="1"/>
  <c r="N26" i="1"/>
  <c r="T27" i="1"/>
  <c r="S26" i="1"/>
  <c r="D27" i="1"/>
  <c r="C26" i="1"/>
  <c r="C27" i="1"/>
  <c r="C37" i="1"/>
  <c r="Q26" i="1"/>
  <c r="Q27" i="1"/>
  <c r="R27" i="1"/>
  <c r="E37" i="1"/>
  <c r="E38" i="1" s="1"/>
  <c r="F27" i="1"/>
  <c r="E26" i="1"/>
  <c r="W43" i="1"/>
  <c r="W47" i="1" s="1"/>
  <c r="W241" i="1"/>
  <c r="W242" i="1" s="1"/>
  <c r="W39" i="1"/>
  <c r="W38" i="1"/>
  <c r="X259" i="1"/>
  <c r="W121" i="1"/>
  <c r="X39" i="1"/>
  <c r="S27" i="1"/>
  <c r="R26" i="1"/>
  <c r="AL26" i="1"/>
  <c r="AL37" i="1"/>
  <c r="AL28" i="1"/>
  <c r="AM28" i="1"/>
  <c r="AJ26" i="1"/>
  <c r="AJ37" i="1"/>
  <c r="AK28" i="1"/>
  <c r="E27" i="1"/>
  <c r="D26" i="1"/>
  <c r="D37" i="1"/>
  <c r="J26" i="1"/>
  <c r="K27" i="1"/>
  <c r="CN143" i="1"/>
  <c r="CO41" i="1" s="1"/>
  <c r="CO141" i="1" s="1"/>
  <c r="AL212" i="1"/>
  <c r="AL210" i="1" s="1"/>
  <c r="AL120" i="1"/>
  <c r="CT86" i="1"/>
  <c r="AB146" i="1"/>
  <c r="AD158" i="1"/>
  <c r="AE158" i="1"/>
  <c r="AD126" i="1"/>
  <c r="AE126" i="1"/>
  <c r="CQ74" i="1"/>
  <c r="CR72" i="1"/>
  <c r="AC172" i="1"/>
  <c r="BU1" i="1"/>
  <c r="Q36" i="1"/>
  <c r="P36" i="1"/>
  <c r="O36" i="1"/>
  <c r="I36" i="1"/>
  <c r="H36" i="1"/>
  <c r="G36" i="1"/>
  <c r="U36" i="1"/>
  <c r="T36" i="1"/>
  <c r="S36" i="1"/>
  <c r="R36" i="1"/>
  <c r="N36" i="1"/>
  <c r="M36" i="1"/>
  <c r="L36" i="1"/>
  <c r="K36" i="1"/>
  <c r="J36" i="1"/>
  <c r="F36" i="1"/>
  <c r="BY40" i="1" l="1"/>
  <c r="BY259" i="1"/>
  <c r="BY260" i="1" s="1"/>
  <c r="AL119" i="1"/>
  <c r="V49" i="1"/>
  <c r="V50" i="1"/>
  <c r="BZ212" i="1"/>
  <c r="BZ210" i="1" s="1"/>
  <c r="BY212" i="1"/>
  <c r="BY210" i="1" s="1"/>
  <c r="AK212" i="1"/>
  <c r="AK210" i="1" s="1"/>
  <c r="CA64" i="1"/>
  <c r="AK50" i="1"/>
  <c r="BX47" i="1"/>
  <c r="AK49" i="1"/>
  <c r="D39" i="1"/>
  <c r="C39" i="1"/>
  <c r="C259" i="1"/>
  <c r="C38" i="1"/>
  <c r="W50" i="1"/>
  <c r="W49" i="1"/>
  <c r="D38" i="1"/>
  <c r="E39" i="1"/>
  <c r="D43" i="1"/>
  <c r="D47" i="1" s="1"/>
  <c r="D121" i="1"/>
  <c r="D241" i="1"/>
  <c r="D242" i="1" s="1"/>
  <c r="D259" i="1"/>
  <c r="AJ43" i="1"/>
  <c r="AJ47" i="1" s="1"/>
  <c r="AJ241" i="1"/>
  <c r="AJ242" i="1" s="1"/>
  <c r="AJ38" i="1"/>
  <c r="AM121" i="1"/>
  <c r="AM235" i="1"/>
  <c r="AK40" i="1"/>
  <c r="AL241" i="1"/>
  <c r="AL242" i="1" s="1"/>
  <c r="AL38" i="1"/>
  <c r="AL43" i="1"/>
  <c r="AL47" i="1" s="1"/>
  <c r="AM40" i="1"/>
  <c r="AM259" i="1"/>
  <c r="AM260" i="1" s="1"/>
  <c r="AL259" i="1"/>
  <c r="AL260" i="1" s="1"/>
  <c r="AL40" i="1"/>
  <c r="CO143" i="1"/>
  <c r="CO203" i="1"/>
  <c r="CN147" i="1"/>
  <c r="CN203" i="1"/>
  <c r="AC86" i="1"/>
  <c r="CU86" i="1"/>
  <c r="AD172" i="1"/>
  <c r="AE172" i="1"/>
  <c r="AD149" i="1"/>
  <c r="CR74" i="1"/>
  <c r="CS72" i="1"/>
  <c r="AC146" i="1"/>
  <c r="BV1" i="1"/>
  <c r="BW1" i="1" s="1"/>
  <c r="BX1" i="1" s="1"/>
  <c r="AM243" i="1"/>
  <c r="B241" i="1"/>
  <c r="B242" i="1" s="1"/>
  <c r="BL241" i="1"/>
  <c r="BL242" i="1" s="1"/>
  <c r="G37" i="1"/>
  <c r="O37" i="1"/>
  <c r="H37" i="1"/>
  <c r="P37" i="1"/>
  <c r="I37" i="1"/>
  <c r="Q37" i="1"/>
  <c r="J37" i="1"/>
  <c r="R37" i="1"/>
  <c r="K37" i="1"/>
  <c r="S37" i="1"/>
  <c r="L37" i="1"/>
  <c r="T37" i="1"/>
  <c r="M37" i="1"/>
  <c r="U37" i="1"/>
  <c r="F37" i="1"/>
  <c r="F259" i="1" s="1"/>
  <c r="N37" i="1"/>
  <c r="AK57" i="1" l="1"/>
  <c r="AK128" i="1" s="1"/>
  <c r="AK129" i="1" s="1"/>
  <c r="AK138" i="1" s="1"/>
  <c r="BX49" i="1"/>
  <c r="BX50" i="1"/>
  <c r="V57" i="1"/>
  <c r="V51" i="1"/>
  <c r="V254" i="1" s="1"/>
  <c r="AK243" i="1"/>
  <c r="AK51" i="1"/>
  <c r="AL50" i="1"/>
  <c r="AL49" i="1"/>
  <c r="AJ50" i="1"/>
  <c r="AJ49" i="1"/>
  <c r="D49" i="1"/>
  <c r="D50" i="1"/>
  <c r="W52" i="1"/>
  <c r="W57" i="1"/>
  <c r="W61" i="1" s="1"/>
  <c r="X52" i="1"/>
  <c r="W243" i="1"/>
  <c r="W51" i="1"/>
  <c r="W254" i="1" s="1"/>
  <c r="T259" i="1"/>
  <c r="P259" i="1"/>
  <c r="CB52" i="1"/>
  <c r="BX243" i="1"/>
  <c r="BX51" i="1"/>
  <c r="BX254" i="1" s="1"/>
  <c r="BX57" i="1"/>
  <c r="BY53" i="1"/>
  <c r="AK202" i="1"/>
  <c r="AK204" i="1" s="1"/>
  <c r="AK75" i="1"/>
  <c r="AK61" i="1"/>
  <c r="M259" i="1"/>
  <c r="R259" i="1"/>
  <c r="I259" i="1"/>
  <c r="K259" i="1"/>
  <c r="G259" i="1"/>
  <c r="H259" i="1"/>
  <c r="L259" i="1"/>
  <c r="S259" i="1"/>
  <c r="O259" i="1"/>
  <c r="J259" i="1"/>
  <c r="N259" i="1"/>
  <c r="U259" i="1"/>
  <c r="V259" i="1"/>
  <c r="Q259" i="1"/>
  <c r="R121" i="1"/>
  <c r="S39" i="1"/>
  <c r="T121" i="1"/>
  <c r="U39" i="1"/>
  <c r="U121" i="1"/>
  <c r="V39" i="1"/>
  <c r="P121" i="1"/>
  <c r="Q39" i="1"/>
  <c r="Q121" i="1"/>
  <c r="R39" i="1"/>
  <c r="I121" i="1"/>
  <c r="J39" i="1"/>
  <c r="S121" i="1"/>
  <c r="T39" i="1"/>
  <c r="H121" i="1"/>
  <c r="I39" i="1"/>
  <c r="E121" i="1"/>
  <c r="F39" i="1"/>
  <c r="L121" i="1"/>
  <c r="M39" i="1"/>
  <c r="O121" i="1"/>
  <c r="P39" i="1"/>
  <c r="N121" i="1"/>
  <c r="O39" i="1"/>
  <c r="K121" i="1"/>
  <c r="L39" i="1"/>
  <c r="F121" i="1"/>
  <c r="G39" i="1"/>
  <c r="G121" i="1"/>
  <c r="H39" i="1"/>
  <c r="M121" i="1"/>
  <c r="N39" i="1"/>
  <c r="J121" i="1"/>
  <c r="K39" i="1"/>
  <c r="CN212" i="1"/>
  <c r="CN210" i="1" s="1"/>
  <c r="CV86" i="1"/>
  <c r="AD211" i="1"/>
  <c r="AB151" i="1"/>
  <c r="AE146" i="1"/>
  <c r="AD146" i="1"/>
  <c r="CT72" i="1"/>
  <c r="CS74" i="1"/>
  <c r="C121" i="1"/>
  <c r="BY1" i="1"/>
  <c r="L38" i="1"/>
  <c r="N38" i="1"/>
  <c r="F38" i="1"/>
  <c r="O38" i="1"/>
  <c r="U43" i="1"/>
  <c r="U47" i="1" s="1"/>
  <c r="U38" i="1"/>
  <c r="G38" i="1"/>
  <c r="S38" i="1"/>
  <c r="M38" i="1"/>
  <c r="R38" i="1"/>
  <c r="J38" i="1"/>
  <c r="I38" i="1"/>
  <c r="P38" i="1"/>
  <c r="H38" i="1"/>
  <c r="K38" i="1"/>
  <c r="T38" i="1"/>
  <c r="Q38" i="1"/>
  <c r="T241" i="1"/>
  <c r="T242" i="1" s="1"/>
  <c r="Q241" i="1"/>
  <c r="Q242" i="1" s="1"/>
  <c r="K241" i="1"/>
  <c r="K242" i="1" s="1"/>
  <c r="O241" i="1"/>
  <c r="O242" i="1" s="1"/>
  <c r="U241" i="1"/>
  <c r="U242" i="1" s="1"/>
  <c r="L241" i="1"/>
  <c r="L242" i="1" s="1"/>
  <c r="C241" i="1"/>
  <c r="C242" i="1" s="1"/>
  <c r="I241" i="1"/>
  <c r="I242" i="1" s="1"/>
  <c r="G241" i="1"/>
  <c r="G242" i="1" s="1"/>
  <c r="R241" i="1"/>
  <c r="R242" i="1" s="1"/>
  <c r="P241" i="1"/>
  <c r="P242" i="1" s="1"/>
  <c r="F241" i="1"/>
  <c r="F242" i="1" s="1"/>
  <c r="M241" i="1"/>
  <c r="M242" i="1" s="1"/>
  <c r="N241" i="1"/>
  <c r="N242" i="1" s="1"/>
  <c r="E241" i="1"/>
  <c r="E242" i="1" s="1"/>
  <c r="S241" i="1"/>
  <c r="S242" i="1" s="1"/>
  <c r="J241" i="1"/>
  <c r="J242" i="1" s="1"/>
  <c r="H241" i="1"/>
  <c r="H242" i="1" s="1"/>
  <c r="B43" i="1"/>
  <c r="L43" i="1"/>
  <c r="Q43" i="1"/>
  <c r="T43" i="1"/>
  <c r="N43" i="1"/>
  <c r="S43" i="1"/>
  <c r="F43" i="1"/>
  <c r="K43" i="1"/>
  <c r="H43" i="1"/>
  <c r="I43" i="1"/>
  <c r="P43" i="1"/>
  <c r="C43" i="1"/>
  <c r="O43" i="1"/>
  <c r="R43" i="1"/>
  <c r="M43" i="1"/>
  <c r="G43" i="1"/>
  <c r="E43" i="1"/>
  <c r="J43" i="1"/>
  <c r="AJ51" i="1" l="1"/>
  <c r="AJ57" i="1"/>
  <c r="AJ243" i="1"/>
  <c r="AK53" i="1"/>
  <c r="AM236" i="1"/>
  <c r="D57" i="1"/>
  <c r="D243" i="1"/>
  <c r="D51" i="1"/>
  <c r="AM53" i="1"/>
  <c r="AL57" i="1"/>
  <c r="AL51" i="1"/>
  <c r="AL254" i="1" s="1"/>
  <c r="AL243" i="1"/>
  <c r="AL53" i="1"/>
  <c r="CA63" i="1"/>
  <c r="BX75" i="1"/>
  <c r="CA78" i="1" s="1"/>
  <c r="BX202" i="1"/>
  <c r="BX204" i="1" s="1"/>
  <c r="BX61" i="1"/>
  <c r="AK216" i="1"/>
  <c r="AK214" i="1" s="1"/>
  <c r="AL216" i="1"/>
  <c r="AL214" i="1" s="1"/>
  <c r="BK173" i="1"/>
  <c r="BM173" i="1"/>
  <c r="CO147" i="1"/>
  <c r="CP41" i="1"/>
  <c r="CP141" i="1" s="1"/>
  <c r="CW86" i="1"/>
  <c r="AE149" i="1"/>
  <c r="AE211" i="1" s="1"/>
  <c r="CT74" i="1"/>
  <c r="CU72" i="1"/>
  <c r="BZ1" i="1"/>
  <c r="U50" i="1"/>
  <c r="V52" i="1" s="1"/>
  <c r="U49" i="1"/>
  <c r="P47" i="1"/>
  <c r="P50" i="1" s="1"/>
  <c r="R47" i="1"/>
  <c r="R50" i="1" s="1"/>
  <c r="E47" i="1"/>
  <c r="S47" i="1"/>
  <c r="S49" i="1" s="1"/>
  <c r="G47" i="1"/>
  <c r="G50" i="1" s="1"/>
  <c r="K47" i="1"/>
  <c r="K50" i="1" s="1"/>
  <c r="B47" i="1"/>
  <c r="O47" i="1"/>
  <c r="O50" i="1" s="1"/>
  <c r="H47" i="1"/>
  <c r="H50" i="1" s="1"/>
  <c r="N47" i="1"/>
  <c r="N50" i="1" s="1"/>
  <c r="L47" i="1"/>
  <c r="L49" i="1" s="1"/>
  <c r="C47" i="1"/>
  <c r="M47" i="1"/>
  <c r="M49" i="1" s="1"/>
  <c r="T47" i="1"/>
  <c r="T50" i="1" s="1"/>
  <c r="F47" i="1"/>
  <c r="F49" i="1" s="1"/>
  <c r="J47" i="1"/>
  <c r="J49" i="1" s="1"/>
  <c r="I47" i="1"/>
  <c r="I49" i="1" s="1"/>
  <c r="Q47" i="1"/>
  <c r="Q50" i="1" s="1"/>
  <c r="V243" i="1"/>
  <c r="AL75" i="1" l="1"/>
  <c r="AL61" i="1"/>
  <c r="AL202" i="1"/>
  <c r="AL204" i="1" s="1"/>
  <c r="D202" i="1"/>
  <c r="D204" i="1" s="1"/>
  <c r="D61" i="1"/>
  <c r="AJ61" i="1"/>
  <c r="AJ75" i="1"/>
  <c r="AJ202" i="1"/>
  <c r="AJ204" i="1" s="1"/>
  <c r="AJ208" i="1" s="1"/>
  <c r="AJ222" i="1" s="1"/>
  <c r="AJ216" i="1"/>
  <c r="AJ214" i="1" s="1"/>
  <c r="CP143" i="1"/>
  <c r="AB140" i="1"/>
  <c r="R52" i="1"/>
  <c r="CE79" i="1"/>
  <c r="CA96" i="1"/>
  <c r="CA95" i="1"/>
  <c r="CD99" i="1" s="1"/>
  <c r="BW98" i="1"/>
  <c r="CA94" i="1"/>
  <c r="U52" i="1"/>
  <c r="O52" i="1"/>
  <c r="AB41" i="1"/>
  <c r="B50" i="1"/>
  <c r="B49" i="1"/>
  <c r="C50" i="1"/>
  <c r="C49" i="1"/>
  <c r="E50" i="1"/>
  <c r="E57" i="1" s="1"/>
  <c r="E49" i="1"/>
  <c r="P52" i="1"/>
  <c r="H52" i="1"/>
  <c r="Q52" i="1"/>
  <c r="BJ174" i="1"/>
  <c r="BJ175" i="1" s="1"/>
  <c r="BL174" i="1"/>
  <c r="BL175" i="1" s="1"/>
  <c r="CP203" i="1"/>
  <c r="CO212" i="1"/>
  <c r="CO210" i="1" s="1"/>
  <c r="CX86" i="1"/>
  <c r="CV72" i="1"/>
  <c r="CU74" i="1"/>
  <c r="CA1" i="1"/>
  <c r="CB1" i="1" s="1"/>
  <c r="O49" i="1"/>
  <c r="BL243" i="1"/>
  <c r="S50" i="1"/>
  <c r="U51" i="1"/>
  <c r="U254" i="1" s="1"/>
  <c r="P51" i="1"/>
  <c r="P254" i="1" s="1"/>
  <c r="Q57" i="1"/>
  <c r="Q51" i="1"/>
  <c r="Q254" i="1" s="1"/>
  <c r="L50" i="1"/>
  <c r="P49" i="1"/>
  <c r="H51" i="1"/>
  <c r="H254" i="1" s="1"/>
  <c r="G51" i="1"/>
  <c r="G254" i="1" s="1"/>
  <c r="U57" i="1"/>
  <c r="N51" i="1"/>
  <c r="N254" i="1" s="1"/>
  <c r="R51" i="1"/>
  <c r="R254" i="1" s="1"/>
  <c r="K51" i="1"/>
  <c r="K254" i="1" s="1"/>
  <c r="O57" i="1"/>
  <c r="O51" i="1"/>
  <c r="O254" i="1" s="1"/>
  <c r="T57" i="1"/>
  <c r="T51" i="1"/>
  <c r="T254" i="1" s="1"/>
  <c r="R49" i="1"/>
  <c r="K49" i="1"/>
  <c r="N49" i="1"/>
  <c r="G49" i="1"/>
  <c r="H49" i="1"/>
  <c r="J50" i="1"/>
  <c r="K52" i="1" s="1"/>
  <c r="M50" i="1"/>
  <c r="N52" i="1" s="1"/>
  <c r="T49" i="1"/>
  <c r="F50" i="1"/>
  <c r="G52" i="1" s="1"/>
  <c r="I50" i="1"/>
  <c r="I52" i="1" s="1"/>
  <c r="O243" i="1"/>
  <c r="Q49" i="1"/>
  <c r="P243" i="1"/>
  <c r="P57" i="1"/>
  <c r="K243" i="1"/>
  <c r="K57" i="1"/>
  <c r="H243" i="1"/>
  <c r="H57" i="1"/>
  <c r="R57" i="1"/>
  <c r="N57" i="1"/>
  <c r="G57" i="1"/>
  <c r="G243" i="1"/>
  <c r="R243" i="1"/>
  <c r="N243" i="1"/>
  <c r="Q243" i="1"/>
  <c r="U243" i="1"/>
  <c r="T243" i="1"/>
  <c r="V61" i="1"/>
  <c r="V202" i="1"/>
  <c r="V204" i="1" s="1"/>
  <c r="AJ219" i="1" l="1"/>
  <c r="AJ220" i="1" s="1"/>
  <c r="E243" i="1"/>
  <c r="AB203" i="1"/>
  <c r="E51" i="1"/>
  <c r="E254" i="1" s="1"/>
  <c r="E52" i="1"/>
  <c r="D52" i="1"/>
  <c r="C51" i="1"/>
  <c r="B51" i="1"/>
  <c r="C52" i="1"/>
  <c r="F52" i="1"/>
  <c r="M52" i="1"/>
  <c r="S51" i="1"/>
  <c r="S254" i="1" s="1"/>
  <c r="T52" i="1"/>
  <c r="L52" i="1"/>
  <c r="J52" i="1"/>
  <c r="S52" i="1"/>
  <c r="AB141" i="1"/>
  <c r="AB143" i="1" s="1"/>
  <c r="AB42" i="1" s="1"/>
  <c r="AD86" i="1"/>
  <c r="CY86" i="1"/>
  <c r="CV74" i="1"/>
  <c r="CW72" i="1"/>
  <c r="CC1" i="1"/>
  <c r="K61" i="1"/>
  <c r="G61" i="1"/>
  <c r="E61" i="1"/>
  <c r="S57" i="1"/>
  <c r="S243" i="1"/>
  <c r="L243" i="1"/>
  <c r="L57" i="1"/>
  <c r="O202" i="1"/>
  <c r="O204" i="1" s="1"/>
  <c r="O61" i="1"/>
  <c r="B243" i="1"/>
  <c r="B57" i="1"/>
  <c r="M57" i="1"/>
  <c r="M51" i="1"/>
  <c r="M254" i="1" s="1"/>
  <c r="C243" i="1"/>
  <c r="I57" i="1"/>
  <c r="I51" i="1"/>
  <c r="I254" i="1" s="1"/>
  <c r="J57" i="1"/>
  <c r="J51" i="1"/>
  <c r="J254" i="1" s="1"/>
  <c r="F57" i="1"/>
  <c r="F51" i="1"/>
  <c r="F254" i="1" s="1"/>
  <c r="L51" i="1"/>
  <c r="L254" i="1" s="1"/>
  <c r="J243" i="1"/>
  <c r="E202" i="1"/>
  <c r="E204" i="1" s="1"/>
  <c r="R202" i="1"/>
  <c r="R204" i="1" s="1"/>
  <c r="M243" i="1"/>
  <c r="R61" i="1"/>
  <c r="I243" i="1"/>
  <c r="H61" i="1"/>
  <c r="H202" i="1"/>
  <c r="H204" i="1" s="1"/>
  <c r="F243" i="1"/>
  <c r="C57" i="1"/>
  <c r="N202" i="1"/>
  <c r="N204" i="1" s="1"/>
  <c r="N61" i="1"/>
  <c r="G202" i="1"/>
  <c r="G204" i="1" s="1"/>
  <c r="P61" i="1"/>
  <c r="K202" i="1"/>
  <c r="K204" i="1" s="1"/>
  <c r="P202" i="1"/>
  <c r="P204" i="1" s="1"/>
  <c r="U61" i="1"/>
  <c r="U202" i="1"/>
  <c r="U204" i="1" s="1"/>
  <c r="Q61" i="1"/>
  <c r="Q202" i="1"/>
  <c r="Q204" i="1" s="1"/>
  <c r="T61" i="1"/>
  <c r="T202" i="1"/>
  <c r="T204" i="1" s="1"/>
  <c r="CP147" i="1" l="1"/>
  <c r="CP212" i="1" s="1"/>
  <c r="CP210" i="1" s="1"/>
  <c r="CQ41" i="1"/>
  <c r="CQ141" i="1" s="1"/>
  <c r="CZ86" i="1"/>
  <c r="AC151" i="1"/>
  <c r="CX72" i="1"/>
  <c r="CW74" i="1"/>
  <c r="CD1" i="1"/>
  <c r="CE1" i="1" s="1"/>
  <c r="CF1" i="1" s="1"/>
  <c r="CG1" i="1" s="1"/>
  <c r="CH1" i="1" s="1"/>
  <c r="CI1" i="1" s="1"/>
  <c r="CJ1" i="1" s="1"/>
  <c r="L202" i="1"/>
  <c r="L204" i="1" s="1"/>
  <c r="J202" i="1"/>
  <c r="J204" i="1" s="1"/>
  <c r="M202" i="1"/>
  <c r="M204" i="1" s="1"/>
  <c r="B61" i="1"/>
  <c r="F61" i="1"/>
  <c r="I61" i="1"/>
  <c r="C61" i="1"/>
  <c r="L61" i="1"/>
  <c r="S61" i="1"/>
  <c r="J61" i="1"/>
  <c r="S202" i="1"/>
  <c r="S204" i="1" s="1"/>
  <c r="M61" i="1"/>
  <c r="I202" i="1"/>
  <c r="I204" i="1" s="1"/>
  <c r="F202" i="1"/>
  <c r="F204" i="1" s="1"/>
  <c r="C202" i="1"/>
  <c r="C204" i="1" s="1"/>
  <c r="CQ143" i="1" l="1"/>
  <c r="CQ203" i="1"/>
  <c r="DA86" i="1"/>
  <c r="CX74" i="1"/>
  <c r="CY72" i="1"/>
  <c r="AB133" i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B86" i="1" l="1"/>
  <c r="CY74" i="1"/>
  <c r="CZ72" i="1"/>
  <c r="CQ147" i="1" l="1"/>
  <c r="CR41" i="1"/>
  <c r="CR141" i="1" s="1"/>
  <c r="AE86" i="1"/>
  <c r="AB134" i="1"/>
  <c r="AB137" i="1" s="1"/>
  <c r="AB258" i="1" s="1"/>
  <c r="AD151" i="1"/>
  <c r="CZ74" i="1"/>
  <c r="DA72" i="1"/>
  <c r="J59" i="2"/>
  <c r="C44" i="2"/>
  <c r="AJ23" i="3"/>
  <c r="E53" i="2"/>
  <c r="E108" i="2"/>
  <c r="AO15" i="3"/>
  <c r="AN28" i="3"/>
  <c r="V113" i="2"/>
  <c r="H59" i="2"/>
  <c r="AJ11" i="3"/>
  <c r="G99" i="2"/>
  <c r="K89" i="2"/>
  <c r="L51" i="2"/>
  <c r="F77" i="2"/>
  <c r="R20" i="3"/>
  <c r="M96" i="2"/>
  <c r="H96" i="2"/>
  <c r="H14" i="3"/>
  <c r="O32" i="3"/>
  <c r="X108" i="2"/>
  <c r="L43" i="2"/>
  <c r="J45" i="2"/>
  <c r="Q5" i="3"/>
  <c r="S51" i="2"/>
  <c r="E105" i="2"/>
  <c r="AP13" i="3"/>
  <c r="I89" i="2"/>
  <c r="K109" i="2"/>
  <c r="U96" i="2"/>
  <c r="G67" i="2"/>
  <c r="AA21" i="3"/>
  <c r="F47" i="2"/>
  <c r="C107" i="2"/>
  <c r="AB19" i="3"/>
  <c r="S40" i="2"/>
  <c r="N53" i="2"/>
  <c r="C38" i="3"/>
  <c r="AH19" i="3"/>
  <c r="M78" i="2"/>
  <c r="C56" i="2"/>
  <c r="AM20" i="3"/>
  <c r="K54" i="2"/>
  <c r="V52" i="2"/>
  <c r="O70" i="2"/>
  <c r="AC6" i="3"/>
  <c r="G77" i="2"/>
  <c r="N95" i="2"/>
  <c r="D83" i="2"/>
  <c r="C77" i="2"/>
  <c r="AI9" i="3"/>
  <c r="AI18" i="3"/>
  <c r="J95" i="2"/>
  <c r="T37" i="3"/>
  <c r="I81" i="2"/>
  <c r="L110" i="2"/>
  <c r="AP26" i="3"/>
  <c r="U84" i="2"/>
  <c r="U10" i="3"/>
  <c r="C70" i="2"/>
  <c r="I97" i="2"/>
  <c r="O29" i="3"/>
  <c r="AD47" i="3"/>
  <c r="S112" i="2"/>
  <c r="G78" i="2"/>
  <c r="AN17" i="3"/>
  <c r="K61" i="2"/>
  <c r="K92" i="2"/>
  <c r="X36" i="3"/>
  <c r="P90" i="2"/>
  <c r="V71" i="2"/>
  <c r="W93" i="2"/>
  <c r="J73" i="2"/>
  <c r="W33" i="3"/>
  <c r="L15" i="3"/>
  <c r="O85" i="2"/>
  <c r="X54" i="2"/>
  <c r="T10" i="3"/>
  <c r="M85" i="2"/>
  <c r="Q65" i="2"/>
  <c r="X55" i="2"/>
  <c r="Z25" i="3"/>
  <c r="AJ39" i="3"/>
  <c r="V110" i="2"/>
  <c r="X84" i="2"/>
  <c r="AG18" i="3"/>
  <c r="W113" i="2"/>
  <c r="S109" i="2"/>
  <c r="S72" i="2"/>
  <c r="AA25" i="3"/>
  <c r="R13" i="3"/>
  <c r="O42" i="2"/>
  <c r="H45" i="2"/>
  <c r="W16" i="3"/>
  <c r="O58" i="2"/>
  <c r="H93" i="2"/>
  <c r="P16" i="3"/>
  <c r="I80" i="2"/>
  <c r="V93" i="2"/>
  <c r="AB34" i="3"/>
  <c r="AI7" i="3"/>
  <c r="L87" i="2"/>
  <c r="U95" i="2"/>
  <c r="J12" i="3"/>
  <c r="AB28" i="3"/>
  <c r="R85" i="2"/>
  <c r="K75" i="2"/>
  <c r="K70" i="2"/>
  <c r="AP85" i="3"/>
  <c r="X91" i="2"/>
  <c r="P80" i="2"/>
  <c r="W24" i="3"/>
  <c r="H64" i="2"/>
  <c r="H51" i="2"/>
  <c r="AB90" i="3"/>
  <c r="N16" i="3"/>
  <c r="K63" i="2"/>
  <c r="I50" i="2"/>
  <c r="R26" i="3"/>
  <c r="W63" i="2"/>
  <c r="W58" i="2"/>
  <c r="V98" i="2"/>
  <c r="W94" i="2"/>
  <c r="AP48" i="3"/>
  <c r="N8" i="3"/>
  <c r="V43" i="2"/>
  <c r="V53" i="2"/>
  <c r="AC13" i="3"/>
  <c r="C94" i="2"/>
  <c r="M112" i="2"/>
  <c r="C7" i="3"/>
  <c r="AK14" i="3"/>
  <c r="K88" i="2"/>
  <c r="G98" i="2"/>
  <c r="Q88" i="2"/>
  <c r="AP67" i="3"/>
  <c r="R33" i="3"/>
  <c r="W84" i="2"/>
  <c r="G85" i="2"/>
  <c r="AK11" i="3"/>
  <c r="Q10" i="3"/>
  <c r="S91" i="2"/>
  <c r="O46" i="2"/>
  <c r="U21" i="3"/>
  <c r="AB25" i="3"/>
  <c r="F52" i="2"/>
  <c r="R68" i="2"/>
  <c r="M31" i="3"/>
  <c r="X49" i="2"/>
  <c r="P55" i="2"/>
  <c r="J79" i="2"/>
  <c r="AB74" i="3"/>
  <c r="I6" i="3"/>
  <c r="U41" i="2"/>
  <c r="H108" i="2"/>
  <c r="S11" i="3"/>
  <c r="E70" i="2"/>
  <c r="J96" i="2"/>
  <c r="AJ15" i="3"/>
  <c r="M104" i="2"/>
  <c r="C62" i="2"/>
  <c r="H38" i="3"/>
  <c r="I20" i="3"/>
  <c r="D51" i="2"/>
  <c r="R49" i="2"/>
  <c r="AN8" i="3"/>
  <c r="U26" i="3"/>
  <c r="E60" i="2"/>
  <c r="X86" i="2"/>
  <c r="K60" i="2"/>
  <c r="K64" i="2"/>
  <c r="O78" i="2"/>
  <c r="L70" i="2"/>
  <c r="K36" i="3"/>
  <c r="R67" i="2"/>
  <c r="AD19" i="3"/>
  <c r="O88" i="2"/>
  <c r="L42" i="3"/>
  <c r="J63" i="2"/>
  <c r="M61" i="2"/>
  <c r="Y18" i="3"/>
  <c r="L85" i="2"/>
  <c r="Q105" i="2"/>
  <c r="U30" i="3"/>
  <c r="AJ18" i="3"/>
  <c r="E76" i="2"/>
  <c r="P44" i="2"/>
  <c r="AP19" i="3"/>
  <c r="AG19" i="3"/>
  <c r="W56" i="2"/>
  <c r="X85" i="2"/>
  <c r="Q22" i="3"/>
  <c r="N107" i="2"/>
  <c r="C83" i="2"/>
  <c r="L6" i="3"/>
  <c r="D78" i="2"/>
  <c r="L108" i="2"/>
  <c r="P63" i="2"/>
  <c r="U89" i="2"/>
  <c r="AJ41" i="3"/>
  <c r="AN11" i="3"/>
  <c r="H94" i="2"/>
  <c r="C48" i="3"/>
  <c r="AD48" i="3"/>
  <c r="P64" i="2"/>
  <c r="F65" i="2"/>
  <c r="N42" i="2"/>
  <c r="R15" i="3"/>
  <c r="H40" i="2"/>
  <c r="J91" i="2"/>
  <c r="AP80" i="3"/>
  <c r="AE29" i="3"/>
  <c r="L113" i="2"/>
  <c r="X70" i="2"/>
  <c r="R72" i="2"/>
  <c r="X35" i="3"/>
  <c r="V57" i="2"/>
  <c r="V86" i="2"/>
  <c r="O62" i="2"/>
  <c r="H37" i="3"/>
  <c r="L111" i="2"/>
  <c r="AB88" i="3"/>
  <c r="AH41" i="3"/>
  <c r="F57" i="2"/>
  <c r="R43" i="2"/>
  <c r="V18" i="3"/>
  <c r="N33" i="3"/>
  <c r="N93" i="2"/>
  <c r="O93" i="2"/>
  <c r="W34" i="3"/>
  <c r="Q43" i="2"/>
  <c r="L74" i="2"/>
  <c r="U42" i="2"/>
  <c r="I99" i="2"/>
  <c r="J41" i="3"/>
  <c r="AP73" i="3"/>
  <c r="O60" i="2"/>
  <c r="AE23" i="3"/>
  <c r="F70" i="2"/>
  <c r="AP41" i="3"/>
  <c r="I31" i="3"/>
  <c r="K108" i="2"/>
  <c r="Y38" i="3"/>
  <c r="Q107" i="2"/>
  <c r="J29" i="3"/>
  <c r="L68" i="2"/>
  <c r="H68" i="2"/>
  <c r="M9" i="3"/>
  <c r="T40" i="3"/>
  <c r="D50" i="2"/>
  <c r="O47" i="2"/>
  <c r="M52" i="2"/>
  <c r="AQ23" i="3"/>
  <c r="D70" i="2"/>
  <c r="J97" i="2"/>
  <c r="AA30" i="3"/>
  <c r="Q13" i="3"/>
  <c r="P42" i="3"/>
  <c r="AP96" i="3"/>
  <c r="L58" i="2"/>
  <c r="L26" i="3"/>
  <c r="R78" i="2"/>
  <c r="I42" i="2"/>
  <c r="Q110" i="2"/>
  <c r="AK31" i="3"/>
  <c r="S25" i="3"/>
  <c r="L89" i="2"/>
  <c r="AP66" i="3"/>
  <c r="N29" i="3"/>
  <c r="N87" i="2"/>
  <c r="AB89" i="3"/>
  <c r="M12" i="3"/>
  <c r="L61" i="2"/>
  <c r="U27" i="3"/>
  <c r="G48" i="2"/>
  <c r="I88" i="2"/>
  <c r="AB12" i="3"/>
  <c r="I5" i="3"/>
  <c r="T53" i="2"/>
  <c r="Q113" i="2"/>
  <c r="AN33" i="3"/>
  <c r="T6" i="3"/>
  <c r="S105" i="2"/>
  <c r="AB59" i="3"/>
  <c r="H7" i="3"/>
  <c r="S30" i="3"/>
  <c r="D68" i="2"/>
  <c r="X37" i="3"/>
  <c r="I92" i="2"/>
  <c r="W104" i="2"/>
  <c r="C15" i="3"/>
  <c r="U17" i="3"/>
  <c r="V13" i="3"/>
  <c r="G69" i="2"/>
  <c r="AJ42" i="3"/>
  <c r="T66" i="2"/>
  <c r="N63" i="2"/>
  <c r="R14" i="3"/>
  <c r="AJ5" i="3"/>
  <c r="R104" i="2"/>
  <c r="X24" i="3"/>
  <c r="V64" i="2"/>
  <c r="H75" i="2"/>
  <c r="AM25" i="3"/>
  <c r="M16" i="3"/>
  <c r="P42" i="2"/>
  <c r="H32" i="3"/>
  <c r="S59" i="2"/>
  <c r="Z40" i="3"/>
  <c r="G81" i="2"/>
  <c r="V77" i="2"/>
  <c r="AE19" i="3"/>
  <c r="AE40" i="3"/>
  <c r="I83" i="2"/>
  <c r="Q34" i="3"/>
  <c r="H98" i="2"/>
  <c r="K15" i="3"/>
  <c r="F99" i="2"/>
  <c r="W53" i="2"/>
  <c r="M23" i="3"/>
  <c r="AD42" i="3"/>
  <c r="AG5" i="3"/>
  <c r="P5" i="3"/>
  <c r="AH28" i="3"/>
  <c r="P75" i="2"/>
  <c r="T67" i="2"/>
  <c r="AM11" i="3"/>
  <c r="U20" i="3"/>
  <c r="U53" i="2"/>
  <c r="Z29" i="3"/>
  <c r="V97" i="2"/>
  <c r="AB7" i="3"/>
  <c r="R81" i="2"/>
  <c r="S90" i="2"/>
  <c r="AL16" i="3"/>
  <c r="H39" i="3"/>
  <c r="I76" i="2"/>
  <c r="AE34" i="3"/>
  <c r="H92" i="2"/>
  <c r="AO29" i="3"/>
  <c r="F96" i="2"/>
  <c r="G56" i="2"/>
  <c r="G35" i="3"/>
  <c r="AQ10" i="3"/>
  <c r="Q53" i="2"/>
  <c r="U31" i="3"/>
  <c r="L104" i="2"/>
  <c r="AG36" i="3"/>
  <c r="X57" i="2"/>
  <c r="I104" i="2"/>
  <c r="J83" i="2"/>
  <c r="AM22" i="3"/>
  <c r="H43" i="2"/>
  <c r="U50" i="2"/>
  <c r="AP12" i="3"/>
  <c r="C6" i="3"/>
  <c r="R86" i="2"/>
  <c r="AO33" i="3"/>
  <c r="G65" i="2"/>
  <c r="AP75" i="3"/>
  <c r="J28" i="3"/>
  <c r="K95" i="2"/>
  <c r="Q47" i="2"/>
  <c r="O7" i="3"/>
  <c r="AA35" i="3"/>
  <c r="H86" i="2"/>
  <c r="U82" i="2"/>
  <c r="N34" i="3"/>
  <c r="AO42" i="3"/>
  <c r="M94" i="2"/>
  <c r="AG39" i="3"/>
  <c r="AA33" i="3"/>
  <c r="X33" i="3"/>
  <c r="U51" i="2"/>
  <c r="AA15" i="3"/>
  <c r="L41" i="2"/>
  <c r="X81" i="2"/>
  <c r="C40" i="3"/>
  <c r="AO27" i="3"/>
  <c r="AP35" i="3"/>
  <c r="AB56" i="3"/>
  <c r="AG13" i="3"/>
  <c r="V88" i="2"/>
  <c r="W40" i="3"/>
  <c r="Q62" i="2"/>
  <c r="AP60" i="3"/>
  <c r="AC38" i="3"/>
  <c r="C67" i="2"/>
  <c r="AI30" i="3"/>
  <c r="O44" i="2"/>
  <c r="I34" i="3"/>
  <c r="V65" i="2"/>
  <c r="R71" i="2"/>
  <c r="S34" i="3"/>
  <c r="D48" i="3"/>
  <c r="V74" i="2"/>
  <c r="H63" i="2"/>
  <c r="M77" i="2"/>
  <c r="AN6" i="3"/>
  <c r="I68" i="2"/>
  <c r="F61" i="2"/>
  <c r="V31" i="3"/>
  <c r="U18" i="3"/>
  <c r="H10" i="3"/>
  <c r="H88" i="2"/>
  <c r="V90" i="2"/>
  <c r="U12" i="3"/>
  <c r="C50" i="2"/>
  <c r="J87" i="2"/>
  <c r="H66" i="2"/>
  <c r="AB67" i="3"/>
  <c r="AK26" i="3"/>
  <c r="D49" i="2"/>
  <c r="L109" i="2"/>
  <c r="O30" i="3"/>
  <c r="AK33" i="3"/>
  <c r="N61" i="2"/>
  <c r="L39" i="3"/>
  <c r="C80" i="2"/>
  <c r="AL29" i="3"/>
  <c r="E47" i="2"/>
  <c r="O91" i="2"/>
  <c r="AB10" i="3"/>
  <c r="AN13" i="3"/>
  <c r="G44" i="2"/>
  <c r="AJ19" i="3"/>
  <c r="AP47" i="3"/>
  <c r="R12" i="3"/>
  <c r="E67" i="2"/>
  <c r="U40" i="2"/>
  <c r="Y24" i="3"/>
  <c r="R32" i="3"/>
  <c r="K78" i="2"/>
  <c r="W23" i="3"/>
  <c r="R48" i="2"/>
  <c r="O67" i="2"/>
  <c r="AB30" i="3"/>
  <c r="J22" i="3"/>
  <c r="AQ19" i="3"/>
  <c r="H90" i="2"/>
  <c r="O14" i="3"/>
  <c r="U92" i="2"/>
  <c r="K73" i="2"/>
  <c r="K42" i="3"/>
  <c r="V9" i="3"/>
  <c r="Q98" i="2"/>
  <c r="V78" i="2"/>
  <c r="M55" i="2"/>
  <c r="R56" i="2"/>
  <c r="K5" i="3"/>
  <c r="K41" i="3"/>
  <c r="V55" i="2"/>
  <c r="L107" i="2"/>
  <c r="AP76" i="3"/>
  <c r="Q33" i="3"/>
  <c r="E97" i="2"/>
  <c r="P39" i="3"/>
  <c r="AK24" i="3"/>
  <c r="J11" i="3"/>
  <c r="N74" i="2"/>
  <c r="AE32" i="3"/>
  <c r="AG31" i="3"/>
  <c r="C22" i="3"/>
  <c r="T86" i="2"/>
  <c r="J56" i="2"/>
  <c r="AI10" i="3"/>
  <c r="T109" i="2"/>
  <c r="AD27" i="3"/>
  <c r="J80" i="2"/>
  <c r="P57" i="2"/>
  <c r="AP28" i="3"/>
  <c r="D63" i="2"/>
  <c r="G82" i="2"/>
  <c r="AA6" i="3"/>
  <c r="V42" i="2"/>
  <c r="V30" i="3"/>
  <c r="O61" i="2"/>
  <c r="U32" i="3"/>
  <c r="O106" i="2"/>
  <c r="N55" i="2"/>
  <c r="AK34" i="3"/>
  <c r="S13" i="3"/>
  <c r="R59" i="2"/>
  <c r="I11" i="3"/>
  <c r="AB92" i="3"/>
  <c r="P12" i="3"/>
  <c r="D76" i="2"/>
  <c r="X38" i="3"/>
  <c r="I54" i="2"/>
  <c r="I16" i="3"/>
  <c r="AJ37" i="3"/>
  <c r="K110" i="2"/>
  <c r="G86" i="2"/>
  <c r="L35" i="3"/>
  <c r="N82" i="2"/>
  <c r="D96" i="2"/>
  <c r="P28" i="3"/>
  <c r="K24" i="3"/>
  <c r="AE42" i="3"/>
  <c r="AK25" i="3"/>
  <c r="T58" i="2"/>
  <c r="P77" i="2"/>
  <c r="H56" i="2"/>
  <c r="Y20" i="3"/>
  <c r="V92" i="2"/>
  <c r="Q91" i="2"/>
  <c r="I17" i="3"/>
  <c r="J52" i="2"/>
  <c r="J23" i="3"/>
  <c r="AG14" i="3"/>
  <c r="O104" i="2"/>
  <c r="X47" i="2"/>
  <c r="X9" i="3"/>
  <c r="Y16" i="3"/>
  <c r="C84" i="2"/>
  <c r="N86" i="2"/>
  <c r="Z17" i="3"/>
  <c r="AO8" i="3"/>
  <c r="K48" i="2"/>
  <c r="AL14" i="3"/>
  <c r="V56" i="2"/>
  <c r="K55" i="3"/>
  <c r="AG90" i="3"/>
  <c r="I68" i="3"/>
  <c r="P93" i="3"/>
  <c r="AG79" i="3"/>
  <c r="I85" i="3"/>
  <c r="K65" i="3"/>
  <c r="I54" i="3"/>
  <c r="AJ60" i="3"/>
  <c r="AG93" i="3"/>
  <c r="AM18" i="3"/>
  <c r="Z36" i="3"/>
  <c r="AP65" i="3"/>
  <c r="AO24" i="3"/>
  <c r="AK42" i="3"/>
  <c r="AD40" i="3"/>
  <c r="P93" i="2"/>
  <c r="E83" i="2"/>
  <c r="T48" i="2"/>
  <c r="L96" i="2"/>
  <c r="G55" i="2"/>
  <c r="Q27" i="3"/>
  <c r="X6" i="3"/>
  <c r="I47" i="2"/>
  <c r="AB70" i="3"/>
  <c r="P40" i="3"/>
  <c r="U61" i="2"/>
  <c r="E98" i="2"/>
  <c r="AH27" i="3"/>
  <c r="J64" i="2"/>
  <c r="F91" i="2"/>
  <c r="AL7" i="3"/>
  <c r="O41" i="2"/>
  <c r="I111" i="2"/>
  <c r="P8" i="3"/>
  <c r="V28" i="3"/>
  <c r="M80" i="2"/>
  <c r="N40" i="3"/>
  <c r="AG24" i="3"/>
  <c r="L11" i="3"/>
  <c r="F58" i="2"/>
  <c r="J6" i="3"/>
  <c r="M46" i="2"/>
  <c r="S56" i="2"/>
  <c r="S17" i="3"/>
  <c r="R16" i="3"/>
  <c r="F64" i="2"/>
  <c r="AI38" i="3"/>
  <c r="H57" i="2"/>
  <c r="Q24" i="3"/>
  <c r="S73" i="2"/>
  <c r="AM12" i="3"/>
  <c r="AJ10" i="3"/>
  <c r="AP78" i="3"/>
  <c r="U8" i="3"/>
  <c r="T94" i="2"/>
  <c r="O51" i="2"/>
  <c r="Y9" i="3"/>
  <c r="AH38" i="3"/>
  <c r="H112" i="2"/>
  <c r="AE30" i="3"/>
  <c r="U11" i="3"/>
  <c r="G64" i="2"/>
  <c r="R93" i="2"/>
  <c r="G93" i="2"/>
  <c r="AB42" i="3"/>
  <c r="J65" i="2"/>
  <c r="Z27" i="3"/>
  <c r="AB31" i="3"/>
  <c r="AG25" i="3"/>
  <c r="AC7" i="3"/>
  <c r="U16" i="3"/>
  <c r="S27" i="3"/>
  <c r="J14" i="3"/>
  <c r="AG11" i="3"/>
  <c r="W48" i="2"/>
  <c r="E50" i="3"/>
  <c r="T24" i="3"/>
  <c r="Q18" i="3"/>
  <c r="R63" i="2"/>
  <c r="V42" i="3"/>
  <c r="AP29" i="3"/>
  <c r="S53" i="2"/>
  <c r="X44" i="2"/>
  <c r="R50" i="2"/>
  <c r="AJ34" i="3"/>
  <c r="C85" i="2"/>
  <c r="D82" i="2"/>
  <c r="AM14" i="3"/>
  <c r="H91" i="2"/>
  <c r="H72" i="2"/>
  <c r="AC18" i="3"/>
  <c r="AO17" i="3"/>
  <c r="L50" i="2"/>
  <c r="J90" i="2"/>
  <c r="H44" i="2"/>
  <c r="V79" i="2"/>
  <c r="AE5" i="3"/>
  <c r="D92" i="2"/>
  <c r="M74" i="2"/>
  <c r="C32" i="3"/>
  <c r="AI13" i="3"/>
  <c r="K56" i="2"/>
  <c r="H50" i="2"/>
  <c r="AB79" i="3"/>
  <c r="Z26" i="3"/>
  <c r="Q67" i="2"/>
  <c r="H80" i="2"/>
  <c r="G32" i="3"/>
  <c r="D111" i="2"/>
  <c r="C82" i="2"/>
  <c r="W105" i="2"/>
  <c r="AP68" i="3"/>
  <c r="W35" i="3"/>
  <c r="D69" i="2"/>
  <c r="U46" i="2"/>
  <c r="H27" i="3"/>
  <c r="E61" i="2"/>
  <c r="P86" i="2"/>
  <c r="AK27" i="3"/>
  <c r="D80" i="2"/>
  <c r="D54" i="2"/>
  <c r="Y22" i="3"/>
  <c r="AA14" i="3"/>
  <c r="W98" i="2"/>
  <c r="U88" i="2"/>
  <c r="AP93" i="3"/>
  <c r="AO41" i="3"/>
  <c r="Q96" i="2"/>
  <c r="S110" i="2"/>
  <c r="W47" i="2"/>
  <c r="F66" i="2"/>
  <c r="AO11" i="3"/>
  <c r="F110" i="2"/>
  <c r="S16" i="3"/>
  <c r="K28" i="3"/>
  <c r="O16" i="3"/>
  <c r="T89" i="2"/>
  <c r="Y36" i="3"/>
  <c r="H60" i="2"/>
  <c r="O94" i="2"/>
  <c r="M50" i="2"/>
  <c r="O112" i="2"/>
  <c r="S42" i="3"/>
  <c r="U49" i="2"/>
  <c r="S68" i="2"/>
  <c r="AP62" i="3"/>
  <c r="AK10" i="3"/>
  <c r="H53" i="2"/>
  <c r="U110" i="2"/>
  <c r="P6" i="3"/>
  <c r="S74" i="2"/>
  <c r="P43" i="2"/>
  <c r="C58" i="2"/>
  <c r="U106" i="2"/>
  <c r="AC36" i="3"/>
  <c r="K91" i="2"/>
  <c r="C109" i="2"/>
  <c r="H17" i="3"/>
  <c r="AB27" i="3"/>
  <c r="K52" i="2"/>
  <c r="V61" i="2"/>
  <c r="T91" i="2"/>
  <c r="AQ36" i="3"/>
  <c r="P73" i="2"/>
  <c r="T81" i="2"/>
  <c r="T25" i="3"/>
  <c r="S26" i="3"/>
  <c r="N104" i="2"/>
  <c r="T95" i="2"/>
  <c r="Q42" i="2"/>
  <c r="J42" i="3"/>
  <c r="G41" i="2"/>
  <c r="N80" i="2"/>
  <c r="AB75" i="3"/>
  <c r="P85" i="2"/>
  <c r="F48" i="2"/>
  <c r="S7" i="3"/>
  <c r="Y23" i="3"/>
  <c r="G89" i="2"/>
  <c r="N110" i="2"/>
  <c r="P18" i="3"/>
  <c r="H107" i="2"/>
  <c r="I52" i="2"/>
  <c r="E40" i="2"/>
  <c r="P22" i="3"/>
  <c r="N60" i="2"/>
  <c r="X95" i="2"/>
  <c r="J112" i="2"/>
  <c r="E68" i="2"/>
  <c r="AO7" i="3"/>
  <c r="AA40" i="3"/>
  <c r="D77" i="2"/>
  <c r="P19" i="3"/>
  <c r="C96" i="2"/>
  <c r="H65" i="2"/>
  <c r="AE14" i="3"/>
  <c r="D99" i="2"/>
  <c r="AL42" i="3"/>
  <c r="O97" i="2"/>
  <c r="AD30" i="3"/>
  <c r="I109" i="2"/>
  <c r="C110" i="2"/>
  <c r="P94" i="2"/>
  <c r="W51" i="2"/>
  <c r="S12" i="3"/>
  <c r="Z22" i="3"/>
  <c r="Q95" i="2"/>
  <c r="N98" i="2"/>
  <c r="AH10" i="3"/>
  <c r="D98" i="2"/>
  <c r="M75" i="2"/>
  <c r="X15" i="3"/>
  <c r="L86" i="2"/>
  <c r="U87" i="2"/>
  <c r="K94" i="2"/>
  <c r="L98" i="2"/>
  <c r="U19" i="3"/>
  <c r="X17" i="3"/>
  <c r="L71" i="2"/>
  <c r="D42" i="2"/>
  <c r="AB13" i="3"/>
  <c r="X65" i="2"/>
  <c r="H48" i="2"/>
  <c r="C54" i="2"/>
  <c r="X14" i="3"/>
  <c r="AI8" i="3"/>
  <c r="G112" i="2"/>
  <c r="AP86" i="3"/>
  <c r="K18" i="3"/>
  <c r="K80" i="2"/>
  <c r="T78" i="2"/>
  <c r="G88" i="2"/>
  <c r="AA8" i="3"/>
  <c r="AL28" i="3"/>
  <c r="P78" i="2"/>
  <c r="R97" i="2"/>
  <c r="AE33" i="3"/>
  <c r="D52" i="2"/>
  <c r="L105" i="2"/>
  <c r="AP33" i="3"/>
  <c r="E64" i="2"/>
  <c r="N91" i="2"/>
  <c r="AN32" i="3"/>
  <c r="H31" i="3"/>
  <c r="J72" i="2"/>
  <c r="V41" i="2"/>
  <c r="T33" i="3"/>
  <c r="I27" i="3"/>
  <c r="H87" i="2"/>
  <c r="K107" i="2"/>
  <c r="W55" i="2"/>
  <c r="O22" i="3"/>
  <c r="F62" i="2"/>
  <c r="P40" i="2"/>
  <c r="M7" i="3"/>
  <c r="F113" i="2"/>
  <c r="S67" i="2"/>
  <c r="AM33" i="3"/>
  <c r="AE16" i="3"/>
  <c r="L19" i="3"/>
  <c r="S50" i="2"/>
  <c r="AB6" i="3"/>
  <c r="U97" i="2"/>
  <c r="R96" i="2"/>
  <c r="AK17" i="3"/>
  <c r="AC30" i="3"/>
  <c r="S70" i="2"/>
  <c r="S52" i="2"/>
  <c r="O42" i="3"/>
  <c r="M66" i="2"/>
  <c r="K53" i="2"/>
  <c r="J16" i="3"/>
  <c r="AL13" i="3"/>
  <c r="W99" i="2"/>
  <c r="J98" i="2"/>
  <c r="T26" i="3"/>
  <c r="V75" i="2"/>
  <c r="K40" i="2"/>
  <c r="I113" i="2"/>
  <c r="D67" i="2"/>
  <c r="Y19" i="3"/>
  <c r="W91" i="2"/>
  <c r="Q41" i="2"/>
  <c r="I23" i="3"/>
  <c r="AD36" i="3"/>
  <c r="D45" i="2"/>
  <c r="L91" i="2"/>
  <c r="N71" i="2"/>
  <c r="Z9" i="3"/>
  <c r="D66" i="2"/>
  <c r="T87" i="2"/>
  <c r="P41" i="3"/>
  <c r="T20" i="3"/>
  <c r="Q106" i="2"/>
  <c r="T65" i="2"/>
  <c r="C78" i="2"/>
  <c r="AN7" i="3"/>
  <c r="T98" i="2"/>
  <c r="K66" i="2"/>
  <c r="O23" i="3"/>
  <c r="D61" i="2"/>
  <c r="N62" i="2"/>
  <c r="AK37" i="3"/>
  <c r="AD26" i="3"/>
  <c r="E79" i="2"/>
  <c r="H77" i="2"/>
  <c r="H35" i="3"/>
  <c r="I98" i="2"/>
  <c r="O71" i="2"/>
  <c r="U86" i="2"/>
  <c r="AP14" i="3"/>
  <c r="X94" i="2"/>
  <c r="O59" i="2"/>
  <c r="O49" i="2"/>
  <c r="G63" i="2"/>
  <c r="H11" i="3"/>
  <c r="T12" i="3"/>
  <c r="M113" i="2"/>
  <c r="I58" i="2"/>
  <c r="D72" i="2"/>
  <c r="O8" i="3"/>
  <c r="R8" i="3"/>
  <c r="S79" i="2"/>
  <c r="AI39" i="3"/>
  <c r="F69" i="2"/>
  <c r="AQ5" i="3"/>
  <c r="AQ67" i="3" s="1"/>
  <c r="X79" i="2"/>
  <c r="G62" i="2"/>
  <c r="C24" i="3"/>
  <c r="AH6" i="3"/>
  <c r="J57" i="2"/>
  <c r="L18" i="3"/>
  <c r="Q111" i="2"/>
  <c r="O10" i="3"/>
  <c r="W60" i="2"/>
  <c r="I51" i="2"/>
  <c r="T41" i="3"/>
  <c r="T36" i="3"/>
  <c r="T69" i="2"/>
  <c r="AQ41" i="3"/>
  <c r="T93" i="2"/>
  <c r="G38" i="3"/>
  <c r="T90" i="2"/>
  <c r="R113" i="2"/>
  <c r="S81" i="2"/>
  <c r="AH14" i="3"/>
  <c r="O84" i="2"/>
  <c r="R47" i="2"/>
  <c r="H5" i="3"/>
  <c r="H67" i="3" s="1"/>
  <c r="T43" i="2"/>
  <c r="K90" i="2"/>
  <c r="N39" i="3"/>
  <c r="N56" i="2"/>
  <c r="AH31" i="3"/>
  <c r="AK23" i="3"/>
  <c r="I56" i="2"/>
  <c r="AB72" i="3"/>
  <c r="AP18" i="3"/>
  <c r="U40" i="3"/>
  <c r="P81" i="2"/>
  <c r="L59" i="2"/>
  <c r="AE11" i="3"/>
  <c r="AK15" i="3"/>
  <c r="Q79" i="2"/>
  <c r="AE31" i="3"/>
  <c r="AI22" i="3"/>
  <c r="U98" i="2"/>
  <c r="AP25" i="3"/>
  <c r="K26" i="3"/>
  <c r="E99" i="2"/>
  <c r="AB48" i="3"/>
  <c r="AK20" i="3"/>
  <c r="AH5" i="3"/>
  <c r="AH64" i="3" s="1"/>
  <c r="U105" i="2"/>
  <c r="G41" i="3"/>
  <c r="U13" i="3"/>
  <c r="Q82" i="2"/>
  <c r="AB86" i="3"/>
  <c r="R10" i="3"/>
  <c r="O48" i="2"/>
  <c r="J66" i="2"/>
  <c r="U60" i="2"/>
  <c r="O108" i="2"/>
  <c r="T85" i="2"/>
  <c r="N21" i="3"/>
  <c r="AJ27" i="3"/>
  <c r="J94" i="2"/>
  <c r="U104" i="2"/>
  <c r="AP57" i="3"/>
  <c r="T39" i="3"/>
  <c r="W95" i="2"/>
  <c r="I73" i="2"/>
  <c r="I40" i="3"/>
  <c r="AC11" i="3"/>
  <c r="H95" i="2"/>
  <c r="P29" i="3"/>
  <c r="J88" i="2"/>
  <c r="J5" i="3"/>
  <c r="P112" i="2"/>
  <c r="D75" i="2"/>
  <c r="AC8" i="3"/>
  <c r="S94" i="2"/>
  <c r="Q89" i="2"/>
  <c r="O43" i="2"/>
  <c r="L46" i="2"/>
  <c r="AG42" i="3"/>
  <c r="Q48" i="2"/>
  <c r="AC33" i="3"/>
  <c r="H29" i="3"/>
  <c r="F49" i="2"/>
  <c r="N64" i="2"/>
  <c r="N24" i="3"/>
  <c r="M24" i="3"/>
  <c r="X72" i="2"/>
  <c r="AB65" i="3"/>
  <c r="AP17" i="3"/>
  <c r="S10" i="3"/>
  <c r="S108" i="2"/>
  <c r="AL17" i="3"/>
  <c r="V45" i="2"/>
  <c r="N38" i="3"/>
  <c r="G84" i="2"/>
  <c r="T57" i="2"/>
  <c r="AJ8" i="3"/>
  <c r="Q76" i="2"/>
  <c r="U68" i="2"/>
  <c r="AL6" i="3"/>
  <c r="G60" i="2"/>
  <c r="U29" i="3"/>
  <c r="W62" i="2"/>
  <c r="T74" i="2"/>
  <c r="Q92" i="2"/>
  <c r="I41" i="3"/>
  <c r="G107" i="2"/>
  <c r="O80" i="2"/>
  <c r="AE25" i="3"/>
  <c r="R83" i="2"/>
  <c r="V80" i="2"/>
  <c r="N112" i="2"/>
  <c r="W97" i="2"/>
  <c r="T32" i="3"/>
  <c r="E106" i="2"/>
  <c r="G110" i="2"/>
  <c r="M35" i="3"/>
  <c r="P11" i="3"/>
  <c r="T111" i="2"/>
  <c r="O11" i="3"/>
  <c r="E92" i="2"/>
  <c r="AP15" i="3"/>
  <c r="E46" i="2"/>
  <c r="I43" i="2"/>
  <c r="X34" i="3"/>
  <c r="X52" i="2"/>
  <c r="D48" i="2"/>
  <c r="AQ18" i="3"/>
  <c r="AN36" i="3"/>
  <c r="R112" i="2"/>
  <c r="C37" i="3"/>
  <c r="AA11" i="3"/>
  <c r="Y41" i="3"/>
  <c r="H84" i="2"/>
  <c r="AH22" i="3"/>
  <c r="O13" i="3"/>
  <c r="K86" i="2"/>
  <c r="X58" i="2"/>
  <c r="F41" i="2"/>
  <c r="J25" i="3"/>
  <c r="AE15" i="3"/>
  <c r="W88" i="2"/>
  <c r="AH25" i="3"/>
  <c r="C79" i="2"/>
  <c r="AC21" i="3"/>
  <c r="N59" i="2"/>
  <c r="T105" i="2"/>
  <c r="AI31" i="3"/>
  <c r="Q39" i="3"/>
  <c r="C71" i="2"/>
  <c r="H9" i="3"/>
  <c r="T60" i="2"/>
  <c r="L27" i="3"/>
  <c r="O81" i="2"/>
  <c r="G49" i="2"/>
  <c r="AO14" i="3"/>
  <c r="AH30" i="3"/>
  <c r="K50" i="2"/>
  <c r="J38" i="3"/>
  <c r="X61" i="2"/>
  <c r="Q41" i="3"/>
  <c r="Q87" i="2"/>
  <c r="N72" i="2"/>
  <c r="R42" i="2"/>
  <c r="U41" i="3"/>
  <c r="N51" i="2"/>
  <c r="E57" i="2"/>
  <c r="W26" i="3"/>
  <c r="L9" i="3"/>
  <c r="L65" i="2"/>
  <c r="O28" i="3"/>
  <c r="I94" i="2"/>
  <c r="AB76" i="3"/>
  <c r="AI29" i="3"/>
  <c r="L69" i="2"/>
  <c r="M47" i="2"/>
  <c r="I14" i="3"/>
  <c r="AB32" i="3"/>
  <c r="S46" i="2"/>
  <c r="E49" i="2"/>
  <c r="AP23" i="3"/>
  <c r="N25" i="3"/>
  <c r="Q94" i="2"/>
  <c r="M10" i="3"/>
  <c r="S39" i="3"/>
  <c r="U38" i="3"/>
  <c r="AB87" i="3"/>
  <c r="Q32" i="3"/>
  <c r="M44" i="2"/>
  <c r="M59" i="2"/>
  <c r="L38" i="3"/>
  <c r="V21" i="3"/>
  <c r="I57" i="2"/>
  <c r="AQ39" i="3"/>
  <c r="AB15" i="3"/>
  <c r="T46" i="2"/>
  <c r="AB47" i="3"/>
  <c r="AI42" i="3"/>
  <c r="Z14" i="3"/>
  <c r="AA13" i="3"/>
  <c r="L64" i="2"/>
  <c r="Q112" i="2"/>
  <c r="AE39" i="3"/>
  <c r="M89" i="2"/>
  <c r="H71" i="2"/>
  <c r="T41" i="2"/>
  <c r="AB20" i="3"/>
  <c r="W13" i="3"/>
  <c r="R19" i="3"/>
  <c r="AN22" i="3"/>
  <c r="M105" i="2"/>
  <c r="AO38" i="3"/>
  <c r="H113" i="2"/>
  <c r="W82" i="2"/>
  <c r="AB37" i="3"/>
  <c r="V35" i="3"/>
  <c r="AG9" i="3"/>
  <c r="AB49" i="3"/>
  <c r="H46" i="2"/>
  <c r="AQ28" i="3"/>
  <c r="C21" i="3"/>
  <c r="P36" i="3"/>
  <c r="X113" i="2"/>
  <c r="C87" i="2"/>
  <c r="AO23" i="3"/>
  <c r="N99" i="2"/>
  <c r="D112" i="2"/>
  <c r="C39" i="3"/>
  <c r="J41" i="2"/>
  <c r="V87" i="2"/>
  <c r="S33" i="3"/>
  <c r="K7" i="3"/>
  <c r="D86" i="2"/>
  <c r="C28" i="3"/>
  <c r="AC31" i="3"/>
  <c r="K22" i="3"/>
  <c r="AJ16" i="3"/>
  <c r="O98" i="2"/>
  <c r="Y34" i="3"/>
  <c r="J19" i="3"/>
  <c r="D58" i="2"/>
  <c r="L14" i="3"/>
  <c r="U47" i="2"/>
  <c r="J15" i="3"/>
  <c r="P76" i="2"/>
  <c r="AI34" i="3"/>
  <c r="P23" i="3"/>
  <c r="M37" i="3"/>
  <c r="T61" i="2"/>
  <c r="P48" i="2"/>
  <c r="V19" i="3"/>
  <c r="V37" i="3"/>
  <c r="W14" i="3"/>
  <c r="AJ24" i="3"/>
  <c r="T21" i="3"/>
  <c r="H6" i="3"/>
  <c r="AM26" i="3"/>
  <c r="W32" i="3"/>
  <c r="K14" i="3"/>
  <c r="E93" i="2"/>
  <c r="G105" i="2"/>
  <c r="M43" i="2"/>
  <c r="AC40" i="3"/>
  <c r="Q40" i="3"/>
  <c r="AH8" i="3"/>
  <c r="E80" i="2"/>
  <c r="AD23" i="3"/>
  <c r="R31" i="3"/>
  <c r="M64" i="2"/>
  <c r="AP63" i="3"/>
  <c r="K46" i="2"/>
  <c r="F83" i="2"/>
  <c r="J81" i="2"/>
  <c r="Z33" i="3"/>
  <c r="J83" i="3"/>
  <c r="P85" i="3"/>
  <c r="AQ61" i="3"/>
  <c r="AJ77" i="3"/>
  <c r="AG77" i="3"/>
  <c r="I88" i="3"/>
  <c r="J54" i="3"/>
  <c r="AQ69" i="3"/>
  <c r="Q92" i="3"/>
  <c r="J95" i="3"/>
  <c r="AQ60" i="3"/>
  <c r="P99" i="2"/>
  <c r="V40" i="2"/>
  <c r="E51" i="2"/>
  <c r="L81" i="2"/>
  <c r="V85" i="2"/>
  <c r="J50" i="2"/>
  <c r="E41" i="2"/>
  <c r="I36" i="3"/>
  <c r="AJ36" i="3"/>
  <c r="E78" i="2"/>
  <c r="O26" i="3"/>
  <c r="AP9" i="3"/>
  <c r="G43" i="2"/>
  <c r="C105" i="2"/>
  <c r="AN9" i="3"/>
  <c r="Y14" i="3"/>
  <c r="V38" i="3"/>
  <c r="R65" i="2"/>
  <c r="T42" i="2"/>
  <c r="AO10" i="3"/>
  <c r="T62" i="2"/>
  <c r="AL32" i="3"/>
  <c r="R55" i="2"/>
  <c r="C61" i="2"/>
  <c r="O6" i="3"/>
  <c r="N19" i="3"/>
  <c r="E81" i="2"/>
  <c r="H42" i="3"/>
  <c r="M88" i="2"/>
  <c r="H30" i="3"/>
  <c r="AP90" i="3"/>
  <c r="AB16" i="3"/>
  <c r="R87" i="2"/>
  <c r="U64" i="2"/>
  <c r="H18" i="3"/>
  <c r="S8" i="3"/>
  <c r="AP70" i="3"/>
  <c r="AC15" i="3"/>
  <c r="J36" i="3"/>
  <c r="J26" i="3"/>
  <c r="F86" i="2"/>
  <c r="R28" i="3"/>
  <c r="Q97" i="2"/>
  <c r="H24" i="3"/>
  <c r="V39" i="3"/>
  <c r="E104" i="2"/>
  <c r="AL30" i="3"/>
  <c r="T56" i="2"/>
  <c r="AB78" i="3"/>
  <c r="J42" i="2"/>
  <c r="AP27" i="3"/>
  <c r="AE36" i="3"/>
  <c r="S38" i="3"/>
  <c r="AP94" i="3"/>
  <c r="M42" i="2"/>
  <c r="AN26" i="3"/>
  <c r="W41" i="2"/>
  <c r="AH9" i="3"/>
  <c r="T79" i="2"/>
  <c r="P41" i="2"/>
  <c r="AA29" i="3"/>
  <c r="R69" i="2"/>
  <c r="G91" i="2"/>
  <c r="AI12" i="3"/>
  <c r="AJ28" i="3"/>
  <c r="W77" i="2"/>
  <c r="K41" i="2"/>
  <c r="I25" i="3"/>
  <c r="O76" i="2"/>
  <c r="F107" i="2"/>
  <c r="Q35" i="3"/>
  <c r="K30" i="3"/>
  <c r="R51" i="2"/>
  <c r="X83" i="2"/>
  <c r="R111" i="2"/>
  <c r="Z6" i="3"/>
  <c r="AQ15" i="3"/>
  <c r="P106" i="2"/>
  <c r="R99" i="2"/>
  <c r="G50" i="3"/>
  <c r="I95" i="2"/>
  <c r="T113" i="2"/>
  <c r="F44" i="2"/>
  <c r="H28" i="3"/>
  <c r="AI25" i="3"/>
  <c r="D105" i="2"/>
  <c r="G51" i="2"/>
  <c r="O19" i="3"/>
  <c r="P67" i="2"/>
  <c r="U91" i="2"/>
  <c r="W80" i="2"/>
  <c r="AJ22" i="3"/>
  <c r="Z38" i="3"/>
  <c r="Q52" i="2"/>
  <c r="P110" i="2"/>
  <c r="J17" i="3"/>
  <c r="G61" i="2"/>
  <c r="Q44" i="2"/>
  <c r="P35" i="3"/>
  <c r="N50" i="2"/>
  <c r="J58" i="2"/>
  <c r="AJ33" i="3"/>
  <c r="M28" i="3"/>
  <c r="F53" i="2"/>
  <c r="X67" i="2"/>
  <c r="AC39" i="3"/>
  <c r="AC28" i="3"/>
  <c r="Q70" i="2"/>
  <c r="U108" i="2"/>
  <c r="T107" i="2"/>
  <c r="AB80" i="3"/>
  <c r="Q75" i="2"/>
  <c r="T54" i="2"/>
  <c r="M22" i="3"/>
  <c r="M65" i="2"/>
  <c r="Q12" i="3"/>
  <c r="X68" i="2"/>
  <c r="AG33" i="3"/>
  <c r="W45" i="2"/>
  <c r="N89" i="2"/>
  <c r="E65" i="2"/>
  <c r="L106" i="2"/>
  <c r="Q19" i="3"/>
  <c r="E63" i="2"/>
  <c r="T106" i="2"/>
  <c r="O37" i="3"/>
  <c r="AE37" i="3"/>
  <c r="R77" i="2"/>
  <c r="R60" i="2"/>
  <c r="AA41" i="3"/>
  <c r="L112" i="2"/>
  <c r="S113" i="2"/>
  <c r="U81" i="2"/>
  <c r="X78" i="2"/>
  <c r="O24" i="3"/>
  <c r="O75" i="2"/>
  <c r="N83" i="2"/>
  <c r="S35" i="3"/>
  <c r="T9" i="3"/>
  <c r="R62" i="2"/>
  <c r="F92" i="2"/>
  <c r="I44" i="2"/>
  <c r="L22" i="3"/>
  <c r="K79" i="2"/>
  <c r="S41" i="2"/>
  <c r="AM8" i="3"/>
  <c r="P104" i="2"/>
  <c r="E69" i="2"/>
  <c r="F111" i="2"/>
  <c r="D41" i="2"/>
  <c r="U37" i="3"/>
  <c r="N96" i="2"/>
  <c r="C86" i="2"/>
  <c r="AA34" i="3"/>
  <c r="P65" i="2"/>
  <c r="O99" i="2"/>
  <c r="W21" i="3"/>
  <c r="G33" i="3"/>
  <c r="N40" i="2"/>
  <c r="N77" i="2"/>
  <c r="W31" i="3"/>
  <c r="U72" i="2"/>
  <c r="C76" i="2"/>
  <c r="G79" i="2"/>
  <c r="K19" i="3"/>
  <c r="F80" i="2"/>
  <c r="K96" i="2"/>
  <c r="P71" i="2"/>
  <c r="N49" i="2"/>
  <c r="O35" i="3"/>
  <c r="W38" i="3"/>
  <c r="N92" i="2"/>
  <c r="AE35" i="3"/>
  <c r="S66" i="2"/>
  <c r="I53" i="2"/>
  <c r="C42" i="3"/>
  <c r="I48" i="2"/>
  <c r="G111" i="2"/>
  <c r="AP61" i="3"/>
  <c r="J24" i="3"/>
  <c r="D44" i="2"/>
  <c r="N57" i="2"/>
  <c r="P59" i="2"/>
  <c r="E59" i="2"/>
  <c r="AN20" i="3"/>
  <c r="V60" i="2"/>
  <c r="C45" i="2"/>
  <c r="Z30" i="3"/>
  <c r="AO30" i="3"/>
  <c r="C98" i="2"/>
  <c r="P74" i="2"/>
  <c r="L23" i="3"/>
  <c r="I106" i="2"/>
  <c r="E107" i="2"/>
  <c r="T50" i="2"/>
  <c r="C104" i="2"/>
  <c r="M13" i="3"/>
  <c r="F73" i="2"/>
  <c r="N73" i="2"/>
  <c r="I38" i="3"/>
  <c r="H23" i="3"/>
  <c r="U75" i="2"/>
  <c r="P97" i="2"/>
  <c r="V59" i="2"/>
  <c r="Y28" i="3"/>
  <c r="T44" i="2"/>
  <c r="S45" i="2"/>
  <c r="Z8" i="3"/>
  <c r="AO18" i="3"/>
  <c r="N76" i="2"/>
  <c r="F46" i="2"/>
  <c r="K112" i="2"/>
  <c r="AN25" i="3"/>
  <c r="X77" i="2"/>
  <c r="R82" i="2"/>
  <c r="H34" i="3"/>
  <c r="G40" i="2"/>
  <c r="D74" i="2"/>
  <c r="AM32" i="3"/>
  <c r="J13" i="3"/>
  <c r="V73" i="2"/>
  <c r="K83" i="2"/>
  <c r="L28" i="3"/>
  <c r="M71" i="2"/>
  <c r="J104" i="2"/>
  <c r="F98" i="2"/>
  <c r="T30" i="3"/>
  <c r="C88" i="2"/>
  <c r="V50" i="2"/>
  <c r="V96" i="2"/>
  <c r="K81" i="2"/>
  <c r="AO20" i="3"/>
  <c r="AK41" i="3"/>
  <c r="O111" i="2"/>
  <c r="Y33" i="3"/>
  <c r="E85" i="2"/>
  <c r="K44" i="2"/>
  <c r="AB22" i="3"/>
  <c r="G108" i="2"/>
  <c r="S21" i="3"/>
  <c r="D106" i="2"/>
  <c r="U35" i="3"/>
  <c r="X90" i="2"/>
  <c r="V44" i="2"/>
  <c r="AC19" i="3"/>
  <c r="AK18" i="3"/>
  <c r="R88" i="2"/>
  <c r="U107" i="2"/>
  <c r="AG38" i="3"/>
  <c r="S96" i="2"/>
  <c r="U112" i="2"/>
  <c r="AL37" i="3"/>
  <c r="Q83" i="2"/>
  <c r="K98" i="2"/>
  <c r="AP77" i="3"/>
  <c r="U36" i="3"/>
  <c r="X98" i="2"/>
  <c r="R45" i="2"/>
  <c r="T80" i="2"/>
  <c r="E77" i="2"/>
  <c r="G48" i="3"/>
  <c r="W43" i="2"/>
  <c r="S75" i="2"/>
  <c r="Z12" i="3"/>
  <c r="AM19" i="3"/>
  <c r="M86" i="2"/>
  <c r="I72" i="2"/>
  <c r="L83" i="2"/>
  <c r="AB33" i="3"/>
  <c r="W90" i="2"/>
  <c r="H61" i="2"/>
  <c r="N10" i="3"/>
  <c r="L75" i="2"/>
  <c r="G68" i="2"/>
  <c r="X99" i="2"/>
  <c r="O109" i="2"/>
  <c r="Z37" i="3"/>
  <c r="C48" i="2"/>
  <c r="E72" i="2"/>
  <c r="AP37" i="3"/>
  <c r="L82" i="2"/>
  <c r="U69" i="2"/>
  <c r="P13" i="3"/>
  <c r="P84" i="2"/>
  <c r="Q93" i="2"/>
  <c r="AB91" i="3"/>
  <c r="AH34" i="3"/>
  <c r="E86" i="2"/>
  <c r="I84" i="2"/>
  <c r="F67" i="2"/>
  <c r="AQ14" i="3"/>
  <c r="L52" i="2"/>
  <c r="K69" i="2"/>
  <c r="L72" i="2"/>
  <c r="I105" i="2"/>
  <c r="T28" i="3"/>
  <c r="E73" i="2"/>
  <c r="AA42" i="3"/>
  <c r="AN27" i="3"/>
  <c r="L49" i="2"/>
  <c r="U33" i="3"/>
  <c r="O113" i="2"/>
  <c r="J43" i="2"/>
  <c r="N58" i="2"/>
  <c r="AQ38" i="3"/>
  <c r="U52" i="2"/>
  <c r="C55" i="2"/>
  <c r="AB84" i="3"/>
  <c r="AD21" i="3"/>
  <c r="AL11" i="3"/>
  <c r="U55" i="2"/>
  <c r="G75" i="2"/>
  <c r="AB71" i="3"/>
  <c r="Z39" i="3"/>
  <c r="L44" i="2"/>
  <c r="T110" i="2"/>
  <c r="W11" i="3"/>
  <c r="O55" i="2"/>
  <c r="W44" i="2"/>
  <c r="G72" i="2"/>
  <c r="AB97" i="3"/>
  <c r="T42" i="3"/>
  <c r="O87" i="2"/>
  <c r="V24" i="3"/>
  <c r="I112" i="2"/>
  <c r="I35" i="3"/>
  <c r="T51" i="2"/>
  <c r="V82" i="2"/>
  <c r="AA17" i="3"/>
  <c r="U70" i="2"/>
  <c r="L45" i="2"/>
  <c r="J40" i="2"/>
  <c r="P54" i="2"/>
  <c r="C41" i="3"/>
  <c r="S44" i="2"/>
  <c r="R80" i="2"/>
  <c r="AI24" i="3"/>
  <c r="V6" i="3"/>
  <c r="U54" i="2"/>
  <c r="R64" i="2"/>
  <c r="S71" i="2"/>
  <c r="N30" i="3"/>
  <c r="F108" i="2"/>
  <c r="Q61" i="2"/>
  <c r="Z35" i="3"/>
  <c r="Q84" i="2"/>
  <c r="N48" i="2"/>
  <c r="M25" i="3"/>
  <c r="K16" i="3"/>
  <c r="N108" i="2"/>
  <c r="AD35" i="3"/>
  <c r="AL25" i="3"/>
  <c r="P52" i="2"/>
  <c r="S92" i="2"/>
  <c r="Q38" i="3"/>
  <c r="P88" i="2"/>
  <c r="U77" i="2"/>
  <c r="L37" i="3"/>
  <c r="Y26" i="3"/>
  <c r="T40" i="2"/>
  <c r="H20" i="3"/>
  <c r="Q9" i="3"/>
  <c r="AB21" i="3"/>
  <c r="G104" i="2"/>
  <c r="W41" i="3"/>
  <c r="P83" i="2"/>
  <c r="N81" i="2"/>
  <c r="K74" i="2"/>
  <c r="I8" i="3"/>
  <c r="H104" i="2"/>
  <c r="O96" i="2"/>
  <c r="AM16" i="3"/>
  <c r="M8" i="3"/>
  <c r="U57" i="2"/>
  <c r="F68" i="2"/>
  <c r="N85" i="2"/>
  <c r="Z19" i="3"/>
  <c r="R5" i="3"/>
  <c r="D79" i="2"/>
  <c r="AB81" i="3"/>
  <c r="AK7" i="3"/>
  <c r="U43" i="2"/>
  <c r="R105" i="2"/>
  <c r="W12" i="3"/>
  <c r="N13" i="3"/>
  <c r="AP22" i="3"/>
  <c r="N109" i="2"/>
  <c r="AE28" i="3"/>
  <c r="U99" i="2"/>
  <c r="U111" i="2"/>
  <c r="X62" i="2"/>
  <c r="T35" i="3"/>
  <c r="I49" i="2"/>
  <c r="P108" i="2"/>
  <c r="V8" i="3"/>
  <c r="P15" i="3"/>
  <c r="M48" i="2"/>
  <c r="K67" i="2"/>
  <c r="K97" i="2"/>
  <c r="P34" i="3"/>
  <c r="AA26" i="3"/>
  <c r="T68" i="2"/>
  <c r="AP91" i="3"/>
  <c r="AA23" i="3"/>
  <c r="G83" i="2"/>
  <c r="D91" i="2"/>
  <c r="Q40" i="2"/>
  <c r="AK12" i="3"/>
  <c r="AM42" i="3"/>
  <c r="G53" i="2"/>
  <c r="M33" i="3"/>
  <c r="C75" i="2"/>
  <c r="S19" i="3"/>
  <c r="F95" i="2"/>
  <c r="D43" i="2"/>
  <c r="V29" i="3"/>
  <c r="AH13" i="3"/>
  <c r="E54" i="2"/>
  <c r="N67" i="2"/>
  <c r="J106" i="2"/>
  <c r="AQ9" i="3"/>
  <c r="M87" i="2"/>
  <c r="M81" i="2"/>
  <c r="Y13" i="3"/>
  <c r="C29" i="3"/>
  <c r="D89" i="2"/>
  <c r="AB63" i="3"/>
  <c r="I45" i="2"/>
  <c r="J9" i="3"/>
  <c r="G92" i="2"/>
  <c r="X53" i="2"/>
  <c r="K23" i="3"/>
  <c r="AL8" i="3"/>
  <c r="K42" i="2"/>
  <c r="T16" i="3"/>
  <c r="T92" i="2"/>
  <c r="J111" i="2"/>
  <c r="L29" i="3"/>
  <c r="Z42" i="3"/>
  <c r="Q104" i="2"/>
  <c r="R89" i="2"/>
  <c r="AN19" i="3"/>
  <c r="M98" i="2"/>
  <c r="R24" i="3"/>
  <c r="O38" i="3"/>
  <c r="V54" i="2"/>
  <c r="K21" i="3"/>
  <c r="L41" i="3"/>
  <c r="P62" i="2"/>
  <c r="P68" i="2"/>
  <c r="O21" i="3"/>
  <c r="AM27" i="3"/>
  <c r="V105" i="2"/>
  <c r="AP79" i="3"/>
  <c r="K6" i="3"/>
  <c r="S20" i="3"/>
  <c r="F109" i="2"/>
  <c r="Y29" i="3"/>
  <c r="C91" i="2"/>
  <c r="P7" i="3"/>
  <c r="W59" i="2"/>
  <c r="W52" i="2"/>
  <c r="AO25" i="3"/>
  <c r="E71" i="2"/>
  <c r="D110" i="2"/>
  <c r="AG40" i="3"/>
  <c r="C63" i="2"/>
  <c r="J33" i="3"/>
  <c r="C89" i="2"/>
  <c r="AB77" i="3"/>
  <c r="N94" i="2"/>
  <c r="AG23" i="3"/>
  <c r="D85" i="2"/>
  <c r="D64" i="2"/>
  <c r="T34" i="3"/>
  <c r="D59" i="2"/>
  <c r="I61" i="2"/>
  <c r="U62" i="2"/>
  <c r="U48" i="2"/>
  <c r="Y39" i="3"/>
  <c r="P96" i="2"/>
  <c r="N52" i="2"/>
  <c r="AD50" i="3"/>
  <c r="AB35" i="3"/>
  <c r="L54" i="2"/>
  <c r="M91" i="2"/>
  <c r="H111" i="2"/>
  <c r="AA32" i="3"/>
  <c r="N97" i="2"/>
  <c r="X56" i="2"/>
  <c r="AI15" i="3"/>
  <c r="W9" i="3"/>
  <c r="T99" i="2"/>
  <c r="AM40" i="3"/>
  <c r="AN41" i="3"/>
  <c r="S88" i="2"/>
  <c r="AL41" i="3"/>
  <c r="R23" i="3"/>
  <c r="M41" i="3"/>
  <c r="O83" i="2"/>
  <c r="P20" i="3"/>
  <c r="AJ29" i="3"/>
  <c r="W67" i="2"/>
  <c r="S36" i="3"/>
  <c r="AM17" i="3"/>
  <c r="X40" i="2"/>
  <c r="T49" i="2"/>
  <c r="F76" i="2"/>
  <c r="E47" i="3"/>
  <c r="I71" i="2"/>
  <c r="C49" i="3"/>
  <c r="R91" i="2"/>
  <c r="AA9" i="3"/>
  <c r="AA27" i="3"/>
  <c r="AC34" i="3"/>
  <c r="Q66" i="2"/>
  <c r="AM13" i="3"/>
  <c r="K65" i="2"/>
  <c r="J30" i="3"/>
  <c r="K82" i="2"/>
  <c r="J60" i="2"/>
  <c r="AC25" i="3"/>
  <c r="AH20" i="3"/>
  <c r="R110" i="2"/>
  <c r="K106" i="2"/>
  <c r="N106" i="2"/>
  <c r="J55" i="2"/>
  <c r="AE7" i="3"/>
  <c r="S28" i="3"/>
  <c r="Q90" i="2"/>
  <c r="Y17" i="3"/>
  <c r="Z20" i="3"/>
  <c r="AB29" i="3"/>
  <c r="N46" i="2"/>
  <c r="U7" i="3"/>
  <c r="X10" i="3"/>
  <c r="T75" i="2"/>
  <c r="AJ20" i="3"/>
  <c r="U44" i="2"/>
  <c r="F43" i="2"/>
  <c r="M11" i="3"/>
  <c r="S29" i="3"/>
  <c r="V107" i="2"/>
  <c r="F50" i="2"/>
  <c r="H73" i="2"/>
  <c r="AM24" i="3"/>
  <c r="X106" i="2"/>
  <c r="AP92" i="3"/>
  <c r="AP97" i="3"/>
  <c r="N113" i="2"/>
  <c r="U14" i="3"/>
  <c r="M97" i="2"/>
  <c r="T76" i="2"/>
  <c r="AL5" i="3"/>
  <c r="AA28" i="3"/>
  <c r="N32" i="3"/>
  <c r="H13" i="3"/>
  <c r="AL19" i="3"/>
  <c r="AJ40" i="3"/>
  <c r="R7" i="3"/>
  <c r="V36" i="3"/>
  <c r="AA22" i="3"/>
  <c r="AN14" i="3"/>
  <c r="AP24" i="3"/>
  <c r="AB69" i="3"/>
  <c r="M90" i="2"/>
  <c r="AB73" i="3"/>
  <c r="J49" i="2"/>
  <c r="AP55" i="3"/>
  <c r="K12" i="3"/>
  <c r="T18" i="3"/>
  <c r="AQ29" i="3"/>
  <c r="AP10" i="3"/>
  <c r="N23" i="3"/>
  <c r="T8" i="3"/>
  <c r="W25" i="3"/>
  <c r="AM6" i="3"/>
  <c r="X29" i="3"/>
  <c r="R39" i="3"/>
  <c r="AG15" i="3"/>
  <c r="S18" i="3"/>
  <c r="AG59" i="3"/>
  <c r="Q80" i="3"/>
  <c r="P97" i="3"/>
  <c r="I64" i="3"/>
  <c r="P90" i="3"/>
  <c r="J72" i="3"/>
  <c r="R68" i="3"/>
  <c r="Q64" i="3"/>
  <c r="AG49" i="3"/>
  <c r="K75" i="3"/>
  <c r="AJ56" i="3"/>
  <c r="AJ93" i="3"/>
  <c r="I79" i="3"/>
  <c r="G46" i="2"/>
  <c r="AC27" i="3"/>
  <c r="K55" i="2"/>
  <c r="J48" i="2"/>
  <c r="D71" i="2"/>
  <c r="H106" i="2"/>
  <c r="N79" i="2"/>
  <c r="AL10" i="3"/>
  <c r="AB14" i="3"/>
  <c r="U80" i="2"/>
  <c r="P25" i="3"/>
  <c r="E94" i="2"/>
  <c r="AO9" i="3"/>
  <c r="R95" i="2"/>
  <c r="G54" i="2"/>
  <c r="L31" i="3"/>
  <c r="AE26" i="3"/>
  <c r="G66" i="2"/>
  <c r="I12" i="3"/>
  <c r="V89" i="2"/>
  <c r="R90" i="2"/>
  <c r="Z10" i="3"/>
  <c r="N22" i="3"/>
  <c r="W42" i="2"/>
  <c r="AB50" i="3"/>
  <c r="V11" i="3"/>
  <c r="M108" i="2"/>
  <c r="N69" i="2"/>
  <c r="AP39" i="3"/>
  <c r="C46" i="2"/>
  <c r="R106" i="2"/>
  <c r="U24" i="3"/>
  <c r="V20" i="3"/>
  <c r="H79" i="2"/>
  <c r="T17" i="3"/>
  <c r="M27" i="3"/>
  <c r="N18" i="3"/>
  <c r="T14" i="3"/>
  <c r="J75" i="2"/>
  <c r="X16" i="3"/>
  <c r="K25" i="3"/>
  <c r="G42" i="2"/>
  <c r="R52" i="2"/>
  <c r="S49" i="2"/>
  <c r="Z31" i="3"/>
  <c r="O73" i="2"/>
  <c r="AM23" i="3"/>
  <c r="T19" i="3"/>
  <c r="AA20" i="3"/>
  <c r="W81" i="2"/>
  <c r="K111" i="2"/>
  <c r="C11" i="3"/>
  <c r="AQ20" i="3"/>
  <c r="R22" i="3"/>
  <c r="C8" i="3"/>
  <c r="AJ35" i="3"/>
  <c r="F90" i="2"/>
  <c r="S24" i="3"/>
  <c r="AO32" i="3"/>
  <c r="N11" i="3"/>
  <c r="T71" i="2"/>
  <c r="I69" i="2"/>
  <c r="V70" i="2"/>
  <c r="AB9" i="3"/>
  <c r="I10" i="3"/>
  <c r="T31" i="3"/>
  <c r="X104" i="2"/>
  <c r="AO37" i="3"/>
  <c r="AO13" i="3"/>
  <c r="AJ25" i="3"/>
  <c r="Y6" i="3"/>
  <c r="P56" i="2"/>
  <c r="E112" i="2"/>
  <c r="AP82" i="3"/>
  <c r="AN18" i="3"/>
  <c r="I55" i="3"/>
  <c r="Q97" i="3"/>
  <c r="F104" i="2"/>
  <c r="V112" i="2"/>
  <c r="AP36" i="3"/>
  <c r="S5" i="3"/>
  <c r="M69" i="2"/>
  <c r="AP56" i="3"/>
  <c r="G39" i="3"/>
  <c r="M54" i="2"/>
  <c r="M63" i="2"/>
  <c r="AH7" i="3"/>
  <c r="I78" i="2"/>
  <c r="W106" i="2"/>
  <c r="M57" i="2"/>
  <c r="M72" i="2"/>
  <c r="AM21" i="3"/>
  <c r="W50" i="2"/>
  <c r="E66" i="2"/>
  <c r="AP95" i="3"/>
  <c r="R37" i="3"/>
  <c r="L93" i="2"/>
  <c r="L92" i="2"/>
  <c r="E74" i="2"/>
  <c r="M32" i="3"/>
  <c r="E75" i="2"/>
  <c r="E55" i="2"/>
  <c r="AL33" i="3"/>
  <c r="P24" i="3"/>
  <c r="X46" i="2"/>
  <c r="D53" i="2"/>
  <c r="C52" i="2"/>
  <c r="Y11" i="3"/>
  <c r="T59" i="2"/>
  <c r="J108" i="2"/>
  <c r="AB60" i="3"/>
  <c r="O56" i="2"/>
  <c r="V111" i="2"/>
  <c r="AP81" i="3"/>
  <c r="AA10" i="3"/>
  <c r="X93" i="2"/>
  <c r="Q60" i="2"/>
  <c r="J34" i="3"/>
  <c r="X20" i="3"/>
  <c r="H78" i="2"/>
  <c r="M70" i="2"/>
  <c r="Y25" i="3"/>
  <c r="P51" i="2"/>
  <c r="Q81" i="2"/>
  <c r="T55" i="2"/>
  <c r="D46" i="2"/>
  <c r="M34" i="3"/>
  <c r="O17" i="3"/>
  <c r="I46" i="2"/>
  <c r="AC16" i="3"/>
  <c r="T108" i="2"/>
  <c r="S85" i="2"/>
  <c r="AB41" i="3"/>
  <c r="H83" i="2"/>
  <c r="H36" i="3"/>
  <c r="E44" i="2"/>
  <c r="C64" i="2"/>
  <c r="H55" i="2"/>
  <c r="I42" i="3"/>
  <c r="N78" i="2"/>
  <c r="H47" i="2"/>
  <c r="Z28" i="3"/>
  <c r="J107" i="2"/>
  <c r="M41" i="2"/>
  <c r="Y40" i="3"/>
  <c r="H16" i="3"/>
  <c r="M45" i="2"/>
  <c r="P50" i="2"/>
  <c r="R74" i="2"/>
  <c r="AP59" i="3"/>
  <c r="AC5" i="3"/>
  <c r="F94" i="2"/>
  <c r="W76" i="2"/>
  <c r="Q29" i="3"/>
  <c r="AM15" i="3"/>
  <c r="P95" i="2"/>
  <c r="G95" i="2"/>
  <c r="AP64" i="3"/>
  <c r="AM29" i="3"/>
  <c r="S89" i="2"/>
  <c r="G74" i="2"/>
  <c r="AN34" i="3"/>
  <c r="I67" i="2"/>
  <c r="V67" i="2"/>
  <c r="W107" i="2"/>
  <c r="AB96" i="3"/>
  <c r="AJ13" i="3"/>
  <c r="X64" i="2"/>
  <c r="U93" i="2"/>
  <c r="C12" i="3"/>
  <c r="S99" i="2"/>
  <c r="P58" i="2"/>
  <c r="C19" i="3"/>
  <c r="C81" i="2"/>
  <c r="G52" i="2"/>
  <c r="N15" i="3"/>
  <c r="U39" i="3"/>
  <c r="J62" i="2"/>
  <c r="O72" i="2"/>
  <c r="AB82" i="3"/>
  <c r="X21" i="3"/>
  <c r="Q49" i="2"/>
  <c r="V108" i="2"/>
  <c r="R58" i="2"/>
  <c r="T70" i="2"/>
  <c r="AQ12" i="3"/>
  <c r="F63" i="2"/>
  <c r="Z15" i="3"/>
  <c r="AD31" i="3"/>
  <c r="I7" i="3"/>
  <c r="K57" i="2"/>
  <c r="AL12" i="3"/>
  <c r="C53" i="2"/>
  <c r="R92" i="2"/>
  <c r="X28" i="3"/>
  <c r="P105" i="2"/>
  <c r="L76" i="2"/>
  <c r="AJ17" i="3"/>
  <c r="U58" i="2"/>
  <c r="L42" i="2"/>
  <c r="C30" i="3"/>
  <c r="K93" i="2"/>
  <c r="F54" i="2"/>
  <c r="W18" i="3"/>
  <c r="M106" i="2"/>
  <c r="W109" i="2"/>
  <c r="AB93" i="3"/>
  <c r="AK13" i="3"/>
  <c r="P107" i="2"/>
  <c r="T96" i="2"/>
  <c r="S63" i="2"/>
  <c r="I40" i="2"/>
  <c r="Y30" i="3"/>
  <c r="O89" i="2"/>
  <c r="P89" i="2"/>
  <c r="N5" i="3"/>
  <c r="L40" i="3"/>
  <c r="W75" i="2"/>
  <c r="I96" i="2"/>
  <c r="M111" i="2"/>
  <c r="AI32" i="3"/>
  <c r="Q109" i="2"/>
  <c r="O64" i="2"/>
  <c r="K35" i="3"/>
  <c r="U79" i="2"/>
  <c r="V76" i="2"/>
  <c r="W68" i="2"/>
  <c r="H97" i="2"/>
  <c r="AI28" i="3"/>
  <c r="F78" i="2"/>
  <c r="O92" i="2"/>
  <c r="G37" i="3"/>
  <c r="G58" i="2"/>
  <c r="M58" i="2"/>
  <c r="AQ8" i="3"/>
  <c r="M40" i="2"/>
  <c r="H85" i="2"/>
  <c r="AP71" i="3"/>
  <c r="S23" i="3"/>
  <c r="E62" i="2"/>
  <c r="H81" i="2"/>
  <c r="H76" i="2"/>
  <c r="C9" i="3"/>
  <c r="J53" i="2"/>
  <c r="W78" i="2"/>
  <c r="W71" i="2"/>
  <c r="G80" i="2"/>
  <c r="O18" i="3"/>
  <c r="O77" i="2"/>
  <c r="AP88" i="3"/>
  <c r="AK38" i="3"/>
  <c r="I22" i="3"/>
  <c r="L57" i="2"/>
  <c r="H25" i="3"/>
  <c r="G73" i="2"/>
  <c r="R41" i="2"/>
  <c r="K13" i="3"/>
  <c r="AB40" i="3"/>
  <c r="T104" i="2"/>
  <c r="V95" i="2"/>
  <c r="U6" i="3"/>
  <c r="P113" i="2"/>
  <c r="J99" i="2"/>
  <c r="AP50" i="3"/>
  <c r="AH32" i="3"/>
  <c r="L55" i="2"/>
  <c r="R94" i="2"/>
  <c r="AJ14" i="3"/>
  <c r="G106" i="2"/>
  <c r="V63" i="2"/>
  <c r="Z34" i="3"/>
  <c r="S6" i="3"/>
  <c r="C74" i="2"/>
  <c r="J61" i="2"/>
  <c r="F51" i="2"/>
  <c r="H41" i="3"/>
  <c r="Z7" i="3"/>
  <c r="I62" i="2"/>
  <c r="X80" i="2"/>
  <c r="AO34" i="3"/>
  <c r="E90" i="2"/>
  <c r="I74" i="2"/>
  <c r="V69" i="2"/>
  <c r="AL27" i="3"/>
  <c r="O25" i="3"/>
  <c r="U56" i="2"/>
  <c r="W79" i="2"/>
  <c r="P21" i="3"/>
  <c r="G45" i="2"/>
  <c r="S106" i="2"/>
  <c r="W61" i="2"/>
  <c r="AJ31" i="3"/>
  <c r="N9" i="3"/>
  <c r="H105" i="2"/>
  <c r="F85" i="2"/>
  <c r="I15" i="3"/>
  <c r="S78" i="2"/>
  <c r="N54" i="2"/>
  <c r="O9" i="3"/>
  <c r="P46" i="2"/>
  <c r="G50" i="2"/>
  <c r="Q16" i="3"/>
  <c r="AL18" i="3"/>
  <c r="L63" i="2"/>
  <c r="E111" i="2"/>
  <c r="W28" i="3"/>
  <c r="I24" i="3"/>
  <c r="R61" i="2"/>
  <c r="D94" i="2"/>
  <c r="X82" i="2"/>
  <c r="E96" i="2"/>
  <c r="N90" i="2"/>
  <c r="I33" i="3"/>
  <c r="E110" i="2"/>
  <c r="AN21" i="3"/>
  <c r="S58" i="2"/>
  <c r="AH26" i="3"/>
  <c r="C41" i="2"/>
  <c r="T112" i="2"/>
  <c r="W92" i="2"/>
  <c r="J7" i="3"/>
  <c r="X75" i="2"/>
  <c r="J105" i="2"/>
  <c r="K29" i="3"/>
  <c r="AG20" i="3"/>
  <c r="L95" i="2"/>
  <c r="J82" i="2"/>
  <c r="S61" i="2"/>
  <c r="V12" i="3"/>
  <c r="D109" i="2"/>
  <c r="S93" i="2"/>
  <c r="M17" i="3"/>
  <c r="AC26" i="3"/>
  <c r="V41" i="3"/>
  <c r="I66" i="2"/>
  <c r="D57" i="2"/>
  <c r="L8" i="3"/>
  <c r="O69" i="2"/>
  <c r="W89" i="2"/>
  <c r="AO16" i="3"/>
  <c r="X74" i="2"/>
  <c r="AN10" i="3"/>
  <c r="F87" i="2"/>
  <c r="I93" i="2"/>
  <c r="L16" i="3"/>
  <c r="N36" i="3"/>
  <c r="I55" i="2"/>
  <c r="U15" i="3"/>
  <c r="M73" i="2"/>
  <c r="AQ33" i="3"/>
  <c r="D108" i="2"/>
  <c r="V81" i="2"/>
  <c r="AJ30" i="3"/>
  <c r="P26" i="3"/>
  <c r="L90" i="2"/>
  <c r="O20" i="3"/>
  <c r="M56" i="2"/>
  <c r="AQ25" i="3"/>
  <c r="C72" i="2"/>
  <c r="I75" i="2"/>
  <c r="V25" i="3"/>
  <c r="K51" i="2"/>
  <c r="V99" i="2"/>
  <c r="AN29" i="3"/>
  <c r="V49" i="2"/>
  <c r="L99" i="2"/>
  <c r="AH36" i="3"/>
  <c r="Q20" i="3"/>
  <c r="S111" i="2"/>
  <c r="V47" i="2"/>
  <c r="H15" i="3"/>
  <c r="Q63" i="2"/>
  <c r="S83" i="2"/>
  <c r="H40" i="3"/>
  <c r="V84" i="2"/>
  <c r="L73" i="2"/>
  <c r="AC10" i="3"/>
  <c r="G113" i="2"/>
  <c r="AM28" i="3"/>
  <c r="K58" i="2"/>
  <c r="N7" i="3"/>
  <c r="H110" i="2"/>
  <c r="D107" i="2"/>
  <c r="V62" i="2"/>
  <c r="Y31" i="3"/>
  <c r="W65" i="2"/>
  <c r="J44" i="2"/>
  <c r="AH42" i="3"/>
  <c r="M42" i="3"/>
  <c r="T84" i="2"/>
  <c r="U63" i="2"/>
  <c r="X60" i="2"/>
  <c r="AA36" i="3"/>
  <c r="I64" i="2"/>
  <c r="U109" i="2"/>
  <c r="W22" i="3"/>
  <c r="AB36" i="3"/>
  <c r="AG10" i="3"/>
  <c r="C60" i="2"/>
  <c r="O95" i="2"/>
  <c r="X76" i="2"/>
  <c r="T27" i="3"/>
  <c r="AB94" i="3"/>
  <c r="V26" i="3"/>
  <c r="I85" i="2"/>
  <c r="AK5" i="3"/>
  <c r="H89" i="2"/>
  <c r="W36" i="3"/>
  <c r="J78" i="2"/>
  <c r="M79" i="2"/>
  <c r="AL31" i="3"/>
  <c r="H26" i="3"/>
  <c r="N84" i="2"/>
  <c r="H69" i="2"/>
  <c r="N41" i="2"/>
  <c r="AP16" i="3"/>
  <c r="R44" i="2"/>
  <c r="L60" i="2"/>
  <c r="X27" i="3"/>
  <c r="L13" i="3"/>
  <c r="AC23" i="3"/>
  <c r="D60" i="2"/>
  <c r="K99" i="2"/>
  <c r="AK30" i="3"/>
  <c r="F40" i="2"/>
  <c r="N43" i="2"/>
  <c r="K113" i="2"/>
  <c r="AB61" i="3"/>
  <c r="AA18" i="3"/>
  <c r="R108" i="2"/>
  <c r="I79" i="2"/>
  <c r="R42" i="3"/>
  <c r="I30" i="3"/>
  <c r="C66" i="2"/>
  <c r="C27" i="3"/>
  <c r="Q80" i="2"/>
  <c r="Q28" i="3"/>
  <c r="R79" i="2"/>
  <c r="Q72" i="2"/>
  <c r="J18" i="3"/>
  <c r="AQ16" i="3"/>
  <c r="I91" i="2"/>
  <c r="AL26" i="3"/>
  <c r="F97" i="2"/>
  <c r="AD22" i="3"/>
  <c r="F106" i="2"/>
  <c r="P92" i="2"/>
  <c r="AC9" i="3"/>
  <c r="AB85" i="3"/>
  <c r="X48" i="2"/>
  <c r="AO12" i="3"/>
  <c r="H74" i="2"/>
  <c r="P60" i="2"/>
  <c r="L20" i="3"/>
  <c r="C18" i="3"/>
  <c r="AC42" i="3"/>
  <c r="P49" i="2"/>
  <c r="AI37" i="3"/>
  <c r="AI19" i="3"/>
  <c r="AB17" i="3"/>
  <c r="M5" i="3"/>
  <c r="C97" i="2"/>
  <c r="G49" i="3"/>
  <c r="G109" i="2"/>
  <c r="M83" i="2"/>
  <c r="C42" i="2"/>
  <c r="AB18" i="3"/>
  <c r="S82" i="2"/>
  <c r="C106" i="2"/>
  <c r="AE9" i="3"/>
  <c r="Z21" i="3"/>
  <c r="M93" i="2"/>
  <c r="W108" i="2"/>
  <c r="I65" i="2"/>
  <c r="AI11" i="3"/>
  <c r="E109" i="2"/>
  <c r="X69" i="2"/>
  <c r="T23" i="3"/>
  <c r="U23" i="3"/>
  <c r="R25" i="3"/>
  <c r="D62" i="2"/>
  <c r="H82" i="2"/>
  <c r="S32" i="3"/>
  <c r="J92" i="2"/>
  <c r="K72" i="2"/>
  <c r="W10" i="3"/>
  <c r="K85" i="2"/>
  <c r="AN38" i="3"/>
  <c r="T72" i="2"/>
  <c r="V91" i="2"/>
  <c r="J8" i="3"/>
  <c r="AP40" i="3"/>
  <c r="H62" i="2"/>
  <c r="AP87" i="3"/>
  <c r="I59" i="2"/>
  <c r="AB24" i="3"/>
  <c r="S77" i="2"/>
  <c r="L80" i="2"/>
  <c r="AC22" i="3"/>
  <c r="K31" i="3"/>
  <c r="R53" i="2"/>
  <c r="W19" i="3"/>
  <c r="M51" i="2"/>
  <c r="R27" i="3"/>
  <c r="O82" i="2"/>
  <c r="R107" i="2"/>
  <c r="J27" i="3"/>
  <c r="K62" i="2"/>
  <c r="U94" i="2"/>
  <c r="AA5" i="3"/>
  <c r="G90" i="2"/>
  <c r="M95" i="2"/>
  <c r="AO21" i="3"/>
  <c r="Y10" i="3"/>
  <c r="P82" i="2"/>
  <c r="L56" i="2"/>
  <c r="AI27" i="3"/>
  <c r="M110" i="2"/>
  <c r="U59" i="2"/>
  <c r="AG7" i="3"/>
  <c r="K104" i="2"/>
  <c r="O45" i="2"/>
  <c r="AA16" i="3"/>
  <c r="V33" i="3"/>
  <c r="C69" i="2"/>
  <c r="K38" i="3"/>
  <c r="AI36" i="3"/>
  <c r="AG26" i="3"/>
  <c r="AJ26" i="3"/>
  <c r="M60" i="2"/>
  <c r="S104" i="2"/>
  <c r="X51" i="2"/>
  <c r="AL36" i="3"/>
  <c r="X30" i="3"/>
  <c r="Y21" i="3"/>
  <c r="O90" i="2"/>
  <c r="AP83" i="3"/>
  <c r="R38" i="3"/>
  <c r="Q71" i="2"/>
  <c r="S107" i="2"/>
  <c r="V32" i="3"/>
  <c r="F74" i="2"/>
  <c r="X88" i="2"/>
  <c r="T11" i="3"/>
  <c r="R46" i="2"/>
  <c r="D95" i="2"/>
  <c r="AG28" i="3"/>
  <c r="AG41" i="3"/>
  <c r="T73" i="2"/>
  <c r="X31" i="3"/>
  <c r="H33" i="3"/>
  <c r="L78" i="2"/>
  <c r="E88" i="2"/>
  <c r="U9" i="3"/>
  <c r="O54" i="2"/>
  <c r="X111" i="2"/>
  <c r="R30" i="3"/>
  <c r="Q8" i="3"/>
  <c r="K68" i="2"/>
  <c r="AA12" i="3"/>
  <c r="R73" i="2"/>
  <c r="AQ26" i="3"/>
  <c r="F71" i="2"/>
  <c r="W29" i="3"/>
  <c r="AI35" i="3"/>
  <c r="T63" i="2"/>
  <c r="L34" i="3"/>
  <c r="D81" i="2"/>
  <c r="S97" i="2"/>
  <c r="K20" i="3"/>
  <c r="I21" i="3"/>
  <c r="X71" i="2"/>
  <c r="X26" i="3"/>
  <c r="AP49" i="3"/>
  <c r="L66" i="2"/>
  <c r="Y7" i="3"/>
  <c r="W49" i="2"/>
  <c r="N47" i="2"/>
  <c r="G71" i="2"/>
  <c r="P9" i="3"/>
  <c r="AA38" i="3"/>
  <c r="Z18" i="3"/>
  <c r="Q26" i="3"/>
  <c r="N31" i="3"/>
  <c r="H21" i="3"/>
  <c r="Q7" i="3"/>
  <c r="AE27" i="3"/>
  <c r="W8" i="3"/>
  <c r="AG21" i="3"/>
  <c r="K39" i="3"/>
  <c r="AP54" i="3"/>
  <c r="AJ57" i="3"/>
  <c r="P78" i="3"/>
  <c r="Q62" i="3"/>
  <c r="P94" i="3"/>
  <c r="P75" i="3"/>
  <c r="AL9" i="3"/>
  <c r="H19" i="3"/>
  <c r="AQ21" i="3"/>
  <c r="Q73" i="2"/>
  <c r="P10" i="3"/>
  <c r="J54" i="2"/>
  <c r="AN40" i="3"/>
  <c r="N66" i="2"/>
  <c r="M15" i="3"/>
  <c r="S76" i="2"/>
  <c r="L33" i="3"/>
  <c r="J93" i="2"/>
  <c r="AG27" i="3"/>
  <c r="D93" i="2"/>
  <c r="L5" i="3"/>
  <c r="D97" i="2"/>
  <c r="AK16" i="3"/>
  <c r="F60" i="2"/>
  <c r="V7" i="3"/>
  <c r="X87" i="2"/>
  <c r="AL21" i="3"/>
  <c r="R21" i="3"/>
  <c r="AG35" i="3"/>
  <c r="AQ66" i="3"/>
  <c r="J77" i="3"/>
  <c r="Q91" i="3"/>
  <c r="R91" i="3"/>
  <c r="Q65" i="3"/>
  <c r="Q50" i="3"/>
  <c r="R65" i="3"/>
  <c r="AK91" i="3"/>
  <c r="AQ47" i="3"/>
  <c r="J81" i="3"/>
  <c r="AL88" i="3"/>
  <c r="N92" i="3"/>
  <c r="R94" i="3"/>
  <c r="L83" i="3"/>
  <c r="AA69" i="3"/>
  <c r="N85" i="3"/>
  <c r="AC93" i="3"/>
  <c r="R85" i="3"/>
  <c r="P91" i="2"/>
  <c r="AM35" i="3"/>
  <c r="AE6" i="3"/>
  <c r="AJ32" i="3"/>
  <c r="Y27" i="3"/>
  <c r="Y15" i="3"/>
  <c r="T52" i="2"/>
  <c r="G87" i="2"/>
  <c r="M109" i="2"/>
  <c r="X107" i="2"/>
  <c r="AM37" i="3"/>
  <c r="Q31" i="3"/>
  <c r="I32" i="3"/>
  <c r="C57" i="2"/>
  <c r="L32" i="3"/>
  <c r="J32" i="3"/>
  <c r="C51" i="2"/>
  <c r="E91" i="2"/>
  <c r="U42" i="3"/>
  <c r="S54" i="2"/>
  <c r="J85" i="2"/>
  <c r="U25" i="3"/>
  <c r="X50" i="2"/>
  <c r="X43" i="2"/>
  <c r="I13" i="3"/>
  <c r="H8" i="3"/>
  <c r="C73" i="2"/>
  <c r="AG37" i="3"/>
  <c r="M40" i="3"/>
  <c r="N20" i="3"/>
  <c r="J51" i="2"/>
  <c r="AN42" i="3"/>
  <c r="L48" i="2"/>
  <c r="F45" i="2"/>
  <c r="AK9" i="3"/>
  <c r="X19" i="3"/>
  <c r="W110" i="2"/>
  <c r="J21" i="3"/>
  <c r="K77" i="2"/>
  <c r="Y42" i="3"/>
  <c r="M99" i="2"/>
  <c r="AI5" i="3"/>
  <c r="E95" i="2"/>
  <c r="V16" i="3"/>
  <c r="AA24" i="3"/>
  <c r="G57" i="2"/>
  <c r="J69" i="2"/>
  <c r="S15" i="3"/>
  <c r="AD39" i="3"/>
  <c r="P70" i="2"/>
  <c r="Q14" i="3"/>
  <c r="AK29" i="3"/>
  <c r="F93" i="2"/>
  <c r="X112" i="2"/>
  <c r="I87" i="2"/>
  <c r="AC32" i="3"/>
  <c r="P72" i="2"/>
  <c r="M36" i="3"/>
  <c r="N45" i="2"/>
  <c r="AG22" i="3"/>
  <c r="C14" i="3"/>
  <c r="E82" i="2"/>
  <c r="X25" i="3"/>
  <c r="Z11" i="3"/>
  <c r="D49" i="3"/>
  <c r="J71" i="2"/>
  <c r="AQ40" i="3"/>
  <c r="AC29" i="3"/>
  <c r="C25" i="3"/>
  <c r="I86" i="2"/>
  <c r="P14" i="3"/>
  <c r="W39" i="3"/>
  <c r="U45" i="2"/>
  <c r="Z41" i="3"/>
  <c r="AP34" i="3"/>
  <c r="AQ94" i="3"/>
  <c r="AL47" i="3"/>
  <c r="Q89" i="3"/>
  <c r="AC65" i="3"/>
  <c r="AA81" i="3"/>
  <c r="AA58" i="3"/>
  <c r="AQ70" i="3"/>
  <c r="AL62" i="3"/>
  <c r="AC47" i="3"/>
  <c r="AL60" i="3"/>
  <c r="AK92" i="3"/>
  <c r="AG58" i="3"/>
  <c r="J91" i="3"/>
  <c r="Q68" i="3"/>
  <c r="AC86" i="3"/>
  <c r="S83" i="3"/>
  <c r="L56" i="3"/>
  <c r="AI77" i="3"/>
  <c r="I72" i="3"/>
  <c r="N88" i="3"/>
  <c r="L67" i="3"/>
  <c r="R80" i="3"/>
  <c r="M75" i="3"/>
  <c r="AJ86" i="3"/>
  <c r="AC88" i="3"/>
  <c r="AK65" i="3"/>
  <c r="AI88" i="3"/>
  <c r="G47" i="2"/>
  <c r="AC24" i="3"/>
  <c r="X59" i="2"/>
  <c r="Y35" i="3"/>
  <c r="AJ7" i="3"/>
  <c r="X42" i="3"/>
  <c r="AE38" i="3"/>
  <c r="E48" i="2"/>
  <c r="X45" i="2"/>
  <c r="M68" i="2"/>
  <c r="S42" i="2"/>
  <c r="M39" i="3"/>
  <c r="AJ21" i="3"/>
  <c r="L53" i="2"/>
  <c r="AE10" i="3"/>
  <c r="AD25" i="3"/>
  <c r="S31" i="3"/>
  <c r="F56" i="2"/>
  <c r="J109" i="2"/>
  <c r="AD37" i="3"/>
  <c r="H67" i="2"/>
  <c r="L17" i="3"/>
  <c r="P79" i="2"/>
  <c r="H58" i="2"/>
  <c r="AL22" i="3"/>
  <c r="AH18" i="3"/>
  <c r="C49" i="2"/>
  <c r="AC37" i="3"/>
  <c r="AP38" i="3"/>
  <c r="AN24" i="3"/>
  <c r="M67" i="2"/>
  <c r="V5" i="3"/>
  <c r="J47" i="2"/>
  <c r="E87" i="2"/>
  <c r="U28" i="3"/>
  <c r="C35" i="3"/>
  <c r="W86" i="2"/>
  <c r="AL40" i="3"/>
  <c r="V83" i="2"/>
  <c r="Z16" i="3"/>
  <c r="F72" i="2"/>
  <c r="W7" i="3"/>
  <c r="N68" i="2"/>
  <c r="AD24" i="3"/>
  <c r="AP21" i="3"/>
  <c r="C43" i="2"/>
  <c r="V46" i="2"/>
  <c r="L21" i="3"/>
  <c r="C23" i="3"/>
  <c r="S84" i="2"/>
  <c r="AM10" i="3"/>
  <c r="L30" i="3"/>
  <c r="O5" i="3"/>
  <c r="R40" i="3"/>
  <c r="Q86" i="2"/>
  <c r="AD49" i="3"/>
  <c r="L62" i="2"/>
  <c r="S86" i="2"/>
  <c r="G97" i="2"/>
  <c r="N88" i="2"/>
  <c r="Q17" i="3"/>
  <c r="O107" i="2"/>
  <c r="AQ42" i="3"/>
  <c r="Y8" i="3"/>
  <c r="H42" i="2"/>
  <c r="O57" i="2"/>
  <c r="AE17" i="3"/>
  <c r="Q23" i="3"/>
  <c r="AI14" i="3"/>
  <c r="O110" i="2"/>
  <c r="AH12" i="3"/>
  <c r="AG29" i="3"/>
  <c r="V94" i="2"/>
  <c r="C4" i="3"/>
  <c r="S40" i="3"/>
  <c r="L94" i="3"/>
  <c r="AQ91" i="3"/>
  <c r="J92" i="3"/>
  <c r="R83" i="3"/>
  <c r="R47" i="3"/>
  <c r="O59" i="3"/>
  <c r="S92" i="3"/>
  <c r="Q56" i="3"/>
  <c r="AJ78" i="3"/>
  <c r="I61" i="3"/>
  <c r="I97" i="3"/>
  <c r="P63" i="3"/>
  <c r="Q87" i="3"/>
  <c r="AG81" i="3"/>
  <c r="Q88" i="3"/>
  <c r="AK89" i="3"/>
  <c r="AQ85" i="3"/>
  <c r="AC66" i="3"/>
  <c r="K66" i="3"/>
  <c r="S62" i="3"/>
  <c r="V78" i="3"/>
  <c r="N79" i="3"/>
  <c r="AJ88" i="3"/>
  <c r="O63" i="3"/>
  <c r="AQ62" i="3"/>
  <c r="N48" i="3"/>
  <c r="AJ95" i="3"/>
  <c r="AI83" i="3"/>
  <c r="AQ73" i="3"/>
  <c r="R87" i="3"/>
  <c r="R67" i="3"/>
  <c r="V54" i="3"/>
  <c r="AG57" i="3"/>
  <c r="AA61" i="3"/>
  <c r="AG89" i="3"/>
  <c r="Q59" i="3"/>
  <c r="AJ90" i="3"/>
  <c r="L90" i="3"/>
  <c r="K91" i="3"/>
  <c r="AL55" i="3"/>
  <c r="AC71" i="3"/>
  <c r="AG83" i="3"/>
  <c r="AA67" i="3"/>
  <c r="R73" i="3"/>
  <c r="AK86" i="3"/>
  <c r="K61" i="3"/>
  <c r="J78" i="3"/>
  <c r="AG55" i="3"/>
  <c r="S74" i="3"/>
  <c r="J89" i="3"/>
  <c r="P88" i="3"/>
  <c r="I86" i="3"/>
  <c r="AC61" i="3"/>
  <c r="L65" i="3"/>
  <c r="M84" i="3"/>
  <c r="AG75" i="3"/>
  <c r="AQ74" i="3"/>
  <c r="N47" i="3"/>
  <c r="O68" i="3"/>
  <c r="O67" i="3"/>
  <c r="R56" i="3"/>
  <c r="J65" i="3"/>
  <c r="AC87" i="3"/>
  <c r="J60" i="3"/>
  <c r="P72" i="3"/>
  <c r="P87" i="3"/>
  <c r="Q54" i="3"/>
  <c r="V94" i="3"/>
  <c r="V48" i="3"/>
  <c r="AK77" i="3"/>
  <c r="S90" i="3"/>
  <c r="P84" i="3"/>
  <c r="AJ49" i="3"/>
  <c r="AJ76" i="3"/>
  <c r="AG84" i="3"/>
  <c r="N61" i="3"/>
  <c r="J47" i="3"/>
  <c r="AQ96" i="3"/>
  <c r="AI91" i="3"/>
  <c r="V59" i="3"/>
  <c r="O97" i="3"/>
  <c r="AI84" i="3"/>
  <c r="I49" i="3"/>
  <c r="N91" i="3"/>
  <c r="O57" i="3"/>
  <c r="K47" i="3"/>
  <c r="AG67" i="3"/>
  <c r="N57" i="3"/>
  <c r="M56" i="3"/>
  <c r="P82" i="3"/>
  <c r="Q72" i="3"/>
  <c r="J62" i="3"/>
  <c r="K74" i="3"/>
  <c r="K90" i="3"/>
  <c r="AG68" i="3"/>
  <c r="R49" i="3"/>
  <c r="AQ93" i="3"/>
  <c r="P76" i="3"/>
  <c r="V88" i="3"/>
  <c r="AI79" i="3"/>
  <c r="P95" i="3"/>
  <c r="AC84" i="3"/>
  <c r="R64" i="3"/>
  <c r="AK93" i="3"/>
  <c r="K94" i="3"/>
  <c r="J70" i="3"/>
  <c r="V64" i="3"/>
  <c r="AK60" i="3"/>
  <c r="V86" i="3"/>
  <c r="AL81" i="3"/>
  <c r="AQ63" i="3"/>
  <c r="AK50" i="3"/>
  <c r="AL95" i="3"/>
  <c r="K84" i="3"/>
  <c r="L91" i="3"/>
  <c r="AI47" i="3"/>
  <c r="V76" i="3"/>
  <c r="V77" i="3"/>
  <c r="O76" i="3"/>
  <c r="O56" i="3"/>
  <c r="O79" i="3"/>
  <c r="AA19" i="3"/>
  <c r="O15" i="3"/>
  <c r="AL57" i="3"/>
  <c r="AL54" i="3"/>
  <c r="Q83" i="3"/>
  <c r="Q71" i="3"/>
  <c r="J76" i="3"/>
  <c r="K60" i="3"/>
  <c r="L47" i="2"/>
  <c r="S80" i="2"/>
  <c r="O50" i="2"/>
  <c r="AG32" i="3"/>
  <c r="O74" i="2"/>
  <c r="N111" i="2"/>
  <c r="U65" i="2"/>
  <c r="AG6" i="3"/>
  <c r="Y5" i="3"/>
  <c r="I18" i="3"/>
  <c r="D73" i="2"/>
  <c r="X11" i="3"/>
  <c r="Q11" i="3"/>
  <c r="M18" i="3"/>
  <c r="AB66" i="3"/>
  <c r="G36" i="3"/>
  <c r="S37" i="3"/>
  <c r="N14" i="3"/>
  <c r="W6" i="3"/>
  <c r="L24" i="3"/>
  <c r="T38" i="3"/>
  <c r="V10" i="3"/>
  <c r="Y47" i="3"/>
  <c r="Q75" i="3"/>
  <c r="AQ95" i="3"/>
  <c r="AQ84" i="3"/>
  <c r="AG64" i="3"/>
  <c r="R55" i="3"/>
  <c r="AJ68" i="3"/>
  <c r="Q49" i="3"/>
  <c r="K80" i="3"/>
  <c r="K79" i="3"/>
  <c r="P54" i="3"/>
  <c r="AA48" i="3"/>
  <c r="AC92" i="3"/>
  <c r="R93" i="3"/>
  <c r="K50" i="3"/>
  <c r="AC96" i="3"/>
  <c r="R81" i="3"/>
  <c r="O63" i="2"/>
  <c r="V58" i="2"/>
  <c r="D40" i="2"/>
  <c r="I60" i="2"/>
  <c r="N65" i="2"/>
  <c r="F42" i="2"/>
  <c r="R76" i="2"/>
  <c r="AA31" i="3"/>
  <c r="Z13" i="3"/>
  <c r="L97" i="2"/>
  <c r="AN16" i="3"/>
  <c r="AI23" i="3"/>
  <c r="R109" i="2"/>
  <c r="G59" i="2"/>
  <c r="AD20" i="3"/>
  <c r="L12" i="3"/>
  <c r="Z23" i="3"/>
  <c r="X109" i="2"/>
  <c r="K45" i="2"/>
  <c r="J20" i="3"/>
  <c r="S95" i="2"/>
  <c r="M19" i="3"/>
  <c r="R57" i="2"/>
  <c r="Q51" i="2"/>
  <c r="V27" i="3"/>
  <c r="Q45" i="2"/>
  <c r="U67" i="2"/>
  <c r="AC17" i="3"/>
  <c r="Q85" i="2"/>
  <c r="AA37" i="3"/>
  <c r="AI6" i="3"/>
  <c r="AD29" i="3"/>
  <c r="K105" i="2"/>
  <c r="AB68" i="3"/>
  <c r="Y37" i="3"/>
  <c r="AL24" i="3"/>
  <c r="AH33" i="3"/>
  <c r="M62" i="2"/>
  <c r="L25" i="3"/>
  <c r="C26" i="3"/>
  <c r="J84" i="2"/>
  <c r="AG30" i="3"/>
  <c r="Q74" i="2"/>
  <c r="AP8" i="3"/>
  <c r="AQ11" i="3"/>
  <c r="O66" i="2"/>
  <c r="AH40" i="3"/>
  <c r="AH16" i="3"/>
  <c r="C34" i="3"/>
  <c r="F79" i="2"/>
  <c r="T15" i="3"/>
  <c r="Z5" i="3"/>
  <c r="AQ30" i="3"/>
  <c r="R75" i="2"/>
  <c r="I28" i="3"/>
  <c r="W17" i="3"/>
  <c r="AB95" i="3"/>
  <c r="AA39" i="3"/>
  <c r="X42" i="2"/>
  <c r="W54" i="2"/>
  <c r="F105" i="2"/>
  <c r="W111" i="2"/>
  <c r="U5" i="3"/>
  <c r="AB83" i="3"/>
  <c r="AB26" i="3"/>
  <c r="K84" i="2"/>
  <c r="S22" i="3"/>
  <c r="AL38" i="3"/>
  <c r="AK19" i="3"/>
  <c r="G94" i="2"/>
  <c r="P37" i="3"/>
  <c r="Y12" i="3"/>
  <c r="J77" i="2"/>
  <c r="AJ9" i="3"/>
  <c r="I110" i="2"/>
  <c r="AQ78" i="3"/>
  <c r="I77" i="3"/>
  <c r="U93" i="3"/>
  <c r="M64" i="3"/>
  <c r="M47" i="3"/>
  <c r="AJ63" i="3"/>
  <c r="AA49" i="3"/>
  <c r="M50" i="3"/>
  <c r="I71" i="3"/>
  <c r="I63" i="3"/>
  <c r="I76" i="3"/>
  <c r="P77" i="3"/>
  <c r="J85" i="3"/>
  <c r="AJ75" i="3"/>
  <c r="AJ61" i="3"/>
  <c r="AI54" i="3"/>
  <c r="K63" i="3"/>
  <c r="N77" i="3"/>
  <c r="R90" i="3"/>
  <c r="J86" i="3"/>
  <c r="I69" i="3"/>
  <c r="S91" i="3"/>
  <c r="Q78" i="3"/>
  <c r="N95" i="3"/>
  <c r="J48" i="3"/>
  <c r="S66" i="3"/>
  <c r="AJ59" i="3"/>
  <c r="I78" i="3"/>
  <c r="C93" i="2"/>
  <c r="M49" i="2"/>
  <c r="AP89" i="3"/>
  <c r="W83" i="2"/>
  <c r="E43" i="2"/>
  <c r="R98" i="2"/>
  <c r="R40" i="2"/>
  <c r="AG8" i="3"/>
  <c r="AE13" i="3"/>
  <c r="AJ38" i="3"/>
  <c r="E52" i="2"/>
  <c r="AH29" i="3"/>
  <c r="X73" i="2"/>
  <c r="P53" i="2"/>
  <c r="AB38" i="3"/>
  <c r="C13" i="3"/>
  <c r="AK6" i="3"/>
  <c r="AP84" i="3"/>
  <c r="P111" i="2"/>
  <c r="AK32" i="3"/>
  <c r="AB57" i="3"/>
  <c r="G34" i="3"/>
  <c r="H41" i="2"/>
  <c r="W112" i="2"/>
  <c r="AL15" i="3"/>
  <c r="N105" i="2"/>
  <c r="W69" i="2"/>
  <c r="AL34" i="3"/>
  <c r="S57" i="2"/>
  <c r="F84" i="2"/>
  <c r="AN31" i="3"/>
  <c r="AK28" i="3"/>
  <c r="D84" i="2"/>
  <c r="AP58" i="3"/>
  <c r="AE41" i="3"/>
  <c r="V14" i="3"/>
  <c r="AG17" i="3"/>
  <c r="M53" i="2"/>
  <c r="AH17" i="3"/>
  <c r="O40" i="3"/>
  <c r="D55" i="2"/>
  <c r="O86" i="2"/>
  <c r="E58" i="2"/>
  <c r="R6" i="3"/>
  <c r="F55" i="2"/>
  <c r="G42" i="3"/>
  <c r="AM30" i="3"/>
  <c r="O41" i="3"/>
  <c r="AK8" i="3"/>
  <c r="C40" i="2"/>
  <c r="AE22" i="3"/>
  <c r="K32" i="3"/>
  <c r="AD34" i="3"/>
  <c r="L40" i="2"/>
  <c r="X5" i="3"/>
  <c r="AO26" i="3"/>
  <c r="X12" i="3"/>
  <c r="Q42" i="3"/>
  <c r="J113" i="2"/>
  <c r="J68" i="2"/>
  <c r="C99" i="2"/>
  <c r="L79" i="2"/>
  <c r="AN39" i="3"/>
  <c r="I26" i="3"/>
  <c r="C10" i="3"/>
  <c r="X105" i="2"/>
  <c r="AM36" i="3"/>
  <c r="J40" i="3"/>
  <c r="W57" i="2"/>
  <c r="P45" i="2"/>
  <c r="J89" i="2"/>
  <c r="M14" i="3"/>
  <c r="F59" i="2"/>
  <c r="AI26" i="3"/>
  <c r="W37" i="3"/>
  <c r="AG85" i="3"/>
  <c r="P55" i="3"/>
  <c r="AC75" i="3"/>
  <c r="AI95" i="3"/>
  <c r="Q93" i="3"/>
  <c r="AA55" i="3"/>
  <c r="R82" i="3"/>
  <c r="AC85" i="3"/>
  <c r="X82" i="3"/>
  <c r="Q63" i="3"/>
  <c r="M80" i="3"/>
  <c r="O84" i="3"/>
  <c r="AC91" i="3"/>
  <c r="K95" i="3"/>
  <c r="J49" i="3"/>
  <c r="AC89" i="3"/>
  <c r="AL83" i="3"/>
  <c r="AL48" i="3"/>
  <c r="R74" i="3"/>
  <c r="AJ58" i="3"/>
  <c r="H70" i="3"/>
  <c r="J59" i="3"/>
  <c r="K72" i="3"/>
  <c r="N64" i="3"/>
  <c r="AI82" i="3"/>
  <c r="AI81" i="3"/>
  <c r="M54" i="3"/>
  <c r="H71" i="3"/>
  <c r="AQ86" i="3"/>
  <c r="X79" i="3"/>
  <c r="AG61" i="3"/>
  <c r="I81" i="3"/>
  <c r="K81" i="3"/>
  <c r="L80" i="3"/>
  <c r="M63" i="3"/>
  <c r="Y68" i="3"/>
  <c r="L59" i="3"/>
  <c r="Y87" i="3"/>
  <c r="I84" i="3"/>
  <c r="U86" i="3"/>
  <c r="L87" i="3"/>
  <c r="V58" i="3"/>
  <c r="Y83" i="3"/>
  <c r="AA63" i="3"/>
  <c r="L84" i="3"/>
  <c r="U74" i="3"/>
  <c r="AJ64" i="3"/>
  <c r="AC78" i="3"/>
  <c r="R71" i="3"/>
  <c r="AL75" i="3"/>
  <c r="X55" i="3"/>
  <c r="R77" i="3"/>
  <c r="AK57" i="3"/>
  <c r="X58" i="3"/>
  <c r="Q70" i="3"/>
  <c r="J61" i="3"/>
  <c r="M97" i="3"/>
  <c r="U83" i="3"/>
  <c r="X77" i="3"/>
  <c r="AC64" i="3"/>
  <c r="Z64" i="3"/>
  <c r="AJ69" i="3"/>
  <c r="AL89" i="3"/>
  <c r="AI49" i="3"/>
  <c r="AJ72" i="3"/>
  <c r="Z72" i="3"/>
  <c r="L60" i="3"/>
  <c r="Q60" i="3"/>
  <c r="X67" i="3"/>
  <c r="Y59" i="3"/>
  <c r="J94" i="3"/>
  <c r="K49" i="3"/>
  <c r="K69" i="3"/>
  <c r="Q48" i="3"/>
  <c r="V83" i="3"/>
  <c r="AK59" i="3"/>
  <c r="AQ71" i="3"/>
  <c r="AG50" i="3"/>
  <c r="O77" i="3"/>
  <c r="AI94" i="3"/>
  <c r="J73" i="3"/>
  <c r="Q58" i="3"/>
  <c r="AA97" i="3"/>
  <c r="AL86" i="3"/>
  <c r="U92" i="3"/>
  <c r="AG60" i="3"/>
  <c r="U82" i="3"/>
  <c r="O91" i="3"/>
  <c r="P68" i="3"/>
  <c r="Z79" i="3"/>
  <c r="M89" i="3"/>
  <c r="N76" i="3"/>
  <c r="H56" i="3"/>
  <c r="N73" i="3"/>
  <c r="X75" i="3"/>
  <c r="N71" i="3"/>
  <c r="S48" i="3"/>
  <c r="J80" i="3"/>
  <c r="AJ50" i="3"/>
  <c r="Y72" i="3"/>
  <c r="Z97" i="3"/>
  <c r="Y90" i="3"/>
  <c r="AK80" i="3"/>
  <c r="H65" i="3"/>
  <c r="N93" i="3"/>
  <c r="V84" i="3"/>
  <c r="AQ80" i="3"/>
  <c r="AJ85" i="3"/>
  <c r="AI65" i="3"/>
  <c r="AL67" i="3"/>
  <c r="H59" i="3"/>
  <c r="AA75" i="3"/>
  <c r="L48" i="3"/>
  <c r="K73" i="3"/>
  <c r="L55" i="3"/>
  <c r="L78" i="3"/>
  <c r="X56" i="3"/>
  <c r="Y69" i="3"/>
  <c r="U60" i="3"/>
  <c r="N96" i="3"/>
  <c r="X60" i="3"/>
  <c r="N49" i="3"/>
  <c r="S49" i="3"/>
  <c r="AG48" i="3"/>
  <c r="M83" i="3"/>
  <c r="AK76" i="3"/>
  <c r="AG92" i="3"/>
  <c r="N67" i="3"/>
  <c r="O54" i="3"/>
  <c r="R75" i="3"/>
  <c r="R57" i="3"/>
  <c r="J88" i="3"/>
  <c r="V75" i="3"/>
  <c r="AG73" i="3"/>
  <c r="AJ67" i="3"/>
  <c r="AI75" i="3"/>
  <c r="V66" i="3"/>
  <c r="Z89" i="3"/>
  <c r="L88" i="3"/>
  <c r="Z66" i="3"/>
  <c r="AC48" i="3"/>
  <c r="H72" i="3"/>
  <c r="I89" i="3"/>
  <c r="Y62" i="3"/>
  <c r="AJ80" i="3"/>
  <c r="N65" i="3"/>
  <c r="X81" i="3"/>
  <c r="K48" i="3"/>
  <c r="X74" i="3"/>
  <c r="N55" i="3"/>
  <c r="P59" i="3"/>
  <c r="H88" i="3"/>
  <c r="J67" i="3"/>
  <c r="H95" i="3"/>
  <c r="V82" i="3"/>
  <c r="R61" i="3"/>
  <c r="S69" i="3"/>
  <c r="S85" i="3"/>
  <c r="J84" i="3"/>
  <c r="AA91" i="3"/>
  <c r="AG71" i="3"/>
  <c r="AC74" i="3"/>
  <c r="P96" i="3"/>
  <c r="AG80" i="3"/>
  <c r="Y58" i="3"/>
  <c r="P48" i="3"/>
  <c r="AJ83" i="3"/>
  <c r="J93" i="3"/>
  <c r="H62" i="3"/>
  <c r="I60" i="3"/>
  <c r="K83" i="3"/>
  <c r="I96" i="3"/>
  <c r="N60" i="3"/>
  <c r="AA62" i="3"/>
  <c r="AC77" i="3"/>
  <c r="AJ73" i="3"/>
  <c r="Z58" i="3"/>
  <c r="K93" i="3"/>
  <c r="O83" i="3"/>
  <c r="AG94" i="3"/>
  <c r="AJ74" i="3"/>
  <c r="AI68" i="3"/>
  <c r="AK48" i="3"/>
  <c r="M68" i="3"/>
  <c r="P74" i="3"/>
  <c r="AJ89" i="3"/>
  <c r="AI70" i="3"/>
  <c r="X84" i="3"/>
  <c r="V60" i="3"/>
  <c r="I73" i="3"/>
  <c r="AK67" i="3"/>
  <c r="K57" i="3"/>
  <c r="I91" i="3"/>
  <c r="AQ68" i="3"/>
  <c r="V81" i="3"/>
  <c r="J66" i="3"/>
  <c r="AA60" i="3"/>
  <c r="Y71" i="3"/>
  <c r="L64" i="3"/>
  <c r="L92" i="3"/>
  <c r="AI87" i="3"/>
  <c r="AI58" i="3"/>
  <c r="Z85" i="3"/>
  <c r="Z92" i="3"/>
  <c r="Z93" i="3"/>
  <c r="Z57" i="3"/>
  <c r="U80" i="3"/>
  <c r="U62" i="3"/>
  <c r="V67" i="3"/>
  <c r="V97" i="3"/>
  <c r="V62" i="3"/>
  <c r="O47" i="3"/>
  <c r="O78" i="3"/>
  <c r="O62" i="3"/>
  <c r="O64" i="3"/>
  <c r="O85" i="3"/>
  <c r="O55" i="3"/>
  <c r="X64" i="3"/>
  <c r="X86" i="3"/>
  <c r="X72" i="3"/>
  <c r="X66" i="3"/>
  <c r="V89" i="3"/>
  <c r="O61" i="3"/>
  <c r="O70" i="3"/>
  <c r="R11" i="3"/>
  <c r="P109" i="2"/>
  <c r="J56" i="3"/>
  <c r="K59" i="3"/>
  <c r="AG87" i="3"/>
  <c r="AA84" i="3"/>
  <c r="N97" i="3"/>
  <c r="AL74" i="3"/>
  <c r="N26" i="3"/>
  <c r="R35" i="3"/>
  <c r="R9" i="3"/>
  <c r="N12" i="3"/>
  <c r="AI33" i="3"/>
  <c r="K47" i="2"/>
  <c r="AI16" i="3"/>
  <c r="N37" i="3"/>
  <c r="U74" i="2"/>
  <c r="X96" i="2"/>
  <c r="K76" i="2"/>
  <c r="T7" i="3"/>
  <c r="D104" i="2"/>
  <c r="N27" i="3"/>
  <c r="AM7" i="3"/>
  <c r="AH23" i="3"/>
  <c r="Z32" i="3"/>
  <c r="AQ13" i="3"/>
  <c r="Q37" i="3"/>
  <c r="AQ27" i="3"/>
  <c r="H12" i="3"/>
  <c r="M84" i="2"/>
  <c r="X18" i="3"/>
  <c r="K64" i="3"/>
  <c r="P69" i="3"/>
  <c r="AJ54" i="3"/>
  <c r="I95" i="3"/>
  <c r="S82" i="3"/>
  <c r="K82" i="3"/>
  <c r="AG97" i="3"/>
  <c r="I47" i="3"/>
  <c r="Y77" i="3"/>
  <c r="P91" i="3"/>
  <c r="J87" i="3"/>
  <c r="H68" i="3"/>
  <c r="AJ71" i="3"/>
  <c r="AJ70" i="3"/>
  <c r="L66" i="3"/>
  <c r="I58" i="3"/>
  <c r="M88" i="3"/>
  <c r="AA83" i="3"/>
  <c r="R97" i="3"/>
  <c r="AA82" i="3"/>
  <c r="L70" i="3"/>
  <c r="L72" i="3"/>
  <c r="P49" i="3"/>
  <c r="AL58" i="3"/>
  <c r="Q77" i="2"/>
  <c r="Q15" i="3"/>
  <c r="N44" i="2"/>
  <c r="AN37" i="3"/>
  <c r="O79" i="2"/>
  <c r="AC14" i="3"/>
  <c r="G70" i="2"/>
  <c r="K10" i="3"/>
  <c r="V17" i="3"/>
  <c r="P66" i="2"/>
  <c r="I39" i="3"/>
  <c r="W85" i="2"/>
  <c r="W42" i="3"/>
  <c r="G96" i="2"/>
  <c r="O52" i="2"/>
  <c r="C17" i="3"/>
  <c r="W30" i="3"/>
  <c r="O68" i="2"/>
  <c r="I82" i="2"/>
  <c r="J76" i="2"/>
  <c r="K49" i="2"/>
  <c r="AD28" i="3"/>
  <c r="AI40" i="3"/>
  <c r="W66" i="2"/>
  <c r="AP69" i="3"/>
  <c r="P17" i="3"/>
  <c r="AI41" i="3"/>
  <c r="V109" i="2"/>
  <c r="Q6" i="3"/>
  <c r="S60" i="2"/>
  <c r="I70" i="2"/>
  <c r="M20" i="3"/>
  <c r="V40" i="3"/>
  <c r="X89" i="2"/>
  <c r="Q36" i="3"/>
  <c r="X40" i="3"/>
  <c r="AH39" i="3"/>
  <c r="L77" i="2"/>
  <c r="W72" i="2"/>
  <c r="AQ32" i="3"/>
  <c r="T45" i="2"/>
  <c r="H109" i="2"/>
  <c r="V48" i="2"/>
  <c r="D87" i="2"/>
  <c r="S41" i="3"/>
  <c r="Q108" i="2"/>
  <c r="N17" i="3"/>
  <c r="C31" i="3"/>
  <c r="C16" i="3"/>
  <c r="J67" i="2"/>
  <c r="AB64" i="3"/>
  <c r="K27" i="3"/>
  <c r="Q21" i="3"/>
  <c r="AB62" i="3"/>
  <c r="Q30" i="3"/>
  <c r="O31" i="3"/>
  <c r="AB58" i="3"/>
  <c r="AP20" i="3"/>
  <c r="O27" i="3"/>
  <c r="K40" i="3"/>
  <c r="Q50" i="2"/>
  <c r="AM41" i="3"/>
  <c r="X97" i="2"/>
  <c r="X23" i="3"/>
  <c r="AO35" i="3"/>
  <c r="T77" i="2"/>
  <c r="F81" i="2"/>
  <c r="V15" i="3"/>
  <c r="L10" i="3"/>
  <c r="AM9" i="3"/>
  <c r="X32" i="3"/>
  <c r="P32" i="3"/>
  <c r="M29" i="3"/>
  <c r="E49" i="3"/>
  <c r="D47" i="3"/>
  <c r="AQ72" i="3"/>
  <c r="Q73" i="3"/>
  <c r="AJ66" i="3"/>
  <c r="Y48" i="3"/>
  <c r="AI55" i="3"/>
  <c r="U79" i="3"/>
  <c r="M82" i="3"/>
  <c r="M73" i="3"/>
  <c r="S56" i="3"/>
  <c r="M58" i="3"/>
  <c r="S78" i="3"/>
  <c r="AQ49" i="3"/>
  <c r="U72" i="3"/>
  <c r="AA47" i="3"/>
  <c r="M81" i="3"/>
  <c r="U56" i="3"/>
  <c r="AL93" i="3"/>
  <c r="AK54" i="3"/>
  <c r="AG95" i="3"/>
  <c r="AL96" i="3"/>
  <c r="AL66" i="3"/>
  <c r="Y76" i="3"/>
  <c r="AG86" i="3"/>
  <c r="L49" i="3"/>
  <c r="AG62" i="3"/>
  <c r="J96" i="3"/>
  <c r="Y49" i="3"/>
  <c r="P64" i="3"/>
  <c r="Y88" i="3"/>
  <c r="AK82" i="3"/>
  <c r="K87" i="3"/>
  <c r="AL91" i="3"/>
  <c r="Z91" i="3"/>
  <c r="U57" i="3"/>
  <c r="Z76" i="3"/>
  <c r="J74" i="2"/>
  <c r="U76" i="2"/>
  <c r="AP74" i="3"/>
  <c r="U34" i="3"/>
  <c r="U85" i="2"/>
  <c r="T64" i="2"/>
  <c r="AB54" i="3"/>
  <c r="AG16" i="3"/>
  <c r="AJ6" i="3"/>
  <c r="V72" i="2"/>
  <c r="V34" i="3"/>
  <c r="C68" i="2"/>
  <c r="N6" i="3"/>
  <c r="D88" i="2"/>
  <c r="D56" i="2"/>
  <c r="R17" i="3"/>
  <c r="O33" i="3"/>
  <c r="M82" i="2"/>
  <c r="O53" i="2"/>
  <c r="T82" i="2"/>
  <c r="M76" i="2"/>
  <c r="AP30" i="3"/>
  <c r="AO5" i="3"/>
  <c r="U73" i="2"/>
  <c r="R18" i="3"/>
  <c r="AQ24" i="3"/>
  <c r="AB11" i="3"/>
  <c r="V68" i="2"/>
  <c r="R34" i="3"/>
  <c r="W87" i="2"/>
  <c r="W40" i="2"/>
  <c r="S9" i="3"/>
  <c r="U66" i="2"/>
  <c r="U90" i="2"/>
  <c r="I37" i="3"/>
  <c r="AA7" i="3"/>
  <c r="P33" i="3"/>
  <c r="AD32" i="3"/>
  <c r="S55" i="2"/>
  <c r="C33" i="3"/>
  <c r="L84" i="2"/>
  <c r="F82" i="2"/>
  <c r="S47" i="2"/>
  <c r="T83" i="2"/>
  <c r="AJ12" i="3"/>
  <c r="T97" i="2"/>
  <c r="X39" i="3"/>
  <c r="K17" i="3"/>
  <c r="K11" i="3"/>
  <c r="P30" i="3"/>
  <c r="R36" i="3"/>
  <c r="C36" i="3"/>
  <c r="AG12" i="3"/>
  <c r="M6" i="3"/>
  <c r="AI17" i="3"/>
  <c r="E113" i="2"/>
  <c r="AH15" i="3"/>
  <c r="O36" i="3"/>
  <c r="V104" i="2"/>
  <c r="C20" i="3"/>
  <c r="N70" i="2"/>
  <c r="V106" i="2"/>
  <c r="L67" i="2"/>
  <c r="AO40" i="3"/>
  <c r="O12" i="3"/>
  <c r="W64" i="2"/>
  <c r="C47" i="3"/>
  <c r="L7" i="3"/>
  <c r="T88" i="2"/>
  <c r="AN5" i="3"/>
  <c r="AB8" i="3"/>
  <c r="M26" i="3"/>
  <c r="Z24" i="3"/>
  <c r="J37" i="3"/>
  <c r="AC41" i="3"/>
  <c r="M59" i="3"/>
  <c r="AA85" i="3"/>
  <c r="H76" i="3"/>
  <c r="Y64" i="3"/>
  <c r="P67" i="3"/>
  <c r="S84" i="3"/>
  <c r="R86" i="3"/>
  <c r="L57" i="3"/>
  <c r="AQ77" i="3"/>
  <c r="J68" i="3"/>
  <c r="R76" i="3"/>
  <c r="O65" i="3"/>
  <c r="M65" i="3"/>
  <c r="H80" i="3"/>
  <c r="AC68" i="3"/>
  <c r="O60" i="3"/>
  <c r="R69" i="3"/>
  <c r="AC67" i="3"/>
  <c r="I83" i="3"/>
  <c r="I92" i="3"/>
  <c r="V96" i="3"/>
  <c r="N56" i="3"/>
  <c r="AG82" i="3"/>
  <c r="H96" i="3"/>
  <c r="Y63" i="3"/>
  <c r="H55" i="3"/>
  <c r="AL50" i="3"/>
  <c r="AI90" i="3"/>
  <c r="U91" i="3"/>
  <c r="AG78" i="3"/>
  <c r="AO72" i="3"/>
  <c r="V93" i="3"/>
  <c r="L86" i="3"/>
  <c r="AC59" i="3"/>
  <c r="AG74" i="3"/>
  <c r="AJ55" i="3"/>
  <c r="R63" i="3"/>
  <c r="N74" i="3"/>
  <c r="AN86" i="3"/>
  <c r="AI62" i="3"/>
  <c r="O81" i="3"/>
  <c r="V91" i="3"/>
  <c r="S87" i="3"/>
  <c r="L93" i="3"/>
  <c r="P61" i="3"/>
  <c r="AQ82" i="3"/>
  <c r="AK58" i="3"/>
  <c r="O96" i="3"/>
  <c r="M95" i="3"/>
  <c r="AK96" i="3"/>
  <c r="AO92" i="3"/>
  <c r="AC69" i="3"/>
  <c r="V69" i="3"/>
  <c r="AJ94" i="3"/>
  <c r="AL77" i="3"/>
  <c r="R70" i="3"/>
  <c r="P70" i="3"/>
  <c r="N78" i="3"/>
  <c r="AQ65" i="3"/>
  <c r="AL97" i="3"/>
  <c r="AA54" i="3"/>
  <c r="U48" i="3"/>
  <c r="AN95" i="3"/>
  <c r="X95" i="3"/>
  <c r="L74" i="3"/>
  <c r="U71" i="3"/>
  <c r="V47" i="3"/>
  <c r="AQ58" i="3"/>
  <c r="N70" i="3"/>
  <c r="Y94" i="3"/>
  <c r="P47" i="3"/>
  <c r="H81" i="3"/>
  <c r="I66" i="3"/>
  <c r="V70" i="3"/>
  <c r="AA89" i="3"/>
  <c r="I62" i="3"/>
  <c r="AL69" i="3"/>
  <c r="N82" i="3"/>
  <c r="AJ87" i="3"/>
  <c r="AL56" i="3"/>
  <c r="R95" i="3"/>
  <c r="L85" i="3"/>
  <c r="H79" i="3"/>
  <c r="N63" i="3"/>
  <c r="K92" i="3"/>
  <c r="O71" i="3"/>
  <c r="P56" i="3"/>
  <c r="Y89" i="3"/>
  <c r="H90" i="3"/>
  <c r="X47" i="3"/>
  <c r="AG54" i="3"/>
  <c r="L61" i="3"/>
  <c r="AQ79" i="3"/>
  <c r="AG63" i="3"/>
  <c r="P57" i="3"/>
  <c r="N62" i="3"/>
  <c r="I94" i="3"/>
  <c r="H89" i="3"/>
  <c r="O82" i="3"/>
  <c r="M90" i="3"/>
  <c r="J64" i="3"/>
  <c r="Q95" i="3"/>
  <c r="Q86" i="3"/>
  <c r="Q94" i="3"/>
  <c r="AL61" i="3"/>
  <c r="N89" i="3"/>
  <c r="X63" i="3"/>
  <c r="I70" i="3"/>
  <c r="AL87" i="3"/>
  <c r="AC76" i="3"/>
  <c r="R66" i="3"/>
  <c r="AI80" i="3"/>
  <c r="AC94" i="3"/>
  <c r="AK63" i="3"/>
  <c r="AL82" i="3"/>
  <c r="AI60" i="3"/>
  <c r="X69" i="3"/>
  <c r="P71" i="3"/>
  <c r="AC62" i="3"/>
  <c r="AK88" i="3"/>
  <c r="J74" i="3"/>
  <c r="H93" i="3"/>
  <c r="I57" i="3"/>
  <c r="AJ82" i="3"/>
  <c r="X50" i="3"/>
  <c r="M78" i="3"/>
  <c r="AJ97" i="3"/>
  <c r="AQ55" i="3"/>
  <c r="AO66" i="3"/>
  <c r="K56" i="3"/>
  <c r="AK55" i="3"/>
  <c r="M71" i="3"/>
  <c r="R59" i="3"/>
  <c r="R48" i="3"/>
  <c r="P83" i="3"/>
  <c r="M87" i="3"/>
  <c r="I90" i="3"/>
  <c r="AI78" i="3"/>
  <c r="AC54" i="3"/>
  <c r="AO60" i="3"/>
  <c r="AG56" i="3"/>
  <c r="O58" i="3"/>
  <c r="H47" i="3"/>
  <c r="J97" i="3"/>
  <c r="AK85" i="3"/>
  <c r="I87" i="3"/>
  <c r="AQ48" i="3"/>
  <c r="AC58" i="3"/>
  <c r="K97" i="3"/>
  <c r="M66" i="3"/>
  <c r="I65" i="3"/>
  <c r="Z62" i="3"/>
  <c r="H78" i="3"/>
  <c r="AJ96" i="3"/>
  <c r="K70" i="3"/>
  <c r="L68" i="3"/>
  <c r="X91" i="3"/>
  <c r="AO70" i="3"/>
  <c r="K78" i="3"/>
  <c r="AG96" i="3"/>
  <c r="AL63" i="3"/>
  <c r="AQ56" i="3"/>
  <c r="P60" i="3"/>
  <c r="P86" i="3"/>
  <c r="AC82" i="3"/>
  <c r="Q79" i="3"/>
  <c r="AO84" i="3"/>
  <c r="AG70" i="3"/>
  <c r="M94" i="3"/>
  <c r="Y61" i="3"/>
  <c r="V71" i="3"/>
  <c r="X59" i="3"/>
  <c r="AN91" i="3"/>
  <c r="AL90" i="3"/>
  <c r="AA79" i="3"/>
  <c r="H94" i="3"/>
  <c r="AK61" i="3"/>
  <c r="S68" i="3"/>
  <c r="U97" i="3"/>
  <c r="H97" i="3"/>
  <c r="S59" i="3"/>
  <c r="J50" i="3"/>
  <c r="AC50" i="3"/>
  <c r="AJ62" i="3"/>
  <c r="U54" i="3"/>
  <c r="Y50" i="3"/>
  <c r="X94" i="3"/>
  <c r="AN66" i="3"/>
  <c r="U69" i="3"/>
  <c r="M76" i="3"/>
  <c r="R50" i="3"/>
  <c r="H77" i="3"/>
  <c r="K76" i="3"/>
  <c r="AC49" i="3"/>
  <c r="V85" i="3"/>
  <c r="AC81" i="3"/>
  <c r="K77" i="3"/>
  <c r="P89" i="3"/>
  <c r="N72" i="3"/>
  <c r="V65" i="3"/>
  <c r="Q84" i="3"/>
  <c r="P79" i="3"/>
  <c r="AL80" i="3"/>
  <c r="AI48" i="3"/>
  <c r="K88" i="3"/>
  <c r="R58" i="3"/>
  <c r="Y60" i="3"/>
  <c r="L82" i="3"/>
  <c r="L63" i="3"/>
  <c r="AI71" i="3"/>
  <c r="AI67" i="3"/>
  <c r="Z48" i="3"/>
  <c r="Z60" i="3"/>
  <c r="Z68" i="3"/>
  <c r="Z82" i="3"/>
  <c r="U87" i="3"/>
  <c r="U65" i="3"/>
  <c r="AO69" i="3"/>
  <c r="AO97" i="3"/>
  <c r="AO56" i="3"/>
  <c r="AO79" i="3"/>
  <c r="AO65" i="3"/>
  <c r="V68" i="3"/>
  <c r="V72" i="3"/>
  <c r="V79" i="3"/>
  <c r="V90" i="3"/>
  <c r="O87" i="3"/>
  <c r="O73" i="3"/>
  <c r="O50" i="3"/>
  <c r="O89" i="3"/>
  <c r="O48" i="3"/>
  <c r="O49" i="3"/>
  <c r="X49" i="3"/>
  <c r="X65" i="3"/>
  <c r="X61" i="3"/>
  <c r="X87" i="3"/>
  <c r="AN77" i="3"/>
  <c r="AN69" i="3"/>
  <c r="AN78" i="3"/>
  <c r="M79" i="3"/>
  <c r="S89" i="3"/>
  <c r="L62" i="3"/>
  <c r="I93" i="3"/>
  <c r="Q55" i="3"/>
  <c r="AQ87" i="3"/>
  <c r="AQ75" i="3"/>
  <c r="V95" i="3"/>
  <c r="AJ79" i="3"/>
  <c r="AI73" i="3"/>
  <c r="H50" i="3"/>
  <c r="S64" i="3"/>
  <c r="Z77" i="3"/>
  <c r="Z55" i="3"/>
  <c r="U73" i="3"/>
  <c r="U49" i="3"/>
  <c r="AO96" i="3"/>
  <c r="V80" i="3"/>
  <c r="O88" i="3"/>
  <c r="O66" i="3"/>
  <c r="X96" i="3"/>
  <c r="X62" i="3"/>
  <c r="I77" i="2"/>
  <c r="Y32" i="3"/>
  <c r="H91" i="3"/>
  <c r="S86" i="3"/>
  <c r="AQ97" i="3"/>
  <c r="M85" i="3"/>
  <c r="H52" i="2"/>
  <c r="E50" i="2"/>
  <c r="I107" i="2"/>
  <c r="H70" i="2"/>
  <c r="V51" i="2"/>
  <c r="N35" i="3"/>
  <c r="AM34" i="3"/>
  <c r="S87" i="2"/>
  <c r="O65" i="2"/>
  <c r="P47" i="2"/>
  <c r="R29" i="3"/>
  <c r="O40" i="2"/>
  <c r="AK35" i="3"/>
  <c r="O105" i="2"/>
  <c r="X41" i="3"/>
  <c r="AO39" i="3"/>
  <c r="AL23" i="3"/>
  <c r="AH11" i="3"/>
  <c r="AN15" i="3"/>
  <c r="AD41" i="3"/>
  <c r="W20" i="3"/>
  <c r="AN23" i="3"/>
  <c r="AH21" i="3"/>
  <c r="AK97" i="3"/>
  <c r="L58" i="3"/>
  <c r="S75" i="3"/>
  <c r="AK95" i="3"/>
  <c r="Q57" i="3"/>
  <c r="N75" i="3"/>
  <c r="AC60" i="3"/>
  <c r="AA57" i="3"/>
  <c r="P92" i="3"/>
  <c r="AK75" i="3"/>
  <c r="AK62" i="3"/>
  <c r="AH82" i="3"/>
  <c r="L54" i="3"/>
  <c r="P80" i="3"/>
  <c r="K62" i="3"/>
  <c r="AG91" i="3"/>
  <c r="R78" i="3"/>
  <c r="AL85" i="3"/>
  <c r="AL64" i="3"/>
  <c r="AL78" i="3"/>
  <c r="S55" i="3"/>
  <c r="AK71" i="3"/>
  <c r="M55" i="3"/>
  <c r="S94" i="3"/>
  <c r="AA68" i="3"/>
  <c r="AL70" i="3"/>
  <c r="AM39" i="3"/>
  <c r="C95" i="2"/>
  <c r="AH35" i="3"/>
  <c r="M107" i="2"/>
  <c r="AH37" i="3"/>
  <c r="D113" i="2"/>
  <c r="AE8" i="3"/>
  <c r="L88" i="2"/>
  <c r="O39" i="3"/>
  <c r="C47" i="2"/>
  <c r="AQ37" i="3"/>
  <c r="U113" i="2"/>
  <c r="AM38" i="3"/>
  <c r="R66" i="2"/>
  <c r="W96" i="2"/>
  <c r="AK36" i="3"/>
  <c r="F88" i="2"/>
  <c r="P98" i="2"/>
  <c r="G40" i="3"/>
  <c r="AC20" i="3"/>
  <c r="J110" i="2"/>
  <c r="AE18" i="3"/>
  <c r="I108" i="2"/>
  <c r="R70" i="2"/>
  <c r="AE21" i="3"/>
  <c r="AP42" i="3"/>
  <c r="J39" i="3"/>
  <c r="AB55" i="3"/>
  <c r="K33" i="3"/>
  <c r="I90" i="2"/>
  <c r="R84" i="2"/>
  <c r="W27" i="3"/>
  <c r="D90" i="2"/>
  <c r="E56" i="2"/>
  <c r="AB23" i="3"/>
  <c r="T29" i="3"/>
  <c r="S48" i="2"/>
  <c r="J86" i="2"/>
  <c r="P61" i="2"/>
  <c r="AK39" i="3"/>
  <c r="D65" i="2"/>
  <c r="AL20" i="3"/>
  <c r="T22" i="3"/>
  <c r="S65" i="2"/>
  <c r="AK40" i="3"/>
  <c r="S43" i="2"/>
  <c r="P87" i="2"/>
  <c r="J35" i="3"/>
  <c r="N41" i="3"/>
  <c r="AQ34" i="3"/>
  <c r="AK22" i="3"/>
  <c r="K9" i="3"/>
  <c r="J31" i="3"/>
  <c r="AE20" i="3"/>
  <c r="M92" i="2"/>
  <c r="Q64" i="2"/>
  <c r="AL35" i="3"/>
  <c r="AP32" i="3"/>
  <c r="AQ22" i="3"/>
  <c r="AD38" i="3"/>
  <c r="I19" i="3"/>
  <c r="P27" i="3"/>
  <c r="I9" i="3"/>
  <c r="K37" i="3"/>
  <c r="AD33" i="3"/>
  <c r="M38" i="3"/>
  <c r="AH24" i="3"/>
  <c r="AQ7" i="3"/>
  <c r="AP31" i="3"/>
  <c r="S69" i="2"/>
  <c r="T5" i="3"/>
  <c r="AQ17" i="3"/>
  <c r="AN30" i="3"/>
  <c r="AL39" i="3"/>
  <c r="V23" i="3"/>
  <c r="H69" i="3"/>
  <c r="K58" i="3"/>
  <c r="U94" i="3"/>
  <c r="L69" i="3"/>
  <c r="AI96" i="3"/>
  <c r="AK56" i="3"/>
  <c r="M93" i="3"/>
  <c r="P73" i="3"/>
  <c r="AK81" i="3"/>
  <c r="N94" i="3"/>
  <c r="R96" i="3"/>
  <c r="Z74" i="3"/>
  <c r="AK78" i="3"/>
  <c r="I56" i="3"/>
  <c r="AQ50" i="3"/>
  <c r="Q69" i="3"/>
  <c r="M77" i="3"/>
  <c r="J55" i="3"/>
  <c r="H54" i="3"/>
  <c r="Y55" i="3"/>
  <c r="AI93" i="3"/>
  <c r="M92" i="3"/>
  <c r="N66" i="3"/>
  <c r="AL79" i="3"/>
  <c r="T75" i="3"/>
  <c r="Z96" i="3"/>
  <c r="U59" i="3"/>
  <c r="AQ57" i="3"/>
  <c r="AA70" i="3"/>
  <c r="Z81" i="3"/>
  <c r="AK79" i="3"/>
  <c r="S81" i="3"/>
  <c r="S77" i="3"/>
  <c r="AK64" i="3"/>
  <c r="AH76" i="3"/>
  <c r="AI74" i="3"/>
  <c r="AI76" i="3"/>
  <c r="K71" i="3"/>
  <c r="AC72" i="3"/>
  <c r="I48" i="3"/>
  <c r="M72" i="3"/>
  <c r="S71" i="3"/>
  <c r="E48" i="3"/>
  <c r="AE24" i="3"/>
  <c r="N28" i="3"/>
  <c r="C108" i="2"/>
  <c r="U22" i="3"/>
  <c r="AK21" i="3"/>
  <c r="N42" i="3"/>
  <c r="Q99" i="2"/>
  <c r="V22" i="3"/>
  <c r="U83" i="2"/>
  <c r="AI20" i="3"/>
  <c r="AP72" i="3"/>
  <c r="M21" i="3"/>
  <c r="U78" i="2"/>
  <c r="S98" i="2"/>
  <c r="X13" i="3"/>
  <c r="P31" i="3"/>
  <c r="X110" i="2"/>
  <c r="I29" i="3"/>
  <c r="AM31" i="3"/>
  <c r="I63" i="2"/>
  <c r="AO31" i="3"/>
  <c r="E84" i="2"/>
  <c r="V66" i="2"/>
  <c r="AI21" i="3"/>
  <c r="AQ31" i="3"/>
  <c r="T13" i="3"/>
  <c r="W5" i="3"/>
  <c r="AE12" i="3"/>
  <c r="K71" i="2"/>
  <c r="F112" i="2"/>
  <c r="AG34" i="3"/>
  <c r="J46" i="2"/>
  <c r="C90" i="2"/>
  <c r="AN35" i="3"/>
  <c r="K34" i="3"/>
  <c r="T47" i="2"/>
  <c r="E42" i="2"/>
  <c r="N75" i="2"/>
  <c r="AO28" i="3"/>
  <c r="W73" i="2"/>
  <c r="X7" i="3"/>
  <c r="M30" i="3"/>
  <c r="G76" i="2"/>
  <c r="AC35" i="3"/>
  <c r="U71" i="2"/>
  <c r="L94" i="2"/>
  <c r="AO22" i="3"/>
  <c r="P38" i="3"/>
  <c r="AO19" i="3"/>
  <c r="AP11" i="3"/>
  <c r="J70" i="2"/>
  <c r="S14" i="3"/>
  <c r="Q25" i="3"/>
  <c r="Q68" i="2"/>
  <c r="E89" i="2"/>
  <c r="K8" i="3"/>
  <c r="G47" i="3"/>
  <c r="AC12" i="3"/>
  <c r="D50" i="3"/>
  <c r="AN12" i="3"/>
  <c r="X22" i="3"/>
  <c r="W15" i="3"/>
  <c r="J10" i="3"/>
  <c r="AQ35" i="3"/>
  <c r="X8" i="3"/>
  <c r="AM5" i="3"/>
  <c r="O34" i="3"/>
  <c r="R41" i="3"/>
  <c r="I41" i="2"/>
  <c r="H22" i="3"/>
  <c r="AO36" i="3"/>
  <c r="C92" i="2"/>
  <c r="L36" i="3"/>
  <c r="S64" i="2"/>
  <c r="K89" i="3"/>
  <c r="M57" i="3"/>
  <c r="AH56" i="3"/>
  <c r="AN88" i="3"/>
  <c r="O90" i="3"/>
  <c r="AQ92" i="3"/>
  <c r="AI72" i="3"/>
  <c r="V50" i="3"/>
  <c r="X88" i="3"/>
  <c r="AL84" i="3"/>
  <c r="AO48" i="3"/>
  <c r="AK72" i="3"/>
  <c r="N69" i="3"/>
  <c r="S57" i="3"/>
  <c r="K67" i="3"/>
  <c r="AC95" i="3"/>
  <c r="AQ90" i="3"/>
  <c r="R88" i="3"/>
  <c r="AA77" i="3"/>
  <c r="Q82" i="3"/>
  <c r="I67" i="3"/>
  <c r="H74" i="3"/>
  <c r="Q47" i="3"/>
  <c r="U67" i="3"/>
  <c r="AC57" i="3"/>
  <c r="AM67" i="3"/>
  <c r="AO68" i="3"/>
  <c r="AA56" i="3"/>
  <c r="Q66" i="3"/>
  <c r="W48" i="3"/>
  <c r="K86" i="3"/>
  <c r="AK94" i="3"/>
  <c r="AC97" i="3"/>
  <c r="T92" i="3"/>
  <c r="W79" i="3"/>
  <c r="AG66" i="3"/>
  <c r="T91" i="3"/>
  <c r="Y92" i="3"/>
  <c r="J57" i="3"/>
  <c r="U66" i="3"/>
  <c r="M86" i="3"/>
  <c r="Z95" i="3"/>
  <c r="AL71" i="3"/>
  <c r="H57" i="3"/>
  <c r="AQ88" i="3"/>
  <c r="T77" i="3"/>
  <c r="AA88" i="3"/>
  <c r="S70" i="3"/>
  <c r="R54" i="3"/>
  <c r="Z59" i="3"/>
  <c r="AM68" i="3"/>
  <c r="AI97" i="3"/>
  <c r="Q74" i="3"/>
  <c r="N81" i="3"/>
  <c r="S95" i="3"/>
  <c r="W94" i="3"/>
  <c r="T66" i="3"/>
  <c r="AN82" i="3"/>
  <c r="AH60" i="3"/>
  <c r="L47" i="3"/>
  <c r="AL49" i="3"/>
  <c r="AA80" i="3"/>
  <c r="AG69" i="3"/>
  <c r="Q96" i="3"/>
  <c r="Q61" i="3"/>
  <c r="AA74" i="3"/>
  <c r="AK83" i="3"/>
  <c r="P81" i="3"/>
  <c r="Z87" i="3"/>
  <c r="AQ89" i="3"/>
  <c r="U64" i="3"/>
  <c r="AA78" i="3"/>
  <c r="AN64" i="3"/>
  <c r="AJ47" i="3"/>
  <c r="K85" i="3"/>
  <c r="J90" i="3"/>
  <c r="Q90" i="3"/>
  <c r="AI56" i="3"/>
  <c r="X97" i="3"/>
  <c r="Q76" i="3"/>
  <c r="N80" i="3"/>
  <c r="S50" i="3"/>
  <c r="Q81" i="3"/>
  <c r="AI50" i="3"/>
  <c r="V57" i="3"/>
  <c r="AA64" i="3"/>
  <c r="AI89" i="3"/>
  <c r="AL73" i="3"/>
  <c r="S67" i="3"/>
  <c r="AJ91" i="3"/>
  <c r="AC90" i="3"/>
  <c r="T86" i="3"/>
  <c r="O75" i="3"/>
  <c r="Z90" i="3"/>
  <c r="W55" i="3"/>
  <c r="S73" i="3"/>
  <c r="AA95" i="3"/>
  <c r="L95" i="3"/>
  <c r="AI57" i="3"/>
  <c r="R79" i="3"/>
  <c r="Z75" i="3"/>
  <c r="V49" i="3"/>
  <c r="X70" i="3"/>
  <c r="AN80" i="3"/>
  <c r="U47" i="3"/>
  <c r="L81" i="3"/>
  <c r="I50" i="3"/>
  <c r="Z78" i="3"/>
  <c r="L96" i="3"/>
  <c r="J82" i="3"/>
  <c r="AG72" i="3"/>
  <c r="V55" i="3"/>
  <c r="AK84" i="3"/>
  <c r="Z94" i="3"/>
  <c r="X68" i="3"/>
  <c r="P50" i="3"/>
  <c r="S63" i="3"/>
  <c r="K54" i="3"/>
  <c r="J75" i="3"/>
  <c r="T58" i="3"/>
  <c r="X90" i="3"/>
  <c r="AN96" i="3"/>
  <c r="AQ81" i="3"/>
  <c r="K68" i="3"/>
  <c r="Z73" i="3"/>
  <c r="AC63" i="3"/>
  <c r="T87" i="3"/>
  <c r="T57" i="3"/>
  <c r="AN68" i="3"/>
  <c r="AJ84" i="3"/>
  <c r="X71" i="3"/>
  <c r="AN92" i="3"/>
  <c r="AM97" i="3"/>
  <c r="P65" i="3"/>
  <c r="AN57" i="3"/>
  <c r="Y65" i="3"/>
  <c r="Y95" i="3"/>
  <c r="AG76" i="3"/>
  <c r="I80" i="3"/>
  <c r="AA87" i="3"/>
  <c r="S60" i="3"/>
  <c r="P62" i="3"/>
  <c r="AJ81" i="3"/>
  <c r="R62" i="3"/>
  <c r="AK49" i="3"/>
  <c r="I75" i="3"/>
  <c r="AO67" i="3"/>
  <c r="Y97" i="3"/>
  <c r="AH83" i="3"/>
  <c r="AA66" i="3"/>
  <c r="H64" i="3"/>
  <c r="AQ76" i="3"/>
  <c r="AH89" i="3"/>
  <c r="S88" i="3"/>
  <c r="I82" i="3"/>
  <c r="I59" i="3"/>
  <c r="L71" i="3"/>
  <c r="N59" i="3"/>
  <c r="W83" i="3"/>
  <c r="I74" i="3"/>
  <c r="H84" i="3"/>
  <c r="Y67" i="3"/>
  <c r="S58" i="3"/>
  <c r="X76" i="3"/>
  <c r="AJ65" i="3"/>
  <c r="AN89" i="3"/>
  <c r="Z49" i="3"/>
  <c r="K96" i="3"/>
  <c r="V74" i="3"/>
  <c r="Z47" i="3"/>
  <c r="W97" i="3"/>
  <c r="AM47" i="3"/>
  <c r="U76" i="3"/>
  <c r="R60" i="3"/>
  <c r="AO74" i="3"/>
  <c r="Q77" i="3"/>
  <c r="AO77" i="3"/>
  <c r="T79" i="3"/>
  <c r="AK73" i="3"/>
  <c r="Y73" i="3"/>
  <c r="AK70" i="3"/>
  <c r="AG88" i="3"/>
  <c r="L50" i="3"/>
  <c r="AG47" i="3"/>
  <c r="AL92" i="3"/>
  <c r="AG65" i="3"/>
  <c r="AI85" i="3"/>
  <c r="AQ59" i="3"/>
  <c r="AL76" i="3"/>
  <c r="AO55" i="3"/>
  <c r="AM54" i="3"/>
  <c r="H60" i="3"/>
  <c r="N54" i="3"/>
  <c r="AH66" i="3"/>
  <c r="P66" i="3"/>
  <c r="AO81" i="3"/>
  <c r="W82" i="3"/>
  <c r="Y82" i="3"/>
  <c r="Q85" i="3"/>
  <c r="AQ64" i="3"/>
  <c r="AC80" i="3"/>
  <c r="M49" i="3"/>
  <c r="R89" i="3"/>
  <c r="Q67" i="3"/>
  <c r="O69" i="3"/>
  <c r="AH90" i="3"/>
  <c r="AJ92" i="3"/>
  <c r="AQ54" i="3"/>
  <c r="Y96" i="3"/>
  <c r="V87" i="3"/>
  <c r="AJ48" i="3"/>
  <c r="P58" i="3"/>
  <c r="AH80" i="3"/>
  <c r="U68" i="3"/>
  <c r="J79" i="3"/>
  <c r="AI86" i="3"/>
  <c r="AQ83" i="3"/>
  <c r="AK47" i="3"/>
  <c r="S97" i="3"/>
  <c r="AH48" i="3"/>
  <c r="L97" i="3"/>
  <c r="L75" i="3"/>
  <c r="AI92" i="3"/>
  <c r="AI69" i="3"/>
  <c r="Z69" i="3"/>
  <c r="Z65" i="3"/>
  <c r="U58" i="3"/>
  <c r="T67" i="3"/>
  <c r="AO95" i="3"/>
  <c r="AO61" i="3"/>
  <c r="W86" i="3"/>
  <c r="W50" i="3"/>
  <c r="V92" i="3"/>
  <c r="V56" i="3"/>
  <c r="O72" i="3"/>
  <c r="O80" i="3"/>
  <c r="X48" i="3"/>
  <c r="X80" i="3"/>
  <c r="AM72" i="3"/>
  <c r="AN72" i="3"/>
  <c r="AN59" i="3"/>
  <c r="J58" i="3"/>
  <c r="J69" i="3"/>
  <c r="J63" i="3"/>
  <c r="J71" i="3"/>
  <c r="R92" i="3"/>
  <c r="R72" i="3"/>
  <c r="S47" i="3"/>
  <c r="S96" i="3"/>
  <c r="S80" i="3"/>
  <c r="S54" i="3"/>
  <c r="S76" i="3"/>
  <c r="AC79" i="3"/>
  <c r="AC56" i="3"/>
  <c r="AC55" i="3"/>
  <c r="N84" i="3"/>
  <c r="N87" i="3"/>
  <c r="N90" i="3"/>
  <c r="N86" i="3"/>
  <c r="AK66" i="3"/>
  <c r="AK69" i="3"/>
  <c r="AK90" i="3"/>
  <c r="M69" i="3"/>
  <c r="M91" i="3"/>
  <c r="M48" i="3"/>
  <c r="M61" i="3"/>
  <c r="M96" i="3"/>
  <c r="M74" i="3"/>
  <c r="M70" i="3"/>
  <c r="AA76" i="3"/>
  <c r="AA92" i="3"/>
  <c r="AA71" i="3"/>
  <c r="AA96" i="3"/>
  <c r="AA59" i="3"/>
  <c r="Y79" i="3"/>
  <c r="Y75" i="3"/>
  <c r="Y56" i="3"/>
  <c r="Y80" i="3"/>
  <c r="Y81" i="3"/>
  <c r="Y54" i="3"/>
  <c r="Y70" i="3"/>
  <c r="Y91" i="3"/>
  <c r="Y85" i="3"/>
  <c r="Y86" i="3"/>
  <c r="Y78" i="3"/>
  <c r="Y66" i="3"/>
  <c r="Y57" i="3"/>
  <c r="Y74" i="3"/>
  <c r="Y84" i="3"/>
  <c r="Y93" i="3"/>
  <c r="Z63" i="3"/>
  <c r="Z70" i="3"/>
  <c r="Z88" i="3"/>
  <c r="Z61" i="3"/>
  <c r="Z86" i="3"/>
  <c r="Z54" i="3"/>
  <c r="Z80" i="3"/>
  <c r="Z56" i="3"/>
  <c r="Z67" i="3"/>
  <c r="Z83" i="3"/>
  <c r="Z71" i="3"/>
  <c r="Z50" i="3"/>
  <c r="Z84" i="3"/>
  <c r="U81" i="3"/>
  <c r="U70" i="3"/>
  <c r="U75" i="3"/>
  <c r="U96" i="3"/>
  <c r="U95" i="3"/>
  <c r="U50" i="3"/>
  <c r="U55" i="3"/>
  <c r="U63" i="3"/>
  <c r="U90" i="3"/>
  <c r="U89" i="3"/>
  <c r="U85" i="3"/>
  <c r="U88" i="3"/>
  <c r="U78" i="3"/>
  <c r="U84" i="3"/>
  <c r="U61" i="3"/>
  <c r="U77" i="3"/>
  <c r="X83" i="3"/>
  <c r="X73" i="3"/>
  <c r="X57" i="3"/>
  <c r="X78" i="3"/>
  <c r="X54" i="3"/>
  <c r="X85" i="3"/>
  <c r="X93" i="3"/>
  <c r="X89" i="3"/>
  <c r="X92" i="3"/>
  <c r="AO78" i="3"/>
  <c r="AO64" i="3"/>
  <c r="AO58" i="3"/>
  <c r="AO50" i="3"/>
  <c r="AO93" i="3"/>
  <c r="AO91" i="3"/>
  <c r="AO73" i="3"/>
  <c r="AO59" i="3"/>
  <c r="AO54" i="3"/>
  <c r="AO87" i="3"/>
  <c r="AO80" i="3"/>
  <c r="AO76" i="3"/>
  <c r="AO71" i="3"/>
  <c r="AO94" i="3"/>
  <c r="AO86" i="3"/>
  <c r="AO90" i="3"/>
  <c r="AO49" i="3"/>
  <c r="AO88" i="3"/>
  <c r="AO47" i="3"/>
  <c r="AO83" i="3"/>
  <c r="AO63" i="3"/>
  <c r="AO85" i="3"/>
  <c r="AO89" i="3"/>
  <c r="AO62" i="3"/>
  <c r="AO82" i="3"/>
  <c r="AO57" i="3"/>
  <c r="AO75" i="3"/>
  <c r="AN73" i="3"/>
  <c r="AN83" i="3"/>
  <c r="AN71" i="3"/>
  <c r="AN94" i="3"/>
  <c r="AN93" i="3"/>
  <c r="AN50" i="3"/>
  <c r="AN49" i="3"/>
  <c r="AN90" i="3"/>
  <c r="AN81" i="3"/>
  <c r="AN65" i="3"/>
  <c r="AN75" i="3"/>
  <c r="AN47" i="3"/>
  <c r="AN58" i="3"/>
  <c r="AN70" i="3"/>
  <c r="AN56" i="3"/>
  <c r="AN61" i="3"/>
  <c r="AN54" i="3"/>
  <c r="AN62" i="3"/>
  <c r="AN79" i="3"/>
  <c r="AN84" i="3"/>
  <c r="AN85" i="3"/>
  <c r="AN55" i="3"/>
  <c r="AN87" i="3"/>
  <c r="AN63" i="3"/>
  <c r="AN76" i="3"/>
  <c r="AN60" i="3"/>
  <c r="AN97" i="3"/>
  <c r="AN74" i="3"/>
  <c r="AN48" i="3"/>
  <c r="AN67" i="3"/>
  <c r="T50" i="3"/>
  <c r="T68" i="3"/>
  <c r="T55" i="3"/>
  <c r="T96" i="3"/>
  <c r="T71" i="3"/>
  <c r="T93" i="3"/>
  <c r="T72" i="3"/>
  <c r="T94" i="3"/>
  <c r="T49" i="3"/>
  <c r="T78" i="3"/>
  <c r="T83" i="3"/>
  <c r="T59" i="3"/>
  <c r="T64" i="3"/>
  <c r="T63" i="3"/>
  <c r="T81" i="3"/>
  <c r="T88" i="3"/>
  <c r="T82" i="3"/>
  <c r="T85" i="3"/>
  <c r="W78" i="3"/>
  <c r="W92" i="3"/>
  <c r="W60" i="3"/>
  <c r="W88" i="3"/>
  <c r="W73" i="3"/>
  <c r="W56" i="3"/>
  <c r="W68" i="3"/>
  <c r="W66" i="3"/>
  <c r="W65" i="3"/>
  <c r="W89" i="3"/>
  <c r="W77" i="3"/>
  <c r="W61" i="3"/>
  <c r="W84" i="3"/>
  <c r="W62" i="3"/>
  <c r="W70" i="3"/>
  <c r="W69" i="3"/>
  <c r="W90" i="3"/>
  <c r="W75" i="3"/>
  <c r="AM56" i="3"/>
  <c r="AM84" i="3"/>
  <c r="AM89" i="3"/>
  <c r="AM87" i="3"/>
  <c r="AM85" i="3"/>
  <c r="AM95" i="3"/>
  <c r="AM92" i="3"/>
  <c r="AM62" i="3"/>
  <c r="AM50" i="3"/>
  <c r="AM91" i="3"/>
  <c r="AM86" i="3"/>
  <c r="AM71" i="3"/>
  <c r="AM82" i="3"/>
  <c r="AM90" i="3"/>
  <c r="AM76" i="3"/>
  <c r="AM73" i="3"/>
  <c r="AM88" i="3"/>
  <c r="AM96" i="3"/>
  <c r="AM60" i="3"/>
  <c r="O95" i="3" l="1"/>
  <c r="AL59" i="3"/>
  <c r="S61" i="3"/>
  <c r="AA86" i="3"/>
  <c r="S65" i="3"/>
  <c r="AL94" i="3"/>
  <c r="AC83" i="3"/>
  <c r="L73" i="3"/>
  <c r="AL65" i="3"/>
  <c r="N68" i="3"/>
  <c r="R84" i="3"/>
  <c r="O94" i="3"/>
  <c r="V63" i="3"/>
  <c r="M62" i="3"/>
  <c r="O93" i="3"/>
  <c r="O74" i="3"/>
  <c r="M67" i="3"/>
  <c r="AK87" i="3"/>
  <c r="AA93" i="3"/>
  <c r="AA65" i="3"/>
  <c r="S79" i="3"/>
  <c r="AI64" i="3"/>
  <c r="AL72" i="3"/>
  <c r="AI59" i="3"/>
  <c r="V73" i="3"/>
  <c r="V61" i="3"/>
  <c r="O92" i="3"/>
  <c r="O86" i="3"/>
  <c r="N50" i="3"/>
  <c r="AK68" i="3"/>
  <c r="N58" i="3"/>
  <c r="AL68" i="3"/>
  <c r="S72" i="3"/>
  <c r="AC73" i="3"/>
  <c r="AC70" i="3"/>
  <c r="AI63" i="3"/>
  <c r="N83" i="3"/>
  <c r="M60" i="3"/>
  <c r="AK74" i="3"/>
  <c r="S93" i="3"/>
  <c r="AA73" i="3"/>
  <c r="AA94" i="3"/>
  <c r="L77" i="3"/>
  <c r="AA72" i="3"/>
  <c r="L76" i="3"/>
  <c r="AA90" i="3"/>
  <c r="AA50" i="3"/>
  <c r="L89" i="3"/>
  <c r="L79" i="3"/>
  <c r="AI61" i="3"/>
  <c r="AI66" i="3"/>
  <c r="T74" i="3"/>
  <c r="T60" i="3"/>
  <c r="T69" i="3"/>
  <c r="T65" i="3"/>
  <c r="T80" i="3"/>
  <c r="T56" i="3"/>
  <c r="T48" i="3"/>
  <c r="T47" i="3"/>
  <c r="T90" i="3"/>
  <c r="T84" i="3"/>
  <c r="T76" i="3"/>
  <c r="T89" i="3"/>
  <c r="T95" i="3"/>
  <c r="T73" i="3"/>
  <c r="T62" i="3"/>
  <c r="T97" i="3"/>
  <c r="T70" i="3"/>
  <c r="T54" i="3"/>
  <c r="T61" i="3"/>
  <c r="W91" i="3"/>
  <c r="W59" i="3"/>
  <c r="W76" i="3"/>
  <c r="W95" i="3"/>
  <c r="W71" i="3"/>
  <c r="W57" i="3"/>
  <c r="W81" i="3"/>
  <c r="W63" i="3"/>
  <c r="W64" i="3"/>
  <c r="W93" i="3"/>
  <c r="W96" i="3"/>
  <c r="W58" i="3"/>
  <c r="W49" i="3"/>
  <c r="W80" i="3"/>
  <c r="W74" i="3"/>
  <c r="W87" i="3"/>
  <c r="W47" i="3"/>
  <c r="W54" i="3"/>
  <c r="W72" i="3"/>
  <c r="W85" i="3"/>
  <c r="W67" i="3"/>
  <c r="AM48" i="3"/>
  <c r="AM57" i="3"/>
  <c r="AM94" i="3"/>
  <c r="AM63" i="3"/>
  <c r="AM70" i="3"/>
  <c r="AM78" i="3"/>
  <c r="AM61" i="3"/>
  <c r="AM81" i="3"/>
  <c r="AM75" i="3"/>
  <c r="AM59" i="3"/>
  <c r="AM64" i="3"/>
  <c r="AM74" i="3"/>
  <c r="AM58" i="3"/>
  <c r="AM93" i="3"/>
  <c r="AM83" i="3"/>
  <c r="AM79" i="3"/>
  <c r="AM69" i="3"/>
  <c r="AM55" i="3"/>
  <c r="AM65" i="3"/>
  <c r="AM77" i="3"/>
  <c r="AM66" i="3"/>
  <c r="AM49" i="3"/>
  <c r="AM80" i="3"/>
  <c r="AE73" i="3"/>
  <c r="AE93" i="3"/>
  <c r="AE87" i="3"/>
  <c r="AE94" i="3"/>
  <c r="AE48" i="3"/>
  <c r="AE95" i="3"/>
  <c r="AE68" i="3"/>
  <c r="AE57" i="3"/>
  <c r="AE67" i="3"/>
  <c r="AE80" i="3"/>
  <c r="AE58" i="3"/>
  <c r="AE88" i="3"/>
  <c r="AE72" i="3"/>
  <c r="AE77" i="3"/>
  <c r="AE78" i="3"/>
  <c r="AE49" i="3"/>
  <c r="AE60" i="3"/>
  <c r="AE96" i="3"/>
  <c r="AE47" i="3"/>
  <c r="AE56" i="3"/>
  <c r="AE63" i="3"/>
  <c r="AE61" i="3"/>
  <c r="AE90" i="3"/>
  <c r="AE64" i="3"/>
  <c r="AE81" i="3"/>
  <c r="AE89" i="3"/>
  <c r="AE92" i="3"/>
  <c r="AE70" i="3"/>
  <c r="AE75" i="3"/>
  <c r="AE91" i="3"/>
  <c r="AE86" i="3"/>
  <c r="AE65" i="3"/>
  <c r="AE66" i="3"/>
  <c r="AE84" i="3"/>
  <c r="AE82" i="3"/>
  <c r="AE71" i="3"/>
  <c r="AE59" i="3"/>
  <c r="AE85" i="3"/>
  <c r="AE62" i="3"/>
  <c r="AE74" i="3"/>
  <c r="AE79" i="3"/>
  <c r="AE69" i="3"/>
  <c r="AE83" i="3"/>
  <c r="AE97" i="3"/>
  <c r="AE55" i="3"/>
  <c r="AE50" i="3"/>
  <c r="AE76" i="3"/>
  <c r="AE54" i="3"/>
  <c r="AH69" i="3"/>
  <c r="AH77" i="3"/>
  <c r="H83" i="3"/>
  <c r="H85" i="3"/>
  <c r="AH84" i="3"/>
  <c r="AH57" i="3"/>
  <c r="H61" i="3"/>
  <c r="H49" i="3"/>
  <c r="H63" i="3"/>
  <c r="H75" i="3"/>
  <c r="AH59" i="3"/>
  <c r="AH88" i="3"/>
  <c r="AH95" i="3"/>
  <c r="H92" i="3"/>
  <c r="AH70" i="3"/>
  <c r="AH79" i="3"/>
  <c r="AH72" i="3"/>
  <c r="H82" i="3"/>
  <c r="AH58" i="3"/>
  <c r="H58" i="3"/>
  <c r="H66" i="3"/>
  <c r="AH47" i="3"/>
  <c r="H73" i="3"/>
  <c r="H48" i="3"/>
  <c r="AH96" i="3"/>
  <c r="H86" i="3"/>
  <c r="AH73" i="3"/>
  <c r="H87" i="3"/>
  <c r="AH92" i="3"/>
  <c r="AH67" i="3"/>
  <c r="AH55" i="3"/>
  <c r="AH65" i="3"/>
  <c r="AH63" i="3"/>
  <c r="AH71" i="3"/>
  <c r="AH91" i="3"/>
  <c r="AH54" i="3"/>
  <c r="AH93" i="3"/>
  <c r="AH49" i="3"/>
  <c r="AH68" i="3"/>
  <c r="AH50" i="3"/>
  <c r="AH75" i="3"/>
  <c r="AH62" i="3"/>
  <c r="AH81" i="3"/>
  <c r="AH87" i="3"/>
  <c r="AH94" i="3"/>
  <c r="AH74" i="3"/>
  <c r="AH78" i="3"/>
  <c r="AH61" i="3"/>
  <c r="AH85" i="3"/>
  <c r="AH97" i="3"/>
  <c r="AH86" i="3"/>
  <c r="BS83" i="1"/>
  <c r="AZ156" i="1"/>
  <c r="BA156" i="1" s="1"/>
  <c r="AZ154" i="1"/>
  <c r="AZ136" i="1"/>
  <c r="BA136" i="1" s="1"/>
  <c r="AZ153" i="1"/>
  <c r="AZ134" i="1"/>
  <c r="BA134" i="1" s="1"/>
  <c r="AZ158" i="1"/>
  <c r="AZ169" i="1"/>
  <c r="AZ151" i="1"/>
  <c r="AZ82" i="1"/>
  <c r="AZ144" i="1"/>
  <c r="BA144" i="1" s="1"/>
  <c r="AZ172" i="1"/>
  <c r="BA172" i="1" s="1"/>
  <c r="AZ140" i="1"/>
  <c r="AZ83" i="1"/>
  <c r="BT146" i="1"/>
  <c r="BU146" i="1" s="1"/>
  <c r="BT131" i="1"/>
  <c r="BU131" i="1" s="1"/>
  <c r="BT134" i="1"/>
  <c r="BU134" i="1" s="1"/>
  <c r="BT161" i="1"/>
  <c r="BU161" i="1" s="1"/>
  <c r="BT156" i="1"/>
  <c r="BU156" i="1" s="1"/>
  <c r="BT155" i="1"/>
  <c r="BU155" i="1" s="1"/>
  <c r="BT152" i="1"/>
  <c r="BU152" i="1" s="1"/>
  <c r="BT133" i="1"/>
  <c r="BT126" i="1"/>
  <c r="BT142" i="1"/>
  <c r="BT128" i="1"/>
  <c r="BT159" i="1"/>
  <c r="BU159" i="1" s="1"/>
  <c r="BT153" i="1"/>
  <c r="BT135" i="1"/>
  <c r="BU135" i="1" s="1"/>
  <c r="BT82" i="1"/>
  <c r="BT83" i="1"/>
  <c r="BT169" i="1"/>
  <c r="BU82" i="1"/>
  <c r="BU83" i="1"/>
  <c r="BD164" i="1"/>
  <c r="BE164" i="1" s="1"/>
  <c r="BD162" i="1"/>
  <c r="BD156" i="1"/>
  <c r="BE156" i="1" s="1"/>
  <c r="BD151" i="1"/>
  <c r="BD127" i="1"/>
  <c r="BE127" i="1" s="1"/>
  <c r="BD169" i="1"/>
  <c r="BA83" i="1"/>
  <c r="BF155" i="1"/>
  <c r="BG155" i="1" s="1"/>
  <c r="BF83" i="1"/>
  <c r="BF169" i="1"/>
  <c r="BF126" i="1"/>
  <c r="BF168" i="1"/>
  <c r="BF170" i="1" s="1"/>
  <c r="BG218" i="1" s="1"/>
  <c r="BF136" i="1"/>
  <c r="BG136" i="1" s="1"/>
  <c r="BF142" i="1"/>
  <c r="BF134" i="1"/>
  <c r="BG134" i="1" s="1"/>
  <c r="AT135" i="1"/>
  <c r="AU135" i="1" s="1"/>
  <c r="AT161" i="1"/>
  <c r="AU161" i="1" s="1"/>
  <c r="AT155" i="1"/>
  <c r="AU155" i="1" s="1"/>
  <c r="AX144" i="1"/>
  <c r="AY144" i="1" s="1"/>
  <c r="AX164" i="1"/>
  <c r="AY164" i="1" s="1"/>
  <c r="AP134" i="1"/>
  <c r="AQ134" i="1" s="1"/>
  <c r="AP141" i="1"/>
  <c r="AP128" i="1"/>
  <c r="BT144" i="1"/>
  <c r="BU144" i="1" s="1"/>
  <c r="BD168" i="1"/>
  <c r="BD170" i="1" s="1"/>
  <c r="BE218" i="1" s="1"/>
  <c r="BB126" i="1"/>
  <c r="BB164" i="1"/>
  <c r="BC164" i="1" s="1"/>
  <c r="BC83" i="1"/>
  <c r="BF159" i="1"/>
  <c r="BG159" i="1" s="1"/>
  <c r="BF141" i="1"/>
  <c r="AP152" i="1"/>
  <c r="AQ152" i="1" s="1"/>
  <c r="BN168" i="1"/>
  <c r="AV128" i="1"/>
  <c r="BB161" i="1"/>
  <c r="BC161" i="1" s="1"/>
  <c r="BP164" i="1"/>
  <c r="BQ164" i="1" s="1"/>
  <c r="BN135" i="1"/>
  <c r="BO135" i="1" s="1"/>
  <c r="AX162" i="1"/>
  <c r="AS82" i="1"/>
  <c r="AV160" i="1"/>
  <c r="AW160" i="1" s="1"/>
  <c r="BN160" i="1"/>
  <c r="BO160" i="1" s="1"/>
  <c r="AN131" i="1"/>
  <c r="AO131" i="1" s="1"/>
  <c r="BR164" i="1"/>
  <c r="BS164" i="1" s="1"/>
  <c r="AR83" i="1"/>
  <c r="AX131" i="1"/>
  <c r="AY131" i="1" s="1"/>
  <c r="BB146" i="1"/>
  <c r="BC146" i="1" s="1"/>
  <c r="BF82" i="1"/>
  <c r="BT162" i="1"/>
  <c r="BP159" i="1"/>
  <c r="BQ159" i="1" s="1"/>
  <c r="AN155" i="1"/>
  <c r="AO155" i="1" s="1"/>
  <c r="BN162" i="1"/>
  <c r="AN158" i="1"/>
  <c r="BN169" i="1"/>
  <c r="BQ82" i="1"/>
  <c r="AX133" i="1"/>
  <c r="BP153" i="1"/>
  <c r="AV133" i="1"/>
  <c r="BT127" i="1"/>
  <c r="BU127" i="1" s="1"/>
  <c r="AV159" i="1"/>
  <c r="AW159" i="1" s="1"/>
  <c r="BT164" i="1"/>
  <c r="BU164" i="1" s="1"/>
  <c r="BP155" i="1"/>
  <c r="BQ155" i="1" s="1"/>
  <c r="BT140" i="1"/>
  <c r="AZ127" i="1"/>
  <c r="BA127" i="1" s="1"/>
  <c r="AZ161" i="1"/>
  <c r="BA161" i="1" s="1"/>
  <c r="BT172" i="1"/>
  <c r="BU172" i="1" s="1"/>
  <c r="BD135" i="1"/>
  <c r="BE135" i="1" s="1"/>
  <c r="AZ128" i="1"/>
  <c r="AV83" i="1"/>
  <c r="BD140" i="1"/>
  <c r="AP154" i="1"/>
  <c r="AR172" i="1"/>
  <c r="AS172" i="1" s="1"/>
  <c r="BF151" i="1"/>
  <c r="AO83" i="1"/>
  <c r="AR153" i="1"/>
  <c r="BT168" i="1"/>
  <c r="BT170" i="1" s="1"/>
  <c r="BU218" i="1" s="1"/>
  <c r="BD142" i="1"/>
  <c r="BB82" i="1"/>
  <c r="AX152" i="1"/>
  <c r="AY152" i="1" s="1"/>
  <c r="AR173" i="1"/>
  <c r="AS173" i="1" s="1"/>
  <c r="BF135" i="1"/>
  <c r="BG135" i="1" s="1"/>
  <c r="BP163" i="1"/>
  <c r="BQ163" i="1" s="1"/>
  <c r="BB127" i="1"/>
  <c r="BC127" i="1" s="1"/>
  <c r="BO83" i="1"/>
  <c r="AY83" i="1"/>
  <c r="AT168" i="1"/>
  <c r="AP135" i="1"/>
  <c r="AQ135" i="1" s="1"/>
  <c r="BT158" i="1"/>
  <c r="BF161" i="1"/>
  <c r="BG161" i="1" s="1"/>
  <c r="AV153" i="1"/>
  <c r="BR82" i="1"/>
  <c r="BN131" i="1"/>
  <c r="BO131" i="1" s="1"/>
  <c r="BT154" i="1"/>
  <c r="AZ160" i="1"/>
  <c r="BA160" i="1" s="1"/>
  <c r="AT153" i="1"/>
  <c r="AZ149" i="1"/>
  <c r="AN127" i="1"/>
  <c r="AO127" i="1" s="1"/>
  <c r="BF173" i="1"/>
  <c r="BG173" i="1" s="1"/>
  <c r="AP127" i="1"/>
  <c r="AQ127" i="1" s="1"/>
  <c r="AZ163" i="1"/>
  <c r="BA163" i="1" s="1"/>
  <c r="AZ164" i="1"/>
  <c r="BA164" i="1" s="1"/>
  <c r="AX136" i="1"/>
  <c r="AY136" i="1" s="1"/>
  <c r="AT141" i="1"/>
  <c r="BR155" i="1"/>
  <c r="BS155" i="1" s="1"/>
  <c r="BD136" i="1"/>
  <c r="BE136" i="1" s="1"/>
  <c r="BB83" i="1"/>
  <c r="BT136" i="1"/>
  <c r="BU136" i="1" s="1"/>
  <c r="BN126" i="1"/>
  <c r="R142" i="1"/>
  <c r="H126" i="1"/>
  <c r="AU54" i="1"/>
  <c r="BW55" i="1"/>
  <c r="AP22" i="1"/>
  <c r="BC33" i="1"/>
  <c r="BT23" i="1"/>
  <c r="AJ83" i="1"/>
  <c r="BI23" i="1"/>
  <c r="P145" i="1"/>
  <c r="AW45" i="1"/>
  <c r="AY32" i="1"/>
  <c r="BV24" i="1"/>
  <c r="T149" i="1"/>
  <c r="BI55" i="1"/>
  <c r="F153" i="1"/>
  <c r="F188" i="1" s="1"/>
  <c r="V152" i="1"/>
  <c r="BU41" i="1"/>
  <c r="M168" i="1"/>
  <c r="D127" i="1"/>
  <c r="S133" i="1"/>
  <c r="AQ54" i="1"/>
  <c r="BT55" i="1"/>
  <c r="BM54" i="1"/>
  <c r="E82" i="1"/>
  <c r="J149" i="1"/>
  <c r="BK23" i="1"/>
  <c r="BO31" i="1"/>
  <c r="H141" i="1"/>
  <c r="AO48" i="1"/>
  <c r="W76" i="1"/>
  <c r="T169" i="1"/>
  <c r="AS31" i="1"/>
  <c r="BV144" i="1"/>
  <c r="BW144" i="1" s="1"/>
  <c r="BO18" i="1"/>
  <c r="T173" i="1"/>
  <c r="AT60" i="1"/>
  <c r="BQ31" i="1"/>
  <c r="B88" i="1"/>
  <c r="AT41" i="1"/>
  <c r="BF153" i="1"/>
  <c r="BF172" i="1"/>
  <c r="BG172" i="1" s="1"/>
  <c r="BR152" i="1"/>
  <c r="BS152" i="1" s="1"/>
  <c r="AT160" i="1"/>
  <c r="AU160" i="1" s="1"/>
  <c r="BW83" i="1"/>
  <c r="BF146" i="1"/>
  <c r="BG146" i="1" s="1"/>
  <c r="AX172" i="1"/>
  <c r="AY172" i="1" s="1"/>
  <c r="AR141" i="1"/>
  <c r="AN141" i="1"/>
  <c r="BB44" i="1"/>
  <c r="BW30" i="1"/>
  <c r="BR55" i="1"/>
  <c r="P142" i="1"/>
  <c r="BK18" i="1"/>
  <c r="BW54" i="1"/>
  <c r="AP55" i="1"/>
  <c r="O135" i="1"/>
  <c r="O163" i="1" s="1"/>
  <c r="R128" i="1"/>
  <c r="BR18" i="1"/>
  <c r="I144" i="1"/>
  <c r="I140" i="1" s="1"/>
  <c r="R134" i="1"/>
  <c r="AZ48" i="1"/>
  <c r="BH44" i="1"/>
  <c r="D136" i="1"/>
  <c r="BV60" i="1"/>
  <c r="BK31" i="1"/>
  <c r="H88" i="1"/>
  <c r="BK34" i="1"/>
  <c r="I76" i="1"/>
  <c r="BI18" i="1"/>
  <c r="T83" i="1"/>
  <c r="B133" i="1"/>
  <c r="C83" i="1"/>
  <c r="L87" i="1"/>
  <c r="BN55" i="1"/>
  <c r="B180" i="1"/>
  <c r="BR142" i="1"/>
  <c r="BR151" i="1"/>
  <c r="BR158" i="1"/>
  <c r="BR156" i="1"/>
  <c r="BS156" i="1" s="1"/>
  <c r="AX151" i="1"/>
  <c r="AV168" i="1"/>
  <c r="BN154" i="1"/>
  <c r="AV164" i="1"/>
  <c r="AW164" i="1" s="1"/>
  <c r="AR128" i="1"/>
  <c r="BN31" i="1"/>
  <c r="BT44" i="1"/>
  <c r="BC18" i="1"/>
  <c r="BT33" i="1"/>
  <c r="BN24" i="1"/>
  <c r="BR44" i="1"/>
  <c r="BQ55" i="1"/>
  <c r="AX48" i="1"/>
  <c r="O133" i="1"/>
  <c r="R135" i="1"/>
  <c r="R163" i="1" s="1"/>
  <c r="BS54" i="1"/>
  <c r="AT55" i="1"/>
  <c r="U159" i="1"/>
  <c r="H87" i="1"/>
  <c r="D158" i="1"/>
  <c r="G160" i="1"/>
  <c r="AN163" i="1"/>
  <c r="AO163" i="1" s="1"/>
  <c r="H154" i="1"/>
  <c r="H189" i="1" s="1"/>
  <c r="BD133" i="1"/>
  <c r="BD172" i="1"/>
  <c r="BE172" i="1" s="1"/>
  <c r="BB168" i="1"/>
  <c r="BA82" i="1"/>
  <c r="BF149" i="1"/>
  <c r="AN83" i="1"/>
  <c r="BP152" i="1"/>
  <c r="BQ152" i="1" s="1"/>
  <c r="BB173" i="1"/>
  <c r="BC173" i="1" s="1"/>
  <c r="AR133" i="1"/>
  <c r="BT151" i="1"/>
  <c r="BT141" i="1"/>
  <c r="BT149" i="1"/>
  <c r="BU149" i="1" s="1"/>
  <c r="BD161" i="1"/>
  <c r="BE161" i="1" s="1"/>
  <c r="BD159" i="1"/>
  <c r="BE159" i="1" s="1"/>
  <c r="BD82" i="1"/>
  <c r="AU82" i="1"/>
  <c r="AU83" i="1"/>
  <c r="BB135" i="1"/>
  <c r="BC135" i="1" s="1"/>
  <c r="BB152" i="1"/>
  <c r="BC152" i="1" s="1"/>
  <c r="BB144" i="1"/>
  <c r="BC144" i="1" s="1"/>
  <c r="BB140" i="1"/>
  <c r="BF154" i="1"/>
  <c r="BF140" i="1"/>
  <c r="BF131" i="1"/>
  <c r="BG131" i="1" s="1"/>
  <c r="AR134" i="1"/>
  <c r="AS134" i="1" s="1"/>
  <c r="AR154" i="1"/>
  <c r="AX128" i="1"/>
  <c r="BR168" i="1"/>
  <c r="AV152" i="1"/>
  <c r="AW152" i="1" s="1"/>
  <c r="BB159" i="1"/>
  <c r="BC159" i="1" s="1"/>
  <c r="AT144" i="1"/>
  <c r="AU144" i="1" s="1"/>
  <c r="AV162" i="1"/>
  <c r="BB156" i="1"/>
  <c r="BC156" i="1" s="1"/>
  <c r="BI82" i="1"/>
  <c r="AN149" i="1"/>
  <c r="AX83" i="1"/>
  <c r="BT160" i="1"/>
  <c r="BU160" i="1" s="1"/>
  <c r="BE83" i="1"/>
  <c r="BP133" i="1"/>
  <c r="BI83" i="1"/>
  <c r="AP83" i="1"/>
  <c r="BR135" i="1"/>
  <c r="BS135" i="1" s="1"/>
  <c r="BT163" i="1"/>
  <c r="BU163" i="1" s="1"/>
  <c r="AV131" i="1"/>
  <c r="AW131" i="1" s="1"/>
  <c r="BR134" i="1"/>
  <c r="BS134" i="1" s="1"/>
  <c r="BD163" i="1"/>
  <c r="BE163" i="1" s="1"/>
  <c r="AR140" i="1"/>
  <c r="BP172" i="1"/>
  <c r="BQ172" i="1" s="1"/>
  <c r="AN151" i="1"/>
  <c r="BF133" i="1"/>
  <c r="AV169" i="1"/>
  <c r="BD83" i="1"/>
  <c r="BP154" i="1"/>
  <c r="AP146" i="1"/>
  <c r="AQ146" i="1" s="1"/>
  <c r="BD141" i="1"/>
  <c r="BR154" i="1"/>
  <c r="AX160" i="1"/>
  <c r="AY160" i="1" s="1"/>
  <c r="BR161" i="1"/>
  <c r="BS161" i="1" s="1"/>
  <c r="BD134" i="1"/>
  <c r="BE134" i="1" s="1"/>
  <c r="AT162" i="1"/>
  <c r="AP158" i="1"/>
  <c r="AN162" i="1"/>
  <c r="AT133" i="1"/>
  <c r="AV127" i="1"/>
  <c r="AW127" i="1" s="1"/>
  <c r="AN135" i="1"/>
  <c r="AO135" i="1" s="1"/>
  <c r="AV126" i="1"/>
  <c r="AT134" i="1"/>
  <c r="AU134" i="1" s="1"/>
  <c r="AN152" i="1"/>
  <c r="AO152" i="1" s="1"/>
  <c r="AR156" i="1"/>
  <c r="AS156" i="1" s="1"/>
  <c r="AX173" i="1"/>
  <c r="AY173" i="1" s="1"/>
  <c r="BR126" i="1"/>
  <c r="BP161" i="1"/>
  <c r="BQ161" i="1" s="1"/>
  <c r="AT154" i="1"/>
  <c r="BR141" i="1"/>
  <c r="BB142" i="1"/>
  <c r="AN153" i="1"/>
  <c r="AT142" i="1"/>
  <c r="AR146" i="1"/>
  <c r="AS146" i="1" s="1"/>
  <c r="BD173" i="1"/>
  <c r="BE173" i="1" s="1"/>
  <c r="BT173" i="1"/>
  <c r="BU173" i="1" s="1"/>
  <c r="AT151" i="1"/>
  <c r="AV142" i="1"/>
  <c r="AX142" i="1"/>
  <c r="BR149" i="1"/>
  <c r="BS149" i="1" s="1"/>
  <c r="BB141" i="1"/>
  <c r="BB163" i="1"/>
  <c r="BC163" i="1" s="1"/>
  <c r="AT146" i="1"/>
  <c r="AU146" i="1" s="1"/>
  <c r="AX134" i="1"/>
  <c r="AY134" i="1" s="1"/>
  <c r="BR83" i="1"/>
  <c r="AN172" i="1"/>
  <c r="AO172" i="1" s="1"/>
  <c r="AT126" i="1"/>
  <c r="BB172" i="1"/>
  <c r="BC172" i="1" s="1"/>
  <c r="AX141" i="1"/>
  <c r="AN168" i="1"/>
  <c r="AP140" i="1"/>
  <c r="AR127" i="1"/>
  <c r="AS127" i="1" s="1"/>
  <c r="AS56" i="1"/>
  <c r="V142" i="1"/>
  <c r="AU23" i="1"/>
  <c r="K146" i="1"/>
  <c r="U86" i="1"/>
  <c r="AI18" i="1"/>
  <c r="BN33" i="1"/>
  <c r="D83" i="1"/>
  <c r="BO30" i="1"/>
  <c r="AS17" i="1"/>
  <c r="BM23" i="1"/>
  <c r="AQ24" i="1"/>
  <c r="AQ30" i="1"/>
  <c r="BP23" i="1"/>
  <c r="S173" i="1"/>
  <c r="R133" i="1"/>
  <c r="V135" i="1"/>
  <c r="V163" i="1" s="1"/>
  <c r="AX54" i="1"/>
  <c r="U145" i="1"/>
  <c r="BH24" i="1"/>
  <c r="AX34" i="1"/>
  <c r="T152" i="1"/>
  <c r="L153" i="1"/>
  <c r="L188" i="1" s="1"/>
  <c r="AX30" i="1"/>
  <c r="C136" i="1"/>
  <c r="AT17" i="1"/>
  <c r="B145" i="1"/>
  <c r="BB54" i="1"/>
  <c r="U151" i="1"/>
  <c r="BP17" i="1"/>
  <c r="BM29" i="1"/>
  <c r="S142" i="1"/>
  <c r="T179" i="1"/>
  <c r="BA54" i="1"/>
  <c r="BV146" i="1"/>
  <c r="BW146" i="1" s="1"/>
  <c r="T153" i="1"/>
  <c r="T188" i="1" s="1"/>
  <c r="BF163" i="1"/>
  <c r="BG163" i="1" s="1"/>
  <c r="BR163" i="1"/>
  <c r="BS163" i="1" s="1"/>
  <c r="AV158" i="1"/>
  <c r="BE82" i="1"/>
  <c r="AP172" i="1"/>
  <c r="AQ172" i="1" s="1"/>
  <c r="AR82" i="1"/>
  <c r="BR160" i="1"/>
  <c r="BS160" i="1" s="1"/>
  <c r="BR172" i="1"/>
  <c r="BS172" i="1" s="1"/>
  <c r="BW82" i="1"/>
  <c r="BP160" i="1"/>
  <c r="BQ160" i="1" s="1"/>
  <c r="AK82" i="1"/>
  <c r="AS48" i="1"/>
  <c r="AR22" i="1"/>
  <c r="BB33" i="1"/>
  <c r="S154" i="1"/>
  <c r="S189" i="1" s="1"/>
  <c r="BU55" i="1"/>
  <c r="BD44" i="1"/>
  <c r="P158" i="1"/>
  <c r="BV18" i="1"/>
  <c r="BH128" i="1"/>
  <c r="BH133" i="1"/>
  <c r="AW31" i="1"/>
  <c r="BH158" i="1"/>
  <c r="BI158" i="1" s="1"/>
  <c r="I146" i="1"/>
  <c r="AI29" i="1"/>
  <c r="AT30" i="1"/>
  <c r="P88" i="1"/>
  <c r="C135" i="1"/>
  <c r="C163" i="1" s="1"/>
  <c r="U134" i="1"/>
  <c r="S131" i="1"/>
  <c r="V151" i="1"/>
  <c r="K154" i="1"/>
  <c r="K189" i="1" s="1"/>
  <c r="AS18" i="1"/>
  <c r="AW17" i="1"/>
  <c r="AV30" i="1"/>
  <c r="BV141" i="1"/>
  <c r="BJ41" i="1"/>
  <c r="J172" i="1"/>
  <c r="I153" i="1"/>
  <c r="I188" i="1" s="1"/>
  <c r="N145" i="1"/>
  <c r="AI30" i="1"/>
  <c r="N160" i="1"/>
  <c r="BC60" i="1"/>
  <c r="V179" i="1"/>
  <c r="BB30" i="1"/>
  <c r="AQ22" i="1"/>
  <c r="BI32" i="1"/>
  <c r="N155" i="1"/>
  <c r="AW33" i="1"/>
  <c r="P154" i="1"/>
  <c r="P189" i="1" s="1"/>
  <c r="BR128" i="1"/>
  <c r="AV82" i="1"/>
  <c r="AR144" i="1"/>
  <c r="AS144" i="1" s="1"/>
  <c r="AR142" i="1"/>
  <c r="AR160" i="1"/>
  <c r="AS160" i="1" s="1"/>
  <c r="BP142" i="1"/>
  <c r="AN140" i="1"/>
  <c r="AP161" i="1"/>
  <c r="AQ161" i="1" s="1"/>
  <c r="AV163" i="1"/>
  <c r="AW163" i="1" s="1"/>
  <c r="AV141" i="1"/>
  <c r="BD34" i="1"/>
  <c r="AN23" i="1"/>
  <c r="BN44" i="1"/>
  <c r="C72" i="1"/>
  <c r="J153" i="1"/>
  <c r="J188" i="1" s="1"/>
  <c r="BO29" i="1"/>
  <c r="J133" i="1"/>
  <c r="AT23" i="1"/>
  <c r="AX55" i="1"/>
  <c r="AT56" i="1"/>
  <c r="BR146" i="1"/>
  <c r="BS146" i="1" s="1"/>
  <c r="AP126" i="1"/>
  <c r="AX24" i="1"/>
  <c r="BB162" i="1"/>
  <c r="BD160" i="1"/>
  <c r="BE160" i="1" s="1"/>
  <c r="BD144" i="1"/>
  <c r="BE144" i="1" s="1"/>
  <c r="BD158" i="1"/>
  <c r="BB133" i="1"/>
  <c r="BF127" i="1"/>
  <c r="BG127" i="1" s="1"/>
  <c r="BF164" i="1"/>
  <c r="BG164" i="1" s="1"/>
  <c r="BF156" i="1"/>
  <c r="BG156" i="1" s="1"/>
  <c r="AR164" i="1"/>
  <c r="AS164" i="1" s="1"/>
  <c r="AR158" i="1"/>
  <c r="AP160" i="1"/>
  <c r="AQ160" i="1" s="1"/>
  <c r="BB153" i="1"/>
  <c r="BB131" i="1"/>
  <c r="BC131" i="1" s="1"/>
  <c r="BD155" i="1"/>
  <c r="BE155" i="1" s="1"/>
  <c r="BP162" i="1"/>
  <c r="AV146" i="1"/>
  <c r="AW146" i="1" s="1"/>
  <c r="BP146" i="1"/>
  <c r="BQ146" i="1" s="1"/>
  <c r="BF128" i="1"/>
  <c r="AT131" i="1"/>
  <c r="AU131" i="1" s="1"/>
  <c r="AN133" i="1"/>
  <c r="BP169" i="1"/>
  <c r="AV172" i="1"/>
  <c r="AW172" i="1" s="1"/>
  <c r="AP155" i="1"/>
  <c r="AQ155" i="1" s="1"/>
  <c r="BB154" i="1"/>
  <c r="AN173" i="1"/>
  <c r="AO173" i="1" s="1"/>
  <c r="AN136" i="1"/>
  <c r="AO136" i="1" s="1"/>
  <c r="BD146" i="1"/>
  <c r="BE146" i="1" s="1"/>
  <c r="BD153" i="1"/>
  <c r="AT159" i="1"/>
  <c r="AU159" i="1" s="1"/>
  <c r="BP168" i="1"/>
  <c r="AN144" i="1"/>
  <c r="AO144" i="1" s="1"/>
  <c r="BF160" i="1"/>
  <c r="BG160" i="1" s="1"/>
  <c r="AR136" i="1"/>
  <c r="AS136" i="1" s="1"/>
  <c r="BF162" i="1"/>
  <c r="BB160" i="1"/>
  <c r="BC160" i="1" s="1"/>
  <c r="AP136" i="1"/>
  <c r="AQ136" i="1" s="1"/>
  <c r="AX127" i="1"/>
  <c r="AY127" i="1" s="1"/>
  <c r="AY82" i="1"/>
  <c r="AT82" i="1"/>
  <c r="BD131" i="1"/>
  <c r="BE131" i="1" s="1"/>
  <c r="AT172" i="1"/>
  <c r="AU172" i="1" s="1"/>
  <c r="BD126" i="1"/>
  <c r="AR151" i="1"/>
  <c r="BP156" i="1"/>
  <c r="BQ156" i="1" s="1"/>
  <c r="BB155" i="1"/>
  <c r="BC155" i="1" s="1"/>
  <c r="AN159" i="1"/>
  <c r="AO159" i="1" s="1"/>
  <c r="BP83" i="1"/>
  <c r="AP168" i="1"/>
  <c r="AN126" i="1"/>
  <c r="BF152" i="1"/>
  <c r="BG152" i="1" s="1"/>
  <c r="AV140" i="1"/>
  <c r="BM83" i="1"/>
  <c r="BB169" i="1"/>
  <c r="AQ82" i="1"/>
  <c r="AR131" i="1"/>
  <c r="AS131" i="1" s="1"/>
  <c r="BF144" i="1"/>
  <c r="BG144" i="1" s="1"/>
  <c r="BP144" i="1"/>
  <c r="BQ144" i="1" s="1"/>
  <c r="BO82" i="1"/>
  <c r="BR162" i="1"/>
  <c r="BP141" i="1"/>
  <c r="BF158" i="1"/>
  <c r="BD149" i="1"/>
  <c r="BD128" i="1"/>
  <c r="AX149" i="1"/>
  <c r="BP158" i="1"/>
  <c r="AR155" i="1"/>
  <c r="AS155" i="1" s="1"/>
  <c r="BB128" i="1"/>
  <c r="AR161" i="1"/>
  <c r="AS161" i="1" s="1"/>
  <c r="AR168" i="1"/>
  <c r="BD152" i="1"/>
  <c r="BE152" i="1" s="1"/>
  <c r="AT158" i="1"/>
  <c r="AN142" i="1"/>
  <c r="BP128" i="1"/>
  <c r="AX146" i="1"/>
  <c r="AY146" i="1" s="1"/>
  <c r="BR169" i="1"/>
  <c r="AP82" i="1"/>
  <c r="BD154" i="1"/>
  <c r="AX154" i="1"/>
  <c r="BO56" i="1"/>
  <c r="AS32" i="1"/>
  <c r="O131" i="1"/>
  <c r="V164" i="1"/>
  <c r="AI22" i="1"/>
  <c r="AO56" i="1"/>
  <c r="K155" i="1"/>
  <c r="I145" i="1"/>
  <c r="I83" i="1"/>
  <c r="AW60" i="1"/>
  <c r="BD23" i="1"/>
  <c r="BU56" i="1"/>
  <c r="BJ54" i="1"/>
  <c r="AM60" i="1"/>
  <c r="AX17" i="1"/>
  <c r="N144" i="1"/>
  <c r="N140" i="1" s="1"/>
  <c r="BN30" i="1"/>
  <c r="BM30" i="1"/>
  <c r="BB32" i="1"/>
  <c r="BV128" i="1"/>
  <c r="BQ41" i="1"/>
  <c r="R164" i="1"/>
  <c r="BR54" i="1"/>
  <c r="BR33" i="1"/>
  <c r="V82" i="1"/>
  <c r="G126" i="1"/>
  <c r="AM54" i="1"/>
  <c r="BH127" i="1"/>
  <c r="BI127" i="1" s="1"/>
  <c r="BV155" i="1"/>
  <c r="BW155" i="1" s="1"/>
  <c r="BQ17" i="1"/>
  <c r="W152" i="1"/>
  <c r="BN48" i="1"/>
  <c r="D160" i="1"/>
  <c r="D128" i="1"/>
  <c r="V173" i="1"/>
  <c r="BV162" i="1"/>
  <c r="L172" i="1"/>
  <c r="B181" i="1"/>
  <c r="AT173" i="1"/>
  <c r="AU173" i="1" s="1"/>
  <c r="AX135" i="1"/>
  <c r="AY135" i="1" s="1"/>
  <c r="AT149" i="1"/>
  <c r="AP156" i="1"/>
  <c r="AQ156" i="1" s="1"/>
  <c r="AV149" i="1"/>
  <c r="AW149" i="1" s="1"/>
  <c r="AS83" i="1"/>
  <c r="BG82" i="1"/>
  <c r="BP134" i="1"/>
  <c r="BQ134" i="1" s="1"/>
  <c r="H76" i="1"/>
  <c r="I154" i="1"/>
  <c r="I189" i="1" s="1"/>
  <c r="BE23" i="1"/>
  <c r="BH56" i="1"/>
  <c r="BH169" i="1"/>
  <c r="V162" i="1"/>
  <c r="V192" i="1" s="1"/>
  <c r="W127" i="1"/>
  <c r="BH173" i="1"/>
  <c r="BI173" i="1" s="1"/>
  <c r="BC30" i="1"/>
  <c r="AO41" i="1"/>
  <c r="Q168" i="1"/>
  <c r="AZ33" i="1"/>
  <c r="E155" i="1"/>
  <c r="AI54" i="1"/>
  <c r="BN29" i="1"/>
  <c r="BW24" i="1"/>
  <c r="BV17" i="1"/>
  <c r="AI56" i="1"/>
  <c r="AR45" i="1"/>
  <c r="BH140" i="1"/>
  <c r="BJ48" i="1"/>
  <c r="BO17" i="1"/>
  <c r="P179" i="1"/>
  <c r="BI30" i="1"/>
  <c r="T146" i="1"/>
  <c r="P131" i="1"/>
  <c r="P159" i="1"/>
  <c r="Q164" i="1"/>
  <c r="R180" i="1"/>
  <c r="AP18" i="1"/>
  <c r="J131" i="1"/>
  <c r="BF44" i="1"/>
  <c r="AR23" i="1"/>
  <c r="BJ18" i="1"/>
  <c r="BJ19" i="1" s="1"/>
  <c r="BJ25" i="1" s="1"/>
  <c r="BO44" i="1"/>
  <c r="BT29" i="1"/>
  <c r="Q153" i="1"/>
  <c r="Q188" i="1" s="1"/>
  <c r="E127" i="1"/>
  <c r="N141" i="1"/>
  <c r="AX153" i="1"/>
  <c r="AQ83" i="1"/>
  <c r="AW82" i="1"/>
  <c r="BP140" i="1"/>
  <c r="BB22" i="1"/>
  <c r="BC17" i="1"/>
  <c r="AT32" i="1"/>
  <c r="BH160" i="1"/>
  <c r="BI160" i="1" s="1"/>
  <c r="AS34" i="1"/>
  <c r="AW24" i="1"/>
  <c r="BD24" i="1"/>
  <c r="C152" i="1"/>
  <c r="AO34" i="1"/>
  <c r="BM17" i="1"/>
  <c r="N158" i="1"/>
  <c r="R156" i="1"/>
  <c r="K133" i="1"/>
  <c r="BR127" i="1"/>
  <c r="BS127" i="1" s="1"/>
  <c r="AU33" i="1"/>
  <c r="BB149" i="1"/>
  <c r="AR163" i="1"/>
  <c r="AS163" i="1" s="1"/>
  <c r="BR173" i="1"/>
  <c r="BS173" i="1" s="1"/>
  <c r="BQ83" i="1"/>
  <c r="BR153" i="1"/>
  <c r="BB158" i="1"/>
  <c r="AP142" i="1"/>
  <c r="AX158" i="1"/>
  <c r="AV173" i="1"/>
  <c r="AW173" i="1" s="1"/>
  <c r="BB136" i="1"/>
  <c r="BC136" i="1" s="1"/>
  <c r="AX82" i="1"/>
  <c r="AP133" i="1"/>
  <c r="AV154" i="1"/>
  <c r="AT127" i="1"/>
  <c r="AU127" i="1" s="1"/>
  <c r="AT163" i="1"/>
  <c r="AU163" i="1" s="1"/>
  <c r="AO82" i="1"/>
  <c r="BP82" i="1"/>
  <c r="AV155" i="1"/>
  <c r="AW155" i="1" s="1"/>
  <c r="AV161" i="1"/>
  <c r="AW161" i="1" s="1"/>
  <c r="AV144" i="1"/>
  <c r="AW144" i="1" s="1"/>
  <c r="AP131" i="1"/>
  <c r="AQ131" i="1" s="1"/>
  <c r="AP159" i="1"/>
  <c r="AQ159" i="1" s="1"/>
  <c r="AX126" i="1"/>
  <c r="AR159" i="1"/>
  <c r="AS159" i="1" s="1"/>
  <c r="AV136" i="1"/>
  <c r="AW136" i="1" s="1"/>
  <c r="AP162" i="1"/>
  <c r="AP151" i="1"/>
  <c r="AR135" i="1"/>
  <c r="AS135" i="1" s="1"/>
  <c r="BP135" i="1"/>
  <c r="BQ135" i="1" s="1"/>
  <c r="AX161" i="1"/>
  <c r="AY161" i="1" s="1"/>
  <c r="BP173" i="1"/>
  <c r="BQ173" i="1" s="1"/>
  <c r="BP136" i="1"/>
  <c r="BQ136" i="1" s="1"/>
  <c r="AT152" i="1"/>
  <c r="AU152" i="1" s="1"/>
  <c r="BB151" i="1"/>
  <c r="AV134" i="1"/>
  <c r="AW134" i="1" s="1"/>
  <c r="BP151" i="1"/>
  <c r="AX169" i="1"/>
  <c r="AP164" i="1"/>
  <c r="AQ164" i="1" s="1"/>
  <c r="BM48" i="1"/>
  <c r="BN23" i="1"/>
  <c r="N76" i="1"/>
  <c r="BO32" i="1"/>
  <c r="AW44" i="1"/>
  <c r="BK30" i="1"/>
  <c r="N164" i="1"/>
  <c r="G127" i="1"/>
  <c r="BW60" i="1"/>
  <c r="N87" i="1"/>
  <c r="AW30" i="1"/>
  <c r="R144" i="1"/>
  <c r="R140" i="1" s="1"/>
  <c r="BJ82" i="1"/>
  <c r="P144" i="1"/>
  <c r="P140" i="1" s="1"/>
  <c r="BS22" i="1"/>
  <c r="AI44" i="1"/>
  <c r="AR31" i="1"/>
  <c r="B128" i="1"/>
  <c r="BV31" i="1"/>
  <c r="M145" i="1"/>
  <c r="E151" i="1"/>
  <c r="BF29" i="1"/>
  <c r="U173" i="1"/>
  <c r="V144" i="1"/>
  <c r="V140" i="1" s="1"/>
  <c r="AI55" i="1"/>
  <c r="BA41" i="1"/>
  <c r="D135" i="1"/>
  <c r="D163" i="1" s="1"/>
  <c r="I133" i="1"/>
  <c r="L146" i="1"/>
  <c r="B172" i="1"/>
  <c r="BN34" i="1"/>
  <c r="O155" i="1"/>
  <c r="AR30" i="1"/>
  <c r="G146" i="1"/>
  <c r="E136" i="1"/>
  <c r="BJ45" i="1"/>
  <c r="BJ261" i="1" s="1"/>
  <c r="BK22" i="1"/>
  <c r="BP31" i="1"/>
  <c r="R127" i="1"/>
  <c r="L145" i="1"/>
  <c r="W131" i="1"/>
  <c r="D134" i="1"/>
  <c r="BD60" i="1"/>
  <c r="BE55" i="1"/>
  <c r="F133" i="1"/>
  <c r="AX168" i="1"/>
  <c r="AT136" i="1"/>
  <c r="AU136" i="1" s="1"/>
  <c r="AR126" i="1"/>
  <c r="AP163" i="1"/>
  <c r="AQ163" i="1" s="1"/>
  <c r="BR131" i="1"/>
  <c r="BS131" i="1" s="1"/>
  <c r="BR133" i="1"/>
  <c r="BV54" i="1"/>
  <c r="T131" i="1"/>
  <c r="AV32" i="1"/>
  <c r="H144" i="1"/>
  <c r="H140" i="1" s="1"/>
  <c r="AI45" i="1"/>
  <c r="AI46" i="1" s="1"/>
  <c r="BI48" i="1"/>
  <c r="I149" i="1"/>
  <c r="AJ82" i="1"/>
  <c r="BF24" i="1"/>
  <c r="BD45" i="1"/>
  <c r="AI32" i="1"/>
  <c r="M131" i="1"/>
  <c r="O151" i="1"/>
  <c r="H135" i="1"/>
  <c r="H163" i="1" s="1"/>
  <c r="W82" i="1"/>
  <c r="E181" i="1"/>
  <c r="BQ48" i="1"/>
  <c r="AW32" i="1"/>
  <c r="AY33" i="1"/>
  <c r="F164" i="1"/>
  <c r="BB29" i="1"/>
  <c r="D180" i="1"/>
  <c r="BE60" i="1"/>
  <c r="J154" i="1"/>
  <c r="J189" i="1" s="1"/>
  <c r="AP31" i="1"/>
  <c r="V76" i="1"/>
  <c r="E131" i="1"/>
  <c r="K134" i="1"/>
  <c r="BT60" i="1"/>
  <c r="I159" i="1"/>
  <c r="AT18" i="1"/>
  <c r="B152" i="1"/>
  <c r="W128" i="1"/>
  <c r="W158" i="1"/>
  <c r="BA45" i="1"/>
  <c r="I179" i="1"/>
  <c r="R162" i="1"/>
  <c r="R192" i="1" s="1"/>
  <c r="BA60" i="1"/>
  <c r="B159" i="1"/>
  <c r="B164" i="1"/>
  <c r="W87" i="1"/>
  <c r="F135" i="1"/>
  <c r="F163" i="1" s="1"/>
  <c r="S160" i="1"/>
  <c r="BE33" i="1"/>
  <c r="BK17" i="1"/>
  <c r="BS55" i="1"/>
  <c r="AX156" i="1"/>
  <c r="AY156" i="1" s="1"/>
  <c r="AT156" i="1"/>
  <c r="AU156" i="1" s="1"/>
  <c r="AR169" i="1"/>
  <c r="AT164" i="1"/>
  <c r="AU164" i="1" s="1"/>
  <c r="BR136" i="1"/>
  <c r="BS136" i="1" s="1"/>
  <c r="AP153" i="1"/>
  <c r="AX159" i="1"/>
  <c r="AY159" i="1" s="1"/>
  <c r="AW83" i="1"/>
  <c r="AX163" i="1"/>
  <c r="AY163" i="1" s="1"/>
  <c r="AP149" i="1"/>
  <c r="AQ149" i="1" s="1"/>
  <c r="BM55" i="1"/>
  <c r="AX31" i="1"/>
  <c r="BR31" i="1"/>
  <c r="W135" i="1"/>
  <c r="W163" i="1" s="1"/>
  <c r="BQ29" i="1"/>
  <c r="C181" i="1"/>
  <c r="I181" i="1"/>
  <c r="R153" i="1"/>
  <c r="R188" i="1" s="1"/>
  <c r="AS33" i="1"/>
  <c r="I162" i="1"/>
  <c r="I192" i="1" s="1"/>
  <c r="AV22" i="1"/>
  <c r="P152" i="1"/>
  <c r="BW31" i="1"/>
  <c r="AV151" i="1"/>
  <c r="BP127" i="1"/>
  <c r="BQ127" i="1" s="1"/>
  <c r="BM31" i="1"/>
  <c r="AN31" i="1"/>
  <c r="AW56" i="1"/>
  <c r="BF34" i="1"/>
  <c r="F149" i="1"/>
  <c r="M133" i="1"/>
  <c r="V172" i="1"/>
  <c r="BV82" i="1"/>
  <c r="BD56" i="1"/>
  <c r="W149" i="1"/>
  <c r="X211" i="1" s="1"/>
  <c r="AO31" i="1"/>
  <c r="AQ18" i="1"/>
  <c r="AR54" i="1"/>
  <c r="S141" i="1"/>
  <c r="BO55" i="1"/>
  <c r="BC48" i="1"/>
  <c r="E149" i="1"/>
  <c r="F211" i="1" s="1"/>
  <c r="BW56" i="1"/>
  <c r="Q152" i="1"/>
  <c r="BG23" i="1"/>
  <c r="J145" i="1"/>
  <c r="N162" i="1"/>
  <c r="N192" i="1" s="1"/>
  <c r="K169" i="1"/>
  <c r="S152" i="1"/>
  <c r="BM41" i="1"/>
  <c r="C180" i="1"/>
  <c r="AZ24" i="1"/>
  <c r="R87" i="1"/>
  <c r="P149" i="1"/>
  <c r="BV169" i="1"/>
  <c r="BE31" i="1"/>
  <c r="W159" i="1"/>
  <c r="BP56" i="1"/>
  <c r="BM56" i="1"/>
  <c r="BG29" i="1"/>
  <c r="N131" i="1"/>
  <c r="L76" i="1"/>
  <c r="K136" i="1"/>
  <c r="BE22" i="1"/>
  <c r="BU31" i="1"/>
  <c r="L180" i="1"/>
  <c r="Q87" i="1"/>
  <c r="L159" i="1"/>
  <c r="K156" i="1"/>
  <c r="R154" i="1"/>
  <c r="R189" i="1" s="1"/>
  <c r="BV161" i="1"/>
  <c r="BW161" i="1" s="1"/>
  <c r="S151" i="1"/>
  <c r="J179" i="1"/>
  <c r="BC22" i="1"/>
  <c r="J151" i="1"/>
  <c r="C140" i="1"/>
  <c r="AX45" i="1"/>
  <c r="BA44" i="1"/>
  <c r="AZ44" i="1"/>
  <c r="BO24" i="1"/>
  <c r="V88" i="1"/>
  <c r="L181" i="1"/>
  <c r="BF31" i="1"/>
  <c r="B86" i="1"/>
  <c r="BH34" i="1"/>
  <c r="B127" i="1"/>
  <c r="L173" i="1"/>
  <c r="AM82" i="1"/>
  <c r="BH30" i="1"/>
  <c r="O172" i="1"/>
  <c r="BI60" i="1"/>
  <c r="AI34" i="1"/>
  <c r="AR18" i="1"/>
  <c r="BU23" i="1"/>
  <c r="W134" i="1"/>
  <c r="BH156" i="1"/>
  <c r="BI156" i="1" s="1"/>
  <c r="E86" i="1"/>
  <c r="BR56" i="1"/>
  <c r="BW29" i="1"/>
  <c r="AP34" i="1"/>
  <c r="P151" i="1"/>
  <c r="Q155" i="1"/>
  <c r="AW41" i="1"/>
  <c r="P156" i="1"/>
  <c r="AX60" i="1"/>
  <c r="H155" i="1"/>
  <c r="Q88" i="1"/>
  <c r="BG34" i="1"/>
  <c r="J83" i="1"/>
  <c r="M128" i="1"/>
  <c r="BI44" i="1"/>
  <c r="BV29" i="1"/>
  <c r="M126" i="1"/>
  <c r="AN56" i="1"/>
  <c r="L155" i="1"/>
  <c r="I169" i="1"/>
  <c r="H179" i="1"/>
  <c r="BB56" i="1"/>
  <c r="W153" i="1"/>
  <c r="N180" i="1"/>
  <c r="BM22" i="1"/>
  <c r="H142" i="1"/>
  <c r="T141" i="1"/>
  <c r="AS60" i="1"/>
  <c r="BN60" i="1"/>
  <c r="C87" i="1"/>
  <c r="G76" i="1"/>
  <c r="BS41" i="1"/>
  <c r="F83" i="1"/>
  <c r="BI22" i="1"/>
  <c r="K152" i="1"/>
  <c r="R173" i="1"/>
  <c r="P141" i="1"/>
  <c r="AN33" i="1"/>
  <c r="U133" i="1"/>
  <c r="AW18" i="1"/>
  <c r="U172" i="1"/>
  <c r="BT48" i="1"/>
  <c r="J159" i="1"/>
  <c r="BB45" i="1"/>
  <c r="H168" i="1"/>
  <c r="B151" i="1"/>
  <c r="BW45" i="1"/>
  <c r="L136" i="1"/>
  <c r="AU18" i="1"/>
  <c r="AV56" i="1"/>
  <c r="C88" i="1"/>
  <c r="L152" i="1"/>
  <c r="BA33" i="1"/>
  <c r="AR29" i="1"/>
  <c r="H181" i="1"/>
  <c r="E135" i="1"/>
  <c r="E163" i="1" s="1"/>
  <c r="BT22" i="1"/>
  <c r="BU29" i="1"/>
  <c r="C164" i="1"/>
  <c r="BI56" i="1"/>
  <c r="AS30" i="1"/>
  <c r="R181" i="1"/>
  <c r="BB23" i="1"/>
  <c r="K180" i="1"/>
  <c r="BM18" i="1"/>
  <c r="AQ48" i="1"/>
  <c r="W168" i="1"/>
  <c r="S82" i="1"/>
  <c r="B126" i="1"/>
  <c r="BN56" i="1"/>
  <c r="BT31" i="1"/>
  <c r="D76" i="1"/>
  <c r="BC41" i="1"/>
  <c r="K141" i="1"/>
  <c r="BR34" i="1"/>
  <c r="AW29" i="1"/>
  <c r="F158" i="1"/>
  <c r="M162" i="1"/>
  <c r="M192" i="1" s="1"/>
  <c r="R169" i="1"/>
  <c r="AO33" i="1"/>
  <c r="E179" i="1"/>
  <c r="R86" i="1"/>
  <c r="F131" i="1"/>
  <c r="AV31" i="1"/>
  <c r="V155" i="1"/>
  <c r="T136" i="1"/>
  <c r="AU45" i="1"/>
  <c r="BU54" i="1"/>
  <c r="W156" i="1"/>
  <c r="E159" i="1"/>
  <c r="AY17" i="1"/>
  <c r="BF54" i="1"/>
  <c r="U141" i="1"/>
  <c r="F86" i="1"/>
  <c r="BP32" i="1"/>
  <c r="BV83" i="1"/>
  <c r="O83" i="1"/>
  <c r="BA17" i="1"/>
  <c r="U180" i="1"/>
  <c r="Q126" i="1"/>
  <c r="F152" i="1"/>
  <c r="AN45" i="1"/>
  <c r="K164" i="1"/>
  <c r="BV136" i="1"/>
  <c r="BW136" i="1" s="1"/>
  <c r="N154" i="1"/>
  <c r="N189" i="1" s="1"/>
  <c r="AU34" i="1"/>
  <c r="F156" i="1"/>
  <c r="V149" i="1"/>
  <c r="V169" i="1"/>
  <c r="G153" i="1"/>
  <c r="G188" i="1" s="1"/>
  <c r="D140" i="1"/>
  <c r="AY44" i="1"/>
  <c r="G179" i="1"/>
  <c r="BW17" i="1"/>
  <c r="E169" i="1"/>
  <c r="E170" i="1" s="1"/>
  <c r="F218" i="1" s="1"/>
  <c r="BO41" i="1"/>
  <c r="V145" i="1"/>
  <c r="U153" i="1"/>
  <c r="U188" i="1" s="1"/>
  <c r="T155" i="1"/>
  <c r="AQ55" i="1"/>
  <c r="N142" i="1"/>
  <c r="V168" i="1"/>
  <c r="R141" i="1"/>
  <c r="O87" i="1"/>
  <c r="L86" i="1"/>
  <c r="BC34" i="1"/>
  <c r="E162" i="1"/>
  <c r="E192" i="1" s="1"/>
  <c r="J181" i="1"/>
  <c r="K127" i="1"/>
  <c r="BP30" i="1"/>
  <c r="K153" i="1"/>
  <c r="K188" i="1" s="1"/>
  <c r="BD41" i="1"/>
  <c r="BR23" i="1"/>
  <c r="J164" i="1"/>
  <c r="BF33" i="1"/>
  <c r="E141" i="1"/>
  <c r="BW23" i="1"/>
  <c r="U88" i="1"/>
  <c r="P172" i="1"/>
  <c r="BD31" i="1"/>
  <c r="BH154" i="1"/>
  <c r="N151" i="1"/>
  <c r="AT33" i="1"/>
  <c r="F160" i="1"/>
  <c r="AI23" i="1"/>
  <c r="T181" i="1"/>
  <c r="W142" i="1"/>
  <c r="BH172" i="1"/>
  <c r="BI172" i="1" s="1"/>
  <c r="V87" i="1"/>
  <c r="U146" i="1"/>
  <c r="H146" i="1"/>
  <c r="BT54" i="1"/>
  <c r="BS48" i="1"/>
  <c r="BV158" i="1"/>
  <c r="BW158" i="1" s="1"/>
  <c r="F180" i="1"/>
  <c r="O180" i="1"/>
  <c r="BS33" i="1"/>
  <c r="AW48" i="1"/>
  <c r="V153" i="1"/>
  <c r="V188" i="1" s="1"/>
  <c r="O158" i="1"/>
  <c r="L131" i="1"/>
  <c r="AN29" i="1"/>
  <c r="L126" i="1"/>
  <c r="I87" i="1"/>
  <c r="BF41" i="1"/>
  <c r="BF203" i="1" s="1"/>
  <c r="G133" i="1"/>
  <c r="M169" i="1"/>
  <c r="AO60" i="1"/>
  <c r="B142" i="1"/>
  <c r="G173" i="1"/>
  <c r="R179" i="1"/>
  <c r="S88" i="1"/>
  <c r="BI29" i="1"/>
  <c r="AU30" i="1"/>
  <c r="AS54" i="1"/>
  <c r="O159" i="1"/>
  <c r="BE45" i="1"/>
  <c r="G169" i="1"/>
  <c r="BD18" i="1"/>
  <c r="AP54" i="1"/>
  <c r="W181" i="1"/>
  <c r="BG22" i="1"/>
  <c r="BV153" i="1"/>
  <c r="BV188" i="1" s="1"/>
  <c r="BW188" i="1" s="1"/>
  <c r="N136" i="1"/>
  <c r="BH131" i="1"/>
  <c r="BI131" i="1" s="1"/>
  <c r="I88" i="1"/>
  <c r="BE24" i="1"/>
  <c r="B160" i="1"/>
  <c r="D168" i="1"/>
  <c r="K181" i="1"/>
  <c r="BV173" i="1"/>
  <c r="BW173" i="1" s="1"/>
  <c r="V158" i="1"/>
  <c r="BS31" i="1"/>
  <c r="L151" i="1"/>
  <c r="L164" i="1"/>
  <c r="V86" i="1"/>
  <c r="H169" i="1"/>
  <c r="L141" i="1"/>
  <c r="L162" i="1"/>
  <c r="L192" i="1" s="1"/>
  <c r="BV126" i="1"/>
  <c r="U82" i="1"/>
  <c r="BT34" i="1"/>
  <c r="BV154" i="1"/>
  <c r="BV189" i="1" s="1"/>
  <c r="BW189" i="1" s="1"/>
  <c r="D82" i="1"/>
  <c r="O136" i="1"/>
  <c r="BE17" i="1"/>
  <c r="BP45" i="1"/>
  <c r="BP261" i="1" s="1"/>
  <c r="AO22" i="1"/>
  <c r="S149" i="1"/>
  <c r="T211" i="1" s="1"/>
  <c r="AT24" i="1"/>
  <c r="BP55" i="1"/>
  <c r="BW18" i="1"/>
  <c r="AI24" i="1"/>
  <c r="BG18" i="1"/>
  <c r="BS44" i="1"/>
  <c r="N152" i="1"/>
  <c r="R172" i="1"/>
  <c r="Q160" i="1"/>
  <c r="F127" i="1"/>
  <c r="AQ45" i="1"/>
  <c r="BD29" i="1"/>
  <c r="I168" i="1"/>
  <c r="AZ32" i="1"/>
  <c r="AT34" i="1"/>
  <c r="AZ30" i="1"/>
  <c r="G155" i="1"/>
  <c r="BB18" i="1"/>
  <c r="Q86" i="1"/>
  <c r="L88" i="1"/>
  <c r="BB24" i="1"/>
  <c r="BH83" i="1"/>
  <c r="V127" i="1"/>
  <c r="BF22" i="1"/>
  <c r="AO23" i="1"/>
  <c r="BK56" i="1"/>
  <c r="F162" i="1"/>
  <c r="F192" i="1" s="1"/>
  <c r="Q180" i="1"/>
  <c r="AV45" i="1"/>
  <c r="T156" i="1"/>
  <c r="BH32" i="1"/>
  <c r="BR22" i="1"/>
  <c r="M155" i="1"/>
  <c r="G86" i="1"/>
  <c r="C149" i="1"/>
  <c r="I134" i="1"/>
  <c r="BP126" i="1"/>
  <c r="BM82" i="1"/>
  <c r="AX140" i="1"/>
  <c r="AP144" i="1"/>
  <c r="AQ144" i="1" s="1"/>
  <c r="AV135" i="1"/>
  <c r="AW135" i="1" s="1"/>
  <c r="AY34" i="1"/>
  <c r="BM33" i="1"/>
  <c r="BD48" i="1"/>
  <c r="BS17" i="1"/>
  <c r="BC45" i="1"/>
  <c r="BC261" i="1" s="1"/>
  <c r="AT44" i="1"/>
  <c r="BV22" i="1"/>
  <c r="BW48" i="1"/>
  <c r="AZ34" i="1"/>
  <c r="AQ23" i="1"/>
  <c r="I172" i="1"/>
  <c r="BH141" i="1"/>
  <c r="BT32" i="1"/>
  <c r="BG41" i="1"/>
  <c r="S153" i="1"/>
  <c r="S188" i="1" s="1"/>
  <c r="BA32" i="1"/>
  <c r="M83" i="1"/>
  <c r="BV164" i="1"/>
  <c r="BW164" i="1" s="1"/>
  <c r="W86" i="1"/>
  <c r="G152" i="1"/>
  <c r="E158" i="1"/>
  <c r="U87" i="1"/>
  <c r="AY48" i="1"/>
  <c r="AS24" i="1"/>
  <c r="E128" i="1"/>
  <c r="BP18" i="1"/>
  <c r="S168" i="1"/>
  <c r="BD22" i="1"/>
  <c r="BH48" i="1"/>
  <c r="BF18" i="1"/>
  <c r="BE30" i="1"/>
  <c r="AY41" i="1"/>
  <c r="M86" i="1"/>
  <c r="J86" i="1"/>
  <c r="Q76" i="1"/>
  <c r="BN18" i="1"/>
  <c r="BI45" i="1"/>
  <c r="BI54" i="1"/>
  <c r="AI82" i="1"/>
  <c r="H149" i="1"/>
  <c r="E153" i="1"/>
  <c r="E188" i="1" s="1"/>
  <c r="S172" i="1"/>
  <c r="BS30" i="1"/>
  <c r="V146" i="1"/>
  <c r="BP48" i="1"/>
  <c r="AV18" i="1"/>
  <c r="N173" i="1"/>
  <c r="AX44" i="1"/>
  <c r="BO33" i="1"/>
  <c r="W136" i="1"/>
  <c r="K162" i="1"/>
  <c r="K192" i="1" s="1"/>
  <c r="BH55" i="1"/>
  <c r="BJ83" i="1"/>
  <c r="M160" i="1"/>
  <c r="T134" i="1"/>
  <c r="AZ54" i="1"/>
  <c r="C142" i="1"/>
  <c r="C179" i="1"/>
  <c r="BM44" i="1"/>
  <c r="BH149" i="1"/>
  <c r="B141" i="1"/>
  <c r="C76" i="1"/>
  <c r="D149" i="1"/>
  <c r="BU45" i="1"/>
  <c r="V160" i="1"/>
  <c r="BE48" i="1"/>
  <c r="AY18" i="1"/>
  <c r="AQ17" i="1"/>
  <c r="BV152" i="1"/>
  <c r="BW152" i="1" s="1"/>
  <c r="AU31" i="1"/>
  <c r="O145" i="1"/>
  <c r="AQ31" i="1"/>
  <c r="U162" i="1"/>
  <c r="U192" i="1" s="1"/>
  <c r="BF60" i="1"/>
  <c r="AR48" i="1"/>
  <c r="AZ29" i="1"/>
  <c r="J127" i="1"/>
  <c r="AQ44" i="1"/>
  <c r="H131" i="1"/>
  <c r="BH134" i="1"/>
  <c r="BI134" i="1" s="1"/>
  <c r="AI48" i="1"/>
  <c r="L135" i="1"/>
  <c r="L163" i="1" s="1"/>
  <c r="I86" i="1"/>
  <c r="M146" i="1"/>
  <c r="D162" i="1"/>
  <c r="D192" i="1" s="1"/>
  <c r="BB48" i="1"/>
  <c r="C128" i="1"/>
  <c r="E180" i="1"/>
  <c r="B168" i="1"/>
  <c r="BS60" i="1"/>
  <c r="BQ23" i="1"/>
  <c r="F173" i="1"/>
  <c r="BG44" i="1"/>
  <c r="BV163" i="1"/>
  <c r="BW163" i="1" s="1"/>
  <c r="S145" i="1"/>
  <c r="BG56" i="1"/>
  <c r="AV54" i="1"/>
  <c r="J146" i="1"/>
  <c r="L134" i="1"/>
  <c r="AV33" i="1"/>
  <c r="O88" i="1"/>
  <c r="H172" i="1"/>
  <c r="AZ55" i="1"/>
  <c r="BK41" i="1"/>
  <c r="BC23" i="1"/>
  <c r="T128" i="1"/>
  <c r="BH153" i="1"/>
  <c r="C155" i="1"/>
  <c r="M179" i="1"/>
  <c r="E145" i="1"/>
  <c r="T164" i="1"/>
  <c r="BS29" i="1"/>
  <c r="O173" i="1"/>
  <c r="BH31" i="1"/>
  <c r="AN18" i="1"/>
  <c r="BE56" i="1"/>
  <c r="T154" i="1"/>
  <c r="T189" i="1" s="1"/>
  <c r="O160" i="1"/>
  <c r="BR45" i="1"/>
  <c r="BJ55" i="1"/>
  <c r="M88" i="1"/>
  <c r="AQ29" i="1"/>
  <c r="AS45" i="1"/>
  <c r="M134" i="1"/>
  <c r="BF55" i="1"/>
  <c r="E88" i="1"/>
  <c r="R149" i="1"/>
  <c r="Q142" i="1"/>
  <c r="T162" i="1"/>
  <c r="T192" i="1" s="1"/>
  <c r="BB17" i="1"/>
  <c r="Q156" i="1"/>
  <c r="O162" i="1"/>
  <c r="O192" i="1" s="1"/>
  <c r="K131" i="1"/>
  <c r="BG30" i="1"/>
  <c r="S159" i="1"/>
  <c r="AO55" i="1"/>
  <c r="H82" i="1"/>
  <c r="N135" i="1"/>
  <c r="N163" i="1" s="1"/>
  <c r="AZ60" i="1"/>
  <c r="F151" i="1"/>
  <c r="BC24" i="1"/>
  <c r="S76" i="1"/>
  <c r="F168" i="1"/>
  <c r="BR24" i="1"/>
  <c r="BJ31" i="1"/>
  <c r="BJ35" i="1" s="1"/>
  <c r="BH155" i="1"/>
  <c r="BI155" i="1" s="1"/>
  <c r="T160" i="1"/>
  <c r="I128" i="1"/>
  <c r="N83" i="1"/>
  <c r="K172" i="1"/>
  <c r="BG60" i="1"/>
  <c r="D152" i="1"/>
  <c r="AZ41" i="1"/>
  <c r="K151" i="1"/>
  <c r="K160" i="1"/>
  <c r="BW32" i="1"/>
  <c r="E146" i="1"/>
  <c r="D144" i="1"/>
  <c r="BN54" i="1"/>
  <c r="BH163" i="1"/>
  <c r="BI163" i="1" s="1"/>
  <c r="P181" i="1"/>
  <c r="D151" i="1"/>
  <c r="B134" i="1"/>
  <c r="F145" i="1"/>
  <c r="K168" i="1"/>
  <c r="AT22" i="1"/>
  <c r="K173" i="1"/>
  <c r="H151" i="1"/>
  <c r="L144" i="1"/>
  <c r="L140" i="1" s="1"/>
  <c r="BF23" i="1"/>
  <c r="R168" i="1"/>
  <c r="V128" i="1"/>
  <c r="D154" i="1"/>
  <c r="D189" i="1" s="1"/>
  <c r="S156" i="1"/>
  <c r="Q131" i="1"/>
  <c r="BV149" i="1"/>
  <c r="P173" i="1"/>
  <c r="T82" i="1"/>
  <c r="T87" i="1"/>
  <c r="BQ34" i="1"/>
  <c r="BA55" i="1"/>
  <c r="C86" i="1"/>
  <c r="AY31" i="1"/>
  <c r="F88" i="1"/>
  <c r="D179" i="1"/>
  <c r="BU18" i="1"/>
  <c r="U158" i="1"/>
  <c r="L149" i="1"/>
  <c r="AR41" i="1"/>
  <c r="J173" i="1"/>
  <c r="U152" i="1"/>
  <c r="AN54" i="1"/>
  <c r="W154" i="1"/>
  <c r="BT45" i="1"/>
  <c r="J82" i="1"/>
  <c r="M153" i="1"/>
  <c r="M188" i="1" s="1"/>
  <c r="BU34" i="1"/>
  <c r="R131" i="1"/>
  <c r="BE41" i="1"/>
  <c r="T168" i="1"/>
  <c r="AN44" i="1"/>
  <c r="M152" i="1"/>
  <c r="E152" i="1"/>
  <c r="B72" i="1"/>
  <c r="S158" i="1"/>
  <c r="D87" i="1"/>
  <c r="H86" i="1"/>
  <c r="AR44" i="1"/>
  <c r="B131" i="1"/>
  <c r="BT18" i="1"/>
  <c r="M164" i="1"/>
  <c r="H134" i="1"/>
  <c r="AI60" i="1"/>
  <c r="BK55" i="1"/>
  <c r="AU55" i="1"/>
  <c r="M172" i="1"/>
  <c r="O149" i="1"/>
  <c r="E156" i="1"/>
  <c r="F155" i="1"/>
  <c r="B153" i="1"/>
  <c r="B188" i="1" s="1"/>
  <c r="T151" i="1"/>
  <c r="M154" i="1"/>
  <c r="M189" i="1" s="1"/>
  <c r="BC31" i="1"/>
  <c r="BG54" i="1"/>
  <c r="B144" i="1"/>
  <c r="C126" i="1"/>
  <c r="R126" i="1"/>
  <c r="J155" i="1"/>
  <c r="AY55" i="1"/>
  <c r="M173" i="1"/>
  <c r="N168" i="1"/>
  <c r="W169" i="1"/>
  <c r="R83" i="1"/>
  <c r="K82" i="1"/>
  <c r="Q154" i="1"/>
  <c r="Q189" i="1" s="1"/>
  <c r="S86" i="1"/>
  <c r="D141" i="1"/>
  <c r="K86" i="1"/>
  <c r="V131" i="1"/>
  <c r="W145" i="1"/>
  <c r="AW23" i="1"/>
  <c r="S162" i="1"/>
  <c r="S192" i="1" s="1"/>
  <c r="P168" i="1"/>
  <c r="P170" i="1" s="1"/>
  <c r="Q218" i="1" s="1"/>
  <c r="BH168" i="1"/>
  <c r="S87" i="1"/>
  <c r="T88" i="1"/>
  <c r="BI41" i="1"/>
  <c r="W146" i="1"/>
  <c r="AS41" i="1"/>
  <c r="M158" i="1"/>
  <c r="AV55" i="1"/>
  <c r="AP30" i="1"/>
  <c r="O76" i="1"/>
  <c r="P160" i="1"/>
  <c r="V156" i="1"/>
  <c r="O146" i="1"/>
  <c r="F159" i="1"/>
  <c r="C73" i="1"/>
  <c r="BO45" i="1"/>
  <c r="AN41" i="1"/>
  <c r="S83" i="1"/>
  <c r="H180" i="1"/>
  <c r="AM83" i="1"/>
  <c r="O86" i="1"/>
  <c r="BW33" i="1"/>
  <c r="BF17" i="1"/>
  <c r="W173" i="1"/>
  <c r="Q159" i="1"/>
  <c r="AW55" i="1"/>
  <c r="E87" i="1"/>
  <c r="N153" i="1"/>
  <c r="N188" i="1" s="1"/>
  <c r="AO45" i="1"/>
  <c r="J126" i="1"/>
  <c r="V154" i="1"/>
  <c r="V189" i="1" s="1"/>
  <c r="BP41" i="1"/>
  <c r="BO23" i="1"/>
  <c r="BG48" i="1"/>
  <c r="O126" i="1"/>
  <c r="S155" i="1"/>
  <c r="V126" i="1"/>
  <c r="BT56" i="1"/>
  <c r="L127" i="1"/>
  <c r="I127" i="1"/>
  <c r="BH151" i="1"/>
  <c r="S136" i="1"/>
  <c r="D72" i="1"/>
  <c r="AX41" i="1"/>
  <c r="E144" i="1"/>
  <c r="E140" i="1" s="1"/>
  <c r="AP56" i="1"/>
  <c r="BI33" i="1"/>
  <c r="BV142" i="1"/>
  <c r="AN34" i="1"/>
  <c r="T142" i="1"/>
  <c r="Q135" i="1"/>
  <c r="Q163" i="1" s="1"/>
  <c r="BH29" i="1"/>
  <c r="BV135" i="1"/>
  <c r="BW135" i="1" s="1"/>
  <c r="AN60" i="1"/>
  <c r="AU17" i="1"/>
  <c r="BU22" i="1"/>
  <c r="S127" i="1"/>
  <c r="BE32" i="1"/>
  <c r="B73" i="1"/>
  <c r="F128" i="1"/>
  <c r="AU56" i="1"/>
  <c r="D169" i="1"/>
  <c r="D126" i="1"/>
  <c r="I158" i="1"/>
  <c r="U179" i="1"/>
  <c r="D159" i="1"/>
  <c r="AP173" i="1"/>
  <c r="AQ173" i="1" s="1"/>
  <c r="BP149" i="1"/>
  <c r="AV156" i="1"/>
  <c r="AW156" i="1" s="1"/>
  <c r="AP169" i="1"/>
  <c r="E173" i="1"/>
  <c r="BV134" i="1"/>
  <c r="BW134" i="1" s="1"/>
  <c r="L142" i="1"/>
  <c r="BJ44" i="1"/>
  <c r="D156" i="1"/>
  <c r="L128" i="1"/>
  <c r="D181" i="1"/>
  <c r="AQ32" i="1"/>
  <c r="BS56" i="1"/>
  <c r="AN17" i="1"/>
  <c r="AZ31" i="1"/>
  <c r="BC32" i="1"/>
  <c r="O134" i="1"/>
  <c r="AV44" i="1"/>
  <c r="BO54" i="1"/>
  <c r="O153" i="1"/>
  <c r="O188" i="1" s="1"/>
  <c r="AP33" i="1"/>
  <c r="T133" i="1"/>
  <c r="AR32" i="1"/>
  <c r="BE54" i="1"/>
  <c r="BP29" i="1"/>
  <c r="AI41" i="1"/>
  <c r="C144" i="1"/>
  <c r="U135" i="1"/>
  <c r="U163" i="1" s="1"/>
  <c r="I126" i="1"/>
  <c r="C82" i="1"/>
  <c r="BU44" i="1"/>
  <c r="B135" i="1"/>
  <c r="B163" i="1" s="1"/>
  <c r="W83" i="1"/>
  <c r="AI31" i="1"/>
  <c r="BW41" i="1"/>
  <c r="BH82" i="1"/>
  <c r="BB55" i="1"/>
  <c r="G83" i="1"/>
  <c r="BH18" i="1"/>
  <c r="S126" i="1"/>
  <c r="G149" i="1"/>
  <c r="P82" i="1"/>
  <c r="K142" i="1"/>
  <c r="BF32" i="1"/>
  <c r="BO60" i="1"/>
  <c r="BH33" i="1"/>
  <c r="H164" i="1"/>
  <c r="BB31" i="1"/>
  <c r="BH161" i="1"/>
  <c r="BI161" i="1" s="1"/>
  <c r="AS22" i="1"/>
  <c r="AT45" i="1"/>
  <c r="AT261" i="1" s="1"/>
  <c r="BV44" i="1"/>
  <c r="D172" i="1"/>
  <c r="AO32" i="1"/>
  <c r="L133" i="1"/>
  <c r="BO48" i="1"/>
  <c r="AU41" i="1"/>
  <c r="BC56" i="1"/>
  <c r="D164" i="1"/>
  <c r="M159" i="1"/>
  <c r="Q127" i="1"/>
  <c r="M151" i="1"/>
  <c r="P135" i="1"/>
  <c r="P163" i="1" s="1"/>
  <c r="J158" i="1"/>
  <c r="BU32" i="1"/>
  <c r="F172" i="1"/>
  <c r="B149" i="1"/>
  <c r="BI31" i="1"/>
  <c r="B155" i="1"/>
  <c r="BN45" i="1"/>
  <c r="BK33" i="1"/>
  <c r="AP45" i="1"/>
  <c r="E126" i="1"/>
  <c r="J144" i="1"/>
  <c r="J140" i="1" s="1"/>
  <c r="BG24" i="1"/>
  <c r="Q82" i="1"/>
  <c r="BW34" i="1"/>
  <c r="C134" i="1"/>
  <c r="C137" i="1" s="1"/>
  <c r="W160" i="1"/>
  <c r="BD54" i="1"/>
  <c r="H128" i="1"/>
  <c r="BV33" i="1"/>
  <c r="AU24" i="1"/>
  <c r="AV24" i="1"/>
  <c r="AS55" i="1"/>
  <c r="F76" i="1"/>
  <c r="D86" i="1"/>
  <c r="M82" i="1"/>
  <c r="U156" i="1"/>
  <c r="Q173" i="1"/>
  <c r="BK45" i="1"/>
  <c r="N156" i="1"/>
  <c r="F87" i="1"/>
  <c r="BA48" i="1"/>
  <c r="BR17" i="1"/>
  <c r="T145" i="1"/>
  <c r="P153" i="1"/>
  <c r="P188" i="1" s="1"/>
  <c r="S164" i="1"/>
  <c r="U131" i="1"/>
  <c r="BR30" i="1"/>
  <c r="R88" i="1"/>
  <c r="AY22" i="1"/>
  <c r="BV30" i="1"/>
  <c r="BH159" i="1"/>
  <c r="BI159" i="1" s="1"/>
  <c r="W151" i="1"/>
  <c r="M142" i="1"/>
  <c r="E172" i="1"/>
  <c r="AN48" i="1"/>
  <c r="P134" i="1"/>
  <c r="BM60" i="1"/>
  <c r="N128" i="1"/>
  <c r="C168" i="1"/>
  <c r="O82" i="1"/>
  <c r="AV48" i="1"/>
  <c r="G180" i="1"/>
  <c r="BI24" i="1"/>
  <c r="H152" i="1"/>
  <c r="V180" i="1"/>
  <c r="BV127" i="1"/>
  <c r="BW127" i="1" s="1"/>
  <c r="AT31" i="1"/>
  <c r="S179" i="1"/>
  <c r="N88" i="1"/>
  <c r="N134" i="1"/>
  <c r="AX22" i="1"/>
  <c r="BN158" i="1"/>
  <c r="BQ18" i="1"/>
  <c r="AQ56" i="1"/>
  <c r="BV45" i="1"/>
  <c r="BV261" i="1" s="1"/>
  <c r="P155" i="1"/>
  <c r="BQ33" i="1"/>
  <c r="BK24" i="1"/>
  <c r="BV34" i="1"/>
  <c r="BH144" i="1"/>
  <c r="BI144" i="1" s="1"/>
  <c r="H136" i="1"/>
  <c r="BQ44" i="1"/>
  <c r="M136" i="1"/>
  <c r="S128" i="1"/>
  <c r="Q133" i="1"/>
  <c r="BN32" i="1"/>
  <c r="Q83" i="1"/>
  <c r="S181" i="1"/>
  <c r="H159" i="1"/>
  <c r="AU22" i="1"/>
  <c r="AR34" i="1"/>
  <c r="I164" i="1"/>
  <c r="BN17" i="1"/>
  <c r="W155" i="1"/>
  <c r="R155" i="1"/>
  <c r="C151" i="1"/>
  <c r="L83" i="1"/>
  <c r="AZ23" i="1"/>
  <c r="AN24" i="1"/>
  <c r="F141" i="1"/>
  <c r="N172" i="1"/>
  <c r="BV32" i="1"/>
  <c r="T144" i="1"/>
  <c r="T140" i="1" s="1"/>
  <c r="N149" i="1"/>
  <c r="AN55" i="1"/>
  <c r="G154" i="1"/>
  <c r="G189" i="1" s="1"/>
  <c r="D155" i="1"/>
  <c r="BJ56" i="1"/>
  <c r="AU44" i="1"/>
  <c r="B169" i="1"/>
  <c r="P86" i="1"/>
  <c r="AZ18" i="1"/>
  <c r="S135" i="1"/>
  <c r="S163" i="1" s="1"/>
  <c r="M149" i="1"/>
  <c r="C131" i="1"/>
  <c r="AO44" i="1"/>
  <c r="P126" i="1"/>
  <c r="C146" i="1"/>
  <c r="H83" i="1"/>
  <c r="U168" i="1"/>
  <c r="AZ56" i="1"/>
  <c r="AP29" i="1"/>
  <c r="AU60" i="1"/>
  <c r="R160" i="1"/>
  <c r="BQ30" i="1"/>
  <c r="BH17" i="1"/>
  <c r="R158" i="1"/>
  <c r="BK29" i="1"/>
  <c r="R146" i="1"/>
  <c r="E83" i="1"/>
  <c r="J87" i="1"/>
  <c r="G135" i="1"/>
  <c r="G163" i="1" s="1"/>
  <c r="U126" i="1"/>
  <c r="I151" i="1"/>
  <c r="D142" i="1"/>
  <c r="C160" i="1"/>
  <c r="O169" i="1"/>
  <c r="BR41" i="1"/>
  <c r="S169" i="1"/>
  <c r="J156" i="1"/>
  <c r="AQ34" i="1"/>
  <c r="F82" i="1"/>
  <c r="BD32" i="1"/>
  <c r="B162" i="1"/>
  <c r="B192" i="1" s="1"/>
  <c r="G134" i="1"/>
  <c r="C127" i="1"/>
  <c r="K149" i="1"/>
  <c r="BD30" i="1"/>
  <c r="T135" i="1"/>
  <c r="T163" i="1" s="1"/>
  <c r="K144" i="1"/>
  <c r="K140" i="1" s="1"/>
  <c r="BD33" i="1"/>
  <c r="L168" i="1"/>
  <c r="BN22" i="1"/>
  <c r="P180" i="1"/>
  <c r="AY23" i="1"/>
  <c r="V159" i="1"/>
  <c r="B76" i="1"/>
  <c r="BR60" i="1"/>
  <c r="BK32" i="1"/>
  <c r="C154" i="1"/>
  <c r="C189" i="1" s="1"/>
  <c r="D145" i="1"/>
  <c r="I82" i="1"/>
  <c r="W180" i="1"/>
  <c r="H160" i="1"/>
  <c r="G87" i="1"/>
  <c r="AV34" i="1"/>
  <c r="M76" i="1"/>
  <c r="BE44" i="1"/>
  <c r="E134" i="1"/>
  <c r="O179" i="1"/>
  <c r="M156" i="1"/>
  <c r="F126" i="1"/>
  <c r="AP60" i="1"/>
  <c r="P127" i="1"/>
  <c r="S180" i="1"/>
  <c r="AY56" i="1"/>
  <c r="AZ45" i="1"/>
  <c r="O152" i="1"/>
  <c r="J160" i="1"/>
  <c r="AN30" i="1"/>
  <c r="T86" i="1"/>
  <c r="O128" i="1"/>
  <c r="AV17" i="1"/>
  <c r="T76" i="1"/>
  <c r="BQ22" i="1"/>
  <c r="BV133" i="1"/>
  <c r="R145" i="1"/>
  <c r="T172" i="1"/>
  <c r="AY60" i="1"/>
  <c r="N82" i="1"/>
  <c r="L158" i="1"/>
  <c r="AU29" i="1"/>
  <c r="AQ41" i="1"/>
  <c r="AY29" i="1"/>
  <c r="E76" i="1"/>
  <c r="BU24" i="1"/>
  <c r="V133" i="1"/>
  <c r="R76" i="1"/>
  <c r="BG32" i="1"/>
  <c r="C162" i="1"/>
  <c r="C192" i="1" s="1"/>
  <c r="C156" i="1"/>
  <c r="O144" i="1"/>
  <c r="O140" i="1" s="1"/>
  <c r="BC55" i="1"/>
  <c r="BV140" i="1"/>
  <c r="AM56" i="1"/>
  <c r="G156" i="1"/>
  <c r="P146" i="1"/>
  <c r="BF56" i="1"/>
  <c r="BH152" i="1"/>
  <c r="BI152" i="1" s="1"/>
  <c r="G158" i="1"/>
  <c r="J136" i="1"/>
  <c r="U155" i="1"/>
  <c r="K158" i="1"/>
  <c r="BU30" i="1"/>
  <c r="BI34" i="1"/>
  <c r="G151" i="1"/>
  <c r="BS32" i="1"/>
  <c r="B179" i="1"/>
  <c r="BP54" i="1"/>
  <c r="Q158" i="1"/>
  <c r="BV48" i="1"/>
  <c r="BB60" i="1"/>
  <c r="Q141" i="1"/>
  <c r="AW34" i="1"/>
  <c r="AK83" i="1"/>
  <c r="V134" i="1"/>
  <c r="BM24" i="1"/>
  <c r="AP32" i="1"/>
  <c r="BA29" i="1"/>
  <c r="BM45" i="1"/>
  <c r="BH60" i="1"/>
  <c r="F181" i="1"/>
  <c r="Q181" i="1"/>
  <c r="F142" i="1"/>
  <c r="BA24" i="1"/>
  <c r="G82" i="1"/>
  <c r="N159" i="1"/>
  <c r="BV151" i="1"/>
  <c r="BP22" i="1"/>
  <c r="BS23" i="1"/>
  <c r="R152" i="1"/>
  <c r="G164" i="1"/>
  <c r="E142" i="1"/>
  <c r="AX29" i="1"/>
  <c r="AY30" i="1"/>
  <c r="R136" i="1"/>
  <c r="AP17" i="1"/>
  <c r="AR24" i="1"/>
  <c r="L156" i="1"/>
  <c r="BB41" i="1"/>
  <c r="N126" i="1"/>
  <c r="I142" i="1"/>
  <c r="BH142" i="1"/>
  <c r="H133" i="1"/>
  <c r="BD17" i="1"/>
  <c r="S134" i="1"/>
  <c r="D173" i="1"/>
  <c r="O181" i="1"/>
  <c r="BQ60" i="1"/>
  <c r="BV159" i="1"/>
  <c r="BW159" i="1" s="1"/>
  <c r="BS34" i="1"/>
  <c r="BP131" i="1"/>
  <c r="BQ131" i="1" s="1"/>
  <c r="U136" i="1"/>
  <c r="BR32" i="1"/>
  <c r="J134" i="1"/>
  <c r="BU17" i="1"/>
  <c r="BF30" i="1"/>
  <c r="M144" i="1"/>
  <c r="M140" i="1" s="1"/>
  <c r="BE29" i="1"/>
  <c r="W133" i="1"/>
  <c r="BM32" i="1"/>
  <c r="AP44" i="1"/>
  <c r="I160" i="1"/>
  <c r="AO30" i="1"/>
  <c r="BE18" i="1"/>
  <c r="G136" i="1"/>
  <c r="O154" i="1"/>
  <c r="O189" i="1" s="1"/>
  <c r="BQ45" i="1"/>
  <c r="BK60" i="1"/>
  <c r="AV41" i="1"/>
  <c r="AR55" i="1"/>
  <c r="F144" i="1"/>
  <c r="F140" i="1" s="1"/>
  <c r="J76" i="1"/>
  <c r="AO29" i="1"/>
  <c r="H162" i="1"/>
  <c r="H192" i="1" s="1"/>
  <c r="C153" i="1"/>
  <c r="C188" i="1" s="1"/>
  <c r="AV23" i="1"/>
  <c r="BH164" i="1"/>
  <c r="BI164" i="1" s="1"/>
  <c r="AO24" i="1"/>
  <c r="BQ54" i="1"/>
  <c r="N86" i="1"/>
  <c r="U127" i="1"/>
  <c r="BG17" i="1"/>
  <c r="C141" i="1"/>
  <c r="BV41" i="1"/>
  <c r="O164" i="1"/>
  <c r="I156" i="1"/>
  <c r="BO22" i="1"/>
  <c r="I136" i="1"/>
  <c r="S144" i="1"/>
  <c r="S140" i="1" s="1"/>
  <c r="AP24" i="1"/>
  <c r="K87" i="1"/>
  <c r="Q136" i="1"/>
  <c r="U169" i="1"/>
  <c r="AQ60" i="1"/>
  <c r="J152" i="1"/>
  <c r="AU32" i="1"/>
  <c r="N146" i="1"/>
  <c r="Q134" i="1"/>
  <c r="BC44" i="1"/>
  <c r="J169" i="1"/>
  <c r="D146" i="1"/>
  <c r="AX23" i="1"/>
  <c r="BH22" i="1"/>
  <c r="D133" i="1"/>
  <c r="BR48" i="1"/>
  <c r="B156" i="1"/>
  <c r="C172" i="1"/>
  <c r="BQ56" i="1"/>
  <c r="I135" i="1"/>
  <c r="I163" i="1" s="1"/>
  <c r="B158" i="1"/>
  <c r="BA23" i="1"/>
  <c r="AN22" i="1"/>
  <c r="BA34" i="1"/>
  <c r="H145" i="1"/>
  <c r="BT17" i="1"/>
  <c r="L154" i="1"/>
  <c r="L189" i="1" s="1"/>
  <c r="G141" i="1"/>
  <c r="AY54" i="1"/>
  <c r="Q149" i="1"/>
  <c r="AO54" i="1"/>
  <c r="B146" i="1"/>
  <c r="BV131" i="1"/>
  <c r="BW131" i="1" s="1"/>
  <c r="BH126" i="1"/>
  <c r="BV55" i="1"/>
  <c r="K126" i="1"/>
  <c r="BG33" i="1"/>
  <c r="T159" i="1"/>
  <c r="BU60" i="1"/>
  <c r="AT54" i="1"/>
  <c r="G144" i="1"/>
  <c r="G140" i="1" s="1"/>
  <c r="BG55" i="1"/>
  <c r="P133" i="1"/>
  <c r="J180" i="1"/>
  <c r="AP41" i="1"/>
  <c r="Q144" i="1"/>
  <c r="Q140" i="1" s="1"/>
  <c r="AI17" i="1"/>
  <c r="BV23" i="1"/>
  <c r="T158" i="1"/>
  <c r="G128" i="1"/>
  <c r="I173" i="1"/>
  <c r="W164" i="1"/>
  <c r="BW22" i="1"/>
  <c r="AM55" i="1"/>
  <c r="F136" i="1"/>
  <c r="BU48" i="1"/>
  <c r="BK54" i="1"/>
  <c r="H153" i="1"/>
  <c r="H188" i="1" s="1"/>
  <c r="BR29" i="1"/>
  <c r="BF48" i="1"/>
  <c r="BA18" i="1"/>
  <c r="BS24" i="1"/>
  <c r="S146" i="1"/>
  <c r="O168" i="1"/>
  <c r="BN41" i="1"/>
  <c r="BJ60" i="1"/>
  <c r="AS44" i="1"/>
  <c r="AQ33" i="1"/>
  <c r="AW54" i="1"/>
  <c r="H173" i="1"/>
  <c r="U154" i="1"/>
  <c r="U189" i="1" s="1"/>
  <c r="O127" i="1"/>
  <c r="AS29" i="1"/>
  <c r="BS45" i="1"/>
  <c r="G168" i="1"/>
  <c r="U142" i="1"/>
  <c r="AX32" i="1"/>
  <c r="M141" i="1"/>
  <c r="BP60" i="1"/>
  <c r="BA30" i="1"/>
  <c r="AI33" i="1"/>
  <c r="C145" i="1"/>
  <c r="AZ17" i="1"/>
  <c r="P83" i="1"/>
  <c r="BH23" i="1"/>
  <c r="F134" i="1"/>
  <c r="AS23" i="1"/>
  <c r="BH162" i="1"/>
  <c r="M135" i="1"/>
  <c r="M163" i="1" s="1"/>
  <c r="AT48" i="1"/>
  <c r="BV160" i="1"/>
  <c r="BW160" i="1" s="1"/>
  <c r="AY45" i="1"/>
  <c r="P76" i="1"/>
  <c r="H127" i="1"/>
  <c r="Q169" i="1"/>
  <c r="AR56" i="1"/>
  <c r="BV172" i="1"/>
  <c r="BW172" i="1" s="1"/>
  <c r="AV60" i="1"/>
  <c r="BW44" i="1"/>
  <c r="L160" i="1"/>
  <c r="N133" i="1"/>
  <c r="C158" i="1"/>
  <c r="G145" i="1"/>
  <c r="K145" i="1"/>
  <c r="AP48" i="1"/>
  <c r="P87" i="1"/>
  <c r="J88" i="1"/>
  <c r="BK44" i="1"/>
  <c r="T127" i="1"/>
  <c r="P128" i="1"/>
  <c r="BC54" i="1"/>
  <c r="N181" i="1"/>
  <c r="M181" i="1"/>
  <c r="BB34" i="1"/>
  <c r="Q128" i="1"/>
  <c r="E164" i="1"/>
  <c r="BH136" i="1"/>
  <c r="BI136" i="1" s="1"/>
  <c r="U144" i="1"/>
  <c r="U140" i="1" s="1"/>
  <c r="U164" i="1"/>
  <c r="BD55" i="1"/>
  <c r="Q151" i="1"/>
  <c r="K83" i="1"/>
  <c r="BK48" i="1"/>
  <c r="BV168" i="1"/>
  <c r="AX33" i="1"/>
  <c r="M127" i="1"/>
  <c r="O142" i="1"/>
  <c r="BT24" i="1"/>
  <c r="O141" i="1"/>
  <c r="K88" i="1"/>
  <c r="C169" i="1"/>
  <c r="AR17" i="1"/>
  <c r="B173" i="1"/>
  <c r="M87" i="1"/>
  <c r="W179" i="1"/>
  <c r="V136" i="1"/>
  <c r="D153" i="1"/>
  <c r="D188" i="1" s="1"/>
  <c r="BP34" i="1"/>
  <c r="K179" i="1"/>
  <c r="BE34" i="1"/>
  <c r="I141" i="1"/>
  <c r="AR60" i="1"/>
  <c r="Q146" i="1"/>
  <c r="N169" i="1"/>
  <c r="J142" i="1"/>
  <c r="W144" i="1"/>
  <c r="W140" i="1" s="1"/>
  <c r="BA56" i="1"/>
  <c r="Q172" i="1"/>
  <c r="C159" i="1"/>
  <c r="AO18" i="1"/>
  <c r="B140" i="1"/>
  <c r="BP33" i="1"/>
  <c r="AY24" i="1"/>
  <c r="G88" i="1"/>
  <c r="T126" i="1"/>
  <c r="AO17" i="1"/>
  <c r="BH146" i="1"/>
  <c r="BI146" i="1" s="1"/>
  <c r="I155" i="1"/>
  <c r="W172" i="1"/>
  <c r="Q145" i="1"/>
  <c r="E160" i="1"/>
  <c r="BH45" i="1"/>
  <c r="BA31" i="1"/>
  <c r="AW22" i="1"/>
  <c r="BQ24" i="1"/>
  <c r="F179" i="1"/>
  <c r="J135" i="1"/>
  <c r="J163" i="1" s="1"/>
  <c r="BQ32" i="1"/>
  <c r="L82" i="1"/>
  <c r="U128" i="1"/>
  <c r="V141" i="1"/>
  <c r="AX56" i="1"/>
  <c r="H158" i="1"/>
  <c r="J141" i="1"/>
  <c r="AT29" i="1"/>
  <c r="BH135" i="1"/>
  <c r="BI135" i="1" s="1"/>
  <c r="G159" i="1"/>
  <c r="G142" i="1"/>
  <c r="O156" i="1"/>
  <c r="BV156" i="1"/>
  <c r="BW156" i="1" s="1"/>
  <c r="J168" i="1"/>
  <c r="Q179" i="1"/>
  <c r="BH41" i="1"/>
  <c r="AP23" i="1"/>
  <c r="T180" i="1"/>
  <c r="K135" i="1"/>
  <c r="K163" i="1" s="1"/>
  <c r="BH54" i="1"/>
  <c r="U181" i="1"/>
  <c r="H156" i="1"/>
  <c r="AV29" i="1"/>
  <c r="G181" i="1"/>
  <c r="BC29" i="1"/>
  <c r="G131" i="1"/>
  <c r="N127" i="1"/>
  <c r="BG45" i="1"/>
  <c r="BG261" i="1" s="1"/>
  <c r="R151" i="1"/>
  <c r="V83" i="1"/>
  <c r="BM34" i="1"/>
  <c r="U76" i="1"/>
  <c r="BF45" i="1"/>
  <c r="L179" i="1"/>
  <c r="AZ22" i="1"/>
  <c r="W162" i="1"/>
  <c r="N179" i="1"/>
  <c r="AR33" i="1"/>
  <c r="I152" i="1"/>
  <c r="V181" i="1"/>
  <c r="U149" i="1"/>
  <c r="V211" i="1" s="1"/>
  <c r="BT30" i="1"/>
  <c r="F169" i="1"/>
  <c r="R82" i="1"/>
  <c r="AU48" i="1"/>
  <c r="BA22" i="1"/>
  <c r="BV56" i="1"/>
  <c r="K76" i="1"/>
  <c r="I180" i="1"/>
  <c r="BO34" i="1"/>
  <c r="B154" i="1"/>
  <c r="B189" i="1" s="1"/>
  <c r="C173" i="1"/>
  <c r="M180" i="1"/>
  <c r="F154" i="1"/>
  <c r="F189" i="1" s="1"/>
  <c r="BI17" i="1"/>
  <c r="U160" i="1"/>
  <c r="J162" i="1"/>
  <c r="J192" i="1" s="1"/>
  <c r="BS18" i="1"/>
  <c r="B136" i="1"/>
  <c r="L169" i="1"/>
  <c r="B87" i="1"/>
  <c r="E133" i="1"/>
  <c r="BG31" i="1"/>
  <c r="F146" i="1"/>
  <c r="D73" i="1"/>
  <c r="R159" i="1"/>
  <c r="I131" i="1"/>
  <c r="K128" i="1"/>
  <c r="W88" i="1"/>
  <c r="AN32" i="1"/>
  <c r="AX18" i="1"/>
  <c r="E154" i="1"/>
  <c r="E189" i="1" s="1"/>
  <c r="K159" i="1"/>
  <c r="BP24" i="1"/>
  <c r="U83" i="1"/>
  <c r="BT41" i="1"/>
  <c r="BU33" i="1"/>
  <c r="D88" i="1"/>
  <c r="BP44" i="1"/>
  <c r="BT203" i="1"/>
  <c r="BP240" i="1"/>
  <c r="BJ203" i="1"/>
  <c r="BJ262" i="1"/>
  <c r="AW240" i="1"/>
  <c r="AS240" i="1"/>
  <c r="AS19" i="1"/>
  <c r="AW261" i="1"/>
  <c r="CR143" i="1"/>
  <c r="CR203" i="1"/>
  <c r="CQ212" i="1"/>
  <c r="CQ210" i="1" s="1"/>
  <c r="AB215" i="1"/>
  <c r="DB72" i="1"/>
  <c r="DB74" i="1" s="1"/>
  <c r="DA74" i="1"/>
  <c r="BS82" i="1" l="1"/>
  <c r="BC82" i="1"/>
  <c r="AZ142" i="1"/>
  <c r="AZ133" i="1"/>
  <c r="AZ173" i="1"/>
  <c r="BA173" i="1" s="1"/>
  <c r="AZ162" i="1"/>
  <c r="AZ155" i="1"/>
  <c r="BA155" i="1" s="1"/>
  <c r="AZ135" i="1"/>
  <c r="BA135" i="1" s="1"/>
  <c r="AZ126" i="1"/>
  <c r="AZ168" i="1"/>
  <c r="AZ159" i="1"/>
  <c r="BA159" i="1" s="1"/>
  <c r="AZ141" i="1"/>
  <c r="AZ131" i="1"/>
  <c r="BA131" i="1" s="1"/>
  <c r="AZ146" i="1"/>
  <c r="BA146" i="1" s="1"/>
  <c r="AZ152" i="1"/>
  <c r="BA152" i="1" s="1"/>
  <c r="AV143" i="1"/>
  <c r="AW143" i="1" s="1"/>
  <c r="AT169" i="1"/>
  <c r="AR152" i="1"/>
  <c r="AS152" i="1" s="1"/>
  <c r="BR140" i="1"/>
  <c r="AT128" i="1"/>
  <c r="AT83" i="1"/>
  <c r="AR162" i="1"/>
  <c r="BR144" i="1"/>
  <c r="BS144" i="1" s="1"/>
  <c r="BG83" i="1"/>
  <c r="BB134" i="1"/>
  <c r="BC134" i="1" s="1"/>
  <c r="AX155" i="1"/>
  <c r="AY155" i="1" s="1"/>
  <c r="AT140" i="1"/>
  <c r="BR159" i="1"/>
  <c r="BS159" i="1" s="1"/>
  <c r="AR149" i="1"/>
  <c r="AS261" i="1"/>
  <c r="Q170" i="1"/>
  <c r="R218" i="1" s="1"/>
  <c r="U143" i="1"/>
  <c r="BS19" i="1"/>
  <c r="BA203" i="1"/>
  <c r="BD261" i="1"/>
  <c r="BF143" i="1"/>
  <c r="AT143" i="1"/>
  <c r="H143" i="1"/>
  <c r="H42" i="1" s="1"/>
  <c r="M170" i="1"/>
  <c r="K170" i="1"/>
  <c r="L218" i="1" s="1"/>
  <c r="D129" i="1"/>
  <c r="BK83" i="1"/>
  <c r="BP188" i="1"/>
  <c r="BQ188" i="1" s="1"/>
  <c r="BB189" i="1"/>
  <c r="BC189" i="1" s="1"/>
  <c r="AV192" i="1"/>
  <c r="AW192" i="1" s="1"/>
  <c r="BK82" i="1"/>
  <c r="BH170" i="1"/>
  <c r="AX188" i="1"/>
  <c r="AY188" i="1" s="1"/>
  <c r="W211" i="1"/>
  <c r="T170" i="1"/>
  <c r="P211" i="1"/>
  <c r="R129" i="1"/>
  <c r="J129" i="1"/>
  <c r="H211" i="1"/>
  <c r="L137" i="1"/>
  <c r="L46" i="1" s="1"/>
  <c r="E129" i="1"/>
  <c r="BK261" i="1"/>
  <c r="T143" i="1"/>
  <c r="S143" i="1"/>
  <c r="D137" i="1"/>
  <c r="O170" i="1"/>
  <c r="Q157" i="1"/>
  <c r="M129" i="1"/>
  <c r="T129" i="1"/>
  <c r="BH261" i="1"/>
  <c r="AV35" i="1"/>
  <c r="N182" i="1"/>
  <c r="I157" i="1"/>
  <c r="BT35" i="1"/>
  <c r="F170" i="1"/>
  <c r="I182" i="1"/>
  <c r="BO35" i="1"/>
  <c r="BL107" i="1"/>
  <c r="BL108" i="1" s="1"/>
  <c r="U165" i="1"/>
  <c r="K165" i="1"/>
  <c r="K194" i="1" s="1"/>
  <c r="S170" i="1"/>
  <c r="BB240" i="1"/>
  <c r="AQ240" i="1"/>
  <c r="AQ19" i="1"/>
  <c r="BM212" i="1"/>
  <c r="BM210" i="1" s="1"/>
  <c r="BM42" i="1"/>
  <c r="BM203" i="1"/>
  <c r="BP143" i="1"/>
  <c r="AR211" i="1"/>
  <c r="AX143" i="1"/>
  <c r="AY143" i="1" s="1"/>
  <c r="BV170" i="1"/>
  <c r="BW218" i="1" s="1"/>
  <c r="E137" i="1"/>
  <c r="K193" i="1"/>
  <c r="BH188" i="1"/>
  <c r="BB188" i="1"/>
  <c r="BC188" i="1" s="1"/>
  <c r="AQ211" i="1"/>
  <c r="BS211" i="1"/>
  <c r="AZ192" i="1"/>
  <c r="BA192" i="1" s="1"/>
  <c r="BT192" i="1"/>
  <c r="BU192" i="1" s="1"/>
  <c r="BT189" i="1"/>
  <c r="BU189" i="1" s="1"/>
  <c r="AN146" i="1"/>
  <c r="AO146" i="1" s="1"/>
  <c r="I143" i="1"/>
  <c r="BN156" i="1"/>
  <c r="BO156" i="1" s="1"/>
  <c r="BN146" i="1"/>
  <c r="BO146" i="1" s="1"/>
  <c r="BN172" i="1"/>
  <c r="BO172" i="1" s="1"/>
  <c r="AN128" i="1"/>
  <c r="BN128" i="1"/>
  <c r="BN152" i="1"/>
  <c r="BO152" i="1" s="1"/>
  <c r="AN164" i="1"/>
  <c r="AO164" i="1" s="1"/>
  <c r="BN136" i="1"/>
  <c r="BO136" i="1" s="1"/>
  <c r="BN161" i="1"/>
  <c r="BO161" i="1" s="1"/>
  <c r="BN153" i="1"/>
  <c r="BN188" i="1" s="1"/>
  <c r="BO188" i="1" s="1"/>
  <c r="BN133" i="1"/>
  <c r="BN83" i="1"/>
  <c r="BN140" i="1"/>
  <c r="BN82" i="1"/>
  <c r="BR192" i="1"/>
  <c r="BS192" i="1" s="1"/>
  <c r="BN163" i="1"/>
  <c r="BO163" i="1" s="1"/>
  <c r="BN134" i="1"/>
  <c r="BO134" i="1" s="1"/>
  <c r="BN164" i="1"/>
  <c r="BO164" i="1" s="1"/>
  <c r="AN161" i="1"/>
  <c r="AO161" i="1" s="1"/>
  <c r="AN160" i="1"/>
  <c r="AO160" i="1" s="1"/>
  <c r="BN173" i="1"/>
  <c r="BO173" i="1" s="1"/>
  <c r="AX170" i="1"/>
  <c r="AY218" i="1" s="1"/>
  <c r="AN134" i="1"/>
  <c r="AO134" i="1" s="1"/>
  <c r="J211" i="1"/>
  <c r="F165" i="1"/>
  <c r="AN82" i="1"/>
  <c r="BN127" i="1"/>
  <c r="BO127" i="1" s="1"/>
  <c r="BN155" i="1"/>
  <c r="BO155" i="1" s="1"/>
  <c r="AN156" i="1"/>
  <c r="AO156" i="1" s="1"/>
  <c r="AX261" i="1"/>
  <c r="AN169" i="1"/>
  <c r="BN149" i="1"/>
  <c r="BN141" i="1"/>
  <c r="BP19" i="1"/>
  <c r="I211" i="1"/>
  <c r="C182" i="1"/>
  <c r="E211" i="1"/>
  <c r="S211" i="1"/>
  <c r="BJ36" i="1"/>
  <c r="K157" i="1"/>
  <c r="R170" i="1"/>
  <c r="BO261" i="1"/>
  <c r="BN159" i="1"/>
  <c r="BO159" i="1" s="1"/>
  <c r="C211" i="1"/>
  <c r="N211" i="1"/>
  <c r="G165" i="1"/>
  <c r="L211" i="1"/>
  <c r="K143" i="1"/>
  <c r="F129" i="1"/>
  <c r="F184" i="1" s="1"/>
  <c r="BV143" i="1"/>
  <c r="B182" i="1"/>
  <c r="Q165" i="1"/>
  <c r="BQ261" i="1"/>
  <c r="BW107" i="1"/>
  <c r="BW108" i="1" s="1"/>
  <c r="BS261" i="1"/>
  <c r="BH165" i="1"/>
  <c r="BH194" i="1" s="1"/>
  <c r="AY261" i="1"/>
  <c r="BK46" i="1"/>
  <c r="W182" i="1"/>
  <c r="W143" i="1"/>
  <c r="J143" i="1"/>
  <c r="Q182" i="1"/>
  <c r="G182" i="1"/>
  <c r="N129" i="1"/>
  <c r="R157" i="1"/>
  <c r="R191" i="1" s="1"/>
  <c r="R190" i="1" s="1"/>
  <c r="AN35" i="1"/>
  <c r="S165" i="1"/>
  <c r="S194" i="1" s="1"/>
  <c r="S193" i="1" s="1"/>
  <c r="E157" i="1"/>
  <c r="O211" i="1"/>
  <c r="Q191" i="1"/>
  <c r="Q190" i="1" s="1"/>
  <c r="J184" i="1"/>
  <c r="V157" i="1"/>
  <c r="BF262" i="1"/>
  <c r="N157" i="1"/>
  <c r="BT262" i="1"/>
  <c r="AP35" i="1"/>
  <c r="AQ203" i="1"/>
  <c r="AQ262" i="1"/>
  <c r="G137" i="1"/>
  <c r="T182" i="1"/>
  <c r="BC35" i="1"/>
  <c r="T157" i="1"/>
  <c r="AT35" i="1"/>
  <c r="BR262" i="1"/>
  <c r="BR203" i="1"/>
  <c r="AR203" i="1"/>
  <c r="AR262" i="1"/>
  <c r="U129" i="1"/>
  <c r="BH240" i="1"/>
  <c r="BH19" i="1"/>
  <c r="BK107" i="1"/>
  <c r="BK108" i="1" s="1"/>
  <c r="BQ35" i="1"/>
  <c r="BW149" i="1"/>
  <c r="BX211" i="1" s="1"/>
  <c r="Q129" i="1"/>
  <c r="K182" i="1"/>
  <c r="AR35" i="1"/>
  <c r="BB261" i="1"/>
  <c r="AQ35" i="1"/>
  <c r="N137" i="1"/>
  <c r="N138" i="1" s="1"/>
  <c r="N64" i="1" s="1"/>
  <c r="BS203" i="1"/>
  <c r="BS262" i="1"/>
  <c r="O129" i="1"/>
  <c r="BA19" i="1"/>
  <c r="AW203" i="1"/>
  <c r="AW262" i="1"/>
  <c r="H129" i="1"/>
  <c r="T165" i="1"/>
  <c r="R211" i="1"/>
  <c r="BF35" i="1"/>
  <c r="V165" i="1"/>
  <c r="V194" i="1" s="1"/>
  <c r="V193" i="1" s="1"/>
  <c r="AV19" i="1"/>
  <c r="AN19" i="1"/>
  <c r="AN240" i="1"/>
  <c r="AN107" i="1"/>
  <c r="AN108" i="1" s="1"/>
  <c r="AO107" i="1"/>
  <c r="AO108" i="1" s="1"/>
  <c r="M143" i="1"/>
  <c r="BI35" i="1"/>
  <c r="BA261" i="1"/>
  <c r="BV240" i="1"/>
  <c r="BV19" i="1"/>
  <c r="BV192" i="1"/>
  <c r="BW192" i="1" s="1"/>
  <c r="AM57" i="1"/>
  <c r="BN35" i="1"/>
  <c r="AW35" i="1"/>
  <c r="BT188" i="1"/>
  <c r="BU188" i="1" s="1"/>
  <c r="AR188" i="1"/>
  <c r="AS188" i="1" s="1"/>
  <c r="AN192" i="1"/>
  <c r="AO192" i="1" s="1"/>
  <c r="BR189" i="1"/>
  <c r="BS189" i="1" s="1"/>
  <c r="BF192" i="1"/>
  <c r="BG192" i="1" s="1"/>
  <c r="BF189" i="1"/>
  <c r="BG189" i="1" s="1"/>
  <c r="BB192" i="1"/>
  <c r="BC192" i="1" s="1"/>
  <c r="BI107" i="1"/>
  <c r="BI108" i="1" s="1"/>
  <c r="BF19" i="1"/>
  <c r="BF240" i="1"/>
  <c r="L182" i="1"/>
  <c r="BD203" i="1"/>
  <c r="BD262" i="1"/>
  <c r="L170" i="1"/>
  <c r="BE203" i="1"/>
  <c r="BE262" i="1"/>
  <c r="BX107" i="1"/>
  <c r="BX108" i="1" s="1"/>
  <c r="BW240" i="1"/>
  <c r="BZ107" i="1"/>
  <c r="BZ108" i="1" s="1"/>
  <c r="R165" i="1"/>
  <c r="BA240" i="1"/>
  <c r="BD107" i="1"/>
  <c r="BD108" i="1" s="1"/>
  <c r="C165" i="1"/>
  <c r="AZ240" i="1"/>
  <c r="BC107" i="1"/>
  <c r="BC108" i="1" s="1"/>
  <c r="AS35" i="1"/>
  <c r="H157" i="1"/>
  <c r="C157" i="1"/>
  <c r="BR240" i="1"/>
  <c r="BU107" i="1"/>
  <c r="BU108" i="1" s="1"/>
  <c r="BR19" i="1"/>
  <c r="Q143" i="1"/>
  <c r="BW35" i="1"/>
  <c r="K129" i="1"/>
  <c r="B129" i="1"/>
  <c r="BT19" i="1"/>
  <c r="BT240" i="1"/>
  <c r="AU203" i="1"/>
  <c r="AU262" i="1"/>
  <c r="BG35" i="1"/>
  <c r="BE35" i="1"/>
  <c r="BI261" i="1"/>
  <c r="BW203" i="1"/>
  <c r="BW262" i="1"/>
  <c r="BP35" i="1"/>
  <c r="I137" i="1"/>
  <c r="AV261" i="1"/>
  <c r="H137" i="1"/>
  <c r="BB203" i="1"/>
  <c r="BB262" i="1"/>
  <c r="BO107" i="1"/>
  <c r="BO108" i="1" s="1"/>
  <c r="BM19" i="1"/>
  <c r="BM240" i="1"/>
  <c r="BP107" i="1"/>
  <c r="BP108" i="1" s="1"/>
  <c r="AZ35" i="1"/>
  <c r="E143" i="1"/>
  <c r="V129" i="1"/>
  <c r="BM46" i="1"/>
  <c r="BM261" i="1"/>
  <c r="BC240" i="1"/>
  <c r="BF107" i="1"/>
  <c r="BF108" i="1" s="1"/>
  <c r="O137" i="1"/>
  <c r="O177" i="1" s="1"/>
  <c r="O118" i="1" s="1"/>
  <c r="BN107" i="1"/>
  <c r="BN108" i="1" s="1"/>
  <c r="BH143" i="1"/>
  <c r="BF188" i="1"/>
  <c r="BG188" i="1" s="1"/>
  <c r="BS107" i="1"/>
  <c r="BS108" i="1" s="1"/>
  <c r="D165" i="1"/>
  <c r="AT19" i="1"/>
  <c r="K211" i="1"/>
  <c r="BQ203" i="1"/>
  <c r="BQ262" i="1"/>
  <c r="BB35" i="1"/>
  <c r="BU203" i="1"/>
  <c r="BU262" i="1"/>
  <c r="N143" i="1"/>
  <c r="V143" i="1"/>
  <c r="AX189" i="1"/>
  <c r="AY189" i="1" s="1"/>
  <c r="BD189" i="1"/>
  <c r="BE189" i="1" s="1"/>
  <c r="AV188" i="1"/>
  <c r="AW188" i="1" s="1"/>
  <c r="BP189" i="1"/>
  <c r="BQ189" i="1" s="1"/>
  <c r="BN192" i="1"/>
  <c r="BO192" i="1" s="1"/>
  <c r="AV189" i="1"/>
  <c r="AW189" i="1" s="1"/>
  <c r="AX192" i="1"/>
  <c r="AY192" i="1" s="1"/>
  <c r="BP192" i="1"/>
  <c r="BQ192" i="1" s="1"/>
  <c r="J165" i="1"/>
  <c r="BU35" i="1"/>
  <c r="O143" i="1"/>
  <c r="BI240" i="1"/>
  <c r="BI19" i="1"/>
  <c r="AY35" i="1"/>
  <c r="AU35" i="1"/>
  <c r="BF261" i="1"/>
  <c r="P129" i="1"/>
  <c r="F157" i="1"/>
  <c r="BD35" i="1"/>
  <c r="F182" i="1"/>
  <c r="BO203" i="1"/>
  <c r="BO262" i="1"/>
  <c r="B143" i="1"/>
  <c r="AR240" i="1"/>
  <c r="AU107" i="1"/>
  <c r="AU108" i="1" s="1"/>
  <c r="AR19" i="1"/>
  <c r="B137" i="1"/>
  <c r="M182" i="1"/>
  <c r="AZ262" i="1"/>
  <c r="AZ203" i="1"/>
  <c r="BN240" i="1"/>
  <c r="BN19" i="1"/>
  <c r="BQ107" i="1"/>
  <c r="BQ108" i="1" s="1"/>
  <c r="H170" i="1"/>
  <c r="S182" i="1"/>
  <c r="C170" i="1"/>
  <c r="BK203" i="1"/>
  <c r="BK42" i="1"/>
  <c r="BK212" i="1"/>
  <c r="BK210" i="1" s="1"/>
  <c r="BK262" i="1"/>
  <c r="H182" i="1"/>
  <c r="M157" i="1"/>
  <c r="N205" i="1" s="1"/>
  <c r="AO35" i="1"/>
  <c r="F143" i="1"/>
  <c r="BG203" i="1"/>
  <c r="BG262" i="1"/>
  <c r="G211" i="1"/>
  <c r="BU240" i="1"/>
  <c r="BU19" i="1"/>
  <c r="K137" i="1"/>
  <c r="U182" i="1"/>
  <c r="BD240" i="1"/>
  <c r="BG107" i="1"/>
  <c r="BG108" i="1" s="1"/>
  <c r="AU19" i="1"/>
  <c r="AX107" i="1"/>
  <c r="AX108" i="1" s="1"/>
  <c r="AU240" i="1"/>
  <c r="AQ261" i="1"/>
  <c r="BW151" i="1"/>
  <c r="BV157" i="1"/>
  <c r="BA35" i="1"/>
  <c r="BA36" i="1" s="1"/>
  <c r="BE240" i="1"/>
  <c r="BH107" i="1"/>
  <c r="BH108" i="1" s="1"/>
  <c r="BE19" i="1"/>
  <c r="BC19" i="1"/>
  <c r="BJ37" i="1"/>
  <c r="BJ26" i="1"/>
  <c r="AW19" i="1"/>
  <c r="BR107" i="1"/>
  <c r="BR108" i="1" s="1"/>
  <c r="BO19" i="1"/>
  <c r="BO240" i="1"/>
  <c r="AI35" i="1"/>
  <c r="AO203" i="1"/>
  <c r="AO262" i="1"/>
  <c r="BT107" i="1"/>
  <c r="BT108" i="1" s="1"/>
  <c r="BQ19" i="1"/>
  <c r="BQ240" i="1"/>
  <c r="G129" i="1"/>
  <c r="BA262" i="1"/>
  <c r="R137" i="1"/>
  <c r="AX19" i="1"/>
  <c r="AX240" i="1"/>
  <c r="BD192" i="1"/>
  <c r="BE192" i="1" s="1"/>
  <c r="AN188" i="1"/>
  <c r="AO188" i="1" s="1"/>
  <c r="BR188" i="1"/>
  <c r="BS188" i="1" s="1"/>
  <c r="AZ188" i="1"/>
  <c r="BA188" i="1" s="1"/>
  <c r="BP203" i="1"/>
  <c r="BP262" i="1"/>
  <c r="AN262" i="1"/>
  <c r="AN203" i="1"/>
  <c r="AN42" i="1"/>
  <c r="AS262" i="1"/>
  <c r="AS203" i="1"/>
  <c r="BI262" i="1"/>
  <c r="BI203" i="1"/>
  <c r="C129" i="1"/>
  <c r="AO240" i="1"/>
  <c r="AO19" i="1"/>
  <c r="BK35" i="1"/>
  <c r="BC203" i="1"/>
  <c r="BC262" i="1"/>
  <c r="M165" i="1"/>
  <c r="BE107" i="1"/>
  <c r="BE108" i="1" s="1"/>
  <c r="BB19" i="1"/>
  <c r="V182" i="1"/>
  <c r="H147" i="1"/>
  <c r="BN262" i="1"/>
  <c r="BN42" i="1"/>
  <c r="BN203" i="1"/>
  <c r="BV35" i="1"/>
  <c r="BV36" i="1" s="1"/>
  <c r="AI194" i="1"/>
  <c r="AL107" i="1"/>
  <c r="AL108" i="1" s="1"/>
  <c r="AI191" i="1"/>
  <c r="AI188" i="1"/>
  <c r="AI19" i="1"/>
  <c r="AI189" i="1"/>
  <c r="AI240" i="1"/>
  <c r="AI192" i="1"/>
  <c r="BI126" i="1"/>
  <c r="BH129" i="1"/>
  <c r="BN261" i="1"/>
  <c r="J170" i="1"/>
  <c r="BM262" i="1"/>
  <c r="BJ107" i="1"/>
  <c r="BJ108" i="1" s="1"/>
  <c r="BG240" i="1"/>
  <c r="BG19" i="1"/>
  <c r="D211" i="1"/>
  <c r="S129" i="1"/>
  <c r="I129" i="1"/>
  <c r="BN189" i="1"/>
  <c r="BO189" i="1" s="1"/>
  <c r="P182" i="1"/>
  <c r="AR261" i="1"/>
  <c r="O157" i="1"/>
  <c r="BM35" i="1"/>
  <c r="BR35" i="1"/>
  <c r="AZ189" i="1"/>
  <c r="BA189" i="1" s="1"/>
  <c r="AR192" i="1"/>
  <c r="AS192" i="1" s="1"/>
  <c r="R205" i="1"/>
  <c r="C46" i="1"/>
  <c r="D215" i="1"/>
  <c r="D46" i="1"/>
  <c r="D258" i="1"/>
  <c r="D260" i="1" s="1"/>
  <c r="N184" i="1"/>
  <c r="P218" i="1"/>
  <c r="E216" i="1"/>
  <c r="D63" i="1"/>
  <c r="D138" i="1"/>
  <c r="D64" i="1" s="1"/>
  <c r="D184" i="1"/>
  <c r="AW211" i="1"/>
  <c r="BG143" i="1"/>
  <c r="BG42" i="1"/>
  <c r="BF147" i="1"/>
  <c r="AV147" i="1"/>
  <c r="AY42" i="1"/>
  <c r="BQ42" i="1"/>
  <c r="BP147" i="1"/>
  <c r="BQ143" i="1"/>
  <c r="AT147" i="1"/>
  <c r="AU42" i="1"/>
  <c r="AU143" i="1"/>
  <c r="BN151" i="1"/>
  <c r="AN154" i="1"/>
  <c r="AN189" i="1" s="1"/>
  <c r="AO189" i="1" s="1"/>
  <c r="BN144" i="1"/>
  <c r="BO144" i="1" s="1"/>
  <c r="BN142" i="1"/>
  <c r="AX147" i="1"/>
  <c r="AW42" i="1"/>
  <c r="BR143" i="1"/>
  <c r="AX211" i="1"/>
  <c r="BT211" i="1"/>
  <c r="BH192" i="1"/>
  <c r="BI192" i="1" s="1"/>
  <c r="BU211" i="1"/>
  <c r="AZ143" i="1"/>
  <c r="BV165" i="1"/>
  <c r="BV194" i="1" s="1"/>
  <c r="H165" i="1"/>
  <c r="H194" i="1" s="1"/>
  <c r="H193" i="1" s="1"/>
  <c r="E165" i="1"/>
  <c r="E194" i="1" s="1"/>
  <c r="E193" i="1" s="1"/>
  <c r="AZ170" i="1"/>
  <c r="BA218" i="1" s="1"/>
  <c r="AP107" i="1"/>
  <c r="AP108" i="1" s="1"/>
  <c r="AR107" i="1"/>
  <c r="AR108" i="1" s="1"/>
  <c r="S42" i="1"/>
  <c r="S147" i="1"/>
  <c r="AV203" i="1"/>
  <c r="AV262" i="1"/>
  <c r="AX35" i="1"/>
  <c r="U170" i="1"/>
  <c r="AZ19" i="1"/>
  <c r="BO158" i="1"/>
  <c r="P137" i="1"/>
  <c r="E63" i="1"/>
  <c r="I165" i="1"/>
  <c r="AX203" i="1"/>
  <c r="AX262" i="1"/>
  <c r="N170" i="1"/>
  <c r="R63" i="1"/>
  <c r="BR261" i="1"/>
  <c r="BW126" i="1"/>
  <c r="BV129" i="1"/>
  <c r="B165" i="1"/>
  <c r="B194" i="1" s="1"/>
  <c r="B193" i="1" s="1"/>
  <c r="O165" i="1"/>
  <c r="J182" i="1"/>
  <c r="I170" i="1"/>
  <c r="J218" i="1" s="1"/>
  <c r="C143" i="1"/>
  <c r="S157" i="1"/>
  <c r="AW151" i="1"/>
  <c r="AV157" i="1"/>
  <c r="P143" i="1"/>
  <c r="AS149" i="1"/>
  <c r="AT211" i="1" s="1"/>
  <c r="AP192" i="1"/>
  <c r="AQ192" i="1" s="1"/>
  <c r="BY107" i="1"/>
  <c r="BY108" i="1" s="1"/>
  <c r="BA107" i="1"/>
  <c r="BA108" i="1" s="1"/>
  <c r="AS151" i="1"/>
  <c r="AR157" i="1"/>
  <c r="BD188" i="1"/>
  <c r="BE188" i="1" s="1"/>
  <c r="AO133" i="1"/>
  <c r="AO137" i="1" s="1"/>
  <c r="AN137" i="1"/>
  <c r="BE158" i="1"/>
  <c r="BD165" i="1"/>
  <c r="BD194" i="1" s="1"/>
  <c r="AN143" i="1"/>
  <c r="AZ107" i="1"/>
  <c r="AZ108" i="1" s="1"/>
  <c r="AW126" i="1"/>
  <c r="AV129" i="1"/>
  <c r="AV101" i="1" s="1"/>
  <c r="AV103" i="1" s="1"/>
  <c r="AU133" i="1"/>
  <c r="AU137" i="1" s="1"/>
  <c r="AT137" i="1"/>
  <c r="AR143" i="1"/>
  <c r="BR170" i="1"/>
  <c r="BV211" i="1"/>
  <c r="AS133" i="1"/>
  <c r="AS137" i="1" s="1"/>
  <c r="AR137" i="1"/>
  <c r="BG149" i="1"/>
  <c r="BH211" i="1" s="1"/>
  <c r="BE133" i="1"/>
  <c r="BE137" i="1" s="1"/>
  <c r="BD137" i="1"/>
  <c r="AT203" i="1"/>
  <c r="AT262" i="1"/>
  <c r="BO126" i="1"/>
  <c r="BG151" i="1"/>
  <c r="BF157" i="1"/>
  <c r="AO158" i="1"/>
  <c r="BN170" i="1"/>
  <c r="BU133" i="1"/>
  <c r="BU137" i="1" s="1"/>
  <c r="BT137" i="1"/>
  <c r="BA151" i="1"/>
  <c r="AZ157" i="1"/>
  <c r="BH203" i="1"/>
  <c r="BH262" i="1"/>
  <c r="T184" i="1"/>
  <c r="T63" i="1"/>
  <c r="E215" i="1"/>
  <c r="BV203" i="1"/>
  <c r="BV262" i="1"/>
  <c r="AP240" i="1"/>
  <c r="AP19" i="1"/>
  <c r="AP234" i="1" s="1"/>
  <c r="AS107" i="1"/>
  <c r="AS108" i="1" s="1"/>
  <c r="J137" i="1"/>
  <c r="L165" i="1"/>
  <c r="M206" i="1" s="1"/>
  <c r="AV240" i="1"/>
  <c r="AY107" i="1"/>
  <c r="AY108" i="1" s="1"/>
  <c r="T42" i="1"/>
  <c r="T147" i="1"/>
  <c r="T253" i="1" s="1"/>
  <c r="AP261" i="1"/>
  <c r="D74" i="1"/>
  <c r="P165" i="1"/>
  <c r="BT261" i="1"/>
  <c r="D157" i="1"/>
  <c r="BH35" i="1"/>
  <c r="BP25" i="1"/>
  <c r="BP20" i="1"/>
  <c r="BD19" i="1"/>
  <c r="R182" i="1"/>
  <c r="R184" i="1"/>
  <c r="N218" i="1"/>
  <c r="M257" i="1"/>
  <c r="L129" i="1"/>
  <c r="AY240" i="1"/>
  <c r="AY19" i="1"/>
  <c r="BB107" i="1"/>
  <c r="BB108" i="1" s="1"/>
  <c r="AU261" i="1"/>
  <c r="BW261" i="1"/>
  <c r="U137" i="1"/>
  <c r="W137" i="1"/>
  <c r="J157" i="1"/>
  <c r="J205" i="1" s="1"/>
  <c r="M137" i="1"/>
  <c r="AP188" i="1"/>
  <c r="AQ188" i="1" s="1"/>
  <c r="BK19" i="1"/>
  <c r="BM107" i="1"/>
  <c r="BM108" i="1" s="1"/>
  <c r="BK240" i="1"/>
  <c r="F137" i="1"/>
  <c r="BC151" i="1"/>
  <c r="BB157" i="1"/>
  <c r="AX129" i="1"/>
  <c r="AY126" i="1"/>
  <c r="AQ133" i="1"/>
  <c r="AQ137" i="1" s="1"/>
  <c r="AP137" i="1"/>
  <c r="BC158" i="1"/>
  <c r="BB165" i="1"/>
  <c r="BB194" i="1" s="1"/>
  <c r="BC149" i="1"/>
  <c r="BD211" i="1" s="1"/>
  <c r="BC211" i="1"/>
  <c r="AU149" i="1"/>
  <c r="AV211" i="1" s="1"/>
  <c r="AU211" i="1"/>
  <c r="AR170" i="1"/>
  <c r="BQ158" i="1"/>
  <c r="BP165" i="1"/>
  <c r="BP194" i="1" s="1"/>
  <c r="BE149" i="1"/>
  <c r="BF211" i="1" s="1"/>
  <c r="BE126" i="1"/>
  <c r="BD129" i="1"/>
  <c r="AQ126" i="1"/>
  <c r="AP129" i="1"/>
  <c r="AP101" i="1" s="1"/>
  <c r="C74" i="1"/>
  <c r="C116" i="1" s="1"/>
  <c r="BI133" i="1"/>
  <c r="BI137" i="1" s="1"/>
  <c r="BH137" i="1"/>
  <c r="AW158" i="1"/>
  <c r="AV165" i="1"/>
  <c r="AV194" i="1" s="1"/>
  <c r="AP143" i="1"/>
  <c r="AU151" i="1"/>
  <c r="AT157" i="1"/>
  <c r="AT189" i="1"/>
  <c r="AU189" i="1" s="1"/>
  <c r="BG133" i="1"/>
  <c r="BG137" i="1" s="1"/>
  <c r="BF137" i="1"/>
  <c r="BQ133" i="1"/>
  <c r="BQ137" i="1" s="1"/>
  <c r="BP137" i="1"/>
  <c r="AO149" i="1"/>
  <c r="AN211" i="1"/>
  <c r="BS158" i="1"/>
  <c r="BR165" i="1"/>
  <c r="BR194" i="1" s="1"/>
  <c r="BR193" i="1" s="1"/>
  <c r="BA149" i="1"/>
  <c r="BB211" i="1" s="1"/>
  <c r="BU158" i="1"/>
  <c r="BT165" i="1"/>
  <c r="BT194" i="1" s="1"/>
  <c r="AY133" i="1"/>
  <c r="AY137" i="1" s="1"/>
  <c r="AX137" i="1"/>
  <c r="BE151" i="1"/>
  <c r="BD157" i="1"/>
  <c r="BA126" i="1"/>
  <c r="AZ129" i="1"/>
  <c r="BL113" i="1"/>
  <c r="BL111" i="1"/>
  <c r="BL112" i="1"/>
  <c r="F257" i="1"/>
  <c r="G218" i="1"/>
  <c r="I191" i="1"/>
  <c r="J147" i="1"/>
  <c r="J42" i="1"/>
  <c r="M63" i="1"/>
  <c r="U147" i="1"/>
  <c r="U42" i="1"/>
  <c r="BW112" i="1"/>
  <c r="BW113" i="1"/>
  <c r="BW111" i="1"/>
  <c r="G157" i="1"/>
  <c r="BW133" i="1"/>
  <c r="BW137" i="1" s="1"/>
  <c r="BV137" i="1"/>
  <c r="O182" i="1"/>
  <c r="D143" i="1"/>
  <c r="D182" i="1"/>
  <c r="B170" i="1"/>
  <c r="BQ126" i="1"/>
  <c r="BP129" i="1"/>
  <c r="BP101" i="1" s="1"/>
  <c r="L143" i="1"/>
  <c r="L157" i="1"/>
  <c r="G170" i="1"/>
  <c r="BW19" i="1"/>
  <c r="AN261" i="1"/>
  <c r="B157" i="1"/>
  <c r="Q211" i="1"/>
  <c r="BS133" i="1"/>
  <c r="BS137" i="1" s="1"/>
  <c r="BR137" i="1"/>
  <c r="AS126" i="1"/>
  <c r="AR129" i="1"/>
  <c r="AR101" i="1" s="1"/>
  <c r="AR103" i="1" s="1"/>
  <c r="R143" i="1"/>
  <c r="BQ151" i="1"/>
  <c r="BP157" i="1"/>
  <c r="AQ151" i="1"/>
  <c r="AP157" i="1"/>
  <c r="AU158" i="1"/>
  <c r="AT165" i="1"/>
  <c r="AT194" i="1" s="1"/>
  <c r="AY149" i="1"/>
  <c r="AZ211" i="1" s="1"/>
  <c r="BG158" i="1"/>
  <c r="BF165" i="1"/>
  <c r="BF194" i="1" s="1"/>
  <c r="AO126" i="1"/>
  <c r="BP170" i="1"/>
  <c r="AS158" i="1"/>
  <c r="AT240" i="1"/>
  <c r="AW107" i="1"/>
  <c r="AW108" i="1" s="1"/>
  <c r="AV107" i="1"/>
  <c r="AV108" i="1" s="1"/>
  <c r="AU126" i="1"/>
  <c r="AQ158" i="1"/>
  <c r="AP165" i="1"/>
  <c r="AP194" i="1" s="1"/>
  <c r="AO151" i="1"/>
  <c r="AR189" i="1"/>
  <c r="AS189" i="1" s="1"/>
  <c r="BU151" i="1"/>
  <c r="BT157" i="1"/>
  <c r="BB170" i="1"/>
  <c r="AV170" i="1"/>
  <c r="BS151" i="1"/>
  <c r="BR157" i="1"/>
  <c r="U211" i="1"/>
  <c r="AT188" i="1"/>
  <c r="AU188" i="1" s="1"/>
  <c r="AP189" i="1"/>
  <c r="AQ189" i="1" s="1"/>
  <c r="BT143" i="1"/>
  <c r="BG126" i="1"/>
  <c r="BF129" i="1"/>
  <c r="AP203" i="1"/>
  <c r="AP262" i="1"/>
  <c r="G143" i="1"/>
  <c r="BS35" i="1"/>
  <c r="V137" i="1"/>
  <c r="AZ261" i="1"/>
  <c r="Q137" i="1"/>
  <c r="AI203" i="1"/>
  <c r="AI42" i="1"/>
  <c r="AI212" i="1"/>
  <c r="AI210" i="1" s="1"/>
  <c r="T137" i="1"/>
  <c r="AQ107" i="1"/>
  <c r="AQ108" i="1" s="1"/>
  <c r="BQ149" i="1"/>
  <c r="BR211" i="1" s="1"/>
  <c r="BQ211" i="1"/>
  <c r="BI151" i="1"/>
  <c r="BH157" i="1"/>
  <c r="AO261" i="1"/>
  <c r="B74" i="1"/>
  <c r="M211" i="1"/>
  <c r="AT107" i="1"/>
  <c r="AT108" i="1" s="1"/>
  <c r="BU261" i="1"/>
  <c r="BI149" i="1"/>
  <c r="BJ211" i="1" s="1"/>
  <c r="BI211" i="1"/>
  <c r="AY203" i="1"/>
  <c r="AY262" i="1"/>
  <c r="BS240" i="1"/>
  <c r="BV107" i="1"/>
  <c r="BV108" i="1" s="1"/>
  <c r="D170" i="1"/>
  <c r="BE261" i="1"/>
  <c r="BH189" i="1"/>
  <c r="BI189" i="1" s="1"/>
  <c r="V170" i="1"/>
  <c r="W218" i="1" s="1"/>
  <c r="E182" i="1"/>
  <c r="P157" i="1"/>
  <c r="AY158" i="1"/>
  <c r="AX165" i="1"/>
  <c r="AX194" i="1" s="1"/>
  <c r="N165" i="1"/>
  <c r="AP170" i="1"/>
  <c r="BB137" i="1"/>
  <c r="BC133" i="1"/>
  <c r="BC137" i="1" s="1"/>
  <c r="U157" i="1"/>
  <c r="BS126" i="1"/>
  <c r="BR129" i="1"/>
  <c r="BR101" i="1" s="1"/>
  <c r="AT192" i="1"/>
  <c r="AU192" i="1" s="1"/>
  <c r="BB143" i="1"/>
  <c r="AY151" i="1"/>
  <c r="AX157" i="1"/>
  <c r="S137" i="1"/>
  <c r="S46" i="1" s="1"/>
  <c r="AT170" i="1"/>
  <c r="BD143" i="1"/>
  <c r="AW133" i="1"/>
  <c r="AW137" i="1" s="1"/>
  <c r="AV137" i="1"/>
  <c r="BB129" i="1"/>
  <c r="BB101" i="1" s="1"/>
  <c r="BC126" i="1"/>
  <c r="BU126" i="1"/>
  <c r="BT129" i="1"/>
  <c r="BA158" i="1"/>
  <c r="AZ165" i="1"/>
  <c r="AZ194" i="1" s="1"/>
  <c r="BA133" i="1"/>
  <c r="BA137" i="1" s="1"/>
  <c r="AZ137" i="1"/>
  <c r="BI218" i="1"/>
  <c r="AS25" i="1"/>
  <c r="AW147" i="1"/>
  <c r="AX42" i="1"/>
  <c r="AE151" i="1"/>
  <c r="AC133" i="1"/>
  <c r="U257" i="1" l="1"/>
  <c r="K42" i="1"/>
  <c r="K147" i="1"/>
  <c r="BW42" i="1"/>
  <c r="J63" i="1"/>
  <c r="M184" i="1"/>
  <c r="AR165" i="1"/>
  <c r="AR194" i="1" s="1"/>
  <c r="AT129" i="1"/>
  <c r="AT101" i="1" s="1"/>
  <c r="E138" i="1"/>
  <c r="E64" i="1" s="1"/>
  <c r="E177" i="1"/>
  <c r="E118" i="1" s="1"/>
  <c r="E46" i="1"/>
  <c r="BS25" i="1"/>
  <c r="BS36" i="1"/>
  <c r="U218" i="1"/>
  <c r="T257" i="1"/>
  <c r="E184" i="1"/>
  <c r="T218" i="1"/>
  <c r="AQ20" i="1"/>
  <c r="AQ25" i="1"/>
  <c r="U194" i="1"/>
  <c r="U193" i="1" s="1"/>
  <c r="BP36" i="1"/>
  <c r="BM36" i="1"/>
  <c r="BR36" i="1"/>
  <c r="L258" i="1"/>
  <c r="L260" i="1" s="1"/>
  <c r="C138" i="1"/>
  <c r="C64" i="1" s="1"/>
  <c r="O257" i="1"/>
  <c r="D216" i="1"/>
  <c r="Q194" i="1"/>
  <c r="Q166" i="1"/>
  <c r="BV147" i="1"/>
  <c r="BW143" i="1"/>
  <c r="F63" i="1"/>
  <c r="F216" i="1"/>
  <c r="BN165" i="1"/>
  <c r="BN194" i="1" s="1"/>
  <c r="S218" i="1"/>
  <c r="R257" i="1"/>
  <c r="BO149" i="1"/>
  <c r="BN211" i="1"/>
  <c r="BN129" i="1"/>
  <c r="BN101" i="1" s="1"/>
  <c r="AN165" i="1"/>
  <c r="AN194" i="1" s="1"/>
  <c r="AN193" i="1" s="1"/>
  <c r="AZ36" i="1"/>
  <c r="BF193" i="1"/>
  <c r="AN129" i="1"/>
  <c r="AN101" i="1" s="1"/>
  <c r="AN104" i="1" s="1"/>
  <c r="AN170" i="1"/>
  <c r="AX193" i="1"/>
  <c r="BO133" i="1"/>
  <c r="BO137" i="1" s="1"/>
  <c r="BN193" i="1"/>
  <c r="BN143" i="1"/>
  <c r="BN137" i="1"/>
  <c r="BO151" i="1"/>
  <c r="BN157" i="1"/>
  <c r="AT255" i="1"/>
  <c r="AZ193" i="1"/>
  <c r="AQ234" i="1"/>
  <c r="O67" i="1"/>
  <c r="S166" i="1"/>
  <c r="S174" i="1" s="1"/>
  <c r="AU197" i="1"/>
  <c r="P205" i="1"/>
  <c r="O191" i="1"/>
  <c r="S216" i="1"/>
  <c r="S184" i="1"/>
  <c r="S63" i="1"/>
  <c r="T216" i="1"/>
  <c r="S138" i="1"/>
  <c r="BG197" i="1"/>
  <c r="BG25" i="1"/>
  <c r="BJ234" i="1"/>
  <c r="T67" i="1"/>
  <c r="BJ253" i="1"/>
  <c r="BH21" i="1"/>
  <c r="AL253" i="1"/>
  <c r="AJ21" i="1"/>
  <c r="AM20" i="1"/>
  <c r="N67" i="1"/>
  <c r="AL234" i="1"/>
  <c r="F194" i="1"/>
  <c r="F193" i="1" s="1"/>
  <c r="G206" i="1"/>
  <c r="BF112" i="1"/>
  <c r="BF113" i="1"/>
  <c r="BF111" i="1"/>
  <c r="V184" i="1"/>
  <c r="V63" i="1"/>
  <c r="BA25" i="1"/>
  <c r="BA21" i="1"/>
  <c r="N177" i="1"/>
  <c r="N118" i="1" s="1"/>
  <c r="N46" i="1"/>
  <c r="BH25" i="1"/>
  <c r="BL20" i="1"/>
  <c r="BI21" i="1"/>
  <c r="T191" i="1"/>
  <c r="T166" i="1"/>
  <c r="V206" i="1"/>
  <c r="AW20" i="1"/>
  <c r="AV234" i="1"/>
  <c r="AT21" i="1"/>
  <c r="R46" i="1"/>
  <c r="R138" i="1"/>
  <c r="R64" i="1" s="1"/>
  <c r="R177" i="1"/>
  <c r="R118" i="1" s="1"/>
  <c r="BP21" i="1"/>
  <c r="BO36" i="1"/>
  <c r="BS20" i="1"/>
  <c r="BO25" i="1"/>
  <c r="BC25" i="1"/>
  <c r="AO36" i="1"/>
  <c r="M191" i="1"/>
  <c r="M166" i="1"/>
  <c r="BI25" i="1"/>
  <c r="BM20" i="1"/>
  <c r="BJ197" i="1"/>
  <c r="BJ21" i="1"/>
  <c r="BB36" i="1"/>
  <c r="AT25" i="1"/>
  <c r="AX20" i="1"/>
  <c r="AU21" i="1"/>
  <c r="AW234" i="1"/>
  <c r="BQ20" i="1"/>
  <c r="BM25" i="1"/>
  <c r="BO234" i="1"/>
  <c r="BM21" i="1"/>
  <c r="BM197" i="1"/>
  <c r="BN21" i="1"/>
  <c r="BP234" i="1"/>
  <c r="H215" i="1"/>
  <c r="H177" i="1"/>
  <c r="H118" i="1" s="1"/>
  <c r="H138" i="1"/>
  <c r="H64" i="1" s="1"/>
  <c r="H46" i="1"/>
  <c r="H258" i="1"/>
  <c r="H260" i="1" s="1"/>
  <c r="S257" i="1"/>
  <c r="B184" i="1"/>
  <c r="B63" i="1"/>
  <c r="BR197" i="1"/>
  <c r="BS21" i="1"/>
  <c r="BS197" i="1"/>
  <c r="BR25" i="1"/>
  <c r="H191" i="1"/>
  <c r="H166" i="1"/>
  <c r="I205" i="1"/>
  <c r="R194" i="1"/>
  <c r="S206" i="1"/>
  <c r="R166" i="1"/>
  <c r="L257" i="1"/>
  <c r="L177" i="1"/>
  <c r="L118" i="1" s="1"/>
  <c r="M218" i="1"/>
  <c r="BN36" i="1"/>
  <c r="AO234" i="1"/>
  <c r="AN25" i="1"/>
  <c r="AR20" i="1"/>
  <c r="AN21" i="1"/>
  <c r="AN36" i="1"/>
  <c r="AN20" i="1"/>
  <c r="AN234" i="1"/>
  <c r="AO21" i="1"/>
  <c r="AN197" i="1"/>
  <c r="T206" i="1"/>
  <c r="T194" i="1"/>
  <c r="T193" i="1" s="1"/>
  <c r="O63" i="1"/>
  <c r="AQ36" i="1"/>
  <c r="R216" i="1"/>
  <c r="Q257" i="1"/>
  <c r="Q63" i="1"/>
  <c r="Q216" i="1"/>
  <c r="Q138" i="1"/>
  <c r="Q64" i="1" s="1"/>
  <c r="Q184" i="1"/>
  <c r="BC36" i="1"/>
  <c r="V191" i="1"/>
  <c r="V166" i="1"/>
  <c r="V205" i="1"/>
  <c r="V207" i="1" s="1"/>
  <c r="V208" i="1" s="1"/>
  <c r="U206" i="1"/>
  <c r="B46" i="1"/>
  <c r="P63" i="1"/>
  <c r="P257" i="1"/>
  <c r="P184" i="1"/>
  <c r="P216" i="1"/>
  <c r="O258" i="1"/>
  <c r="O260" i="1" s="1"/>
  <c r="O138" i="1"/>
  <c r="O64" i="1" s="1"/>
  <c r="O46" i="1"/>
  <c r="O215" i="1"/>
  <c r="BJ20" i="1"/>
  <c r="BF25" i="1"/>
  <c r="BF36" i="1"/>
  <c r="AR36" i="1"/>
  <c r="AT36" i="1"/>
  <c r="N191" i="1"/>
  <c r="AV36" i="1"/>
  <c r="BP255" i="1"/>
  <c r="AN157" i="1"/>
  <c r="BW20" i="1"/>
  <c r="G194" i="1"/>
  <c r="H206" i="1"/>
  <c r="BI188" i="1"/>
  <c r="AX112" i="1"/>
  <c r="AX111" i="1"/>
  <c r="AX113" i="1"/>
  <c r="BQ111" i="1"/>
  <c r="BQ113" i="1"/>
  <c r="BQ112" i="1"/>
  <c r="AU112" i="1"/>
  <c r="AU113" i="1"/>
  <c r="AU111" i="1"/>
  <c r="J206" i="1"/>
  <c r="J194" i="1"/>
  <c r="V42" i="1"/>
  <c r="V147" i="1"/>
  <c r="E42" i="1"/>
  <c r="E147" i="1"/>
  <c r="BU234" i="1"/>
  <c r="BV20" i="1"/>
  <c r="BV25" i="1"/>
  <c r="BZ20" i="1"/>
  <c r="BV197" i="1"/>
  <c r="BZ197" i="1"/>
  <c r="BY234" i="1"/>
  <c r="BW197" i="1"/>
  <c r="CA197" i="1"/>
  <c r="BW21" i="1"/>
  <c r="M147" i="1"/>
  <c r="M42" i="1"/>
  <c r="BB193" i="1"/>
  <c r="I42" i="1"/>
  <c r="I147" i="1"/>
  <c r="BJ111" i="1"/>
  <c r="BJ112" i="1"/>
  <c r="BJ113" i="1"/>
  <c r="BT193" i="1"/>
  <c r="B147" i="1"/>
  <c r="B42" i="1"/>
  <c r="P138" i="1"/>
  <c r="P64" i="1" s="1"/>
  <c r="O147" i="1"/>
  <c r="O42" i="1"/>
  <c r="BS111" i="1"/>
  <c r="BS112" i="1"/>
  <c r="BS113" i="1"/>
  <c r="P258" i="1"/>
  <c r="P260" i="1" s="1"/>
  <c r="P215" i="1"/>
  <c r="BP113" i="1"/>
  <c r="BP111" i="1"/>
  <c r="BP112" i="1"/>
  <c r="AN111" i="1"/>
  <c r="AN112" i="1"/>
  <c r="AN113" i="1"/>
  <c r="BK113" i="1"/>
  <c r="BK112" i="1"/>
  <c r="BK111" i="1"/>
  <c r="K206" i="1"/>
  <c r="F206" i="1"/>
  <c r="Q193" i="1"/>
  <c r="AN105" i="1"/>
  <c r="AZ42" i="1"/>
  <c r="AY147" i="1"/>
  <c r="BR42" i="1"/>
  <c r="BQ147" i="1"/>
  <c r="AV253" i="1"/>
  <c r="AV255" i="1"/>
  <c r="AR104" i="1"/>
  <c r="AV42" i="1"/>
  <c r="AU147" i="1"/>
  <c r="AV105" i="1"/>
  <c r="BP253" i="1"/>
  <c r="AP193" i="1"/>
  <c r="K191" i="1"/>
  <c r="K166" i="1"/>
  <c r="W42" i="1"/>
  <c r="W147" i="1"/>
  <c r="X212" i="1" s="1"/>
  <c r="X210" i="1" s="1"/>
  <c r="N216" i="1"/>
  <c r="N63" i="1"/>
  <c r="F205" i="1"/>
  <c r="F207" i="1" s="1"/>
  <c r="F208" i="1" s="1"/>
  <c r="E191" i="1"/>
  <c r="O216" i="1"/>
  <c r="O184" i="1"/>
  <c r="R206" i="1"/>
  <c r="R207" i="1" s="1"/>
  <c r="R208" i="1" s="1"/>
  <c r="O205" i="1"/>
  <c r="Q195" i="1"/>
  <c r="E166" i="1"/>
  <c r="O166" i="1"/>
  <c r="AS234" i="1"/>
  <c r="J258" i="1"/>
  <c r="J260" i="1" s="1"/>
  <c r="M216" i="1"/>
  <c r="BW215" i="1"/>
  <c r="BW36" i="1"/>
  <c r="E214" i="1"/>
  <c r="BD36" i="1"/>
  <c r="AP36" i="1"/>
  <c r="AI25" i="1"/>
  <c r="AI193" i="1"/>
  <c r="BE113" i="1"/>
  <c r="BE112" i="1"/>
  <c r="BE111" i="1"/>
  <c r="C63" i="1"/>
  <c r="C216" i="1"/>
  <c r="C184" i="1"/>
  <c r="AX197" i="1"/>
  <c r="AY21" i="1"/>
  <c r="AX25" i="1"/>
  <c r="AX36" i="1"/>
  <c r="BB20" i="1"/>
  <c r="G184" i="1"/>
  <c r="G216" i="1"/>
  <c r="G63" i="1"/>
  <c r="G257" i="1"/>
  <c r="BH177" i="1"/>
  <c r="BH257" i="1"/>
  <c r="AW25" i="1"/>
  <c r="AX21" i="1"/>
  <c r="AW197" i="1"/>
  <c r="BA20" i="1"/>
  <c r="AZ234" i="1"/>
  <c r="BJ38" i="1"/>
  <c r="BJ43" i="1"/>
  <c r="BJ47" i="1" s="1"/>
  <c r="BJ241" i="1"/>
  <c r="BJ242" i="1" s="1"/>
  <c r="F42" i="1"/>
  <c r="F147" i="1"/>
  <c r="H253" i="1"/>
  <c r="I218" i="1"/>
  <c r="H257" i="1"/>
  <c r="H255" i="1"/>
  <c r="AR25" i="1"/>
  <c r="AV20" i="1"/>
  <c r="AU234" i="1"/>
  <c r="AR197" i="1"/>
  <c r="AS21" i="1"/>
  <c r="BU36" i="1"/>
  <c r="V138" i="1"/>
  <c r="V64" i="1" s="1"/>
  <c r="V216" i="1"/>
  <c r="V257" i="1"/>
  <c r="BG36" i="1"/>
  <c r="BT20" i="1"/>
  <c r="BT197" i="1"/>
  <c r="BT25" i="1"/>
  <c r="BT21" i="1"/>
  <c r="W67" i="1"/>
  <c r="BV234" i="1"/>
  <c r="BT36" i="1"/>
  <c r="BX20" i="1"/>
  <c r="BW234" i="1"/>
  <c r="BX197" i="1"/>
  <c r="BU21" i="1"/>
  <c r="Q147" i="1"/>
  <c r="Q42" i="1"/>
  <c r="C191" i="1"/>
  <c r="D205" i="1"/>
  <c r="C166" i="1"/>
  <c r="BX111" i="1"/>
  <c r="BX112" i="1"/>
  <c r="BX113" i="1"/>
  <c r="BI112" i="1"/>
  <c r="BI113" i="1"/>
  <c r="BI111" i="1"/>
  <c r="AW36" i="1"/>
  <c r="BV193" i="1"/>
  <c r="BI36" i="1"/>
  <c r="BC234" i="1"/>
  <c r="BA197" i="1"/>
  <c r="R67" i="1"/>
  <c r="BE20" i="1"/>
  <c r="BD234" i="1"/>
  <c r="BB21" i="1"/>
  <c r="N215" i="1"/>
  <c r="N214" i="1" s="1"/>
  <c r="N258" i="1"/>
  <c r="N260" i="1" s="1"/>
  <c r="BH36" i="1"/>
  <c r="BH20" i="1"/>
  <c r="BL197" i="1"/>
  <c r="BH197" i="1"/>
  <c r="U205" i="1"/>
  <c r="BP193" i="1"/>
  <c r="J215" i="1"/>
  <c r="I257" i="1"/>
  <c r="I63" i="1"/>
  <c r="J216" i="1"/>
  <c r="I216" i="1"/>
  <c r="I184" i="1"/>
  <c r="K218" i="1"/>
  <c r="J257" i="1"/>
  <c r="BH101" i="1"/>
  <c r="BH138" i="1"/>
  <c r="AS197" i="1"/>
  <c r="S215" i="1"/>
  <c r="S258" i="1"/>
  <c r="S260" i="1" s="1"/>
  <c r="R258" i="1"/>
  <c r="R260" i="1" s="1"/>
  <c r="R215" i="1"/>
  <c r="BR234" i="1"/>
  <c r="V67" i="1"/>
  <c r="BO197" i="1"/>
  <c r="BP197" i="1"/>
  <c r="BC20" i="1"/>
  <c r="S67" i="1"/>
  <c r="BF234" i="1"/>
  <c r="BD21" i="1"/>
  <c r="BG20" i="1"/>
  <c r="BC197" i="1"/>
  <c r="BI197" i="1"/>
  <c r="J166" i="1"/>
  <c r="BO20" i="1"/>
  <c r="AT197" i="1"/>
  <c r="BN234" i="1"/>
  <c r="S177" i="1"/>
  <c r="S118" i="1" s="1"/>
  <c r="AR21" i="1"/>
  <c r="AT234" i="1"/>
  <c r="AQ197" i="1"/>
  <c r="AU20" i="1"/>
  <c r="P67" i="1"/>
  <c r="AI195" i="1"/>
  <c r="AI190" i="1"/>
  <c r="N206" i="1"/>
  <c r="N207" i="1" s="1"/>
  <c r="N208" i="1" s="1"/>
  <c r="M194" i="1"/>
  <c r="M193" i="1" s="1"/>
  <c r="AO25" i="1"/>
  <c r="AO20" i="1"/>
  <c r="AS20" i="1"/>
  <c r="AR234" i="1"/>
  <c r="AP21" i="1"/>
  <c r="AO197" i="1"/>
  <c r="BU20" i="1"/>
  <c r="BS234" i="1"/>
  <c r="BQ197" i="1"/>
  <c r="BQ25" i="1"/>
  <c r="BQ21" i="1"/>
  <c r="BT234" i="1"/>
  <c r="BR21" i="1"/>
  <c r="BR111" i="1"/>
  <c r="BR113" i="1"/>
  <c r="BR112" i="1"/>
  <c r="BE21" i="1"/>
  <c r="BG234" i="1"/>
  <c r="BI20" i="1"/>
  <c r="BF21" i="1"/>
  <c r="BE25" i="1"/>
  <c r="BH234" i="1"/>
  <c r="BE197" i="1"/>
  <c r="BV191" i="1"/>
  <c r="BV166" i="1"/>
  <c r="BV174" i="1" s="1"/>
  <c r="AU25" i="1"/>
  <c r="AX234" i="1"/>
  <c r="Q67" i="1"/>
  <c r="AV21" i="1"/>
  <c r="K138" i="1"/>
  <c r="K64" i="1" s="1"/>
  <c r="K46" i="1"/>
  <c r="K258" i="1"/>
  <c r="K260" i="1" s="1"/>
  <c r="K177" i="1"/>
  <c r="K118" i="1" s="1"/>
  <c r="K215" i="1"/>
  <c r="D218" i="1"/>
  <c r="C257" i="1"/>
  <c r="C177" i="1"/>
  <c r="C118" i="1" s="1"/>
  <c r="BQ234" i="1"/>
  <c r="BN20" i="1"/>
  <c r="BR20" i="1"/>
  <c r="BO21" i="1"/>
  <c r="BN197" i="1"/>
  <c r="BN25" i="1"/>
  <c r="F191" i="1"/>
  <c r="G205" i="1"/>
  <c r="F166" i="1"/>
  <c r="AV193" i="1"/>
  <c r="N42" i="1"/>
  <c r="N147" i="1"/>
  <c r="D166" i="1"/>
  <c r="D194" i="1"/>
  <c r="E206" i="1"/>
  <c r="BH147" i="1"/>
  <c r="BI143" i="1"/>
  <c r="BI42" i="1"/>
  <c r="BN112" i="1"/>
  <c r="BN113" i="1"/>
  <c r="BN111" i="1"/>
  <c r="BO111" i="1"/>
  <c r="BO112" i="1"/>
  <c r="BO113" i="1"/>
  <c r="K216" i="1"/>
  <c r="K257" i="1"/>
  <c r="L216" i="1"/>
  <c r="K184" i="1"/>
  <c r="K63" i="1"/>
  <c r="BU111" i="1"/>
  <c r="BU112" i="1"/>
  <c r="BU113" i="1"/>
  <c r="AS36" i="1"/>
  <c r="D206" i="1"/>
  <c r="C194" i="1"/>
  <c r="C193" i="1" s="1"/>
  <c r="C206" i="1"/>
  <c r="BZ111" i="1"/>
  <c r="BZ113" i="1"/>
  <c r="BZ112" i="1"/>
  <c r="AM202" i="1"/>
  <c r="AM204" i="1" s="1"/>
  <c r="AM75" i="1"/>
  <c r="AM78" i="1" s="1"/>
  <c r="AM61" i="1"/>
  <c r="AM128" i="1"/>
  <c r="AM129" i="1" s="1"/>
  <c r="AO112" i="1"/>
  <c r="AO111" i="1"/>
  <c r="AO113" i="1"/>
  <c r="AZ197" i="1"/>
  <c r="AZ20" i="1"/>
  <c r="AV197" i="1"/>
  <c r="AV25" i="1"/>
  <c r="AW21" i="1"/>
  <c r="H63" i="1"/>
  <c r="H184" i="1"/>
  <c r="H216" i="1"/>
  <c r="BW211" i="1"/>
  <c r="BQ36" i="1"/>
  <c r="U63" i="1"/>
  <c r="U184" i="1"/>
  <c r="U138" i="1"/>
  <c r="U64" i="1" s="1"/>
  <c r="U216" i="1"/>
  <c r="G46" i="1"/>
  <c r="G177" i="1"/>
  <c r="G118" i="1" s="1"/>
  <c r="G138" i="1"/>
  <c r="G64" i="1" s="1"/>
  <c r="L215" i="1"/>
  <c r="C205" i="1"/>
  <c r="C207" i="1" s="1"/>
  <c r="C208" i="1" s="1"/>
  <c r="AL113" i="1"/>
  <c r="AL111" i="1"/>
  <c r="AL112" i="1"/>
  <c r="BB25" i="1"/>
  <c r="BB197" i="1"/>
  <c r="BE234" i="1"/>
  <c r="BC21" i="1"/>
  <c r="BF20" i="1"/>
  <c r="BT112" i="1"/>
  <c r="BT111" i="1"/>
  <c r="BT113" i="1"/>
  <c r="AI36" i="1"/>
  <c r="BH112" i="1"/>
  <c r="BH113" i="1"/>
  <c r="BH111" i="1"/>
  <c r="BG111" i="1"/>
  <c r="BG113" i="1"/>
  <c r="BG112" i="1"/>
  <c r="BX253" i="1"/>
  <c r="BY20" i="1"/>
  <c r="BY197" i="1"/>
  <c r="BU25" i="1"/>
  <c r="BU197" i="1"/>
  <c r="BV21" i="1"/>
  <c r="BX234" i="1"/>
  <c r="C215" i="1"/>
  <c r="C258" i="1"/>
  <c r="C260" i="1" s="1"/>
  <c r="B138" i="1"/>
  <c r="B64" i="1" s="1"/>
  <c r="AU36" i="1"/>
  <c r="S255" i="1"/>
  <c r="I177" i="1"/>
  <c r="I118" i="1" s="1"/>
  <c r="I46" i="1"/>
  <c r="I258" i="1"/>
  <c r="I260" i="1" s="1"/>
  <c r="I215" i="1"/>
  <c r="I138" i="1"/>
  <c r="I64" i="1" s="1"/>
  <c r="BE36" i="1"/>
  <c r="BC113" i="1"/>
  <c r="BC112" i="1"/>
  <c r="BC111" i="1"/>
  <c r="BD112" i="1"/>
  <c r="BD113" i="1"/>
  <c r="BD111" i="1"/>
  <c r="BF197" i="1"/>
  <c r="BG21" i="1"/>
  <c r="BI234" i="1"/>
  <c r="N166" i="1"/>
  <c r="BD193" i="1"/>
  <c r="D214" i="1"/>
  <c r="BN105" i="1"/>
  <c r="BN104" i="1"/>
  <c r="BN103" i="1"/>
  <c r="BF255" i="1"/>
  <c r="BF253" i="1"/>
  <c r="BG147" i="1"/>
  <c r="BH42" i="1"/>
  <c r="AX255" i="1"/>
  <c r="AX253" i="1"/>
  <c r="AR193" i="1"/>
  <c r="AN103" i="1"/>
  <c r="AR105" i="1"/>
  <c r="AV104" i="1"/>
  <c r="BS42" i="1"/>
  <c r="BS143" i="1"/>
  <c r="BR147" i="1"/>
  <c r="BX215" i="1"/>
  <c r="AY211" i="1"/>
  <c r="BA211" i="1"/>
  <c r="BW258" i="1"/>
  <c r="BA143" i="1"/>
  <c r="BA42" i="1"/>
  <c r="AZ147" i="1"/>
  <c r="AZ253" i="1" s="1"/>
  <c r="AT253" i="1"/>
  <c r="AZ255" i="1"/>
  <c r="BH193" i="1"/>
  <c r="BX258" i="1"/>
  <c r="BH258" i="1"/>
  <c r="AS211" i="1"/>
  <c r="BB104" i="1"/>
  <c r="BB105" i="1"/>
  <c r="BB103" i="1"/>
  <c r="AU218" i="1"/>
  <c r="AT257" i="1"/>
  <c r="BC42" i="1"/>
  <c r="BB147" i="1"/>
  <c r="BC143" i="1"/>
  <c r="BR103" i="1"/>
  <c r="BR104" i="1"/>
  <c r="BR105" i="1"/>
  <c r="U191" i="1"/>
  <c r="U166" i="1"/>
  <c r="AQ218" i="1"/>
  <c r="AP257" i="1"/>
  <c r="B117" i="1"/>
  <c r="B75" i="1"/>
  <c r="BH191" i="1"/>
  <c r="BH166" i="1"/>
  <c r="AQ113" i="1"/>
  <c r="AQ111" i="1"/>
  <c r="AQ112" i="1"/>
  <c r="Q177" i="1"/>
  <c r="Q118" i="1" s="1"/>
  <c r="Q258" i="1"/>
  <c r="Q260" i="1" s="1"/>
  <c r="Q46" i="1"/>
  <c r="Q215" i="1"/>
  <c r="V177" i="1"/>
  <c r="V118" i="1" s="1"/>
  <c r="V46" i="1"/>
  <c r="V215" i="1"/>
  <c r="V258" i="1"/>
  <c r="V260" i="1" s="1"/>
  <c r="BC218" i="1"/>
  <c r="BB257" i="1"/>
  <c r="AT105" i="1"/>
  <c r="AT103" i="1"/>
  <c r="AT104" i="1"/>
  <c r="AW111" i="1"/>
  <c r="AW113" i="1"/>
  <c r="AW112" i="1"/>
  <c r="BQ218" i="1"/>
  <c r="BP257" i="1"/>
  <c r="BR138" i="1"/>
  <c r="BR258" i="1"/>
  <c r="BR215" i="1"/>
  <c r="BR177" i="1"/>
  <c r="B191" i="1"/>
  <c r="B166" i="1"/>
  <c r="H218" i="1"/>
  <c r="BV177" i="1"/>
  <c r="BV138" i="1"/>
  <c r="BV215" i="1"/>
  <c r="BV258" i="1"/>
  <c r="AY215" i="1"/>
  <c r="AY258" i="1"/>
  <c r="BQ258" i="1"/>
  <c r="BQ215" i="1"/>
  <c r="AT191" i="1"/>
  <c r="AT166" i="1"/>
  <c r="AT174" i="1" s="1"/>
  <c r="AP104" i="1"/>
  <c r="AP103" i="1"/>
  <c r="AP105" i="1"/>
  <c r="BE211" i="1"/>
  <c r="AS218" i="1"/>
  <c r="AR257" i="1"/>
  <c r="AQ215" i="1"/>
  <c r="AQ258" i="1"/>
  <c r="BM234" i="1"/>
  <c r="BL253" i="1"/>
  <c r="BL21" i="1"/>
  <c r="BK21" i="1"/>
  <c r="BK20" i="1"/>
  <c r="U67" i="1"/>
  <c r="BL234" i="1"/>
  <c r="BK234" i="1"/>
  <c r="BK25" i="1"/>
  <c r="BK197" i="1"/>
  <c r="W215" i="1"/>
  <c r="W46" i="1"/>
  <c r="X258" i="1"/>
  <c r="X260" i="1" s="1"/>
  <c r="W258" i="1"/>
  <c r="W260" i="1" s="1"/>
  <c r="X215" i="1"/>
  <c r="BB113" i="1"/>
  <c r="BB112" i="1"/>
  <c r="BB111" i="1"/>
  <c r="BD25" i="1"/>
  <c r="BD197" i="1"/>
  <c r="BP27" i="1"/>
  <c r="BP26" i="1"/>
  <c r="BP37" i="1"/>
  <c r="P194" i="1"/>
  <c r="P193" i="1" s="1"/>
  <c r="Q206" i="1"/>
  <c r="AP25" i="1"/>
  <c r="AP197" i="1"/>
  <c r="AQ21" i="1"/>
  <c r="AT20" i="1"/>
  <c r="AP20" i="1"/>
  <c r="BD215" i="1"/>
  <c r="BD177" i="1"/>
  <c r="BD138" i="1"/>
  <c r="BD258" i="1"/>
  <c r="AR258" i="1"/>
  <c r="AR177" i="1"/>
  <c r="AS46" i="1" s="1"/>
  <c r="AR138" i="1"/>
  <c r="AR215" i="1"/>
  <c r="AR147" i="1"/>
  <c r="AR253" i="1" s="1"/>
  <c r="AS143" i="1"/>
  <c r="AS42" i="1"/>
  <c r="BY112" i="1"/>
  <c r="BY113" i="1"/>
  <c r="BY111" i="1"/>
  <c r="BO211" i="1"/>
  <c r="BP211" i="1"/>
  <c r="O218" i="1"/>
  <c r="N257" i="1"/>
  <c r="AZ177" i="1"/>
  <c r="AZ258" i="1"/>
  <c r="AZ138" i="1"/>
  <c r="AZ215" i="1"/>
  <c r="BT101" i="1"/>
  <c r="BT257" i="1"/>
  <c r="AV258" i="1"/>
  <c r="AV138" i="1"/>
  <c r="AV177" i="1"/>
  <c r="AV215" i="1"/>
  <c r="N194" i="1"/>
  <c r="N193" i="1" s="1"/>
  <c r="O206" i="1"/>
  <c r="E218" i="1"/>
  <c r="D177" i="1"/>
  <c r="D118" i="1" s="1"/>
  <c r="AT113" i="1"/>
  <c r="AT111" i="1"/>
  <c r="AT112" i="1"/>
  <c r="T215" i="1"/>
  <c r="T138" i="1"/>
  <c r="T64" i="1" s="1"/>
  <c r="T46" i="1"/>
  <c r="T258" i="1"/>
  <c r="T260" i="1" s="1"/>
  <c r="T177" i="1"/>
  <c r="T118" i="1" s="1"/>
  <c r="BS37" i="1"/>
  <c r="BS26" i="1"/>
  <c r="BF101" i="1"/>
  <c r="BF257" i="1"/>
  <c r="BR191" i="1"/>
  <c r="BR166" i="1"/>
  <c r="BT191" i="1"/>
  <c r="BT166" i="1"/>
  <c r="AP191" i="1"/>
  <c r="AP166" i="1"/>
  <c r="R147" i="1"/>
  <c r="R42" i="1"/>
  <c r="BS258" i="1"/>
  <c r="BS215" i="1"/>
  <c r="L191" i="1"/>
  <c r="L205" i="1"/>
  <c r="M205" i="1"/>
  <c r="L166" i="1"/>
  <c r="C218" i="1"/>
  <c r="B177" i="1"/>
  <c r="B118" i="1" s="1"/>
  <c r="B257" i="1"/>
  <c r="K253" i="1"/>
  <c r="K255" i="1"/>
  <c r="K212" i="1"/>
  <c r="K210" i="1" s="1"/>
  <c r="M207" i="1"/>
  <c r="M208" i="1" s="1"/>
  <c r="BD191" i="1"/>
  <c r="BD166" i="1"/>
  <c r="BF177" i="1"/>
  <c r="BF258" i="1"/>
  <c r="BF138" i="1"/>
  <c r="BF215" i="1"/>
  <c r="F46" i="1"/>
  <c r="G258" i="1"/>
  <c r="G260" i="1" s="1"/>
  <c r="G215" i="1"/>
  <c r="F258" i="1"/>
  <c r="F260" i="1" s="1"/>
  <c r="F138" i="1"/>
  <c r="F64" i="1" s="1"/>
  <c r="F215" i="1"/>
  <c r="F214" i="1" s="1"/>
  <c r="F177" i="1"/>
  <c r="F118" i="1" s="1"/>
  <c r="U46" i="1"/>
  <c r="U215" i="1"/>
  <c r="U258" i="1"/>
  <c r="U260" i="1" s="1"/>
  <c r="U177" i="1"/>
  <c r="U118" i="1" s="1"/>
  <c r="BA234" i="1"/>
  <c r="BB234" i="1"/>
  <c r="AY25" i="1"/>
  <c r="AY197" i="1"/>
  <c r="AY234" i="1"/>
  <c r="AZ21" i="1"/>
  <c r="AY20" i="1"/>
  <c r="U212" i="1"/>
  <c r="U210" i="1" s="1"/>
  <c r="T255" i="1"/>
  <c r="L194" i="1"/>
  <c r="L193" i="1" s="1"/>
  <c r="L206" i="1"/>
  <c r="BK36" i="1"/>
  <c r="BT138" i="1"/>
  <c r="BT258" i="1"/>
  <c r="BT215" i="1"/>
  <c r="BT177" i="1"/>
  <c r="BE215" i="1"/>
  <c r="BE258" i="1"/>
  <c r="AS258" i="1"/>
  <c r="AS215" i="1"/>
  <c r="AT177" i="1"/>
  <c r="AT138" i="1"/>
  <c r="AT258" i="1"/>
  <c r="AT215" i="1"/>
  <c r="AZ111" i="1"/>
  <c r="AZ113" i="1"/>
  <c r="AZ112" i="1"/>
  <c r="AR191" i="1"/>
  <c r="AR166" i="1"/>
  <c r="S191" i="1"/>
  <c r="S205" i="1"/>
  <c r="S253" i="1"/>
  <c r="T205" i="1"/>
  <c r="O194" i="1"/>
  <c r="O193" i="1" s="1"/>
  <c r="P206" i="1"/>
  <c r="BV101" i="1"/>
  <c r="BV257" i="1"/>
  <c r="BD20" i="1"/>
  <c r="AZ25" i="1"/>
  <c r="AR113" i="1"/>
  <c r="AR111" i="1"/>
  <c r="AR112" i="1"/>
  <c r="BA215" i="1"/>
  <c r="BA258" i="1"/>
  <c r="AW258" i="1"/>
  <c r="AW215" i="1"/>
  <c r="AX191" i="1"/>
  <c r="AX166" i="1"/>
  <c r="AX174" i="1" s="1"/>
  <c r="BC215" i="1"/>
  <c r="BC258" i="1"/>
  <c r="BV112" i="1"/>
  <c r="BV113" i="1"/>
  <c r="BV111" i="1"/>
  <c r="G147" i="1"/>
  <c r="H212" i="1" s="1"/>
  <c r="H210" i="1" s="1"/>
  <c r="G42" i="1"/>
  <c r="L42" i="1"/>
  <c r="L147" i="1"/>
  <c r="L253" i="1" s="1"/>
  <c r="G191" i="1"/>
  <c r="G190" i="1" s="1"/>
  <c r="H205" i="1"/>
  <c r="G166" i="1"/>
  <c r="AP211" i="1"/>
  <c r="AO211" i="1"/>
  <c r="BH215" i="1"/>
  <c r="BG258" i="1"/>
  <c r="BG215" i="1"/>
  <c r="AP147" i="1"/>
  <c r="AQ42" i="1"/>
  <c r="AQ143" i="1"/>
  <c r="BJ215" i="1"/>
  <c r="BI258" i="1"/>
  <c r="BJ258" i="1"/>
  <c r="BI215" i="1"/>
  <c r="BD257" i="1"/>
  <c r="BD101" i="1"/>
  <c r="AX101" i="1"/>
  <c r="AX257" i="1"/>
  <c r="M46" i="1"/>
  <c r="M138" i="1"/>
  <c r="M64" i="1" s="1"/>
  <c r="M258" i="1"/>
  <c r="M260" i="1" s="1"/>
  <c r="M215" i="1"/>
  <c r="M177" i="1"/>
  <c r="M118" i="1" s="1"/>
  <c r="D191" i="1"/>
  <c r="D190" i="1" s="1"/>
  <c r="E205" i="1"/>
  <c r="D116" i="1"/>
  <c r="D75" i="1"/>
  <c r="D117" i="1"/>
  <c r="D120" i="1" s="1"/>
  <c r="D123" i="1" s="1"/>
  <c r="J138" i="1"/>
  <c r="J64" i="1" s="1"/>
  <c r="J46" i="1"/>
  <c r="J177" i="1"/>
  <c r="J118" i="1" s="1"/>
  <c r="BU258" i="1"/>
  <c r="BU215" i="1"/>
  <c r="BF191" i="1"/>
  <c r="BF166" i="1"/>
  <c r="BF174" i="1" s="1"/>
  <c r="BG211" i="1"/>
  <c r="AU215" i="1"/>
  <c r="AU258" i="1"/>
  <c r="AN258" i="1"/>
  <c r="AN215" i="1"/>
  <c r="P147" i="1"/>
  <c r="P253" i="1" s="1"/>
  <c r="P42" i="1"/>
  <c r="C147" i="1"/>
  <c r="C42" i="1"/>
  <c r="P46" i="1"/>
  <c r="P177" i="1"/>
  <c r="P118" i="1" s="1"/>
  <c r="V218" i="1"/>
  <c r="U253" i="1"/>
  <c r="U255" i="1"/>
  <c r="BX42" i="1"/>
  <c r="BW147" i="1"/>
  <c r="AP111" i="1"/>
  <c r="AP113" i="1"/>
  <c r="AP112" i="1"/>
  <c r="AY36" i="1"/>
  <c r="BE42" i="1"/>
  <c r="BE143" i="1"/>
  <c r="BD147" i="1"/>
  <c r="BB258" i="1"/>
  <c r="BB177" i="1"/>
  <c r="BB138" i="1"/>
  <c r="BB215" i="1"/>
  <c r="P191" i="1"/>
  <c r="Q205" i="1"/>
  <c r="P166" i="1"/>
  <c r="BT147" i="1"/>
  <c r="BU143" i="1"/>
  <c r="BU42" i="1"/>
  <c r="AW218" i="1"/>
  <c r="AV257" i="1"/>
  <c r="AV111" i="1"/>
  <c r="AV113" i="1"/>
  <c r="AV112" i="1"/>
  <c r="AT193" i="1"/>
  <c r="BP191" i="1"/>
  <c r="BP166" i="1"/>
  <c r="BP174" i="1" s="1"/>
  <c r="CB197" i="1"/>
  <c r="CA20" i="1"/>
  <c r="X67" i="1"/>
  <c r="BZ234" i="1"/>
  <c r="BW25" i="1"/>
  <c r="BX21" i="1"/>
  <c r="BZ253" i="1"/>
  <c r="BP103" i="1"/>
  <c r="BP105" i="1"/>
  <c r="BP104" i="1"/>
  <c r="D42" i="1"/>
  <c r="D147" i="1"/>
  <c r="I190" i="1"/>
  <c r="AZ101" i="1"/>
  <c r="AZ257" i="1"/>
  <c r="AX138" i="1"/>
  <c r="AX258" i="1"/>
  <c r="AX215" i="1"/>
  <c r="AX177" i="1"/>
  <c r="BP177" i="1"/>
  <c r="BP138" i="1"/>
  <c r="C117" i="1"/>
  <c r="C75" i="1"/>
  <c r="AP215" i="1"/>
  <c r="AP177" i="1"/>
  <c r="AP258" i="1"/>
  <c r="AP138" i="1"/>
  <c r="BB191" i="1"/>
  <c r="BB166" i="1"/>
  <c r="BM111" i="1"/>
  <c r="BM112" i="1"/>
  <c r="BM113" i="1"/>
  <c r="J191" i="1"/>
  <c r="J190" i="1" s="1"/>
  <c r="J253" i="1"/>
  <c r="K205" i="1"/>
  <c r="K207" i="1" s="1"/>
  <c r="K208" i="1" s="1"/>
  <c r="J255" i="1"/>
  <c r="L63" i="1"/>
  <c r="L138" i="1"/>
  <c r="L64" i="1" s="1"/>
  <c r="L184" i="1"/>
  <c r="D257" i="1"/>
  <c r="AY111" i="1"/>
  <c r="AY113" i="1"/>
  <c r="AY112" i="1"/>
  <c r="AS113" i="1"/>
  <c r="AS112" i="1"/>
  <c r="AS111" i="1"/>
  <c r="AZ191" i="1"/>
  <c r="AZ166" i="1"/>
  <c r="BO218" i="1"/>
  <c r="BN257" i="1"/>
  <c r="BS218" i="1"/>
  <c r="BR257" i="1"/>
  <c r="AO143" i="1"/>
  <c r="AO42" i="1"/>
  <c r="AN147" i="1"/>
  <c r="AO215" i="1"/>
  <c r="AO258" i="1"/>
  <c r="BA112" i="1"/>
  <c r="BA113" i="1"/>
  <c r="BA111" i="1"/>
  <c r="AV191" i="1"/>
  <c r="AV166" i="1"/>
  <c r="AV174" i="1" s="1"/>
  <c r="I194" i="1"/>
  <c r="I193" i="1" s="1"/>
  <c r="I166" i="1"/>
  <c r="I206" i="1"/>
  <c r="BV253" i="1"/>
  <c r="BV255" i="1"/>
  <c r="T212" i="1"/>
  <c r="T210" i="1" s="1"/>
  <c r="B116" i="1"/>
  <c r="B119" i="1" s="1"/>
  <c r="B122" i="1" s="1"/>
  <c r="J214" i="1"/>
  <c r="BJ42" i="1"/>
  <c r="F190" i="1"/>
  <c r="F195" i="1"/>
  <c r="BV195" i="1"/>
  <c r="BV190" i="1"/>
  <c r="AU27" i="1"/>
  <c r="AQ37" i="1"/>
  <c r="AR28" i="1"/>
  <c r="AQ27" i="1"/>
  <c r="AQ26" i="1"/>
  <c r="T190" i="1"/>
  <c r="BN37" i="1"/>
  <c r="BO28" i="1"/>
  <c r="BN27" i="1"/>
  <c r="BN26" i="1"/>
  <c r="BP28" i="1"/>
  <c r="BS27" i="1"/>
  <c r="BO37" i="1"/>
  <c r="BO26" i="1"/>
  <c r="T68" i="1"/>
  <c r="BG26" i="1"/>
  <c r="BG37" i="1"/>
  <c r="BH28" i="1"/>
  <c r="O190" i="1"/>
  <c r="BC27" i="1"/>
  <c r="BG27" i="1"/>
  <c r="BC37" i="1"/>
  <c r="BC26" i="1"/>
  <c r="BH26" i="1"/>
  <c r="BL27" i="1"/>
  <c r="BI28" i="1"/>
  <c r="BH37" i="1"/>
  <c r="D207" i="1"/>
  <c r="D208" i="1" s="1"/>
  <c r="BT37" i="1"/>
  <c r="BT26" i="1"/>
  <c r="BX27" i="1"/>
  <c r="BT28" i="1"/>
  <c r="BT27" i="1"/>
  <c r="AX26" i="1"/>
  <c r="BB27" i="1"/>
  <c r="AX37" i="1"/>
  <c r="BE27" i="1"/>
  <c r="BE26" i="1"/>
  <c r="BI27" i="1"/>
  <c r="BE37" i="1"/>
  <c r="AS27" i="1"/>
  <c r="AO27" i="1"/>
  <c r="AO37" i="1"/>
  <c r="AO26" i="1"/>
  <c r="BQ27" i="1"/>
  <c r="BN28" i="1"/>
  <c r="U68" i="1"/>
  <c r="BM37" i="1"/>
  <c r="BM28" i="1"/>
  <c r="BM26" i="1"/>
  <c r="AT26" i="1"/>
  <c r="AT37" i="1"/>
  <c r="AX27" i="1"/>
  <c r="AU28" i="1"/>
  <c r="AS37" i="1"/>
  <c r="AT28" i="1"/>
  <c r="AW27" i="1"/>
  <c r="AS26" i="1"/>
  <c r="BA37" i="1"/>
  <c r="BA26" i="1"/>
  <c r="BB28" i="1"/>
  <c r="C190" i="1"/>
  <c r="BA27" i="1"/>
  <c r="AX28" i="1"/>
  <c r="AW37" i="1"/>
  <c r="AW26" i="1"/>
  <c r="AI26" i="1"/>
  <c r="AM27" i="1"/>
  <c r="AI37" i="1"/>
  <c r="AJ28" i="1"/>
  <c r="N68" i="1"/>
  <c r="S64" i="1"/>
  <c r="S175" i="1"/>
  <c r="AX212" i="1"/>
  <c r="AX210" i="1" s="1"/>
  <c r="AW212" i="1"/>
  <c r="AW210" i="1" s="1"/>
  <c r="CR147" i="1"/>
  <c r="CS41" i="1"/>
  <c r="CS141" i="1" s="1"/>
  <c r="M214" i="1" l="1"/>
  <c r="AZ27" i="1"/>
  <c r="P174" i="1"/>
  <c r="BI147" i="1"/>
  <c r="AV37" i="1"/>
  <c r="AV26" i="1"/>
  <c r="AW28" i="1"/>
  <c r="BK27" i="1"/>
  <c r="BD28" i="1"/>
  <c r="BH27" i="1"/>
  <c r="BE28" i="1"/>
  <c r="H174" i="1"/>
  <c r="G207" i="1"/>
  <c r="G208" i="1" s="1"/>
  <c r="BH174" i="1"/>
  <c r="AR174" i="1"/>
  <c r="AO218" i="1"/>
  <c r="AN257" i="1"/>
  <c r="AN177" i="1"/>
  <c r="AN138" i="1"/>
  <c r="BP258" i="1"/>
  <c r="BP215" i="1"/>
  <c r="AY212" i="1"/>
  <c r="BQ212" i="1"/>
  <c r="BQ210" i="1" s="1"/>
  <c r="AV212" i="1"/>
  <c r="AV210" i="1" s="1"/>
  <c r="AU212" i="1"/>
  <c r="AU210" i="1" s="1"/>
  <c r="O214" i="1"/>
  <c r="T174" i="1"/>
  <c r="T175" i="1" s="1"/>
  <c r="U207" i="1"/>
  <c r="U208" i="1" s="1"/>
  <c r="S214" i="1"/>
  <c r="J207" i="1"/>
  <c r="J208" i="1" s="1"/>
  <c r="H175" i="1"/>
  <c r="AN166" i="1"/>
  <c r="AN191" i="1"/>
  <c r="BN191" i="1"/>
  <c r="BN166" i="1"/>
  <c r="BN177" i="1"/>
  <c r="BN215" i="1"/>
  <c r="BN138" i="1"/>
  <c r="BN258" i="1"/>
  <c r="O207" i="1"/>
  <c r="O208" i="1" s="1"/>
  <c r="T214" i="1"/>
  <c r="BR174" i="1"/>
  <c r="BR175" i="1" s="1"/>
  <c r="B120" i="1"/>
  <c r="B123" i="1" s="1"/>
  <c r="K174" i="1"/>
  <c r="G214" i="1"/>
  <c r="U214" i="1"/>
  <c r="S207" i="1"/>
  <c r="S208" i="1" s="1"/>
  <c r="P207" i="1"/>
  <c r="P208" i="1" s="1"/>
  <c r="Q214" i="1"/>
  <c r="V214" i="1"/>
  <c r="BO215" i="1"/>
  <c r="BO258" i="1"/>
  <c r="H207" i="1"/>
  <c r="H208" i="1" s="1"/>
  <c r="H222" i="1" s="1"/>
  <c r="E207" i="1"/>
  <c r="E208" i="1" s="1"/>
  <c r="BN147" i="1"/>
  <c r="BO143" i="1"/>
  <c r="BO42" i="1"/>
  <c r="U174" i="1"/>
  <c r="U175" i="1" s="1"/>
  <c r="O68" i="1"/>
  <c r="D174" i="1"/>
  <c r="L214" i="1"/>
  <c r="N174" i="1"/>
  <c r="N175" i="1" s="1"/>
  <c r="BF37" i="1"/>
  <c r="BJ27" i="1"/>
  <c r="BB37" i="1"/>
  <c r="BC28" i="1"/>
  <c r="AM63" i="1"/>
  <c r="V174" i="1"/>
  <c r="V175" i="1" s="1"/>
  <c r="BI37" i="1"/>
  <c r="BI26" i="1"/>
  <c r="M190" i="1"/>
  <c r="R214" i="1"/>
  <c r="N190" i="1"/>
  <c r="BR27" i="1"/>
  <c r="V195" i="1"/>
  <c r="BV26" i="1"/>
  <c r="BZ27" i="1"/>
  <c r="BV27" i="1"/>
  <c r="E212" i="1"/>
  <c r="E210" i="1" s="1"/>
  <c r="V253" i="1"/>
  <c r="J193" i="1"/>
  <c r="G193" i="1"/>
  <c r="P214" i="1"/>
  <c r="I212" i="1"/>
  <c r="I210" i="1" s="1"/>
  <c r="I255" i="1"/>
  <c r="AR27" i="1"/>
  <c r="AN37" i="1"/>
  <c r="T207" i="1"/>
  <c r="T208" i="1" s="1"/>
  <c r="P175" i="1"/>
  <c r="R68" i="1"/>
  <c r="BG28" i="1"/>
  <c r="BB26" i="1"/>
  <c r="AM101" i="1"/>
  <c r="O174" i="1"/>
  <c r="O175" i="1" s="1"/>
  <c r="H214" i="1"/>
  <c r="BM27" i="1"/>
  <c r="T195" i="1"/>
  <c r="M253" i="1"/>
  <c r="BV37" i="1"/>
  <c r="R195" i="1"/>
  <c r="BR37" i="1"/>
  <c r="BS28" i="1"/>
  <c r="E255" i="1"/>
  <c r="V212" i="1"/>
  <c r="V210" i="1" s="1"/>
  <c r="B174" i="1"/>
  <c r="J212" i="1"/>
  <c r="J210" i="1" s="1"/>
  <c r="AN28" i="1"/>
  <c r="BF28" i="1"/>
  <c r="AZ174" i="1"/>
  <c r="I207" i="1"/>
  <c r="I208" i="1" s="1"/>
  <c r="BF26" i="1"/>
  <c r="BF27" i="1"/>
  <c r="AM138" i="1"/>
  <c r="AM64" i="1" s="1"/>
  <c r="AM216" i="1"/>
  <c r="AM214" i="1" s="1"/>
  <c r="P68" i="1"/>
  <c r="H190" i="1"/>
  <c r="H195" i="1"/>
  <c r="BJ28" i="1"/>
  <c r="V190" i="1"/>
  <c r="M255" i="1"/>
  <c r="R193" i="1"/>
  <c r="BR26" i="1"/>
  <c r="E253" i="1"/>
  <c r="W212" i="1"/>
  <c r="W210" i="1" s="1"/>
  <c r="V255" i="1"/>
  <c r="I253" i="1"/>
  <c r="AN27" i="1"/>
  <c r="AN26" i="1"/>
  <c r="M174" i="1"/>
  <c r="M175" i="1" s="1"/>
  <c r="BF175" i="1"/>
  <c r="AZ175" i="1"/>
  <c r="AV175" i="1"/>
  <c r="M195" i="1"/>
  <c r="O255" i="1"/>
  <c r="P212" i="1"/>
  <c r="P210" i="1" s="1"/>
  <c r="O253" i="1"/>
  <c r="BH255" i="1"/>
  <c r="BH253" i="1"/>
  <c r="N255" i="1"/>
  <c r="N253" i="1"/>
  <c r="O212" i="1"/>
  <c r="O210" i="1" s="1"/>
  <c r="M212" i="1"/>
  <c r="M210" i="1" s="1"/>
  <c r="M222" i="1" s="1"/>
  <c r="N212" i="1"/>
  <c r="N210" i="1" s="1"/>
  <c r="N219" i="1" s="1"/>
  <c r="N220" i="1" s="1"/>
  <c r="BW28" i="1"/>
  <c r="E174" i="1"/>
  <c r="E175" i="1" s="1"/>
  <c r="F212" i="1"/>
  <c r="F210" i="1" s="1"/>
  <c r="F219" i="1" s="1"/>
  <c r="F220" i="1" s="1"/>
  <c r="BJ49" i="1"/>
  <c r="BJ50" i="1"/>
  <c r="BH118" i="1"/>
  <c r="BI46" i="1"/>
  <c r="O195" i="1"/>
  <c r="AM96" i="1"/>
  <c r="AM95" i="1"/>
  <c r="AM94" i="1"/>
  <c r="K214" i="1"/>
  <c r="BU28" i="1"/>
  <c r="BU37" i="1"/>
  <c r="BV28" i="1"/>
  <c r="BY27" i="1"/>
  <c r="BU26" i="1"/>
  <c r="D195" i="1"/>
  <c r="D193" i="1"/>
  <c r="C119" i="1"/>
  <c r="C122" i="1" s="1"/>
  <c r="C120" i="1"/>
  <c r="C123" i="1" s="1"/>
  <c r="BH105" i="1"/>
  <c r="BH103" i="1"/>
  <c r="BH104" i="1"/>
  <c r="C195" i="1"/>
  <c r="AZ212" i="1"/>
  <c r="AZ210" i="1" s="1"/>
  <c r="BR212" i="1"/>
  <c r="BR210" i="1" s="1"/>
  <c r="BH212" i="1"/>
  <c r="BH210" i="1" s="1"/>
  <c r="BG212" i="1"/>
  <c r="BG210" i="1" s="1"/>
  <c r="K195" i="1"/>
  <c r="K190" i="1"/>
  <c r="E195" i="1"/>
  <c r="F198" i="1" s="1"/>
  <c r="F199" i="1" s="1"/>
  <c r="E190" i="1"/>
  <c r="F253" i="1"/>
  <c r="F174" i="1"/>
  <c r="F255" i="1"/>
  <c r="C214" i="1"/>
  <c r="I214" i="1"/>
  <c r="J174" i="1"/>
  <c r="J175" i="1" s="1"/>
  <c r="BH175" i="1"/>
  <c r="BV175" i="1"/>
  <c r="J195" i="1"/>
  <c r="V68" i="1"/>
  <c r="G195" i="1"/>
  <c r="G198" i="1" s="1"/>
  <c r="G199" i="1" s="1"/>
  <c r="Q255" i="1"/>
  <c r="Q253" i="1"/>
  <c r="R212" i="1"/>
  <c r="R210" i="1" s="1"/>
  <c r="R222" i="1" s="1"/>
  <c r="Q174" i="1"/>
  <c r="Q175" i="1" s="1"/>
  <c r="Q212" i="1"/>
  <c r="Q210" i="1" s="1"/>
  <c r="AR37" i="1"/>
  <c r="AS28" i="1"/>
  <c r="AR26" i="1"/>
  <c r="AV27" i="1"/>
  <c r="C212" i="1"/>
  <c r="C210" i="1" s="1"/>
  <c r="AV28" i="1"/>
  <c r="AU37" i="1"/>
  <c r="Q68" i="1"/>
  <c r="AY27" i="1"/>
  <c r="AU26" i="1"/>
  <c r="BQ37" i="1"/>
  <c r="BQ28" i="1"/>
  <c r="BR28" i="1"/>
  <c r="BQ26" i="1"/>
  <c r="BU27" i="1"/>
  <c r="I174" i="1"/>
  <c r="I175" i="1" s="1"/>
  <c r="AO28" i="1"/>
  <c r="S68" i="1"/>
  <c r="BB174" i="1"/>
  <c r="BB175" i="1" s="1"/>
  <c r="BR255" i="1"/>
  <c r="BR253" i="1"/>
  <c r="BS147" i="1"/>
  <c r="BT42" i="1"/>
  <c r="N195" i="1"/>
  <c r="N198" i="1" s="1"/>
  <c r="N199" i="1" s="1"/>
  <c r="K222" i="1"/>
  <c r="G174" i="1"/>
  <c r="G175" i="1" s="1"/>
  <c r="BA147" i="1"/>
  <c r="BB42" i="1"/>
  <c r="AN255" i="1"/>
  <c r="AN253" i="1"/>
  <c r="AN212" i="1"/>
  <c r="AN210" i="1" s="1"/>
  <c r="AZ195" i="1"/>
  <c r="AZ190" i="1"/>
  <c r="BB195" i="1"/>
  <c r="BB190" i="1"/>
  <c r="BP118" i="1"/>
  <c r="BQ46" i="1"/>
  <c r="AZ105" i="1"/>
  <c r="AZ103" i="1"/>
  <c r="AZ104" i="1"/>
  <c r="BP195" i="1"/>
  <c r="BP198" i="1" s="1"/>
  <c r="BP190" i="1"/>
  <c r="BV42" i="1"/>
  <c r="BU147" i="1"/>
  <c r="P255" i="1"/>
  <c r="BE147" i="1"/>
  <c r="BF42" i="1"/>
  <c r="BX212" i="1"/>
  <c r="BX210" i="1" s="1"/>
  <c r="BW212" i="1"/>
  <c r="BW210" i="1" s="1"/>
  <c r="BD105" i="1"/>
  <c r="BD104" i="1"/>
  <c r="BD103" i="1"/>
  <c r="AP255" i="1"/>
  <c r="AP253" i="1"/>
  <c r="AX175" i="1"/>
  <c r="AU46" i="1"/>
  <c r="AT118" i="1"/>
  <c r="BD174" i="1"/>
  <c r="BD175" i="1" s="1"/>
  <c r="L212" i="1"/>
  <c r="L210" i="1" s="1"/>
  <c r="L174" i="1"/>
  <c r="L175" i="1" s="1"/>
  <c r="L190" i="1"/>
  <c r="L195" i="1"/>
  <c r="L198" i="1" s="1"/>
  <c r="L199" i="1" s="1"/>
  <c r="R255" i="1"/>
  <c r="S212" i="1"/>
  <c r="S210" i="1" s="1"/>
  <c r="R174" i="1"/>
  <c r="R175" i="1" s="1"/>
  <c r="R253" i="1"/>
  <c r="BT195" i="1"/>
  <c r="BT190" i="1"/>
  <c r="BF105" i="1"/>
  <c r="BF103" i="1"/>
  <c r="BF104" i="1"/>
  <c r="D119" i="1"/>
  <c r="D122" i="1" s="1"/>
  <c r="AW46" i="1"/>
  <c r="AV118" i="1"/>
  <c r="BT105" i="1"/>
  <c r="BT104" i="1"/>
  <c r="BT103" i="1"/>
  <c r="AZ118" i="1"/>
  <c r="BA46" i="1"/>
  <c r="AP26" i="1"/>
  <c r="AP28" i="1"/>
  <c r="AT27" i="1"/>
  <c r="AP27" i="1"/>
  <c r="AQ28" i="1"/>
  <c r="AP37" i="1"/>
  <c r="G253" i="1"/>
  <c r="BS46" i="1"/>
  <c r="BR118" i="1"/>
  <c r="C77" i="1"/>
  <c r="C78" i="1"/>
  <c r="I195" i="1"/>
  <c r="I198" i="1" s="1"/>
  <c r="I199" i="1" s="1"/>
  <c r="BT255" i="1"/>
  <c r="BT253" i="1"/>
  <c r="BB118" i="1"/>
  <c r="BC46" i="1"/>
  <c r="D212" i="1"/>
  <c r="D210" i="1" s="1"/>
  <c r="D77" i="1"/>
  <c r="D78" i="1"/>
  <c r="AX190" i="1"/>
  <c r="AX195" i="1"/>
  <c r="BD27" i="1"/>
  <c r="AZ37" i="1"/>
  <c r="AZ26" i="1"/>
  <c r="BA28" i="1"/>
  <c r="BV103" i="1"/>
  <c r="BV105" i="1"/>
  <c r="BV104" i="1"/>
  <c r="AR190" i="1"/>
  <c r="AR195" i="1"/>
  <c r="BU46" i="1"/>
  <c r="BT118" i="1"/>
  <c r="BD190" i="1"/>
  <c r="BD195" i="1"/>
  <c r="L255" i="1"/>
  <c r="AP174" i="1"/>
  <c r="AP175" i="1" s="1"/>
  <c r="G212" i="1"/>
  <c r="G210" i="1" s="1"/>
  <c r="Q207" i="1"/>
  <c r="Q208" i="1" s="1"/>
  <c r="AT175" i="1"/>
  <c r="U190" i="1"/>
  <c r="U195" i="1"/>
  <c r="BD42" i="1"/>
  <c r="BC147" i="1"/>
  <c r="AV195" i="1"/>
  <c r="AV190" i="1"/>
  <c r="AP42" i="1"/>
  <c r="AO147" i="1"/>
  <c r="CA27" i="1"/>
  <c r="BX28" i="1"/>
  <c r="BW26" i="1"/>
  <c r="BW37" i="1"/>
  <c r="X68" i="1"/>
  <c r="P195" i="1"/>
  <c r="Q198" i="1" s="1"/>
  <c r="Q199" i="1" s="1"/>
  <c r="P190" i="1"/>
  <c r="AQ147" i="1"/>
  <c r="AR42" i="1"/>
  <c r="AY37" i="1"/>
  <c r="AY26" i="1"/>
  <c r="AY28" i="1"/>
  <c r="AZ28" i="1"/>
  <c r="AP190" i="1"/>
  <c r="AP195" i="1"/>
  <c r="AP198" i="1" s="1"/>
  <c r="BR195" i="1"/>
  <c r="BR190" i="1"/>
  <c r="BW27" i="1"/>
  <c r="C174" i="1"/>
  <c r="AS147" i="1"/>
  <c r="AT212" i="1" s="1"/>
  <c r="AT210" i="1" s="1"/>
  <c r="AT42" i="1"/>
  <c r="BD118" i="1"/>
  <c r="BE46" i="1"/>
  <c r="BK28" i="1"/>
  <c r="BK26" i="1"/>
  <c r="BK37" i="1"/>
  <c r="BO27" i="1"/>
  <c r="BL28" i="1"/>
  <c r="AT195" i="1"/>
  <c r="AT198" i="1" s="1"/>
  <c r="AT190" i="1"/>
  <c r="BW46" i="1"/>
  <c r="BV118" i="1"/>
  <c r="BH195" i="1"/>
  <c r="BH190" i="1"/>
  <c r="BB255" i="1"/>
  <c r="BB253" i="1"/>
  <c r="AQ46" i="1"/>
  <c r="AP118" i="1"/>
  <c r="AY46" i="1"/>
  <c r="AX118" i="1"/>
  <c r="BP175" i="1"/>
  <c r="BD253" i="1"/>
  <c r="BD255" i="1"/>
  <c r="BF190" i="1"/>
  <c r="BF195" i="1"/>
  <c r="AX104" i="1"/>
  <c r="AX103" i="1"/>
  <c r="AX105" i="1"/>
  <c r="S190" i="1"/>
  <c r="S195" i="1"/>
  <c r="BG46" i="1"/>
  <c r="BF118" i="1"/>
  <c r="L207" i="1"/>
  <c r="L208" i="1" s="1"/>
  <c r="BT174" i="1"/>
  <c r="BT175" i="1" s="1"/>
  <c r="BS38" i="1"/>
  <c r="BS241" i="1"/>
  <c r="BS242" i="1" s="1"/>
  <c r="BS43" i="1"/>
  <c r="BS47" i="1" s="1"/>
  <c r="BP241" i="1"/>
  <c r="BP242" i="1" s="1"/>
  <c r="BP43" i="1"/>
  <c r="BP47" i="1" s="1"/>
  <c r="BP38" i="1"/>
  <c r="BP39" i="1"/>
  <c r="BD37" i="1"/>
  <c r="BD26" i="1"/>
  <c r="AR255" i="1"/>
  <c r="G255" i="1"/>
  <c r="B195" i="1"/>
  <c r="C198" i="1" s="1"/>
  <c r="C199" i="1" s="1"/>
  <c r="B190" i="1"/>
  <c r="B78" i="1"/>
  <c r="B77" i="1"/>
  <c r="BH120" i="1"/>
  <c r="BH119" i="1"/>
  <c r="O219" i="1"/>
  <c r="O220" i="1" s="1"/>
  <c r="AS241" i="1"/>
  <c r="AS242" i="1" s="1"/>
  <c r="AS43" i="1"/>
  <c r="AS38" i="1"/>
  <c r="AW39" i="1"/>
  <c r="AT40" i="1"/>
  <c r="AT43" i="1"/>
  <c r="AT47" i="1" s="1"/>
  <c r="AT38" i="1"/>
  <c r="AT241" i="1"/>
  <c r="AT242" i="1" s="1"/>
  <c r="AX39" i="1"/>
  <c r="AT259" i="1"/>
  <c r="AT260" i="1" s="1"/>
  <c r="BM43" i="1"/>
  <c r="BM38" i="1"/>
  <c r="BM241" i="1"/>
  <c r="BM242" i="1" s="1"/>
  <c r="BP235" i="1"/>
  <c r="BO235" i="1"/>
  <c r="BO121" i="1"/>
  <c r="BM259" i="1"/>
  <c r="BM260" i="1" s="1"/>
  <c r="BM40" i="1"/>
  <c r="BN40" i="1"/>
  <c r="BP121" i="1"/>
  <c r="BG241" i="1"/>
  <c r="BG242" i="1" s="1"/>
  <c r="BK39" i="1"/>
  <c r="BG43" i="1"/>
  <c r="BG38" i="1"/>
  <c r="BH40" i="1"/>
  <c r="BG259" i="1"/>
  <c r="BG260" i="1" s="1"/>
  <c r="BJ243" i="1"/>
  <c r="BJ57" i="1"/>
  <c r="BJ51" i="1"/>
  <c r="BJ254" i="1" s="1"/>
  <c r="AV241" i="1"/>
  <c r="AV242" i="1" s="1"/>
  <c r="AV43" i="1"/>
  <c r="AV47" i="1" s="1"/>
  <c r="AW40" i="1"/>
  <c r="AV38" i="1"/>
  <c r="BJ39" i="1"/>
  <c r="BF38" i="1"/>
  <c r="BF43" i="1"/>
  <c r="BF47" i="1" s="1"/>
  <c r="BF241" i="1"/>
  <c r="BF242" i="1" s="1"/>
  <c r="BI235" i="1"/>
  <c r="BG40" i="1"/>
  <c r="BF259" i="1"/>
  <c r="BF260" i="1" s="1"/>
  <c r="BI121" i="1"/>
  <c r="BA38" i="1"/>
  <c r="BA241" i="1"/>
  <c r="BA242" i="1" s="1"/>
  <c r="BA43" i="1"/>
  <c r="BB40" i="1"/>
  <c r="BD121" i="1"/>
  <c r="BD235" i="1"/>
  <c r="BE39" i="1"/>
  <c r="BE241" i="1"/>
  <c r="BE242" i="1" s="1"/>
  <c r="BE38" i="1"/>
  <c r="BH121" i="1"/>
  <c r="BE259" i="1"/>
  <c r="BE260" i="1" s="1"/>
  <c r="BE43" i="1"/>
  <c r="BG121" i="1"/>
  <c r="BE40" i="1"/>
  <c r="BI39" i="1"/>
  <c r="BF40" i="1"/>
  <c r="BH235" i="1"/>
  <c r="BG235" i="1"/>
  <c r="BU43" i="1"/>
  <c r="BU38" i="1"/>
  <c r="BU259" i="1"/>
  <c r="BU260" i="1" s="1"/>
  <c r="BD40" i="1"/>
  <c r="BC38" i="1"/>
  <c r="BG39" i="1"/>
  <c r="BC259" i="1"/>
  <c r="BC260" i="1" s="1"/>
  <c r="BC241" i="1"/>
  <c r="BC242" i="1" s="1"/>
  <c r="BC43" i="1"/>
  <c r="AN241" i="1"/>
  <c r="AN242" i="1" s="1"/>
  <c r="BP40" i="1"/>
  <c r="BO259" i="1"/>
  <c r="BP259" i="1"/>
  <c r="BO38" i="1"/>
  <c r="BO43" i="1"/>
  <c r="BO241" i="1"/>
  <c r="BO242" i="1" s="1"/>
  <c r="BS39" i="1"/>
  <c r="BZ198" i="1"/>
  <c r="AL121" i="1"/>
  <c r="N69" i="1"/>
  <c r="AI38" i="1"/>
  <c r="AL235" i="1"/>
  <c r="AM39" i="1"/>
  <c r="AI241" i="1"/>
  <c r="AI242" i="1" s="1"/>
  <c r="AJ40" i="1"/>
  <c r="AI43" i="1"/>
  <c r="AW241" i="1"/>
  <c r="AW242" i="1" s="1"/>
  <c r="AW38" i="1"/>
  <c r="AW43" i="1"/>
  <c r="AW47" i="1" s="1"/>
  <c r="BA39" i="1"/>
  <c r="AX40" i="1"/>
  <c r="AO241" i="1"/>
  <c r="AO242" i="1" s="1"/>
  <c r="AO39" i="1"/>
  <c r="AO43" i="1"/>
  <c r="AS39" i="1"/>
  <c r="AO38" i="1"/>
  <c r="AX241" i="1"/>
  <c r="AX242" i="1" s="1"/>
  <c r="AX38" i="1"/>
  <c r="AX259" i="1"/>
  <c r="AX260" i="1" s="1"/>
  <c r="AX43" i="1"/>
  <c r="AX47" i="1" s="1"/>
  <c r="BT38" i="1"/>
  <c r="BT39" i="1"/>
  <c r="BT40" i="1"/>
  <c r="BX39" i="1"/>
  <c r="BT259" i="1"/>
  <c r="BT260" i="1" s="1"/>
  <c r="BT43" i="1"/>
  <c r="BT241" i="1"/>
  <c r="BT242" i="1" s="1"/>
  <c r="BH43" i="1"/>
  <c r="BH47" i="1" s="1"/>
  <c r="BH241" i="1"/>
  <c r="BH242" i="1" s="1"/>
  <c r="BH259" i="1"/>
  <c r="BH260" i="1" s="1"/>
  <c r="BL39" i="1"/>
  <c r="BH38" i="1"/>
  <c r="BN43" i="1"/>
  <c r="BN47" i="1" s="1"/>
  <c r="BN50" i="1" s="1"/>
  <c r="BN241" i="1"/>
  <c r="BN242" i="1" s="1"/>
  <c r="BN38" i="1"/>
  <c r="BO40" i="1"/>
  <c r="BN259" i="1"/>
  <c r="BN39" i="1"/>
  <c r="AQ38" i="1"/>
  <c r="AQ43" i="1"/>
  <c r="AQ39" i="1"/>
  <c r="AQ241" i="1"/>
  <c r="AQ242" i="1" s="1"/>
  <c r="CS143" i="1"/>
  <c r="BN49" i="1"/>
  <c r="AX50" i="1"/>
  <c r="AX49" i="1"/>
  <c r="CS203" i="1"/>
  <c r="CR212" i="1"/>
  <c r="CR210" i="1" s="1"/>
  <c r="AC134" i="1"/>
  <c r="AC137" i="1" s="1"/>
  <c r="AC258" i="1" s="1"/>
  <c r="F175" i="1" l="1"/>
  <c r="AO235" i="1"/>
  <c r="AN235" i="1"/>
  <c r="AO40" i="1"/>
  <c r="AN40" i="1"/>
  <c r="AN39" i="1"/>
  <c r="AN259" i="1"/>
  <c r="AN260" i="1" s="1"/>
  <c r="AN38" i="1"/>
  <c r="AO121" i="1"/>
  <c r="AN43" i="1"/>
  <c r="AN121" i="1"/>
  <c r="BO39" i="1"/>
  <c r="E222" i="1"/>
  <c r="E219" i="1"/>
  <c r="E220" i="1" s="1"/>
  <c r="R198" i="1"/>
  <c r="R199" i="1" s="1"/>
  <c r="BL121" i="1"/>
  <c r="BI43" i="1"/>
  <c r="BJ259" i="1"/>
  <c r="BJ260" i="1" s="1"/>
  <c r="BI38" i="1"/>
  <c r="BL235" i="1"/>
  <c r="BI241" i="1"/>
  <c r="BI242" i="1" s="1"/>
  <c r="BJ40" i="1"/>
  <c r="BM39" i="1"/>
  <c r="BI259" i="1"/>
  <c r="BI260" i="1" s="1"/>
  <c r="BJ212" i="1"/>
  <c r="BJ210" i="1" s="1"/>
  <c r="BI212" i="1"/>
  <c r="BI210" i="1" s="1"/>
  <c r="AW259" i="1"/>
  <c r="AW260" i="1" s="1"/>
  <c r="K175" i="1"/>
  <c r="O222" i="1"/>
  <c r="AY210" i="1"/>
  <c r="U222" i="1"/>
  <c r="AM104" i="1"/>
  <c r="B253" i="1"/>
  <c r="T69" i="1"/>
  <c r="AR175" i="1"/>
  <c r="T219" i="1"/>
  <c r="T220" i="1" s="1"/>
  <c r="U219" i="1"/>
  <c r="U220" i="1" s="1"/>
  <c r="D253" i="1"/>
  <c r="D175" i="1"/>
  <c r="D198" i="1"/>
  <c r="D199" i="1" s="1"/>
  <c r="BO46" i="1"/>
  <c r="BN118" i="1"/>
  <c r="V219" i="1"/>
  <c r="V220" i="1" s="1"/>
  <c r="V222" i="1"/>
  <c r="AM105" i="1"/>
  <c r="BJ235" i="1"/>
  <c r="AN190" i="1"/>
  <c r="AN195" i="1"/>
  <c r="K219" i="1"/>
  <c r="K220" i="1" s="1"/>
  <c r="P222" i="1"/>
  <c r="H219" i="1"/>
  <c r="H220" i="1" s="1"/>
  <c r="T222" i="1"/>
  <c r="Q222" i="1"/>
  <c r="V198" i="1"/>
  <c r="V199" i="1" s="1"/>
  <c r="P219" i="1"/>
  <c r="P220" i="1" s="1"/>
  <c r="AM103" i="1"/>
  <c r="B175" i="1"/>
  <c r="BJ121" i="1"/>
  <c r="BP42" i="1"/>
  <c r="BO147" i="1"/>
  <c r="BN174" i="1"/>
  <c r="BN175" i="1" s="1"/>
  <c r="AN174" i="1"/>
  <c r="AN175" i="1" s="1"/>
  <c r="BN255" i="1"/>
  <c r="BN253" i="1"/>
  <c r="BN212" i="1"/>
  <c r="BN210" i="1" s="1"/>
  <c r="BN190" i="1"/>
  <c r="BN195" i="1"/>
  <c r="BN198" i="1" s="1"/>
  <c r="AO46" i="1"/>
  <c r="AN118" i="1"/>
  <c r="BP260" i="1"/>
  <c r="BO260" i="1"/>
  <c r="BM121" i="1"/>
  <c r="BN235" i="1"/>
  <c r="BM235" i="1"/>
  <c r="U69" i="1"/>
  <c r="BN121" i="1"/>
  <c r="BB241" i="1"/>
  <c r="BB242" i="1" s="1"/>
  <c r="BE121" i="1"/>
  <c r="BB43" i="1"/>
  <c r="BB47" i="1" s="1"/>
  <c r="BB38" i="1"/>
  <c r="BC40" i="1"/>
  <c r="BF39" i="1"/>
  <c r="BB259" i="1"/>
  <c r="BB260" i="1" s="1"/>
  <c r="BE235" i="1"/>
  <c r="M219" i="1"/>
  <c r="M220" i="1" s="1"/>
  <c r="AO259" i="1"/>
  <c r="AO260" i="1" s="1"/>
  <c r="BB39" i="1"/>
  <c r="BV235" i="1"/>
  <c r="BV121" i="1"/>
  <c r="BU40" i="1"/>
  <c r="BK121" i="1"/>
  <c r="BI40" i="1"/>
  <c r="BK235" i="1"/>
  <c r="BH39" i="1"/>
  <c r="J222" i="1"/>
  <c r="J219" i="1"/>
  <c r="J220" i="1" s="1"/>
  <c r="I222" i="1"/>
  <c r="BS259" i="1"/>
  <c r="BS260" i="1" s="1"/>
  <c r="BR241" i="1"/>
  <c r="BR242" i="1" s="1"/>
  <c r="BS40" i="1"/>
  <c r="BR43" i="1"/>
  <c r="BR47" i="1" s="1"/>
  <c r="BU121" i="1"/>
  <c r="BV39" i="1"/>
  <c r="BR38" i="1"/>
  <c r="BV43" i="1"/>
  <c r="BV38" i="1"/>
  <c r="BZ39" i="1"/>
  <c r="BV241" i="1"/>
  <c r="BV242" i="1" s="1"/>
  <c r="BV259" i="1"/>
  <c r="BV260" i="1" s="1"/>
  <c r="N222" i="1"/>
  <c r="BN260" i="1"/>
  <c r="BR39" i="1"/>
  <c r="E198" i="1"/>
  <c r="E199" i="1" s="1"/>
  <c r="AV49" i="1"/>
  <c r="AV50" i="1"/>
  <c r="F222" i="1"/>
  <c r="BV40" i="1"/>
  <c r="BU241" i="1"/>
  <c r="BU242" i="1" s="1"/>
  <c r="BY39" i="1"/>
  <c r="S198" i="1"/>
  <c r="S199" i="1" s="1"/>
  <c r="T198" i="1"/>
  <c r="T199" i="1" s="1"/>
  <c r="BV198" i="1"/>
  <c r="AZ121" i="1"/>
  <c r="D222" i="1"/>
  <c r="L222" i="1"/>
  <c r="BW39" i="1"/>
  <c r="BQ43" i="1"/>
  <c r="BQ38" i="1"/>
  <c r="BQ241" i="1"/>
  <c r="BQ242" i="1" s="1"/>
  <c r="BS121" i="1"/>
  <c r="BR40" i="1"/>
  <c r="BT121" i="1"/>
  <c r="BQ40" i="1"/>
  <c r="BT235" i="1"/>
  <c r="BU39" i="1"/>
  <c r="BQ259" i="1"/>
  <c r="BQ260" i="1" s="1"/>
  <c r="BS235" i="1"/>
  <c r="AU259" i="1"/>
  <c r="AU260" i="1" s="1"/>
  <c r="AX235" i="1"/>
  <c r="AU43" i="1"/>
  <c r="Q69" i="1"/>
  <c r="AX121" i="1"/>
  <c r="AU241" i="1"/>
  <c r="AU242" i="1" s="1"/>
  <c r="AV40" i="1"/>
  <c r="AU38" i="1"/>
  <c r="R219" i="1"/>
  <c r="R220" i="1" s="1"/>
  <c r="H198" i="1"/>
  <c r="H199" i="1" s="1"/>
  <c r="AS40" i="1"/>
  <c r="AS259" i="1"/>
  <c r="AS260" i="1" s="1"/>
  <c r="AV121" i="1"/>
  <c r="AV235" i="1"/>
  <c r="AW121" i="1"/>
  <c r="AT39" i="1"/>
  <c r="AW235" i="1"/>
  <c r="BQ39" i="1"/>
  <c r="P198" i="1"/>
  <c r="P199" i="1" s="1"/>
  <c r="O198" i="1"/>
  <c r="O199" i="1" s="1"/>
  <c r="AZ39" i="1"/>
  <c r="BC235" i="1"/>
  <c r="BX235" i="1"/>
  <c r="AU40" i="1"/>
  <c r="AV259" i="1"/>
  <c r="AV260" i="1" s="1"/>
  <c r="BA259" i="1"/>
  <c r="BA260" i="1" s="1"/>
  <c r="BC121" i="1"/>
  <c r="BX121" i="1"/>
  <c r="BD259" i="1"/>
  <c r="BD260" i="1" s="1"/>
  <c r="BF121" i="1"/>
  <c r="BF235" i="1"/>
  <c r="S69" i="1"/>
  <c r="AR39" i="1"/>
  <c r="AP121" i="1"/>
  <c r="AQ235" i="1"/>
  <c r="O69" i="1"/>
  <c r="AQ121" i="1"/>
  <c r="AP235" i="1"/>
  <c r="C219" i="1"/>
  <c r="C220" i="1" s="1"/>
  <c r="C222" i="1"/>
  <c r="AR38" i="1"/>
  <c r="AR241" i="1"/>
  <c r="AR242" i="1" s="1"/>
  <c r="AR43" i="1"/>
  <c r="AR47" i="1" s="1"/>
  <c r="AV39" i="1"/>
  <c r="AU235" i="1"/>
  <c r="AU121" i="1"/>
  <c r="AR259" i="1"/>
  <c r="AR260" i="1" s="1"/>
  <c r="BR235" i="1"/>
  <c r="BR121" i="1"/>
  <c r="V69" i="1"/>
  <c r="J198" i="1"/>
  <c r="J199" i="1" s="1"/>
  <c r="K198" i="1"/>
  <c r="K199" i="1" s="1"/>
  <c r="U198" i="1"/>
  <c r="U199" i="1" s="1"/>
  <c r="AR121" i="1"/>
  <c r="AP40" i="1"/>
  <c r="AP259" i="1"/>
  <c r="AP260" i="1" s="1"/>
  <c r="BW121" i="1"/>
  <c r="I219" i="1"/>
  <c r="I220" i="1" s="1"/>
  <c r="Q219" i="1"/>
  <c r="Q220" i="1" s="1"/>
  <c r="BR259" i="1"/>
  <c r="BR260" i="1" s="1"/>
  <c r="BW259" i="1"/>
  <c r="BW260" i="1" s="1"/>
  <c r="BY235" i="1"/>
  <c r="BY121" i="1"/>
  <c r="BW40" i="1"/>
  <c r="BQ235" i="1"/>
  <c r="P69" i="1"/>
  <c r="AS121" i="1"/>
  <c r="AT121" i="1"/>
  <c r="AR40" i="1"/>
  <c r="AS235" i="1"/>
  <c r="AR235" i="1"/>
  <c r="BW235" i="1"/>
  <c r="BQ121" i="1"/>
  <c r="AQ259" i="1"/>
  <c r="AQ260" i="1" s="1"/>
  <c r="AU39" i="1"/>
  <c r="AT235" i="1"/>
  <c r="AQ40" i="1"/>
  <c r="D219" i="1"/>
  <c r="D220" i="1" s="1"/>
  <c r="BD198" i="1"/>
  <c r="BA212" i="1"/>
  <c r="BA210" i="1" s="1"/>
  <c r="BB212" i="1"/>
  <c r="BB210" i="1" s="1"/>
  <c r="AV198" i="1"/>
  <c r="BT212" i="1"/>
  <c r="BT210" i="1" s="1"/>
  <c r="BS212" i="1"/>
  <c r="BS210" i="1" s="1"/>
  <c r="AY39" i="1"/>
  <c r="AS212" i="1"/>
  <c r="AS210" i="1" s="1"/>
  <c r="M198" i="1"/>
  <c r="M199" i="1" s="1"/>
  <c r="BP50" i="1"/>
  <c r="BP49" i="1"/>
  <c r="BJ198" i="1"/>
  <c r="BF198" i="1"/>
  <c r="BV119" i="1"/>
  <c r="BV120" i="1"/>
  <c r="AY241" i="1"/>
  <c r="AY242" i="1" s="1"/>
  <c r="AY38" i="1"/>
  <c r="AY259" i="1"/>
  <c r="AY260" i="1" s="1"/>
  <c r="AY235" i="1"/>
  <c r="BB121" i="1"/>
  <c r="R69" i="1"/>
  <c r="BB235" i="1"/>
  <c r="BA121" i="1"/>
  <c r="BA235" i="1"/>
  <c r="AY43" i="1"/>
  <c r="AZ40" i="1"/>
  <c r="BC39" i="1"/>
  <c r="AY40" i="1"/>
  <c r="BD39" i="1"/>
  <c r="AZ43" i="1"/>
  <c r="AZ47" i="1" s="1"/>
  <c r="AZ38" i="1"/>
  <c r="AZ241" i="1"/>
  <c r="AZ242" i="1" s="1"/>
  <c r="BA40" i="1"/>
  <c r="AZ259" i="1"/>
  <c r="AZ260" i="1" s="1"/>
  <c r="D79" i="1"/>
  <c r="D95" i="1"/>
  <c r="D96" i="1"/>
  <c r="C98" i="1"/>
  <c r="D94" i="1"/>
  <c r="BR120" i="1"/>
  <c r="BR119" i="1"/>
  <c r="BD241" i="1"/>
  <c r="BD242" i="1" s="1"/>
  <c r="BD43" i="1"/>
  <c r="BD47" i="1" s="1"/>
  <c r="BD38" i="1"/>
  <c r="BF120" i="1"/>
  <c r="BF119" i="1"/>
  <c r="AP119" i="1"/>
  <c r="AP120" i="1"/>
  <c r="C253" i="1"/>
  <c r="C175" i="1"/>
  <c r="AZ235" i="1"/>
  <c r="L219" i="1"/>
  <c r="L220" i="1" s="1"/>
  <c r="BE212" i="1"/>
  <c r="BE210" i="1" s="1"/>
  <c r="BF212" i="1"/>
  <c r="BF210" i="1" s="1"/>
  <c r="BB198" i="1"/>
  <c r="AY121" i="1"/>
  <c r="BK40" i="1"/>
  <c r="BK43" i="1"/>
  <c r="BK47" i="1" s="1"/>
  <c r="BK38" i="1"/>
  <c r="BK259" i="1"/>
  <c r="BK260" i="1" s="1"/>
  <c r="BL40" i="1"/>
  <c r="BL259" i="1"/>
  <c r="BL260" i="1" s="1"/>
  <c r="BK241" i="1"/>
  <c r="BK242" i="1" s="1"/>
  <c r="BD119" i="1"/>
  <c r="BD122" i="1" s="1"/>
  <c r="BD120" i="1"/>
  <c r="BD123" i="1" s="1"/>
  <c r="AQ212" i="1"/>
  <c r="AQ210" i="1" s="1"/>
  <c r="AR212" i="1"/>
  <c r="AR210" i="1" s="1"/>
  <c r="BC212" i="1"/>
  <c r="BC210" i="1" s="1"/>
  <c r="BD212" i="1"/>
  <c r="BD210" i="1" s="1"/>
  <c r="AX198" i="1"/>
  <c r="S222" i="1"/>
  <c r="S219" i="1"/>
  <c r="S220" i="1" s="1"/>
  <c r="AT119" i="1"/>
  <c r="AT120" i="1"/>
  <c r="B94" i="1"/>
  <c r="B96" i="1"/>
  <c r="B95" i="1"/>
  <c r="BS49" i="1"/>
  <c r="BS50" i="1"/>
  <c r="AX119" i="1"/>
  <c r="AX120" i="1"/>
  <c r="BL198" i="1"/>
  <c r="BH198" i="1"/>
  <c r="BX40" i="1"/>
  <c r="BZ235" i="1"/>
  <c r="X69" i="1"/>
  <c r="BW43" i="1"/>
  <c r="BW38" i="1"/>
  <c r="BW241" i="1"/>
  <c r="BW242" i="1" s="1"/>
  <c r="BZ121" i="1"/>
  <c r="BX259" i="1"/>
  <c r="BX260" i="1" s="1"/>
  <c r="CA39" i="1"/>
  <c r="AO212" i="1"/>
  <c r="AO210" i="1" s="1"/>
  <c r="AP212" i="1"/>
  <c r="AP210" i="1" s="1"/>
  <c r="G222" i="1"/>
  <c r="G219" i="1"/>
  <c r="G220" i="1" s="1"/>
  <c r="BT120" i="1"/>
  <c r="BT119" i="1"/>
  <c r="BB120" i="1"/>
  <c r="BB119" i="1"/>
  <c r="C95" i="1"/>
  <c r="B98" i="1"/>
  <c r="C96" i="1"/>
  <c r="C94" i="1"/>
  <c r="C79" i="1"/>
  <c r="AP38" i="1"/>
  <c r="AP39" i="1"/>
  <c r="AP241" i="1"/>
  <c r="AP242" i="1" s="1"/>
  <c r="AP43" i="1"/>
  <c r="AP47" i="1" s="1"/>
  <c r="AZ120" i="1"/>
  <c r="AZ119" i="1"/>
  <c r="AV119" i="1"/>
  <c r="AV120" i="1"/>
  <c r="BX198" i="1"/>
  <c r="BT198" i="1"/>
  <c r="BU212" i="1"/>
  <c r="BU210" i="1" s="1"/>
  <c r="BV212" i="1"/>
  <c r="BV210" i="1" s="1"/>
  <c r="BP119" i="1"/>
  <c r="BP122" i="1" s="1"/>
  <c r="BP120" i="1"/>
  <c r="BP123" i="1" s="1"/>
  <c r="AZ198" i="1"/>
  <c r="AQ47" i="1"/>
  <c r="AL123" i="1"/>
  <c r="AL122" i="1"/>
  <c r="BF49" i="1"/>
  <c r="BF50" i="1"/>
  <c r="BG47" i="1"/>
  <c r="BM47" i="1"/>
  <c r="BP64" i="1"/>
  <c r="BH123" i="1"/>
  <c r="AL64" i="1"/>
  <c r="AI47" i="1"/>
  <c r="AT50" i="1"/>
  <c r="AT49" i="1"/>
  <c r="BO47" i="1"/>
  <c r="BT47" i="1"/>
  <c r="AW50" i="1"/>
  <c r="AX53" i="1" s="1"/>
  <c r="AW49" i="1"/>
  <c r="BA47" i="1"/>
  <c r="BJ202" i="1"/>
  <c r="BJ204" i="1" s="1"/>
  <c r="BJ75" i="1"/>
  <c r="BJ61" i="1"/>
  <c r="AS47" i="1"/>
  <c r="BH49" i="1"/>
  <c r="BH50" i="1"/>
  <c r="AO47" i="1"/>
  <c r="BC47" i="1"/>
  <c r="BF64" i="1"/>
  <c r="BU47" i="1"/>
  <c r="BE47" i="1"/>
  <c r="BH64" i="1"/>
  <c r="BH122" i="1"/>
  <c r="BN243" i="1"/>
  <c r="BN57" i="1"/>
  <c r="BN52" i="1"/>
  <c r="BN51" i="1"/>
  <c r="BN254" i="1" s="1"/>
  <c r="AX57" i="1"/>
  <c r="AX243" i="1"/>
  <c r="AX51" i="1"/>
  <c r="AX254" i="1" s="1"/>
  <c r="AX52" i="1"/>
  <c r="AC215" i="1"/>
  <c r="CA235" i="1"/>
  <c r="CB235" i="1"/>
  <c r="BU235" i="1"/>
  <c r="BV122" i="1" l="1"/>
  <c r="BV123" i="1"/>
  <c r="BI47" i="1"/>
  <c r="BJ64" i="1"/>
  <c r="BL122" i="1"/>
  <c r="BL123" i="1"/>
  <c r="AP64" i="1"/>
  <c r="AN47" i="1"/>
  <c r="AN64" i="1"/>
  <c r="BJ122" i="1"/>
  <c r="BJ123" i="1"/>
  <c r="AR198" i="1"/>
  <c r="BN120" i="1"/>
  <c r="BN119" i="1"/>
  <c r="AN120" i="1"/>
  <c r="AN119" i="1"/>
  <c r="AN122" i="1" s="1"/>
  <c r="BR198" i="1"/>
  <c r="BP212" i="1"/>
  <c r="BP210" i="1" s="1"/>
  <c r="BO212" i="1"/>
  <c r="BO210" i="1" s="1"/>
  <c r="AN123" i="1"/>
  <c r="BB49" i="1"/>
  <c r="BB50" i="1"/>
  <c r="BR49" i="1"/>
  <c r="BR50" i="1"/>
  <c r="BR123" i="1"/>
  <c r="BF123" i="1"/>
  <c r="BF122" i="1"/>
  <c r="AP122" i="1"/>
  <c r="AP123" i="1"/>
  <c r="AT123" i="1"/>
  <c r="BR122" i="1"/>
  <c r="AX122" i="1"/>
  <c r="AX123" i="1"/>
  <c r="BT123" i="1"/>
  <c r="BT122" i="1"/>
  <c r="BB123" i="1"/>
  <c r="BB122" i="1"/>
  <c r="AZ123" i="1"/>
  <c r="AZ122" i="1"/>
  <c r="AV123" i="1"/>
  <c r="AT64" i="1"/>
  <c r="BV47" i="1"/>
  <c r="AT122" i="1"/>
  <c r="BQ47" i="1"/>
  <c r="BT64" i="1"/>
  <c r="AR50" i="1"/>
  <c r="AR49" i="1"/>
  <c r="BR64" i="1"/>
  <c r="BV64" i="1"/>
  <c r="AV64" i="1"/>
  <c r="BX122" i="1"/>
  <c r="BX123" i="1"/>
  <c r="AU47" i="1"/>
  <c r="AX64" i="1"/>
  <c r="AV51" i="1"/>
  <c r="AV254" i="1" s="1"/>
  <c r="AV243" i="1"/>
  <c r="AV57" i="1"/>
  <c r="AV122" i="1"/>
  <c r="AR64" i="1"/>
  <c r="AW53" i="1"/>
  <c r="BD64" i="1"/>
  <c r="BN64" i="1"/>
  <c r="BL64" i="1"/>
  <c r="BW47" i="1"/>
  <c r="BZ64" i="1"/>
  <c r="BS57" i="1"/>
  <c r="BS51" i="1"/>
  <c r="BS254" i="1" s="1"/>
  <c r="BS243" i="1"/>
  <c r="AZ49" i="1"/>
  <c r="AZ50" i="1"/>
  <c r="BP243" i="1"/>
  <c r="BP51" i="1"/>
  <c r="BP254" i="1" s="1"/>
  <c r="BP57" i="1"/>
  <c r="BP52" i="1"/>
  <c r="BX64" i="1"/>
  <c r="BY64" i="1"/>
  <c r="BZ122" i="1"/>
  <c r="BZ123" i="1"/>
  <c r="BD49" i="1"/>
  <c r="BD50" i="1"/>
  <c r="AY47" i="1"/>
  <c r="AZ64" i="1"/>
  <c r="BB64" i="1"/>
  <c r="AP50" i="1"/>
  <c r="AP49" i="1"/>
  <c r="BK50" i="1"/>
  <c r="BK49" i="1"/>
  <c r="BC50" i="1"/>
  <c r="BC49" i="1"/>
  <c r="BT50" i="1"/>
  <c r="BT49" i="1"/>
  <c r="BO49" i="1"/>
  <c r="BO50" i="1"/>
  <c r="AI49" i="1"/>
  <c r="AI50" i="1"/>
  <c r="BG49" i="1"/>
  <c r="BG50" i="1"/>
  <c r="AO49" i="1"/>
  <c r="AO50" i="1"/>
  <c r="AS49" i="1"/>
  <c r="AS50" i="1"/>
  <c r="BA50" i="1"/>
  <c r="BA52" i="1" s="1"/>
  <c r="BA49" i="1"/>
  <c r="AQ49" i="1"/>
  <c r="AQ50" i="1"/>
  <c r="BE49" i="1"/>
  <c r="BE50" i="1"/>
  <c r="BU49" i="1"/>
  <c r="BU50" i="1"/>
  <c r="BH51" i="1"/>
  <c r="BH254" i="1" s="1"/>
  <c r="BH243" i="1"/>
  <c r="BH57" i="1"/>
  <c r="BL52" i="1"/>
  <c r="AT57" i="1"/>
  <c r="AT243" i="1"/>
  <c r="AT51" i="1"/>
  <c r="AT254" i="1" s="1"/>
  <c r="AT52" i="1"/>
  <c r="BF243" i="1"/>
  <c r="BF51" i="1"/>
  <c r="BF254" i="1" s="1"/>
  <c r="BF57" i="1"/>
  <c r="BJ52" i="1"/>
  <c r="AW243" i="1"/>
  <c r="AW51" i="1"/>
  <c r="AW254" i="1" s="1"/>
  <c r="AW57" i="1"/>
  <c r="BM50" i="1"/>
  <c r="BM49" i="1"/>
  <c r="BN61" i="1"/>
  <c r="BN75" i="1"/>
  <c r="BN202" i="1"/>
  <c r="BN204" i="1" s="1"/>
  <c r="AX61" i="1"/>
  <c r="AX75" i="1"/>
  <c r="AX202" i="1"/>
  <c r="AX204" i="1" s="1"/>
  <c r="CS147" i="1"/>
  <c r="CT41" i="1"/>
  <c r="CT141" i="1" s="1"/>
  <c r="AD133" i="1"/>
  <c r="W68" i="1"/>
  <c r="BN123" i="1" l="1"/>
  <c r="AN49" i="1"/>
  <c r="BI49" i="1"/>
  <c r="BI50" i="1"/>
  <c r="AN50" i="1"/>
  <c r="BN122" i="1"/>
  <c r="BH52" i="1"/>
  <c r="BB52" i="1"/>
  <c r="BB57" i="1"/>
  <c r="BB243" i="1"/>
  <c r="BB51" i="1"/>
  <c r="BB254" i="1" s="1"/>
  <c r="BF52" i="1"/>
  <c r="BR52" i="1"/>
  <c r="BR57" i="1"/>
  <c r="BR243" i="1"/>
  <c r="BR51" i="1"/>
  <c r="BR254" i="1" s="1"/>
  <c r="BS53" i="1"/>
  <c r="AR51" i="1"/>
  <c r="AR254" i="1" s="1"/>
  <c r="AR57" i="1"/>
  <c r="AR243" i="1"/>
  <c r="AV52" i="1"/>
  <c r="AU50" i="1"/>
  <c r="AU49" i="1"/>
  <c r="BQ50" i="1"/>
  <c r="BQ49" i="1"/>
  <c r="BV50" i="1"/>
  <c r="BV49" i="1"/>
  <c r="AV202" i="1"/>
  <c r="AV204" i="1" s="1"/>
  <c r="AV61" i="1"/>
  <c r="AV75" i="1"/>
  <c r="BL53" i="1"/>
  <c r="BK53" i="1"/>
  <c r="BK57" i="1"/>
  <c r="BK243" i="1"/>
  <c r="BK51" i="1"/>
  <c r="BK254" i="1" s="1"/>
  <c r="BW50" i="1"/>
  <c r="BW49" i="1"/>
  <c r="AP52" i="1"/>
  <c r="AP243" i="1"/>
  <c r="AP57" i="1"/>
  <c r="AP51" i="1"/>
  <c r="AP254" i="1" s="1"/>
  <c r="AY49" i="1"/>
  <c r="AY50" i="1"/>
  <c r="BD52" i="1"/>
  <c r="AZ57" i="1"/>
  <c r="AZ52" i="1"/>
  <c r="AZ243" i="1"/>
  <c r="AZ51" i="1"/>
  <c r="AZ254" i="1" s="1"/>
  <c r="BS202" i="1"/>
  <c r="BS204" i="1" s="1"/>
  <c r="BS61" i="1"/>
  <c r="BS75" i="1"/>
  <c r="BS128" i="1"/>
  <c r="BS129" i="1" s="1"/>
  <c r="BD51" i="1"/>
  <c r="BD254" i="1" s="1"/>
  <c r="BD57" i="1"/>
  <c r="BD243" i="1"/>
  <c r="BP202" i="1"/>
  <c r="BP204" i="1" s="1"/>
  <c r="BP61" i="1"/>
  <c r="BP75" i="1"/>
  <c r="BF202" i="1"/>
  <c r="BF204" i="1" s="1"/>
  <c r="BF75" i="1"/>
  <c r="BF61" i="1"/>
  <c r="AJ53" i="1"/>
  <c r="AM52" i="1"/>
  <c r="AI51" i="1"/>
  <c r="AI57" i="1"/>
  <c r="AI243" i="1"/>
  <c r="AL236" i="1"/>
  <c r="BM57" i="1"/>
  <c r="BM51" i="1"/>
  <c r="BM254" i="1" s="1"/>
  <c r="BM53" i="1"/>
  <c r="BM243" i="1"/>
  <c r="BM236" i="1"/>
  <c r="BN236" i="1"/>
  <c r="BP236" i="1"/>
  <c r="BN53" i="1"/>
  <c r="BO236" i="1"/>
  <c r="BE57" i="1"/>
  <c r="BE243" i="1"/>
  <c r="BF53" i="1"/>
  <c r="BE51" i="1"/>
  <c r="BE254" i="1" s="1"/>
  <c r="BE53" i="1"/>
  <c r="BH236" i="1"/>
  <c r="BG236" i="1"/>
  <c r="BA243" i="1"/>
  <c r="BA51" i="1"/>
  <c r="BA254" i="1" s="1"/>
  <c r="BA57" i="1"/>
  <c r="BE52" i="1"/>
  <c r="BA53" i="1"/>
  <c r="BB53" i="1"/>
  <c r="BC236" i="1"/>
  <c r="BD236" i="1"/>
  <c r="BT57" i="1"/>
  <c r="BT53" i="1"/>
  <c r="BX52" i="1"/>
  <c r="BU53" i="1"/>
  <c r="BT51" i="1"/>
  <c r="BT254" i="1" s="1"/>
  <c r="BT52" i="1"/>
  <c r="BT243" i="1"/>
  <c r="BH61" i="1"/>
  <c r="BH75" i="1"/>
  <c r="BH202" i="1"/>
  <c r="BH204" i="1" s="1"/>
  <c r="AR53" i="1"/>
  <c r="AQ51" i="1"/>
  <c r="AQ254" i="1" s="1"/>
  <c r="AS236" i="1"/>
  <c r="AQ52" i="1"/>
  <c r="AQ53" i="1"/>
  <c r="AQ243" i="1"/>
  <c r="AQ57" i="1"/>
  <c r="AT236" i="1"/>
  <c r="AS53" i="1"/>
  <c r="AS51" i="1"/>
  <c r="AS254" i="1" s="1"/>
  <c r="AT53" i="1"/>
  <c r="AW52" i="1"/>
  <c r="AS57" i="1"/>
  <c r="AS243" i="1"/>
  <c r="BG243" i="1"/>
  <c r="BG51" i="1"/>
  <c r="BG254" i="1" s="1"/>
  <c r="BK52" i="1"/>
  <c r="BG57" i="1"/>
  <c r="BH53" i="1"/>
  <c r="BG53" i="1"/>
  <c r="BO57" i="1"/>
  <c r="BP53" i="1"/>
  <c r="BO243" i="1"/>
  <c r="BO52" i="1"/>
  <c r="BS52" i="1"/>
  <c r="BO51" i="1"/>
  <c r="BO254" i="1" s="1"/>
  <c r="BO53" i="1"/>
  <c r="AW128" i="1"/>
  <c r="AW129" i="1" s="1"/>
  <c r="AW61" i="1"/>
  <c r="AW75" i="1"/>
  <c r="AW202" i="1"/>
  <c r="AW204" i="1" s="1"/>
  <c r="AT61" i="1"/>
  <c r="AT75" i="1"/>
  <c r="AT202" i="1"/>
  <c r="AT204" i="1" s="1"/>
  <c r="BY52" i="1"/>
  <c r="BU243" i="1"/>
  <c r="BU57" i="1"/>
  <c r="BU51" i="1"/>
  <c r="BU254" i="1" s="1"/>
  <c r="BC57" i="1"/>
  <c r="BG52" i="1"/>
  <c r="BC243" i="1"/>
  <c r="BF236" i="1"/>
  <c r="BC53" i="1"/>
  <c r="BD53" i="1"/>
  <c r="BC51" i="1"/>
  <c r="BC254" i="1" s="1"/>
  <c r="BE236" i="1"/>
  <c r="AP53" i="1"/>
  <c r="AO57" i="1"/>
  <c r="AO243" i="1"/>
  <c r="AS52" i="1"/>
  <c r="AO52" i="1"/>
  <c r="AO51" i="1"/>
  <c r="AO254" i="1" s="1"/>
  <c r="AR236" i="1"/>
  <c r="CT143" i="1"/>
  <c r="AC140" i="1"/>
  <c r="AC41" i="1"/>
  <c r="CT203" i="1"/>
  <c r="CS212" i="1"/>
  <c r="CS210" i="1" s="1"/>
  <c r="W69" i="1"/>
  <c r="AU51" i="1" l="1"/>
  <c r="AU254" i="1" s="1"/>
  <c r="AU57" i="1"/>
  <c r="AU243" i="1"/>
  <c r="BJ236" i="1"/>
  <c r="AR52" i="1"/>
  <c r="AN236" i="1"/>
  <c r="AN51" i="1"/>
  <c r="AN254" i="1" s="1"/>
  <c r="AN57" i="1"/>
  <c r="AN53" i="1"/>
  <c r="AV53" i="1"/>
  <c r="AW236" i="1"/>
  <c r="AX236" i="1"/>
  <c r="AU236" i="1"/>
  <c r="BI53" i="1"/>
  <c r="BI57" i="1"/>
  <c r="BI243" i="1"/>
  <c r="BJ53" i="1"/>
  <c r="BM52" i="1"/>
  <c r="BL236" i="1"/>
  <c r="BI51" i="1"/>
  <c r="BI254" i="1" s="1"/>
  <c r="BK236" i="1"/>
  <c r="BI52" i="1"/>
  <c r="BI236" i="1"/>
  <c r="AP236" i="1"/>
  <c r="AO53" i="1"/>
  <c r="AN243" i="1"/>
  <c r="AO236" i="1"/>
  <c r="AN52" i="1"/>
  <c r="AQ236" i="1"/>
  <c r="AR61" i="1"/>
  <c r="AR202" i="1"/>
  <c r="AR204" i="1" s="1"/>
  <c r="AR75" i="1"/>
  <c r="BQ236" i="1"/>
  <c r="BR236" i="1"/>
  <c r="BV243" i="1"/>
  <c r="BZ52" i="1"/>
  <c r="BV57" i="1"/>
  <c r="BV51" i="1"/>
  <c r="BV254" i="1" s="1"/>
  <c r="BV52" i="1"/>
  <c r="BW53" i="1"/>
  <c r="BY236" i="1"/>
  <c r="BQ51" i="1"/>
  <c r="BQ254" i="1" s="1"/>
  <c r="BQ243" i="1"/>
  <c r="BQ57" i="1"/>
  <c r="BQ53" i="1"/>
  <c r="BU52" i="1"/>
  <c r="BR53" i="1"/>
  <c r="BS236" i="1"/>
  <c r="BT236" i="1"/>
  <c r="AU53" i="1"/>
  <c r="BV53" i="1"/>
  <c r="BX236" i="1"/>
  <c r="BB202" i="1"/>
  <c r="BB204" i="1" s="1"/>
  <c r="BB61" i="1"/>
  <c r="BB75" i="1"/>
  <c r="BR75" i="1"/>
  <c r="BR202" i="1"/>
  <c r="BR204" i="1" s="1"/>
  <c r="BR61" i="1"/>
  <c r="BQ52" i="1"/>
  <c r="BB236" i="1"/>
  <c r="BA236" i="1"/>
  <c r="BV236" i="1"/>
  <c r="AU52" i="1"/>
  <c r="AV236" i="1"/>
  <c r="BW236" i="1"/>
  <c r="AY52" i="1"/>
  <c r="BC52" i="1"/>
  <c r="BD61" i="1"/>
  <c r="BD202" i="1"/>
  <c r="BD204" i="1" s="1"/>
  <c r="BD75" i="1"/>
  <c r="AZ202" i="1"/>
  <c r="AZ204" i="1" s="1"/>
  <c r="AZ75" i="1"/>
  <c r="AZ61" i="1"/>
  <c r="BK75" i="1"/>
  <c r="BK202" i="1"/>
  <c r="BK204" i="1" s="1"/>
  <c r="BK61" i="1"/>
  <c r="BK128" i="1"/>
  <c r="BK129" i="1" s="1"/>
  <c r="BK63" i="1" s="1"/>
  <c r="BS101" i="1"/>
  <c r="BS138" i="1"/>
  <c r="BS64" i="1" s="1"/>
  <c r="BS216" i="1"/>
  <c r="BS214" i="1" s="1"/>
  <c r="AP61" i="1"/>
  <c r="AP75" i="1"/>
  <c r="AP202" i="1"/>
  <c r="AP204" i="1" s="1"/>
  <c r="BW52" i="1"/>
  <c r="X70" i="1"/>
  <c r="BW243" i="1"/>
  <c r="CA52" i="1"/>
  <c r="BX53" i="1"/>
  <c r="BW51" i="1"/>
  <c r="BW254" i="1" s="1"/>
  <c r="BW57" i="1"/>
  <c r="BZ236" i="1"/>
  <c r="AZ53" i="1"/>
  <c r="AY57" i="1"/>
  <c r="R70" i="1" s="1"/>
  <c r="AY243" i="1"/>
  <c r="AY51" i="1"/>
  <c r="AY254" i="1" s="1"/>
  <c r="AY53" i="1"/>
  <c r="AY236" i="1"/>
  <c r="AZ236" i="1"/>
  <c r="BE128" i="1"/>
  <c r="BE129" i="1" s="1"/>
  <c r="BE75" i="1"/>
  <c r="BE202" i="1"/>
  <c r="BE204" i="1" s="1"/>
  <c r="BE61" i="1"/>
  <c r="BH63" i="1"/>
  <c r="BC128" i="1"/>
  <c r="BC129" i="1" s="1"/>
  <c r="S70" i="1"/>
  <c r="BC202" i="1"/>
  <c r="BC204" i="1" s="1"/>
  <c r="BF63" i="1"/>
  <c r="BC61" i="1"/>
  <c r="BC75" i="1"/>
  <c r="BG75" i="1"/>
  <c r="BG202" i="1"/>
  <c r="BG204" i="1" s="1"/>
  <c r="BG128" i="1"/>
  <c r="BG129" i="1" s="1"/>
  <c r="BG61" i="1"/>
  <c r="AS128" i="1"/>
  <c r="AS129" i="1" s="1"/>
  <c r="AS202" i="1"/>
  <c r="AS204" i="1" s="1"/>
  <c r="AS75" i="1"/>
  <c r="AS61" i="1"/>
  <c r="BT202" i="1"/>
  <c r="BT204" i="1" s="1"/>
  <c r="BT216" i="1"/>
  <c r="BT214" i="1" s="1"/>
  <c r="BT61" i="1"/>
  <c r="BT75" i="1"/>
  <c r="AI216" i="1"/>
  <c r="AI214" i="1" s="1"/>
  <c r="AI61" i="1"/>
  <c r="AI202" i="1"/>
  <c r="AI204" i="1" s="1"/>
  <c r="AI208" i="1" s="1"/>
  <c r="AI222" i="1" s="1"/>
  <c r="AL63" i="1"/>
  <c r="N70" i="1"/>
  <c r="AI75" i="1"/>
  <c r="AL78" i="1" s="1"/>
  <c r="BM128" i="1"/>
  <c r="BM129" i="1" s="1"/>
  <c r="BM75" i="1"/>
  <c r="BM202" i="1"/>
  <c r="BM204" i="1" s="1"/>
  <c r="BM61" i="1"/>
  <c r="BN63" i="1"/>
  <c r="U70" i="1"/>
  <c r="BP63" i="1"/>
  <c r="BU75" i="1"/>
  <c r="BU128" i="1"/>
  <c r="BU129" i="1" s="1"/>
  <c r="BU61" i="1"/>
  <c r="BU202" i="1"/>
  <c r="BU204" i="1" s="1"/>
  <c r="BA128" i="1"/>
  <c r="BA129" i="1" s="1"/>
  <c r="BA61" i="1"/>
  <c r="BA202" i="1"/>
  <c r="BA204" i="1" s="1"/>
  <c r="BA75" i="1"/>
  <c r="BD63" i="1"/>
  <c r="BB63" i="1"/>
  <c r="AQ202" i="1"/>
  <c r="AQ204" i="1" s="1"/>
  <c r="AQ61" i="1"/>
  <c r="AT63" i="1"/>
  <c r="AQ75" i="1"/>
  <c r="P70" i="1"/>
  <c r="AQ128" i="1"/>
  <c r="AQ129" i="1" s="1"/>
  <c r="AO202" i="1"/>
  <c r="AO204" i="1" s="1"/>
  <c r="AO75" i="1"/>
  <c r="AO128" i="1"/>
  <c r="AO129" i="1" s="1"/>
  <c r="AO61" i="1"/>
  <c r="AR63" i="1"/>
  <c r="AW138" i="1"/>
  <c r="AW64" i="1" s="1"/>
  <c r="AW101" i="1"/>
  <c r="AW216" i="1"/>
  <c r="AW214" i="1" s="1"/>
  <c r="AX216" i="1"/>
  <c r="AX214" i="1" s="1"/>
  <c r="BO202" i="1"/>
  <c r="BO204" i="1" s="1"/>
  <c r="BO128" i="1"/>
  <c r="BO129" i="1" s="1"/>
  <c r="BO61" i="1"/>
  <c r="BO75" i="1"/>
  <c r="AC203" i="1"/>
  <c r="AC141" i="1"/>
  <c r="AC143" i="1" s="1"/>
  <c r="AC42" i="1" s="1"/>
  <c r="AD134" i="1"/>
  <c r="AD137" i="1" s="1"/>
  <c r="AD258" i="1" s="1"/>
  <c r="AR118" i="1"/>
  <c r="W70" i="1"/>
  <c r="BV202" i="1" l="1"/>
  <c r="BV204" i="1" s="1"/>
  <c r="BV75" i="1"/>
  <c r="BV61" i="1"/>
  <c r="AN202" i="1"/>
  <c r="AN204" i="1" s="1"/>
  <c r="AN61" i="1"/>
  <c r="AP63" i="1"/>
  <c r="BI128" i="1"/>
  <c r="BI129" i="1" s="1"/>
  <c r="BR63" i="1"/>
  <c r="T70" i="1"/>
  <c r="BJ63" i="1"/>
  <c r="AV63" i="1"/>
  <c r="AU128" i="1"/>
  <c r="AU129" i="1" s="1"/>
  <c r="AU61" i="1"/>
  <c r="AU75" i="1"/>
  <c r="AX78" i="1" s="1"/>
  <c r="AU202" i="1"/>
  <c r="AU204" i="1" s="1"/>
  <c r="AX63" i="1"/>
  <c r="Q70" i="1"/>
  <c r="BV216" i="1"/>
  <c r="BV214" i="1" s="1"/>
  <c r="BX63" i="1"/>
  <c r="BQ75" i="1"/>
  <c r="BQ61" i="1"/>
  <c r="BQ202" i="1"/>
  <c r="BQ204" i="1" s="1"/>
  <c r="BQ128" i="1"/>
  <c r="BQ129" i="1" s="1"/>
  <c r="BS63" i="1"/>
  <c r="BT63" i="1"/>
  <c r="AN75" i="1"/>
  <c r="AN216" i="1"/>
  <c r="AN214" i="1" s="1"/>
  <c r="O70" i="1"/>
  <c r="AN63" i="1"/>
  <c r="BI202" i="1"/>
  <c r="BI204" i="1" s="1"/>
  <c r="BI75" i="1"/>
  <c r="BL78" i="1" s="1"/>
  <c r="BL63" i="1"/>
  <c r="BI61" i="1"/>
  <c r="AW63" i="1"/>
  <c r="V70" i="1"/>
  <c r="BV63" i="1"/>
  <c r="BY63" i="1"/>
  <c r="BL96" i="1"/>
  <c r="BH98" i="1"/>
  <c r="AR78" i="1"/>
  <c r="AI219" i="1"/>
  <c r="AI220" i="1" s="1"/>
  <c r="AY128" i="1"/>
  <c r="AY129" i="1" s="1"/>
  <c r="AY61" i="1"/>
  <c r="AY202" i="1"/>
  <c r="AY204" i="1" s="1"/>
  <c r="AY75" i="1"/>
  <c r="AZ63" i="1"/>
  <c r="BW202" i="1"/>
  <c r="BW204" i="1" s="1"/>
  <c r="BW61" i="1"/>
  <c r="BZ63" i="1"/>
  <c r="BW128" i="1"/>
  <c r="BW129" i="1" s="1"/>
  <c r="BW75" i="1"/>
  <c r="BZ78" i="1" s="1"/>
  <c r="BS103" i="1"/>
  <c r="BS105" i="1"/>
  <c r="BS104" i="1"/>
  <c r="BL216" i="1"/>
  <c r="BL214" i="1" s="1"/>
  <c r="BK216" i="1"/>
  <c r="BK214" i="1" s="1"/>
  <c r="BK138" i="1"/>
  <c r="BK64" i="1" s="1"/>
  <c r="BK101" i="1"/>
  <c r="BD78" i="1"/>
  <c r="BD95" i="1" s="1"/>
  <c r="BC78" i="1"/>
  <c r="AT78" i="1"/>
  <c r="AS78" i="1"/>
  <c r="BP78" i="1"/>
  <c r="BM78" i="1"/>
  <c r="BN78" i="1"/>
  <c r="BO78" i="1"/>
  <c r="BU78" i="1"/>
  <c r="BF78" i="1"/>
  <c r="BE78" i="1"/>
  <c r="BH78" i="1"/>
  <c r="BG78" i="1"/>
  <c r="BG101" i="1"/>
  <c r="BG63" i="1"/>
  <c r="BG216" i="1"/>
  <c r="BG214" i="1" s="1"/>
  <c r="BH216" i="1"/>
  <c r="BH214" i="1" s="1"/>
  <c r="BG138" i="1"/>
  <c r="BG64" i="1" s="1"/>
  <c r="BO216" i="1"/>
  <c r="BO214" i="1" s="1"/>
  <c r="BO138" i="1"/>
  <c r="BO64" i="1" s="1"/>
  <c r="BP216" i="1"/>
  <c r="BP214" i="1" s="1"/>
  <c r="BO101" i="1"/>
  <c r="BO63" i="1"/>
  <c r="BM63" i="1"/>
  <c r="BM216" i="1"/>
  <c r="BM214" i="1" s="1"/>
  <c r="BN216" i="1"/>
  <c r="BN214" i="1" s="1"/>
  <c r="BM138" i="1"/>
  <c r="BM64" i="1" s="1"/>
  <c r="BM101" i="1"/>
  <c r="AS138" i="1"/>
  <c r="AS64" i="1" s="1"/>
  <c r="AS63" i="1"/>
  <c r="AT216" i="1"/>
  <c r="AT214" i="1" s="1"/>
  <c r="AS216" i="1"/>
  <c r="AS214" i="1" s="1"/>
  <c r="AS101" i="1"/>
  <c r="AW104" i="1"/>
  <c r="AW103" i="1"/>
  <c r="AW105" i="1"/>
  <c r="AO138" i="1"/>
  <c r="AO64" i="1" s="1"/>
  <c r="AO216" i="1"/>
  <c r="AO214" i="1" s="1"/>
  <c r="AO63" i="1"/>
  <c r="AP216" i="1"/>
  <c r="AP214" i="1" s="1"/>
  <c r="AO101" i="1"/>
  <c r="AQ63" i="1"/>
  <c r="AQ216" i="1"/>
  <c r="AQ214" i="1" s="1"/>
  <c r="AQ101" i="1"/>
  <c r="AR216" i="1"/>
  <c r="AR214" i="1" s="1"/>
  <c r="AQ138" i="1"/>
  <c r="AQ64" i="1" s="1"/>
  <c r="BA216" i="1"/>
  <c r="BA214" i="1" s="1"/>
  <c r="BA101" i="1"/>
  <c r="BA138" i="1"/>
  <c r="BA64" i="1" s="1"/>
  <c r="BA63" i="1"/>
  <c r="BB216" i="1"/>
  <c r="BB214" i="1" s="1"/>
  <c r="AL94" i="1"/>
  <c r="AL95" i="1"/>
  <c r="AL96" i="1"/>
  <c r="BC63" i="1"/>
  <c r="BC216" i="1"/>
  <c r="BC214" i="1" s="1"/>
  <c r="BD216" i="1"/>
  <c r="BD214" i="1" s="1"/>
  <c r="BC138" i="1"/>
  <c r="BC64" i="1" s="1"/>
  <c r="BC101" i="1"/>
  <c r="BU216" i="1"/>
  <c r="BU214" i="1" s="1"/>
  <c r="BU63" i="1"/>
  <c r="BU101" i="1"/>
  <c r="BU138" i="1"/>
  <c r="BU64" i="1" s="1"/>
  <c r="BE138" i="1"/>
  <c r="BE64" i="1" s="1"/>
  <c r="BE216" i="1"/>
  <c r="BE214" i="1" s="1"/>
  <c r="BF216" i="1"/>
  <c r="BF214" i="1" s="1"/>
  <c r="BE101" i="1"/>
  <c r="BE63" i="1"/>
  <c r="CU41" i="1"/>
  <c r="CU141" i="1" s="1"/>
  <c r="CT147" i="1"/>
  <c r="AD215" i="1"/>
  <c r="AB147" i="1"/>
  <c r="AR119" i="1"/>
  <c r="AR122" i="1" s="1"/>
  <c r="AR120" i="1"/>
  <c r="AR123" i="1" s="1"/>
  <c r="CA236" i="1"/>
  <c r="CB236" i="1"/>
  <c r="W202" i="1"/>
  <c r="W204" i="1" s="1"/>
  <c r="BU236" i="1"/>
  <c r="AX94" i="1" l="1"/>
  <c r="AT98" i="1"/>
  <c r="BL94" i="1"/>
  <c r="BL95" i="1"/>
  <c r="AX96" i="1"/>
  <c r="AX95" i="1"/>
  <c r="BR78" i="1"/>
  <c r="BR96" i="1" s="1"/>
  <c r="BQ78" i="1"/>
  <c r="BT78" i="1"/>
  <c r="BT94" i="1" s="1"/>
  <c r="BS78" i="1"/>
  <c r="AV78" i="1"/>
  <c r="AV95" i="1" s="1"/>
  <c r="BJ78" i="1"/>
  <c r="BJ96" i="1" s="1"/>
  <c r="BI78" i="1"/>
  <c r="BK78" i="1"/>
  <c r="AW78" i="1"/>
  <c r="AQ78" i="1"/>
  <c r="AQ94" i="1" s="1"/>
  <c r="AN78" i="1"/>
  <c r="AP78" i="1"/>
  <c r="AO78" i="1"/>
  <c r="AU78" i="1"/>
  <c r="BQ101" i="1"/>
  <c r="BQ216" i="1"/>
  <c r="BQ214" i="1" s="1"/>
  <c r="BQ138" i="1"/>
  <c r="BQ64" i="1" s="1"/>
  <c r="BQ63" i="1"/>
  <c r="BI138" i="1"/>
  <c r="BI64" i="1" s="1"/>
  <c r="BI63" i="1"/>
  <c r="AU101" i="1"/>
  <c r="AV216" i="1"/>
  <c r="AV214" i="1" s="1"/>
  <c r="BR216" i="1"/>
  <c r="BR214" i="1" s="1"/>
  <c r="BV78" i="1"/>
  <c r="BI101" i="1"/>
  <c r="BI216" i="1"/>
  <c r="BI214" i="1" s="1"/>
  <c r="BJ216" i="1"/>
  <c r="BJ214" i="1" s="1"/>
  <c r="AU63" i="1"/>
  <c r="AU216" i="1"/>
  <c r="AU214" i="1" s="1"/>
  <c r="AU138" i="1"/>
  <c r="AU64" i="1" s="1"/>
  <c r="BF96" i="1"/>
  <c r="BF95" i="1"/>
  <c r="BB98" i="1"/>
  <c r="BF94" i="1"/>
  <c r="AR94" i="1"/>
  <c r="AR98" i="1"/>
  <c r="BN98" i="1"/>
  <c r="BR94" i="1"/>
  <c r="BW78" i="1"/>
  <c r="AY78" i="1"/>
  <c r="BC79" i="1" s="1"/>
  <c r="AZ78" i="1"/>
  <c r="AM98" i="1"/>
  <c r="AQ96" i="1"/>
  <c r="BA78" i="1"/>
  <c r="BA79" i="1" s="1"/>
  <c r="BB78" i="1"/>
  <c r="AR96" i="1"/>
  <c r="AN98" i="1"/>
  <c r="AR95" i="1"/>
  <c r="BJ79" i="1"/>
  <c r="BY78" i="1"/>
  <c r="BX78" i="1"/>
  <c r="CD79" i="1"/>
  <c r="BZ96" i="1"/>
  <c r="BZ95" i="1"/>
  <c r="CC99" i="1" s="1"/>
  <c r="BV98" i="1"/>
  <c r="BZ94" i="1"/>
  <c r="BK103" i="1"/>
  <c r="BK104" i="1"/>
  <c r="BK105" i="1"/>
  <c r="BX216" i="1"/>
  <c r="BX214" i="1" s="1"/>
  <c r="BW138" i="1"/>
  <c r="BW64" i="1" s="1"/>
  <c r="BW63" i="1"/>
  <c r="BW216" i="1"/>
  <c r="BW214" i="1" s="1"/>
  <c r="BW101" i="1"/>
  <c r="AY216" i="1"/>
  <c r="AY214" i="1" s="1"/>
  <c r="AY138" i="1"/>
  <c r="AY64" i="1" s="1"/>
  <c r="AY101" i="1"/>
  <c r="AY63" i="1"/>
  <c r="AZ216" i="1"/>
  <c r="AZ214" i="1" s="1"/>
  <c r="BG94" i="1"/>
  <c r="BG95" i="1"/>
  <c r="BG96" i="1"/>
  <c r="BC98" i="1"/>
  <c r="BK79" i="1"/>
  <c r="AN95" i="1"/>
  <c r="AN94" i="1"/>
  <c r="AN96" i="1"/>
  <c r="AR79" i="1"/>
  <c r="BI98" i="1"/>
  <c r="BM94" i="1"/>
  <c r="BM96" i="1"/>
  <c r="BM95" i="1"/>
  <c r="BQ79" i="1"/>
  <c r="BK94" i="1"/>
  <c r="BK95" i="1"/>
  <c r="BO79" i="1"/>
  <c r="BK96" i="1"/>
  <c r="BG98" i="1"/>
  <c r="BS95" i="1"/>
  <c r="BS94" i="1"/>
  <c r="BS96" i="1"/>
  <c r="BO98" i="1"/>
  <c r="AY98" i="1"/>
  <c r="BG79" i="1"/>
  <c r="BC95" i="1"/>
  <c r="BC96" i="1"/>
  <c r="BC94" i="1"/>
  <c r="BL79" i="1"/>
  <c r="BH96" i="1"/>
  <c r="BH95" i="1"/>
  <c r="BH94" i="1"/>
  <c r="BD98" i="1"/>
  <c r="AU79" i="1"/>
  <c r="AQ79" i="1"/>
  <c r="AQ95" i="1"/>
  <c r="BU94" i="1"/>
  <c r="BU96" i="1"/>
  <c r="BU95" i="1"/>
  <c r="BQ98" i="1"/>
  <c r="BT79" i="1"/>
  <c r="BP96" i="1"/>
  <c r="BP79" i="1"/>
  <c r="BP94" i="1"/>
  <c r="BL98" i="1"/>
  <c r="BP95" i="1"/>
  <c r="BM79" i="1"/>
  <c r="BE98" i="1"/>
  <c r="BI96" i="1"/>
  <c r="BI94" i="1"/>
  <c r="BI95" i="1"/>
  <c r="BP98" i="1"/>
  <c r="BT96" i="1"/>
  <c r="BT95" i="1"/>
  <c r="BX79" i="1"/>
  <c r="AZ98" i="1"/>
  <c r="BD96" i="1"/>
  <c r="BD94" i="1"/>
  <c r="BH79" i="1"/>
  <c r="AO95" i="1"/>
  <c r="AO96" i="1"/>
  <c r="AO94" i="1"/>
  <c r="AS79" i="1"/>
  <c r="AW94" i="1"/>
  <c r="AW96" i="1"/>
  <c r="AW95" i="1"/>
  <c r="AS98" i="1"/>
  <c r="BO95" i="1"/>
  <c r="BO94" i="1"/>
  <c r="BO96" i="1"/>
  <c r="BS79" i="1"/>
  <c r="BK98" i="1"/>
  <c r="AS96" i="1"/>
  <c r="AS94" i="1"/>
  <c r="AS95" i="1"/>
  <c r="AW79" i="1"/>
  <c r="AO98" i="1"/>
  <c r="BF98" i="1"/>
  <c r="BJ94" i="1"/>
  <c r="BN79" i="1"/>
  <c r="BJ95" i="1"/>
  <c r="BU79" i="1"/>
  <c r="BQ96" i="1"/>
  <c r="BQ95" i="1"/>
  <c r="BM98" i="1"/>
  <c r="BQ94" i="1"/>
  <c r="AQ98" i="1"/>
  <c r="AU94" i="1"/>
  <c r="AU96" i="1"/>
  <c r="AU95" i="1"/>
  <c r="AP79" i="1"/>
  <c r="AL98" i="1"/>
  <c r="AP96" i="1"/>
  <c r="AT79" i="1"/>
  <c r="AP95" i="1"/>
  <c r="AP94" i="1"/>
  <c r="BE95" i="1"/>
  <c r="BE96" i="1"/>
  <c r="BA98" i="1"/>
  <c r="BI79" i="1"/>
  <c r="BE94" i="1"/>
  <c r="BR79" i="1"/>
  <c r="BN95" i="1"/>
  <c r="BN94" i="1"/>
  <c r="BJ98" i="1"/>
  <c r="BN96" i="1"/>
  <c r="AT96" i="1"/>
  <c r="AT95" i="1"/>
  <c r="AT94" i="1"/>
  <c r="AX79" i="1"/>
  <c r="AP98" i="1"/>
  <c r="AV96" i="1"/>
  <c r="AV79" i="1"/>
  <c r="AV94" i="1"/>
  <c r="BR95" i="1"/>
  <c r="BV79" i="1"/>
  <c r="AU104" i="1"/>
  <c r="AU105" i="1"/>
  <c r="AU103" i="1"/>
  <c r="BI103" i="1"/>
  <c r="BI104" i="1"/>
  <c r="BI105" i="1"/>
  <c r="BE103" i="1"/>
  <c r="BE105" i="1"/>
  <c r="BE104" i="1"/>
  <c r="BC105" i="1"/>
  <c r="BC104" i="1"/>
  <c r="BC103" i="1"/>
  <c r="BA104" i="1"/>
  <c r="BA105" i="1"/>
  <c r="BA103" i="1"/>
  <c r="AQ104" i="1"/>
  <c r="AQ105" i="1"/>
  <c r="AQ103" i="1"/>
  <c r="AO104" i="1"/>
  <c r="AO105" i="1"/>
  <c r="AO103" i="1"/>
  <c r="AS104" i="1"/>
  <c r="AS105" i="1"/>
  <c r="AS103" i="1"/>
  <c r="BO103" i="1"/>
  <c r="BO104" i="1"/>
  <c r="BO105" i="1"/>
  <c r="BG105" i="1"/>
  <c r="BG104" i="1"/>
  <c r="BG103" i="1"/>
  <c r="BU104" i="1"/>
  <c r="BU103" i="1"/>
  <c r="BU105" i="1"/>
  <c r="BM103" i="1"/>
  <c r="BM104" i="1"/>
  <c r="BM105" i="1"/>
  <c r="BR98" i="1"/>
  <c r="BV94" i="1"/>
  <c r="BV96" i="1"/>
  <c r="BV95" i="1"/>
  <c r="BZ79" i="1"/>
  <c r="BQ105" i="1"/>
  <c r="BQ103" i="1"/>
  <c r="BQ104" i="1"/>
  <c r="CU143" i="1"/>
  <c r="CT212" i="1"/>
  <c r="CT210" i="1" s="1"/>
  <c r="CU203" i="1"/>
  <c r="AB212" i="1"/>
  <c r="AB210" i="1" s="1"/>
  <c r="AE133" i="1"/>
  <c r="CA98" i="1"/>
  <c r="BW79" i="1" l="1"/>
  <c r="BM99" i="1"/>
  <c r="BB79" i="1"/>
  <c r="AZ79" i="1"/>
  <c r="BU99" i="1"/>
  <c r="BY79" i="1"/>
  <c r="BD79" i="1"/>
  <c r="AX98" i="1"/>
  <c r="BB94" i="1"/>
  <c r="BB95" i="1"/>
  <c r="BB96" i="1"/>
  <c r="BF79" i="1"/>
  <c r="BA95" i="1"/>
  <c r="CA79" i="1"/>
  <c r="BW95" i="1"/>
  <c r="BW94" i="1"/>
  <c r="BS98" i="1"/>
  <c r="BW96" i="1"/>
  <c r="BA94" i="1"/>
  <c r="AY79" i="1"/>
  <c r="AX99" i="1"/>
  <c r="BA96" i="1"/>
  <c r="AW98" i="1"/>
  <c r="BE79" i="1"/>
  <c r="BY96" i="1"/>
  <c r="BY94" i="1"/>
  <c r="BU98" i="1"/>
  <c r="BY95" i="1"/>
  <c r="CB99" i="1" s="1"/>
  <c r="CC79" i="1"/>
  <c r="AO99" i="1"/>
  <c r="AV98" i="1"/>
  <c r="AZ95" i="1"/>
  <c r="AZ94" i="1"/>
  <c r="AZ96" i="1"/>
  <c r="BT98" i="1"/>
  <c r="BX95" i="1"/>
  <c r="BX96" i="1"/>
  <c r="CB79" i="1"/>
  <c r="BX94" i="1"/>
  <c r="BQ99" i="1"/>
  <c r="AS99" i="1"/>
  <c r="AY95" i="1"/>
  <c r="AY96" i="1"/>
  <c r="AY94" i="1"/>
  <c r="AU98" i="1"/>
  <c r="AY105" i="1"/>
  <c r="AY103" i="1"/>
  <c r="AY104" i="1"/>
  <c r="BW104" i="1"/>
  <c r="BW103" i="1"/>
  <c r="BW105" i="1"/>
  <c r="BL99" i="1"/>
  <c r="AT99" i="1"/>
  <c r="BI99" i="1"/>
  <c r="BV99" i="1"/>
  <c r="BN99" i="1"/>
  <c r="BH99" i="1"/>
  <c r="BG99" i="1"/>
  <c r="BR99" i="1"/>
  <c r="BS99" i="1"/>
  <c r="BK99" i="1"/>
  <c r="BF99" i="1"/>
  <c r="AW99" i="1"/>
  <c r="AV99" i="1"/>
  <c r="AU99" i="1"/>
  <c r="AR99" i="1"/>
  <c r="AQ99" i="1"/>
  <c r="AP99" i="1"/>
  <c r="BJ99" i="1"/>
  <c r="BT99" i="1"/>
  <c r="BP99" i="1"/>
  <c r="BO99" i="1"/>
  <c r="CF98" i="1"/>
  <c r="BW99" i="1" l="1"/>
  <c r="BX99" i="1"/>
  <c r="AZ99" i="1"/>
  <c r="BB99" i="1"/>
  <c r="BC99" i="1"/>
  <c r="BA99" i="1"/>
  <c r="BD99" i="1"/>
  <c r="BE99" i="1"/>
  <c r="AY99" i="1"/>
  <c r="BY99" i="1"/>
  <c r="BZ99" i="1"/>
  <c r="CA99" i="1"/>
  <c r="CU147" i="1"/>
  <c r="CV41" i="1"/>
  <c r="CV141" i="1" s="1"/>
  <c r="AE134" i="1"/>
  <c r="AE137" i="1" s="1"/>
  <c r="AE258" i="1" s="1"/>
  <c r="CV143" i="1" l="1"/>
  <c r="CV203" i="1"/>
  <c r="CU212" i="1"/>
  <c r="CU210" i="1" s="1"/>
  <c r="AE215" i="1"/>
  <c r="AC147" i="1"/>
  <c r="W129" i="1"/>
  <c r="W63" i="1" l="1"/>
  <c r="AC212" i="1"/>
  <c r="AC210" i="1" s="1"/>
  <c r="X216" i="1"/>
  <c r="X214" i="1" s="1"/>
  <c r="W216" i="1"/>
  <c r="W214" i="1" s="1"/>
  <c r="W138" i="1"/>
  <c r="W64" i="1" s="1"/>
  <c r="W184" i="1"/>
  <c r="CW41" i="1" l="1"/>
  <c r="CW141" i="1" s="1"/>
  <c r="CV147" i="1"/>
  <c r="CW143" i="1" l="1"/>
  <c r="CV212" i="1"/>
  <c r="CV210" i="1" s="1"/>
  <c r="CW203" i="1"/>
  <c r="CW147" i="1" l="1"/>
  <c r="CX41" i="1"/>
  <c r="CX141" i="1" s="1"/>
  <c r="CX143" i="1" l="1"/>
  <c r="AD140" i="1"/>
  <c r="AD41" i="1"/>
  <c r="CX203" i="1"/>
  <c r="CW212" i="1"/>
  <c r="CW210" i="1" s="1"/>
  <c r="AD203" i="1" l="1"/>
  <c r="AD141" i="1"/>
  <c r="AD143" i="1" s="1"/>
  <c r="AD147" i="1" l="1"/>
  <c r="AD212" i="1" s="1"/>
  <c r="AD210" i="1" s="1"/>
  <c r="AD42" i="1"/>
  <c r="CX147" i="1"/>
  <c r="CY41" i="1"/>
  <c r="CY141" i="1" s="1"/>
  <c r="CY143" i="1" l="1"/>
  <c r="CY203" i="1"/>
  <c r="CX212" i="1"/>
  <c r="CX210" i="1" s="1"/>
  <c r="W189" i="1" l="1"/>
  <c r="CY147" i="1" l="1"/>
  <c r="CZ41" i="1"/>
  <c r="CZ141" i="1" s="1"/>
  <c r="W192" i="1"/>
  <c r="W165" i="1"/>
  <c r="X206" i="1" s="1"/>
  <c r="CZ143" i="1" l="1"/>
  <c r="CZ203" i="1"/>
  <c r="CY212" i="1"/>
  <c r="CY210" i="1" s="1"/>
  <c r="W194" i="1"/>
  <c r="W193" i="1" s="1"/>
  <c r="W206" i="1"/>
  <c r="W157" i="1"/>
  <c r="X205" i="1" s="1"/>
  <c r="X207" i="1" s="1"/>
  <c r="X208" i="1" s="1"/>
  <c r="X222" i="1" s="1"/>
  <c r="W188" i="1"/>
  <c r="W191" i="1" l="1"/>
  <c r="W166" i="1"/>
  <c r="W205" i="1"/>
  <c r="W207" i="1" s="1"/>
  <c r="W208" i="1" s="1"/>
  <c r="CZ147" i="1" l="1"/>
  <c r="CZ212" i="1" s="1"/>
  <c r="CZ210" i="1" s="1"/>
  <c r="DA41" i="1"/>
  <c r="DA141" i="1" s="1"/>
  <c r="W190" i="1"/>
  <c r="W195" i="1"/>
  <c r="W219" i="1"/>
  <c r="W222" i="1"/>
  <c r="DA143" i="1" l="1"/>
  <c r="DA203" i="1"/>
  <c r="W198" i="1"/>
  <c r="W199" i="1" s="1"/>
  <c r="X198" i="1"/>
  <c r="X199" i="1" s="1"/>
  <c r="W170" i="1" l="1"/>
  <c r="X218" i="1" l="1"/>
  <c r="X219" i="1" s="1"/>
  <c r="X220" i="1" s="1"/>
  <c r="W255" i="1"/>
  <c r="W257" i="1"/>
  <c r="W253" i="1"/>
  <c r="DA147" i="1"/>
  <c r="DA212" i="1" s="1"/>
  <c r="DA210" i="1" s="1"/>
  <c r="DB41" i="1"/>
  <c r="W177" i="1"/>
  <c r="W118" i="1" s="1"/>
  <c r="W174" i="1"/>
  <c r="W220" i="1"/>
  <c r="AE140" i="1" l="1"/>
  <c r="DB141" i="1"/>
  <c r="DB143" i="1" s="1"/>
  <c r="AE41" i="1"/>
  <c r="AE203" i="1" s="1"/>
  <c r="DB203" i="1"/>
  <c r="W175" i="1"/>
  <c r="DB147" i="1" l="1"/>
  <c r="DB212" i="1" s="1"/>
  <c r="DB210" i="1" s="1"/>
  <c r="AE141" i="1"/>
  <c r="AE143" i="1" s="1"/>
  <c r="C113" i="2"/>
  <c r="C111" i="2"/>
  <c r="C112" i="2"/>
  <c r="AE147" i="1" l="1"/>
  <c r="AE212" i="1" s="1"/>
  <c r="AE210" i="1" s="1"/>
  <c r="AE42" i="1"/>
  <c r="B82" i="1"/>
  <c r="B83" i="1"/>
  <c r="AK188" i="1" l="1"/>
  <c r="AK153" i="1" s="1"/>
  <c r="AM153" i="1" l="1"/>
  <c r="AO153" i="1" l="1"/>
  <c r="AQ153" i="1" l="1"/>
  <c r="AS153" i="1" l="1"/>
  <c r="AU153" i="1" l="1"/>
  <c r="AW153" i="1" l="1"/>
  <c r="AY153" i="1" l="1"/>
  <c r="BA153" i="1" l="1"/>
  <c r="BC153" i="1" l="1"/>
  <c r="BE153" i="1" l="1"/>
  <c r="BG153" i="1" l="1"/>
  <c r="BI153" i="1" l="1"/>
  <c r="BK153" i="1" l="1"/>
  <c r="BM153" i="1" l="1"/>
  <c r="BO153" i="1" l="1"/>
  <c r="BQ153" i="1" l="1"/>
  <c r="BS153" i="1" l="1"/>
  <c r="BU153" i="1" l="1"/>
  <c r="BW153" i="1" l="1"/>
  <c r="BY153" i="1" l="1"/>
  <c r="AK154" i="1" l="1"/>
  <c r="AK157" i="1" s="1"/>
  <c r="AL205" i="1" l="1"/>
  <c r="AK205" i="1"/>
  <c r="AK191" i="1"/>
  <c r="AM154" i="1"/>
  <c r="AM157" i="1" s="1"/>
  <c r="AM191" i="1" l="1"/>
  <c r="AM190" i="1" s="1"/>
  <c r="AN205" i="1"/>
  <c r="AM205" i="1"/>
  <c r="AJ190" i="1"/>
  <c r="AK190" i="1"/>
  <c r="AO154" i="1" l="1"/>
  <c r="AO157" i="1" s="1"/>
  <c r="AP205" i="1" l="1"/>
  <c r="AO191" i="1"/>
  <c r="AO190" i="1" s="1"/>
  <c r="AO205" i="1"/>
  <c r="AQ154" i="1" l="1"/>
  <c r="AQ157" i="1" s="1"/>
  <c r="AQ191" i="1" l="1"/>
  <c r="AQ190" i="1" s="1"/>
  <c r="AR205" i="1"/>
  <c r="AQ205" i="1"/>
  <c r="AS154" i="1" l="1"/>
  <c r="AS157" i="1" s="1"/>
  <c r="AT205" i="1" l="1"/>
  <c r="AS191" i="1"/>
  <c r="AS190" i="1" s="1"/>
  <c r="AS205" i="1"/>
  <c r="AU154" i="1" l="1"/>
  <c r="AU157" i="1" s="1"/>
  <c r="AU191" i="1" l="1"/>
  <c r="AU190" i="1" s="1"/>
  <c r="AV205" i="1"/>
  <c r="AU205" i="1"/>
  <c r="AW154" i="1" l="1"/>
  <c r="AW157" i="1" s="1"/>
  <c r="AW191" i="1" l="1"/>
  <c r="AW190" i="1" s="1"/>
  <c r="AX205" i="1"/>
  <c r="AW205" i="1"/>
  <c r="AY154" i="1" l="1"/>
  <c r="AY157" i="1" s="1"/>
  <c r="AY191" i="1" l="1"/>
  <c r="AY190" i="1" s="1"/>
  <c r="AZ205" i="1"/>
  <c r="AY205" i="1"/>
  <c r="BA154" i="1" l="1"/>
  <c r="BA157" i="1" s="1"/>
  <c r="BB205" i="1" l="1"/>
  <c r="BA191" i="1"/>
  <c r="BA190" i="1" s="1"/>
  <c r="BA205" i="1"/>
  <c r="BC154" i="1" l="1"/>
  <c r="BC157" i="1" s="1"/>
  <c r="BD205" i="1" l="1"/>
  <c r="BC191" i="1"/>
  <c r="BC190" i="1" s="1"/>
  <c r="BC205" i="1"/>
  <c r="BE154" i="1" l="1"/>
  <c r="BE157" i="1" s="1"/>
  <c r="BF205" i="1" l="1"/>
  <c r="BE191" i="1"/>
  <c r="BE190" i="1" s="1"/>
  <c r="BE205" i="1"/>
  <c r="BG154" i="1" l="1"/>
  <c r="BG157" i="1" s="1"/>
  <c r="BG191" i="1" l="1"/>
  <c r="BG190" i="1" s="1"/>
  <c r="BH205" i="1"/>
  <c r="BG205" i="1"/>
  <c r="BI154" i="1" l="1"/>
  <c r="BI157" i="1" s="1"/>
  <c r="BJ205" i="1" l="1"/>
  <c r="BI191" i="1"/>
  <c r="BI190" i="1" s="1"/>
  <c r="BI205" i="1"/>
  <c r="BK154" i="1" l="1"/>
  <c r="BK157" i="1" s="1"/>
  <c r="BL205" i="1" l="1"/>
  <c r="BK191" i="1"/>
  <c r="BK190" i="1" s="1"/>
  <c r="BK205" i="1"/>
  <c r="BM154" i="1" l="1"/>
  <c r="BM157" i="1" s="1"/>
  <c r="BM191" i="1" l="1"/>
  <c r="BM190" i="1" s="1"/>
  <c r="BN205" i="1"/>
  <c r="BM205" i="1"/>
  <c r="BO154" i="1" l="1"/>
  <c r="BO157" i="1" s="1"/>
  <c r="BO191" i="1" l="1"/>
  <c r="BO190" i="1" s="1"/>
  <c r="BP205" i="1"/>
  <c r="BO205" i="1"/>
  <c r="BQ154" i="1" l="1"/>
  <c r="BQ157" i="1" s="1"/>
  <c r="BR205" i="1" l="1"/>
  <c r="BQ191" i="1"/>
  <c r="BQ190" i="1" s="1"/>
  <c r="BQ205" i="1"/>
  <c r="BS154" i="1" l="1"/>
  <c r="BS157" i="1" s="1"/>
  <c r="BT205" i="1" l="1"/>
  <c r="BS191" i="1"/>
  <c r="BS190" i="1" s="1"/>
  <c r="BS205" i="1"/>
  <c r="BU154" i="1" l="1"/>
  <c r="BU157" i="1" s="1"/>
  <c r="BU191" i="1" l="1"/>
  <c r="BU190" i="1" s="1"/>
  <c r="BV205" i="1"/>
  <c r="BU205" i="1"/>
  <c r="BW154" i="1" l="1"/>
  <c r="BW157" i="1" s="1"/>
  <c r="BW191" i="1" l="1"/>
  <c r="BW190" i="1" s="1"/>
  <c r="BX205" i="1"/>
  <c r="BW205" i="1"/>
  <c r="BY154" i="1" l="1"/>
  <c r="BY157" i="1" s="1"/>
  <c r="BZ205" i="1" l="1"/>
  <c r="BY191" i="1"/>
  <c r="BY190" i="1" s="1"/>
  <c r="BY205" i="1"/>
  <c r="AK192" i="1" l="1"/>
  <c r="AK162" i="1" s="1"/>
  <c r="AK165" i="1" s="1"/>
  <c r="AK166" i="1" l="1"/>
  <c r="AK194" i="1"/>
  <c r="AL206" i="1"/>
  <c r="AL207" i="1" s="1"/>
  <c r="AL208" i="1" s="1"/>
  <c r="AL222" i="1" s="1"/>
  <c r="AK206" i="1"/>
  <c r="AK207" i="1" s="1"/>
  <c r="AK208" i="1" s="1"/>
  <c r="AM162" i="1"/>
  <c r="AM165" i="1" s="1"/>
  <c r="AK222" i="1" l="1"/>
  <c r="AK219" i="1"/>
  <c r="AK169" i="1" s="1"/>
  <c r="AK170" i="1" s="1"/>
  <c r="AK174" i="1" s="1"/>
  <c r="AK175" i="1" s="1"/>
  <c r="AN206" i="1"/>
  <c r="AN207" i="1" s="1"/>
  <c r="AN208" i="1" s="1"/>
  <c r="AN222" i="1" s="1"/>
  <c r="AM194" i="1"/>
  <c r="AM193" i="1" s="1"/>
  <c r="AM206" i="1"/>
  <c r="AM207" i="1" s="1"/>
  <c r="AM208" i="1" s="1"/>
  <c r="AM166" i="1"/>
  <c r="AJ193" i="1"/>
  <c r="AJ195" i="1"/>
  <c r="AN198" i="1" s="1"/>
  <c r="AK193" i="1"/>
  <c r="AK195" i="1"/>
  <c r="AO162" i="1"/>
  <c r="AO165" i="1" s="1"/>
  <c r="AM195" i="1" l="1"/>
  <c r="AO194" i="1"/>
  <c r="AO193" i="1" s="1"/>
  <c r="AP206" i="1"/>
  <c r="AP207" i="1" s="1"/>
  <c r="AP208" i="1" s="1"/>
  <c r="AP222" i="1" s="1"/>
  <c r="AO206" i="1"/>
  <c r="AO207" i="1" s="1"/>
  <c r="AO208" i="1" s="1"/>
  <c r="AM222" i="1"/>
  <c r="AM219" i="1"/>
  <c r="AO166" i="1"/>
  <c r="AL218" i="1" l="1"/>
  <c r="AL219" i="1" s="1"/>
  <c r="AL220" i="1" s="1"/>
  <c r="AK220" i="1"/>
  <c r="AO195" i="1"/>
  <c r="AO198" i="1" s="1"/>
  <c r="AO222" i="1"/>
  <c r="AO219" i="1"/>
  <c r="AQ162" i="1"/>
  <c r="AQ165" i="1" s="1"/>
  <c r="AK177" i="1"/>
  <c r="AL46" i="1" s="1"/>
  <c r="AM169" i="1"/>
  <c r="AM170" i="1" s="1"/>
  <c r="AM174" i="1" s="1"/>
  <c r="AN218" i="1" l="1"/>
  <c r="AN219" i="1" s="1"/>
  <c r="AN220" i="1" s="1"/>
  <c r="AM257" i="1"/>
  <c r="AM255" i="1"/>
  <c r="AM253" i="1"/>
  <c r="AQ194" i="1"/>
  <c r="AQ193" i="1" s="1"/>
  <c r="AR206" i="1"/>
  <c r="AR207" i="1" s="1"/>
  <c r="AR208" i="1" s="1"/>
  <c r="AR222" i="1" s="1"/>
  <c r="AQ206" i="1"/>
  <c r="AQ207" i="1" s="1"/>
  <c r="AQ208" i="1" s="1"/>
  <c r="AM220" i="1"/>
  <c r="AQ166" i="1"/>
  <c r="AO169" i="1"/>
  <c r="AO170" i="1" s="1"/>
  <c r="AM177" i="1"/>
  <c r="AO255" i="1" l="1"/>
  <c r="AO257" i="1"/>
  <c r="AO253" i="1"/>
  <c r="AM118" i="1"/>
  <c r="AM119" i="1" s="1"/>
  <c r="AM122" i="1" s="1"/>
  <c r="AN46" i="1"/>
  <c r="AQ195" i="1"/>
  <c r="AQ198" i="1" s="1"/>
  <c r="AQ222" i="1"/>
  <c r="AQ219" i="1"/>
  <c r="AP218" i="1"/>
  <c r="AP219" i="1" s="1"/>
  <c r="AP220" i="1" s="1"/>
  <c r="AO220" i="1"/>
  <c r="AS162" i="1"/>
  <c r="AS165" i="1" s="1"/>
  <c r="AO177" i="1"/>
  <c r="AO174" i="1"/>
  <c r="AM175" i="1"/>
  <c r="AM120" i="1" l="1"/>
  <c r="AM123" i="1" s="1"/>
  <c r="AO118" i="1"/>
  <c r="AO120" i="1" s="1"/>
  <c r="AO123" i="1" s="1"/>
  <c r="AP46" i="1"/>
  <c r="AS194" i="1"/>
  <c r="AS193" i="1" s="1"/>
  <c r="AT206" i="1"/>
  <c r="AT207" i="1" s="1"/>
  <c r="AT208" i="1" s="1"/>
  <c r="AT222" i="1" s="1"/>
  <c r="AS206" i="1"/>
  <c r="AS207" i="1" s="1"/>
  <c r="AS208" i="1" s="1"/>
  <c r="AO175" i="1"/>
  <c r="AS166" i="1"/>
  <c r="AQ169" i="1"/>
  <c r="AQ170" i="1" s="1"/>
  <c r="AQ255" i="1" l="1"/>
  <c r="AQ257" i="1"/>
  <c r="AQ253" i="1"/>
  <c r="AO119" i="1"/>
  <c r="AO122" i="1" s="1"/>
  <c r="AS195" i="1"/>
  <c r="AS198" i="1" s="1"/>
  <c r="AS222" i="1"/>
  <c r="AS219" i="1"/>
  <c r="AR218" i="1"/>
  <c r="AR219" i="1" s="1"/>
  <c r="AR220" i="1" s="1"/>
  <c r="AQ220" i="1"/>
  <c r="AQ174" i="1"/>
  <c r="AQ177" i="1"/>
  <c r="AU162" i="1"/>
  <c r="AU165" i="1" s="1"/>
  <c r="AQ118" i="1" l="1"/>
  <c r="AQ119" i="1" s="1"/>
  <c r="AQ122" i="1" s="1"/>
  <c r="AR46" i="1"/>
  <c r="AU194" i="1"/>
  <c r="AU193" i="1" s="1"/>
  <c r="AV206" i="1"/>
  <c r="AV207" i="1" s="1"/>
  <c r="AV208" i="1" s="1"/>
  <c r="AV222" i="1" s="1"/>
  <c r="AU206" i="1"/>
  <c r="AU207" i="1" s="1"/>
  <c r="AU208" i="1" s="1"/>
  <c r="AU166" i="1"/>
  <c r="AS169" i="1"/>
  <c r="AS170" i="1" s="1"/>
  <c r="AQ175" i="1"/>
  <c r="AS257" i="1" l="1"/>
  <c r="AS255" i="1"/>
  <c r="AS253" i="1"/>
  <c r="AQ120" i="1"/>
  <c r="AQ123" i="1" s="1"/>
  <c r="AU195" i="1"/>
  <c r="AU198" i="1" s="1"/>
  <c r="AU222" i="1"/>
  <c r="AU219" i="1"/>
  <c r="AT218" i="1"/>
  <c r="AT219" i="1" s="1"/>
  <c r="AT220" i="1" s="1"/>
  <c r="AS220" i="1"/>
  <c r="AS177" i="1"/>
  <c r="AS174" i="1"/>
  <c r="AW162" i="1"/>
  <c r="AW165" i="1" s="1"/>
  <c r="AS118" i="1" l="1"/>
  <c r="AS119" i="1" s="1"/>
  <c r="AS122" i="1" s="1"/>
  <c r="AT46" i="1"/>
  <c r="AW194" i="1"/>
  <c r="AW195" i="1" s="1"/>
  <c r="AW198" i="1" s="1"/>
  <c r="AX206" i="1"/>
  <c r="AX207" i="1" s="1"/>
  <c r="AX208" i="1" s="1"/>
  <c r="AX222" i="1" s="1"/>
  <c r="AW206" i="1"/>
  <c r="AW207" i="1" s="1"/>
  <c r="AW208" i="1" s="1"/>
  <c r="AU169" i="1"/>
  <c r="AU170" i="1" s="1"/>
  <c r="AS175" i="1"/>
  <c r="AW166" i="1"/>
  <c r="AU257" i="1" l="1"/>
  <c r="AU255" i="1"/>
  <c r="AU253" i="1"/>
  <c r="AS120" i="1"/>
  <c r="AS123" i="1" s="1"/>
  <c r="AW193" i="1"/>
  <c r="AW222" i="1"/>
  <c r="AW219" i="1"/>
  <c r="AV218" i="1"/>
  <c r="AV219" i="1" s="1"/>
  <c r="AV220" i="1" s="1"/>
  <c r="AU220" i="1"/>
  <c r="AU177" i="1"/>
  <c r="AU174" i="1"/>
  <c r="AY162" i="1"/>
  <c r="AY165" i="1" s="1"/>
  <c r="AU118" i="1" l="1"/>
  <c r="AU120" i="1" s="1"/>
  <c r="AU123" i="1" s="1"/>
  <c r="AV46" i="1"/>
  <c r="AY194" i="1"/>
  <c r="AY193" i="1" s="1"/>
  <c r="AZ206" i="1"/>
  <c r="AZ207" i="1" s="1"/>
  <c r="AZ208" i="1" s="1"/>
  <c r="AZ222" i="1" s="1"/>
  <c r="AY206" i="1"/>
  <c r="AY207" i="1" s="1"/>
  <c r="AY208" i="1" s="1"/>
  <c r="AW169" i="1"/>
  <c r="AW170" i="1" s="1"/>
  <c r="AY166" i="1"/>
  <c r="AU175" i="1"/>
  <c r="AW255" i="1" l="1"/>
  <c r="AW257" i="1"/>
  <c r="AW253" i="1"/>
  <c r="AU119" i="1"/>
  <c r="AU122" i="1" s="1"/>
  <c r="AY195" i="1"/>
  <c r="AY198" i="1" s="1"/>
  <c r="AY222" i="1"/>
  <c r="AY219" i="1"/>
  <c r="AX218" i="1"/>
  <c r="AX219" i="1" s="1"/>
  <c r="AX220" i="1" s="1"/>
  <c r="AW220" i="1"/>
  <c r="BA162" i="1"/>
  <c r="BA165" i="1" s="1"/>
  <c r="AW174" i="1"/>
  <c r="AW177" i="1"/>
  <c r="AW118" i="1" l="1"/>
  <c r="AW120" i="1" s="1"/>
  <c r="AW123" i="1" s="1"/>
  <c r="AX46" i="1"/>
  <c r="BB206" i="1"/>
  <c r="BB207" i="1" s="1"/>
  <c r="BB208" i="1" s="1"/>
  <c r="BB222" i="1" s="1"/>
  <c r="BA194" i="1"/>
  <c r="BA193" i="1" s="1"/>
  <c r="BA206" i="1"/>
  <c r="BA207" i="1" s="1"/>
  <c r="BA208" i="1" s="1"/>
  <c r="AW175" i="1"/>
  <c r="BA166" i="1"/>
  <c r="AY169" i="1"/>
  <c r="AY170" i="1" s="1"/>
  <c r="AY255" i="1" l="1"/>
  <c r="AY257" i="1"/>
  <c r="AY253" i="1"/>
  <c r="AW119" i="1"/>
  <c r="AW122" i="1" s="1"/>
  <c r="BA195" i="1"/>
  <c r="BA198" i="1" s="1"/>
  <c r="BA222" i="1"/>
  <c r="BA219" i="1"/>
  <c r="AZ218" i="1"/>
  <c r="AZ219" i="1" s="1"/>
  <c r="AZ220" i="1" s="1"/>
  <c r="AY220" i="1"/>
  <c r="AY174" i="1"/>
  <c r="AY177" i="1"/>
  <c r="BC162" i="1"/>
  <c r="BC165" i="1" s="1"/>
  <c r="AY118" i="1" l="1"/>
  <c r="AY120" i="1" s="1"/>
  <c r="AY123" i="1" s="1"/>
  <c r="AZ46" i="1"/>
  <c r="BC194" i="1"/>
  <c r="BC193" i="1" s="1"/>
  <c r="BD206" i="1"/>
  <c r="BD207" i="1" s="1"/>
  <c r="BD208" i="1" s="1"/>
  <c r="BD222" i="1" s="1"/>
  <c r="BC206" i="1"/>
  <c r="BC207" i="1" s="1"/>
  <c r="BC208" i="1" s="1"/>
  <c r="AY175" i="1"/>
  <c r="BC166" i="1"/>
  <c r="BA169" i="1"/>
  <c r="BA170" i="1" s="1"/>
  <c r="BA257" i="1" l="1"/>
  <c r="BA255" i="1"/>
  <c r="BA253" i="1"/>
  <c r="AY119" i="1"/>
  <c r="AY122" i="1" s="1"/>
  <c r="BC195" i="1"/>
  <c r="BC198" i="1" s="1"/>
  <c r="BC222" i="1"/>
  <c r="BC219" i="1"/>
  <c r="BB218" i="1"/>
  <c r="BB219" i="1" s="1"/>
  <c r="BB220" i="1" s="1"/>
  <c r="BA220" i="1"/>
  <c r="BE162" i="1"/>
  <c r="BE165" i="1" s="1"/>
  <c r="BA177" i="1"/>
  <c r="BA174" i="1"/>
  <c r="BA118" i="1" l="1"/>
  <c r="BA119" i="1" s="1"/>
  <c r="BA122" i="1" s="1"/>
  <c r="BB46" i="1"/>
  <c r="BE194" i="1"/>
  <c r="BE193" i="1" s="1"/>
  <c r="BF206" i="1"/>
  <c r="BF207" i="1" s="1"/>
  <c r="BF208" i="1" s="1"/>
  <c r="BF222" i="1" s="1"/>
  <c r="BE206" i="1"/>
  <c r="BE207" i="1" s="1"/>
  <c r="BE208" i="1" s="1"/>
  <c r="BC169" i="1"/>
  <c r="BC170" i="1" s="1"/>
  <c r="BA175" i="1"/>
  <c r="BE166" i="1"/>
  <c r="BC257" i="1" l="1"/>
  <c r="BC255" i="1"/>
  <c r="BC253" i="1"/>
  <c r="BA120" i="1"/>
  <c r="BA123" i="1" s="1"/>
  <c r="BE195" i="1"/>
  <c r="BE198" i="1" s="1"/>
  <c r="BE222" i="1"/>
  <c r="BE219" i="1"/>
  <c r="BD218" i="1"/>
  <c r="BD219" i="1" s="1"/>
  <c r="BD220" i="1" s="1"/>
  <c r="BC220" i="1"/>
  <c r="BG162" i="1"/>
  <c r="BG165" i="1" s="1"/>
  <c r="BC174" i="1"/>
  <c r="BC177" i="1"/>
  <c r="BC118" i="1" l="1"/>
  <c r="BC119" i="1" s="1"/>
  <c r="BC122" i="1" s="1"/>
  <c r="BD46" i="1"/>
  <c r="BG194" i="1"/>
  <c r="BG195" i="1" s="1"/>
  <c r="BG198" i="1" s="1"/>
  <c r="BH206" i="1"/>
  <c r="BH207" i="1" s="1"/>
  <c r="BH208" i="1" s="1"/>
  <c r="BH222" i="1" s="1"/>
  <c r="BG206" i="1"/>
  <c r="BG207" i="1" s="1"/>
  <c r="BG208" i="1" s="1"/>
  <c r="BC175" i="1"/>
  <c r="BE169" i="1"/>
  <c r="BE170" i="1" s="1"/>
  <c r="BG166" i="1"/>
  <c r="BE255" i="1" l="1"/>
  <c r="BE257" i="1"/>
  <c r="BE253" i="1"/>
  <c r="BC120" i="1"/>
  <c r="BC123" i="1" s="1"/>
  <c r="BG193" i="1"/>
  <c r="BG222" i="1"/>
  <c r="BG219" i="1"/>
  <c r="BF218" i="1"/>
  <c r="BF219" i="1" s="1"/>
  <c r="BF220" i="1" s="1"/>
  <c r="BE220" i="1"/>
  <c r="BE177" i="1"/>
  <c r="BE174" i="1"/>
  <c r="BI162" i="1"/>
  <c r="BI165" i="1" s="1"/>
  <c r="BE118" i="1" l="1"/>
  <c r="BE119" i="1" s="1"/>
  <c r="BE122" i="1" s="1"/>
  <c r="BF46" i="1"/>
  <c r="BI194" i="1"/>
  <c r="BI193" i="1" s="1"/>
  <c r="BJ206" i="1"/>
  <c r="BJ207" i="1" s="1"/>
  <c r="BJ208" i="1" s="1"/>
  <c r="BJ222" i="1" s="1"/>
  <c r="BI206" i="1"/>
  <c r="BI207" i="1" s="1"/>
  <c r="BI208" i="1" s="1"/>
  <c r="BE175" i="1"/>
  <c r="BG169" i="1"/>
  <c r="BG170" i="1" s="1"/>
  <c r="BI166" i="1"/>
  <c r="BG255" i="1" l="1"/>
  <c r="BG257" i="1"/>
  <c r="BG253" i="1"/>
  <c r="BE120" i="1"/>
  <c r="BE123" i="1" s="1"/>
  <c r="BI195" i="1"/>
  <c r="BI198" i="1" s="1"/>
  <c r="BI222" i="1"/>
  <c r="BI219" i="1"/>
  <c r="BH218" i="1"/>
  <c r="BH219" i="1" s="1"/>
  <c r="BH220" i="1" s="1"/>
  <c r="BG220" i="1"/>
  <c r="BG174" i="1"/>
  <c r="BG177" i="1"/>
  <c r="BK162" i="1"/>
  <c r="BK165" i="1" s="1"/>
  <c r="BG118" i="1" l="1"/>
  <c r="BG119" i="1" s="1"/>
  <c r="BG122" i="1" s="1"/>
  <c r="BH46" i="1"/>
  <c r="BL206" i="1"/>
  <c r="BL207" i="1" s="1"/>
  <c r="BL208" i="1" s="1"/>
  <c r="BL222" i="1" s="1"/>
  <c r="BK194" i="1"/>
  <c r="BK193" i="1" s="1"/>
  <c r="BK206" i="1"/>
  <c r="BK207" i="1" s="1"/>
  <c r="BK208" i="1" s="1"/>
  <c r="BK166" i="1"/>
  <c r="BG175" i="1"/>
  <c r="BI169" i="1"/>
  <c r="BI170" i="1" s="1"/>
  <c r="BI257" i="1" l="1"/>
  <c r="BI255" i="1"/>
  <c r="BI253" i="1"/>
  <c r="BG120" i="1"/>
  <c r="BG123" i="1" s="1"/>
  <c r="BK195" i="1"/>
  <c r="BK198" i="1" s="1"/>
  <c r="BK222" i="1"/>
  <c r="BK219" i="1"/>
  <c r="BJ218" i="1"/>
  <c r="BJ219" i="1" s="1"/>
  <c r="BJ220" i="1" s="1"/>
  <c r="BI220" i="1"/>
  <c r="BI177" i="1"/>
  <c r="BI174" i="1"/>
  <c r="BM162" i="1"/>
  <c r="BM165" i="1" s="1"/>
  <c r="BI118" i="1" l="1"/>
  <c r="BI120" i="1" s="1"/>
  <c r="BI123" i="1" s="1"/>
  <c r="BJ46" i="1"/>
  <c r="BM194" i="1"/>
  <c r="BM193" i="1" s="1"/>
  <c r="BN206" i="1"/>
  <c r="BN207" i="1" s="1"/>
  <c r="BN208" i="1" s="1"/>
  <c r="BN222" i="1" s="1"/>
  <c r="BM206" i="1"/>
  <c r="BM207" i="1" s="1"/>
  <c r="BM208" i="1" s="1"/>
  <c r="BM166" i="1"/>
  <c r="BI175" i="1"/>
  <c r="BK169" i="1"/>
  <c r="BK170" i="1" s="1"/>
  <c r="BK257" i="1" l="1"/>
  <c r="BK255" i="1"/>
  <c r="BK253" i="1"/>
  <c r="BI119" i="1"/>
  <c r="BI122" i="1" s="1"/>
  <c r="BM195" i="1"/>
  <c r="BM198" i="1" s="1"/>
  <c r="BM222" i="1"/>
  <c r="BM219" i="1"/>
  <c r="BL218" i="1"/>
  <c r="BL219" i="1" s="1"/>
  <c r="BL220" i="1" s="1"/>
  <c r="BK220" i="1"/>
  <c r="BK177" i="1"/>
  <c r="BK174" i="1"/>
  <c r="BO162" i="1"/>
  <c r="BO165" i="1" s="1"/>
  <c r="BK118" i="1" l="1"/>
  <c r="BK120" i="1" s="1"/>
  <c r="BK123" i="1" s="1"/>
  <c r="BL46" i="1"/>
  <c r="BO194" i="1"/>
  <c r="BO193" i="1" s="1"/>
  <c r="BP206" i="1"/>
  <c r="BP207" i="1" s="1"/>
  <c r="BP208" i="1" s="1"/>
  <c r="BP222" i="1" s="1"/>
  <c r="BO206" i="1"/>
  <c r="BO207" i="1" s="1"/>
  <c r="BO208" i="1" s="1"/>
  <c r="BM169" i="1"/>
  <c r="BM170" i="1" s="1"/>
  <c r="BK175" i="1"/>
  <c r="BO166" i="1"/>
  <c r="BM255" i="1" l="1"/>
  <c r="BM257" i="1"/>
  <c r="BM253" i="1"/>
  <c r="BK119" i="1"/>
  <c r="BK122" i="1" s="1"/>
  <c r="BO195" i="1"/>
  <c r="BO198" i="1" s="1"/>
  <c r="BO222" i="1"/>
  <c r="BO219" i="1"/>
  <c r="BN218" i="1"/>
  <c r="BN219" i="1" s="1"/>
  <c r="BN220" i="1" s="1"/>
  <c r="BM220" i="1"/>
  <c r="BM174" i="1"/>
  <c r="BM177" i="1"/>
  <c r="BQ162" i="1"/>
  <c r="BQ165" i="1" s="1"/>
  <c r="BM118" i="1" l="1"/>
  <c r="BM119" i="1" s="1"/>
  <c r="BM122" i="1" s="1"/>
  <c r="BN46" i="1"/>
  <c r="BQ194" i="1"/>
  <c r="BQ193" i="1" s="1"/>
  <c r="BR206" i="1"/>
  <c r="BR207" i="1" s="1"/>
  <c r="BR208" i="1" s="1"/>
  <c r="BR222" i="1" s="1"/>
  <c r="BQ206" i="1"/>
  <c r="BQ207" i="1" s="1"/>
  <c r="BQ208" i="1" s="1"/>
  <c r="BO169" i="1"/>
  <c r="BO170" i="1" s="1"/>
  <c r="BQ166" i="1"/>
  <c r="BM175" i="1"/>
  <c r="BO255" i="1" l="1"/>
  <c r="BO257" i="1"/>
  <c r="BO253" i="1"/>
  <c r="BM120" i="1"/>
  <c r="BM123" i="1" s="1"/>
  <c r="BQ195" i="1"/>
  <c r="BQ198" i="1" s="1"/>
  <c r="BQ222" i="1"/>
  <c r="BQ219" i="1"/>
  <c r="BP218" i="1"/>
  <c r="BP219" i="1" s="1"/>
  <c r="BP220" i="1" s="1"/>
  <c r="BO220" i="1"/>
  <c r="BS162" i="1"/>
  <c r="BS165" i="1" s="1"/>
  <c r="BO174" i="1"/>
  <c r="BO177" i="1"/>
  <c r="BO118" i="1" l="1"/>
  <c r="BO119" i="1" s="1"/>
  <c r="BO122" i="1" s="1"/>
  <c r="BP46" i="1"/>
  <c r="BS194" i="1"/>
  <c r="BS193" i="1" s="1"/>
  <c r="BT206" i="1"/>
  <c r="BT207" i="1" s="1"/>
  <c r="BT208" i="1" s="1"/>
  <c r="BT222" i="1" s="1"/>
  <c r="BS206" i="1"/>
  <c r="BS207" i="1" s="1"/>
  <c r="BS208" i="1" s="1"/>
  <c r="BO175" i="1"/>
  <c r="BS166" i="1"/>
  <c r="BQ169" i="1"/>
  <c r="BQ170" i="1" s="1"/>
  <c r="BQ257" i="1" l="1"/>
  <c r="BQ255" i="1"/>
  <c r="BQ253" i="1"/>
  <c r="BO120" i="1"/>
  <c r="BO123" i="1" s="1"/>
  <c r="BS195" i="1"/>
  <c r="BS198" i="1" s="1"/>
  <c r="BS222" i="1"/>
  <c r="BS219" i="1"/>
  <c r="BR218" i="1"/>
  <c r="BR219" i="1" s="1"/>
  <c r="BR220" i="1" s="1"/>
  <c r="BQ220" i="1"/>
  <c r="BQ174" i="1"/>
  <c r="BQ177" i="1"/>
  <c r="BU162" i="1"/>
  <c r="BU165" i="1" s="1"/>
  <c r="BQ118" i="1" l="1"/>
  <c r="BQ119" i="1" s="1"/>
  <c r="BQ122" i="1" s="1"/>
  <c r="BR46" i="1"/>
  <c r="BU194" i="1"/>
  <c r="BU193" i="1" s="1"/>
  <c r="BV206" i="1"/>
  <c r="BV207" i="1" s="1"/>
  <c r="BV208" i="1" s="1"/>
  <c r="BV222" i="1" s="1"/>
  <c r="BU206" i="1"/>
  <c r="BU207" i="1" s="1"/>
  <c r="BU208" i="1" s="1"/>
  <c r="BS169" i="1"/>
  <c r="BS170" i="1" s="1"/>
  <c r="BQ175" i="1"/>
  <c r="BU166" i="1"/>
  <c r="BS257" i="1" l="1"/>
  <c r="BS255" i="1"/>
  <c r="BS253" i="1"/>
  <c r="BQ120" i="1"/>
  <c r="BQ123" i="1" s="1"/>
  <c r="BU195" i="1"/>
  <c r="BU198" i="1" s="1"/>
  <c r="BU222" i="1"/>
  <c r="BU219" i="1"/>
  <c r="BT218" i="1"/>
  <c r="BT219" i="1" s="1"/>
  <c r="BT220" i="1" s="1"/>
  <c r="BS220" i="1"/>
  <c r="BS174" i="1"/>
  <c r="BS177" i="1"/>
  <c r="BW162" i="1"/>
  <c r="BW165" i="1" s="1"/>
  <c r="BS118" i="1" l="1"/>
  <c r="BS120" i="1" s="1"/>
  <c r="BS123" i="1" s="1"/>
  <c r="BT46" i="1"/>
  <c r="BW194" i="1"/>
  <c r="BW193" i="1" s="1"/>
  <c r="BX206" i="1"/>
  <c r="BX207" i="1" s="1"/>
  <c r="BX208" i="1" s="1"/>
  <c r="BX222" i="1" s="1"/>
  <c r="BW206" i="1"/>
  <c r="BW207" i="1" s="1"/>
  <c r="BW208" i="1" s="1"/>
  <c r="BW166" i="1"/>
  <c r="BS175" i="1"/>
  <c r="BU169" i="1"/>
  <c r="BU170" i="1" s="1"/>
  <c r="BU255" i="1" l="1"/>
  <c r="BU257" i="1"/>
  <c r="BU253" i="1"/>
  <c r="BS119" i="1"/>
  <c r="BS122" i="1" s="1"/>
  <c r="BW195" i="1"/>
  <c r="BW198" i="1" s="1"/>
  <c r="BW222" i="1"/>
  <c r="BW219" i="1"/>
  <c r="BV218" i="1"/>
  <c r="BV219" i="1" s="1"/>
  <c r="BV220" i="1" s="1"/>
  <c r="BU220" i="1"/>
  <c r="BU174" i="1"/>
  <c r="BU177" i="1"/>
  <c r="BY162" i="1"/>
  <c r="BY165" i="1" s="1"/>
  <c r="BU118" i="1" l="1"/>
  <c r="BU120" i="1" s="1"/>
  <c r="BU123" i="1" s="1"/>
  <c r="BV46" i="1"/>
  <c r="BZ206" i="1"/>
  <c r="BZ207" i="1" s="1"/>
  <c r="BZ208" i="1" s="1"/>
  <c r="BZ222" i="1" s="1"/>
  <c r="BY194" i="1"/>
  <c r="BY193" i="1" s="1"/>
  <c r="BY206" i="1"/>
  <c r="BY207" i="1" s="1"/>
  <c r="BY208" i="1" s="1"/>
  <c r="BW169" i="1"/>
  <c r="BW170" i="1" s="1"/>
  <c r="BY166" i="1"/>
  <c r="BU175" i="1"/>
  <c r="BW255" i="1" l="1"/>
  <c r="BW257" i="1"/>
  <c r="BW253" i="1"/>
  <c r="BU119" i="1"/>
  <c r="BU122" i="1" s="1"/>
  <c r="BY195" i="1"/>
  <c r="BY198" i="1" s="1"/>
  <c r="BY222" i="1"/>
  <c r="BY219" i="1"/>
  <c r="BX218" i="1"/>
  <c r="BX219" i="1" s="1"/>
  <c r="BX220" i="1" s="1"/>
  <c r="BW220" i="1"/>
  <c r="BW174" i="1"/>
  <c r="BW177" i="1"/>
  <c r="BW118" i="1" l="1"/>
  <c r="BW120" i="1" s="1"/>
  <c r="BW123" i="1" s="1"/>
  <c r="BX46" i="1"/>
  <c r="BW175" i="1"/>
  <c r="BY169" i="1"/>
  <c r="BY170" i="1" s="1"/>
  <c r="BY257" i="1" l="1"/>
  <c r="BY255" i="1"/>
  <c r="BY253" i="1"/>
  <c r="BW119" i="1"/>
  <c r="BW122" i="1" s="1"/>
  <c r="BZ218" i="1"/>
  <c r="BZ219" i="1" s="1"/>
  <c r="BZ220" i="1" s="1"/>
  <c r="BY220" i="1"/>
  <c r="BY177" i="1"/>
  <c r="BY174" i="1"/>
  <c r="BY118" i="1" l="1"/>
  <c r="BY119" i="1" s="1"/>
  <c r="BY122" i="1" s="1"/>
  <c r="BZ46" i="1"/>
  <c r="BY175" i="1"/>
  <c r="CC154" i="1"/>
  <c r="CC153" i="1"/>
  <c r="CA153" i="1"/>
  <c r="CA162" i="1"/>
  <c r="CA165" i="1" s="1"/>
  <c r="CA154" i="1"/>
  <c r="BY120" i="1" l="1"/>
  <c r="BY123" i="1" s="1"/>
  <c r="CA157" i="1"/>
  <c r="CA191" i="1" s="1"/>
  <c r="CA190" i="1" s="1"/>
  <c r="CB206" i="1"/>
  <c r="CA194" i="1"/>
  <c r="CA193" i="1" s="1"/>
  <c r="CA206" i="1"/>
  <c r="CC162" i="1"/>
  <c r="CC165" i="1" s="1"/>
  <c r="CC157" i="1"/>
  <c r="CA166" i="1" l="1"/>
  <c r="CA205" i="1"/>
  <c r="CA207" i="1" s="1"/>
  <c r="CA208" i="1" s="1"/>
  <c r="CA222" i="1" s="1"/>
  <c r="CB205" i="1"/>
  <c r="CB207" i="1" s="1"/>
  <c r="CB208" i="1" s="1"/>
  <c r="CB222" i="1" s="1"/>
  <c r="CA195" i="1"/>
  <c r="CD205" i="1"/>
  <c r="CC191" i="1"/>
  <c r="CC190" i="1" s="1"/>
  <c r="CC205" i="1"/>
  <c r="CC194" i="1"/>
  <c r="CC193" i="1" s="1"/>
  <c r="CD206" i="1"/>
  <c r="CC206" i="1"/>
  <c r="CC166" i="1"/>
  <c r="CA198" i="1" l="1"/>
  <c r="CE198" i="1"/>
  <c r="CC207" i="1"/>
  <c r="CC208" i="1" s="1"/>
  <c r="CC222" i="1" s="1"/>
  <c r="CD207" i="1"/>
  <c r="CD208" i="1" s="1"/>
  <c r="CD222" i="1" s="1"/>
  <c r="CA219" i="1"/>
  <c r="CA169" i="1" s="1"/>
  <c r="CA170" i="1" s="1"/>
  <c r="CC195" i="1"/>
  <c r="CA257" i="1" l="1"/>
  <c r="CA255" i="1"/>
  <c r="CA253" i="1"/>
  <c r="CC198" i="1"/>
  <c r="CG198" i="1"/>
  <c r="CC219" i="1"/>
  <c r="CC169" i="1" s="1"/>
  <c r="CC170" i="1" s="1"/>
  <c r="CB218" i="1"/>
  <c r="CB219" i="1" s="1"/>
  <c r="CB220" i="1" s="1"/>
  <c r="CA220" i="1"/>
  <c r="CA177" i="1"/>
  <c r="CA174" i="1"/>
  <c r="CC255" i="1" l="1"/>
  <c r="CC257" i="1"/>
  <c r="CC253" i="1"/>
  <c r="CA118" i="1"/>
  <c r="CA119" i="1" s="1"/>
  <c r="CA122" i="1" s="1"/>
  <c r="CB46" i="1"/>
  <c r="CD218" i="1"/>
  <c r="CD219" i="1" s="1"/>
  <c r="CD220" i="1" s="1"/>
  <c r="CC220" i="1"/>
  <c r="CC174" i="1"/>
  <c r="CC177" i="1"/>
  <c r="CA175" i="1"/>
  <c r="CA120" i="1" l="1"/>
  <c r="CA123" i="1" s="1"/>
  <c r="CC118" i="1"/>
  <c r="CC119" i="1" s="1"/>
  <c r="CC122" i="1" s="1"/>
  <c r="CD46" i="1"/>
  <c r="CC175" i="1"/>
  <c r="CC120" i="1" l="1"/>
  <c r="CC123" i="1" s="1"/>
  <c r="CE98" i="1"/>
  <c r="CD98" i="1"/>
  <c r="CC98" i="1"/>
  <c r="CB98" i="1"/>
  <c r="CI154" i="1" l="1"/>
  <c r="CI162" i="1"/>
  <c r="CI165" i="1" s="1"/>
  <c r="CI153" i="1"/>
  <c r="CJ206" i="1" l="1"/>
  <c r="CI157" i="1"/>
  <c r="CI206" i="1"/>
  <c r="CJ205" i="1" l="1"/>
  <c r="CJ207" i="1" s="1"/>
  <c r="CJ208" i="1" s="1"/>
  <c r="CJ222" i="1" s="1"/>
  <c r="CI166" i="1"/>
  <c r="CI205" i="1"/>
  <c r="CI207" i="1" s="1"/>
  <c r="CI208" i="1" s="1"/>
  <c r="CI222" i="1" s="1"/>
  <c r="CI195" i="1" l="1"/>
  <c r="CI198" i="1" s="1"/>
  <c r="CI219" i="1"/>
  <c r="CI169" i="1" s="1"/>
  <c r="CI170" i="1" s="1"/>
  <c r="CI257" i="1" l="1"/>
  <c r="CI255" i="1"/>
  <c r="CI253" i="1"/>
  <c r="CI220" i="1"/>
  <c r="CJ218" i="1"/>
  <c r="CJ219" i="1" s="1"/>
  <c r="CI177" i="1"/>
  <c r="CI174" i="1"/>
  <c r="CI118" i="1" l="1"/>
  <c r="CI120" i="1" s="1"/>
  <c r="CI123" i="1" s="1"/>
  <c r="CJ46" i="1"/>
  <c r="CJ220" i="1"/>
  <c r="CI175" i="1"/>
  <c r="CI119" i="1" l="1"/>
  <c r="CI122" i="1" s="1"/>
  <c r="CJ177" i="1"/>
  <c r="CK46" i="1" s="1"/>
  <c r="CJ118" i="1" l="1"/>
  <c r="CJ119" i="1" s="1"/>
  <c r="CJ122" i="1" s="1"/>
  <c r="CJ120" i="1" l="1"/>
  <c r="CJ123" i="1" s="1"/>
  <c r="CK240" i="1"/>
  <c r="CK262" i="1"/>
  <c r="CK261" i="1"/>
  <c r="CN262" i="1"/>
  <c r="CM262" i="1"/>
  <c r="CN240" i="1"/>
  <c r="CM240" i="1"/>
  <c r="CM155" i="1" l="1"/>
  <c r="CQ262" i="1"/>
  <c r="CN35" i="1"/>
  <c r="CN32" i="1" s="1"/>
  <c r="CR262" i="1"/>
  <c r="CN154" i="1"/>
  <c r="CN25" i="1"/>
  <c r="CN153" i="1"/>
  <c r="CN162" i="1"/>
  <c r="CM35" i="1"/>
  <c r="CM32" i="1" s="1"/>
  <c r="CM162" i="1"/>
  <c r="CN161" i="1"/>
  <c r="CN155" i="1"/>
  <c r="CM154" i="1"/>
  <c r="CM25" i="1"/>
  <c r="CM24" i="1" s="1"/>
  <c r="CM161" i="1"/>
  <c r="CM153" i="1"/>
  <c r="CK234" i="1"/>
  <c r="CM165" i="1" l="1"/>
  <c r="CK206" i="1"/>
  <c r="CN24" i="1"/>
  <c r="CN27" i="1"/>
  <c r="CN37" i="1"/>
  <c r="CN157" i="1"/>
  <c r="CM157" i="1"/>
  <c r="CN165" i="1"/>
  <c r="CM27" i="1"/>
  <c r="CR240" i="1"/>
  <c r="CQ240" i="1"/>
  <c r="CM37" i="1"/>
  <c r="CN28" i="1"/>
  <c r="CO262" i="1"/>
  <c r="CO240" i="1"/>
  <c r="CK205" i="1"/>
  <c r="CO153" i="1"/>
  <c r="CO25" i="1"/>
  <c r="CO161" i="1"/>
  <c r="CO162" i="1"/>
  <c r="CO35" i="1"/>
  <c r="CO32" i="1" s="1"/>
  <c r="CO154" i="1"/>
  <c r="CO155" i="1"/>
  <c r="CN259" i="1" l="1"/>
  <c r="CN260" i="1" s="1"/>
  <c r="CN206" i="1"/>
  <c r="CN38" i="1"/>
  <c r="CN241" i="1"/>
  <c r="CN242" i="1" s="1"/>
  <c r="CN39" i="1"/>
  <c r="CN43" i="1"/>
  <c r="CN166" i="1"/>
  <c r="CM166" i="1"/>
  <c r="CN205" i="1"/>
  <c r="CR161" i="1"/>
  <c r="CR25" i="1"/>
  <c r="CR153" i="1"/>
  <c r="CR154" i="1"/>
  <c r="CR155" i="1"/>
  <c r="CR35" i="1"/>
  <c r="CR32" i="1" s="1"/>
  <c r="CR162" i="1"/>
  <c r="CK207" i="1"/>
  <c r="CQ35" i="1"/>
  <c r="CQ32" i="1" s="1"/>
  <c r="CQ155" i="1"/>
  <c r="CQ154" i="1"/>
  <c r="CQ161" i="1"/>
  <c r="CQ162" i="1"/>
  <c r="CQ153" i="1"/>
  <c r="CN40" i="1"/>
  <c r="CM39" i="1"/>
  <c r="CM241" i="1"/>
  <c r="CM242" i="1" s="1"/>
  <c r="CM38" i="1"/>
  <c r="CM43" i="1"/>
  <c r="CQ25" i="1"/>
  <c r="CK259" i="1"/>
  <c r="CK260" i="1" s="1"/>
  <c r="CS262" i="1"/>
  <c r="CK241" i="1"/>
  <c r="CK242" i="1" s="1"/>
  <c r="CK235" i="1"/>
  <c r="CO165" i="1"/>
  <c r="CS240" i="1"/>
  <c r="CO157" i="1"/>
  <c r="CO37" i="1"/>
  <c r="CO27" i="1"/>
  <c r="CO28" i="1"/>
  <c r="CO24" i="1"/>
  <c r="CU262" i="1" l="1"/>
  <c r="CU240" i="1"/>
  <c r="CU162" i="1"/>
  <c r="CW262" i="1"/>
  <c r="CR157" i="1"/>
  <c r="CQ165" i="1"/>
  <c r="CN207" i="1"/>
  <c r="CR165" i="1"/>
  <c r="CR27" i="1"/>
  <c r="CR28" i="1"/>
  <c r="CR37" i="1"/>
  <c r="CR24" i="1"/>
  <c r="CV262" i="1"/>
  <c r="CV240" i="1"/>
  <c r="CQ24" i="1"/>
  <c r="CQ27" i="1"/>
  <c r="CQ37" i="1"/>
  <c r="CQ157" i="1"/>
  <c r="CO259" i="1"/>
  <c r="CO260" i="1" s="1"/>
  <c r="CO166" i="1"/>
  <c r="CO205" i="1"/>
  <c r="CS153" i="1"/>
  <c r="CS25" i="1"/>
  <c r="CS24" i="1" s="1"/>
  <c r="CS161" i="1"/>
  <c r="CS154" i="1"/>
  <c r="CS162" i="1"/>
  <c r="CS155" i="1"/>
  <c r="CS35" i="1"/>
  <c r="CS32" i="1" s="1"/>
  <c r="CO206" i="1"/>
  <c r="CO39" i="1"/>
  <c r="CO241" i="1"/>
  <c r="CO242" i="1" s="1"/>
  <c r="CO43" i="1"/>
  <c r="CO40" i="1"/>
  <c r="CO38" i="1"/>
  <c r="CU153" i="1" l="1"/>
  <c r="CU25" i="1"/>
  <c r="CU161" i="1"/>
  <c r="CU165" i="1" s="1"/>
  <c r="CU154" i="1"/>
  <c r="CY262" i="1"/>
  <c r="CU35" i="1"/>
  <c r="CU155" i="1"/>
  <c r="CV153" i="1"/>
  <c r="CV25" i="1"/>
  <c r="CV27" i="1" s="1"/>
  <c r="CV161" i="1"/>
  <c r="CR206" i="1"/>
  <c r="CR166" i="1"/>
  <c r="CR241" i="1"/>
  <c r="CR242" i="1" s="1"/>
  <c r="CR38" i="1"/>
  <c r="CR43" i="1"/>
  <c r="CR39" i="1"/>
  <c r="CV155" i="1"/>
  <c r="CV154" i="1"/>
  <c r="CV35" i="1"/>
  <c r="CV32" i="1" s="1"/>
  <c r="CV162" i="1"/>
  <c r="CQ43" i="1"/>
  <c r="CQ38" i="1"/>
  <c r="CQ39" i="1"/>
  <c r="CR40" i="1"/>
  <c r="CR259" i="1"/>
  <c r="CR260" i="1" s="1"/>
  <c r="CQ241" i="1"/>
  <c r="CQ242" i="1" s="1"/>
  <c r="CR205" i="1"/>
  <c r="CQ166" i="1"/>
  <c r="CS165" i="1"/>
  <c r="CS206" i="1" s="1"/>
  <c r="CS37" i="1"/>
  <c r="CS259" i="1" s="1"/>
  <c r="CS260" i="1" s="1"/>
  <c r="CS27" i="1"/>
  <c r="CS28" i="1"/>
  <c r="CO207" i="1"/>
  <c r="CW240" i="1"/>
  <c r="CS157" i="1"/>
  <c r="CY240" i="1"/>
  <c r="CU157" i="1" l="1"/>
  <c r="CU166" i="1" s="1"/>
  <c r="CU24" i="1"/>
  <c r="CU27" i="1"/>
  <c r="CU32" i="1"/>
  <c r="CU37" i="1"/>
  <c r="DA262" i="1"/>
  <c r="CV157" i="1"/>
  <c r="CV24" i="1"/>
  <c r="CV28" i="1"/>
  <c r="CV165" i="1"/>
  <c r="CV37" i="1"/>
  <c r="CZ262" i="1"/>
  <c r="CZ240" i="1"/>
  <c r="CR207" i="1"/>
  <c r="CS166" i="1"/>
  <c r="CS205" i="1"/>
  <c r="CS207" i="1" s="1"/>
  <c r="CS40" i="1"/>
  <c r="CS38" i="1"/>
  <c r="CS43" i="1"/>
  <c r="CS241" i="1"/>
  <c r="CS242" i="1" s="1"/>
  <c r="CS39" i="1"/>
  <c r="CW25" i="1"/>
  <c r="CW24" i="1" s="1"/>
  <c r="CW161" i="1"/>
  <c r="CW153" i="1"/>
  <c r="CW155" i="1"/>
  <c r="CW154" i="1"/>
  <c r="CW162" i="1"/>
  <c r="CW35" i="1"/>
  <c r="CW32" i="1" s="1"/>
  <c r="CK254" i="1"/>
  <c r="CK236" i="1"/>
  <c r="CK243" i="1"/>
  <c r="CY154" i="1"/>
  <c r="CY25" i="1"/>
  <c r="CY24" i="1" s="1"/>
  <c r="CY162" i="1"/>
  <c r="CY155" i="1"/>
  <c r="CY161" i="1"/>
  <c r="CY35" i="1"/>
  <c r="CY32" i="1" s="1"/>
  <c r="CY153" i="1"/>
  <c r="CV205" i="1" l="1"/>
  <c r="CU43" i="1"/>
  <c r="CU38" i="1"/>
  <c r="CZ162" i="1"/>
  <c r="CU241" i="1"/>
  <c r="CU242" i="1" s="1"/>
  <c r="CU39" i="1"/>
  <c r="CV259" i="1"/>
  <c r="CV260" i="1" s="1"/>
  <c r="CV43" i="1"/>
  <c r="CV241" i="1"/>
  <c r="CV242" i="1" s="1"/>
  <c r="CV38" i="1"/>
  <c r="CV40" i="1"/>
  <c r="CV39" i="1"/>
  <c r="CZ35" i="1"/>
  <c r="CZ32" i="1" s="1"/>
  <c r="CZ153" i="1"/>
  <c r="CZ161" i="1"/>
  <c r="CZ155" i="1"/>
  <c r="CZ154" i="1"/>
  <c r="CZ25" i="1"/>
  <c r="CV166" i="1"/>
  <c r="CV206" i="1"/>
  <c r="CW165" i="1"/>
  <c r="CW206" i="1" s="1"/>
  <c r="CK202" i="1"/>
  <c r="CK204" i="1" s="1"/>
  <c r="CK208" i="1" s="1"/>
  <c r="CK222" i="1" s="1"/>
  <c r="CW157" i="1"/>
  <c r="DA240" i="1"/>
  <c r="CY157" i="1"/>
  <c r="CY165" i="1"/>
  <c r="CW28" i="1"/>
  <c r="CW27" i="1"/>
  <c r="CW37" i="1"/>
  <c r="CY27" i="1"/>
  <c r="CY37" i="1"/>
  <c r="CV207" i="1" l="1"/>
  <c r="CZ165" i="1"/>
  <c r="CZ206" i="1" s="1"/>
  <c r="CZ157" i="1"/>
  <c r="CZ24" i="1"/>
  <c r="CZ27" i="1"/>
  <c r="CZ37" i="1"/>
  <c r="CZ28" i="1"/>
  <c r="CW259" i="1"/>
  <c r="CW260" i="1" s="1"/>
  <c r="CY43" i="1"/>
  <c r="CY39" i="1"/>
  <c r="CY38" i="1"/>
  <c r="CY241" i="1"/>
  <c r="CY242" i="1" s="1"/>
  <c r="CY166" i="1"/>
  <c r="DA161" i="1"/>
  <c r="DA162" i="1"/>
  <c r="DA154" i="1"/>
  <c r="DA25" i="1"/>
  <c r="DA153" i="1"/>
  <c r="DA35" i="1"/>
  <c r="DA32" i="1" s="1"/>
  <c r="DA155" i="1"/>
  <c r="CW166" i="1"/>
  <c r="CW205" i="1"/>
  <c r="CW207" i="1" s="1"/>
  <c r="CW43" i="1"/>
  <c r="CW39" i="1"/>
  <c r="CW241" i="1"/>
  <c r="CW242" i="1" s="1"/>
  <c r="CW40" i="1"/>
  <c r="CW38" i="1"/>
  <c r="CK63" i="1" l="1"/>
  <c r="CK101" i="1"/>
  <c r="CZ205" i="1"/>
  <c r="CZ207" i="1" s="1"/>
  <c r="CZ166" i="1"/>
  <c r="CZ259" i="1"/>
  <c r="CZ260" i="1" s="1"/>
  <c r="CZ38" i="1"/>
  <c r="CZ241" i="1"/>
  <c r="CZ242" i="1" s="1"/>
  <c r="CZ40" i="1"/>
  <c r="CZ43" i="1"/>
  <c r="CZ39" i="1"/>
  <c r="DA157" i="1"/>
  <c r="DA205" i="1" s="1"/>
  <c r="CG98" i="1"/>
  <c r="DA28" i="1"/>
  <c r="DA27" i="1"/>
  <c r="DA37" i="1"/>
  <c r="DA259" i="1" s="1"/>
  <c r="DA260" i="1" s="1"/>
  <c r="CK214" i="1"/>
  <c r="CK219" i="1" s="1"/>
  <c r="CK169" i="1" s="1"/>
  <c r="CK170" i="1" s="1"/>
  <c r="CK174" i="1" s="1"/>
  <c r="CK175" i="1" s="1"/>
  <c r="CK64" i="1"/>
  <c r="DA24" i="1"/>
  <c r="DA165" i="1"/>
  <c r="CK105" i="1" l="1"/>
  <c r="CK104" i="1"/>
  <c r="CK103" i="1"/>
  <c r="DA166" i="1"/>
  <c r="DA43" i="1"/>
  <c r="DA38" i="1"/>
  <c r="DA39" i="1"/>
  <c r="DA40" i="1"/>
  <c r="DA241" i="1"/>
  <c r="DA242" i="1" s="1"/>
  <c r="DA206" i="1"/>
  <c r="DA207" i="1" s="1"/>
  <c r="CK220" i="1" l="1"/>
  <c r="CK257" i="1"/>
  <c r="CK253" i="1"/>
  <c r="CK255" i="1"/>
  <c r="CL218" i="1"/>
  <c r="CK177" i="1"/>
  <c r="CL46" i="1" s="1"/>
  <c r="CK118" i="1" l="1"/>
  <c r="CK120" i="1" l="1"/>
  <c r="CK123" i="1" s="1"/>
  <c r="CK119" i="1"/>
  <c r="CK122" i="1" s="1"/>
  <c r="CL261" i="1" l="1"/>
  <c r="CO107" i="1"/>
  <c r="CO108" i="1" s="1"/>
  <c r="CO111" i="1" s="1"/>
  <c r="CN107" i="1"/>
  <c r="CN108" i="1" s="1"/>
  <c r="CN111" i="1" s="1"/>
  <c r="CL240" i="1"/>
  <c r="CM107" i="1"/>
  <c r="CM108" i="1" s="1"/>
  <c r="CM111" i="1" s="1"/>
  <c r="CL262" i="1"/>
  <c r="CO234" i="1" l="1"/>
  <c r="CN234" i="1"/>
  <c r="AA4" i="1"/>
  <c r="CL234" i="1"/>
  <c r="CM234" i="1"/>
  <c r="CM28" i="1" l="1"/>
  <c r="CN235" i="1"/>
  <c r="AB17" i="1"/>
  <c r="CQ107" i="1"/>
  <c r="CQ108" i="1" s="1"/>
  <c r="CQ111" i="1" s="1"/>
  <c r="CP107" i="1"/>
  <c r="CP108" i="1" s="1"/>
  <c r="CP111" i="1" s="1"/>
  <c r="CS107" i="1"/>
  <c r="CS108" i="1" s="1"/>
  <c r="CS111" i="1" s="1"/>
  <c r="CR107" i="1"/>
  <c r="CR108" i="1" s="1"/>
  <c r="CR111" i="1" s="1"/>
  <c r="CP262" i="1"/>
  <c r="CP240" i="1"/>
  <c r="CN121" i="1" l="1"/>
  <c r="CL121" i="1"/>
  <c r="CM259" i="1"/>
  <c r="CM260" i="1" s="1"/>
  <c r="CM235" i="1"/>
  <c r="CL241" i="1"/>
  <c r="CL242" i="1" s="1"/>
  <c r="CM121" i="1"/>
  <c r="CL235" i="1"/>
  <c r="CO121" i="1"/>
  <c r="CO235" i="1"/>
  <c r="CM40" i="1"/>
  <c r="CL259" i="1"/>
  <c r="CL260" i="1" s="1"/>
  <c r="CP153" i="1"/>
  <c r="CP162" i="1"/>
  <c r="AB162" i="1" s="1"/>
  <c r="AB192" i="1" s="1"/>
  <c r="CP234" i="1"/>
  <c r="CR234" i="1"/>
  <c r="CS234" i="1"/>
  <c r="CP155" i="1"/>
  <c r="AB155" i="1" s="1"/>
  <c r="CQ234" i="1"/>
  <c r="CP161" i="1"/>
  <c r="CP25" i="1"/>
  <c r="CP35" i="1"/>
  <c r="CP32" i="1" s="1"/>
  <c r="AB32" i="1" s="1"/>
  <c r="AB35" i="1" s="1"/>
  <c r="CP154" i="1"/>
  <c r="AB154" i="1" s="1"/>
  <c r="AB189" i="1" s="1"/>
  <c r="AB262" i="1"/>
  <c r="AB19" i="1"/>
  <c r="CM205" i="1"/>
  <c r="CL205" i="1"/>
  <c r="CM206" i="1"/>
  <c r="CL206" i="1"/>
  <c r="CM207" i="1" l="1"/>
  <c r="CL207" i="1"/>
  <c r="AB36" i="1"/>
  <c r="AB107" i="1"/>
  <c r="AB197" i="1"/>
  <c r="AB67" i="1"/>
  <c r="AB20" i="1"/>
  <c r="AC17" i="1"/>
  <c r="CV107" i="1"/>
  <c r="CV108" i="1" s="1"/>
  <c r="CV111" i="1" s="1"/>
  <c r="CT107" i="1"/>
  <c r="CT108" i="1" s="1"/>
  <c r="CT111" i="1" s="1"/>
  <c r="CT262" i="1"/>
  <c r="CU107" i="1"/>
  <c r="CU108" i="1" s="1"/>
  <c r="CU111" i="1" s="1"/>
  <c r="CT240" i="1"/>
  <c r="CW107" i="1"/>
  <c r="CW108" i="1" s="1"/>
  <c r="CW111" i="1" s="1"/>
  <c r="CP28" i="1"/>
  <c r="CQ28" i="1"/>
  <c r="CP27" i="1"/>
  <c r="CP37" i="1"/>
  <c r="AB153" i="1"/>
  <c r="CP157" i="1"/>
  <c r="AB4" i="1"/>
  <c r="CP165" i="1"/>
  <c r="AB161" i="1"/>
  <c r="AB165" i="1" s="1"/>
  <c r="CP24" i="1"/>
  <c r="AB24" i="1" s="1"/>
  <c r="AB25" i="1" s="1"/>
  <c r="AB37" i="1" l="1"/>
  <c r="AB68" i="1"/>
  <c r="AB26" i="1"/>
  <c r="AB27" i="1"/>
  <c r="AC262" i="1"/>
  <c r="AC19" i="1"/>
  <c r="CP43" i="1"/>
  <c r="CP235" i="1"/>
  <c r="CR235" i="1"/>
  <c r="CQ259" i="1"/>
  <c r="CQ260" i="1" s="1"/>
  <c r="CP38" i="1"/>
  <c r="CQ235" i="1"/>
  <c r="CP259" i="1"/>
  <c r="CP260" i="1" s="1"/>
  <c r="CS235" i="1"/>
  <c r="CR121" i="1"/>
  <c r="CP40" i="1"/>
  <c r="CP39" i="1"/>
  <c r="CQ40" i="1"/>
  <c r="CS121" i="1"/>
  <c r="CQ121" i="1"/>
  <c r="CP241" i="1"/>
  <c r="CP242" i="1" s="1"/>
  <c r="CP121" i="1"/>
  <c r="CP206" i="1"/>
  <c r="CQ206" i="1"/>
  <c r="AB157" i="1"/>
  <c r="AB188" i="1"/>
  <c r="AB194" i="1"/>
  <c r="AB193" i="1" s="1"/>
  <c r="AB206" i="1"/>
  <c r="CQ205" i="1"/>
  <c r="CP205" i="1"/>
  <c r="CP166" i="1"/>
  <c r="CT153" i="1"/>
  <c r="CT25" i="1"/>
  <c r="CT24" i="1" s="1"/>
  <c r="AC24" i="1" s="1"/>
  <c r="CT155" i="1"/>
  <c r="AC155" i="1" s="1"/>
  <c r="CU234" i="1"/>
  <c r="CT35" i="1"/>
  <c r="CT32" i="1" s="1"/>
  <c r="AC32" i="1" s="1"/>
  <c r="AC35" i="1" s="1"/>
  <c r="CW234" i="1"/>
  <c r="CT161" i="1"/>
  <c r="CV234" i="1"/>
  <c r="CT154" i="1"/>
  <c r="AC154" i="1" s="1"/>
  <c r="AC189" i="1" s="1"/>
  <c r="CT234" i="1"/>
  <c r="CT162" i="1"/>
  <c r="AC162" i="1" s="1"/>
  <c r="AC192" i="1" s="1"/>
  <c r="AC36" i="1" l="1"/>
  <c r="CQ207" i="1"/>
  <c r="AC197" i="1"/>
  <c r="AC20" i="1"/>
  <c r="AC25" i="1"/>
  <c r="AC107" i="1"/>
  <c r="AC67" i="1"/>
  <c r="AC4" i="1"/>
  <c r="AB166" i="1"/>
  <c r="AB191" i="1"/>
  <c r="AB205" i="1"/>
  <c r="AB207" i="1" s="1"/>
  <c r="AB43" i="1"/>
  <c r="AB121" i="1"/>
  <c r="AB38" i="1"/>
  <c r="AB259" i="1"/>
  <c r="AB260" i="1" s="1"/>
  <c r="AB69" i="1"/>
  <c r="AB39" i="1"/>
  <c r="AC153" i="1"/>
  <c r="CT157" i="1"/>
  <c r="AD17" i="1"/>
  <c r="CZ107" i="1"/>
  <c r="CZ108" i="1" s="1"/>
  <c r="CZ111" i="1" s="1"/>
  <c r="CY107" i="1"/>
  <c r="CY108" i="1" s="1"/>
  <c r="CY111" i="1" s="1"/>
  <c r="DA107" i="1"/>
  <c r="DA108" i="1" s="1"/>
  <c r="DA111" i="1" s="1"/>
  <c r="CX107" i="1"/>
  <c r="CX108" i="1" s="1"/>
  <c r="CX111" i="1" s="1"/>
  <c r="CX240" i="1"/>
  <c r="CX262" i="1"/>
  <c r="CP207" i="1"/>
  <c r="AC161" i="1"/>
  <c r="AC165" i="1" s="1"/>
  <c r="CT165" i="1"/>
  <c r="CT28" i="1"/>
  <c r="CT27" i="1"/>
  <c r="CU28" i="1"/>
  <c r="CT37" i="1"/>
  <c r="CL254" i="1"/>
  <c r="CL243" i="1"/>
  <c r="CL236" i="1"/>
  <c r="CT43" i="1" l="1"/>
  <c r="CU40" i="1"/>
  <c r="CT40" i="1"/>
  <c r="CV121" i="1"/>
  <c r="CU121" i="1"/>
  <c r="CV235" i="1"/>
  <c r="CT121" i="1"/>
  <c r="CU235" i="1"/>
  <c r="CT235" i="1"/>
  <c r="CU259" i="1"/>
  <c r="CU260" i="1" s="1"/>
  <c r="CW121" i="1"/>
  <c r="CT259" i="1"/>
  <c r="CT260" i="1" s="1"/>
  <c r="CT38" i="1"/>
  <c r="CT241" i="1"/>
  <c r="CT242" i="1" s="1"/>
  <c r="CW235" i="1"/>
  <c r="CT39" i="1"/>
  <c r="CU206" i="1"/>
  <c r="CT206" i="1"/>
  <c r="CU205" i="1"/>
  <c r="CT205" i="1"/>
  <c r="CT166" i="1"/>
  <c r="AC188" i="1"/>
  <c r="AC157" i="1"/>
  <c r="CL202" i="1"/>
  <c r="CL204" i="1" s="1"/>
  <c r="CL208" i="1" s="1"/>
  <c r="CL222" i="1" s="1"/>
  <c r="CL75" i="1"/>
  <c r="AC194" i="1"/>
  <c r="AC193" i="1" s="1"/>
  <c r="AC206" i="1"/>
  <c r="CX162" i="1"/>
  <c r="AD162" i="1" s="1"/>
  <c r="AD192" i="1" s="1"/>
  <c r="CX35" i="1"/>
  <c r="CX32" i="1" s="1"/>
  <c r="AD32" i="1" s="1"/>
  <c r="AD35" i="1" s="1"/>
  <c r="CX25" i="1"/>
  <c r="CX154" i="1"/>
  <c r="AD154" i="1" s="1"/>
  <c r="AD189" i="1" s="1"/>
  <c r="CY234" i="1"/>
  <c r="CZ234" i="1"/>
  <c r="CX153" i="1"/>
  <c r="DA234" i="1"/>
  <c r="CX155" i="1"/>
  <c r="AD155" i="1" s="1"/>
  <c r="CX161" i="1"/>
  <c r="CX234" i="1"/>
  <c r="AD262" i="1"/>
  <c r="AD19" i="1"/>
  <c r="AB195" i="1"/>
  <c r="AB198" i="1" s="1"/>
  <c r="AB199" i="1" s="1"/>
  <c r="AB190" i="1"/>
  <c r="AC68" i="1"/>
  <c r="AC37" i="1"/>
  <c r="AC26" i="1"/>
  <c r="AC27" i="1"/>
  <c r="CL64" i="1" l="1"/>
  <c r="CL63" i="1"/>
  <c r="CU207" i="1"/>
  <c r="CT207" i="1"/>
  <c r="AD4" i="1"/>
  <c r="CL78" i="1"/>
  <c r="CL101" i="1"/>
  <c r="AD161" i="1"/>
  <c r="AD165" i="1" s="1"/>
  <c r="CX165" i="1"/>
  <c r="CX28" i="1"/>
  <c r="CX37" i="1"/>
  <c r="CY28" i="1"/>
  <c r="CX27" i="1"/>
  <c r="CX157" i="1"/>
  <c r="AD153" i="1"/>
  <c r="AC43" i="1"/>
  <c r="AC69" i="1"/>
  <c r="AC259" i="1"/>
  <c r="AC260" i="1" s="1"/>
  <c r="AC121" i="1"/>
  <c r="AC38" i="1"/>
  <c r="AC39" i="1"/>
  <c r="AD20" i="1"/>
  <c r="AD107" i="1"/>
  <c r="AD197" i="1"/>
  <c r="AD67" i="1"/>
  <c r="CX24" i="1"/>
  <c r="AD24" i="1" s="1"/>
  <c r="AD25" i="1" s="1"/>
  <c r="AD36" i="1"/>
  <c r="AE17" i="1"/>
  <c r="DB107" i="1"/>
  <c r="DB108" i="1" s="1"/>
  <c r="DB111" i="1" s="1"/>
  <c r="DB240" i="1"/>
  <c r="DB262" i="1"/>
  <c r="AC191" i="1"/>
  <c r="AC166" i="1"/>
  <c r="AC205" i="1"/>
  <c r="AC207" i="1" s="1"/>
  <c r="CL81" i="1" l="1"/>
  <c r="CL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L94" i="1"/>
  <c r="CL95" i="1"/>
  <c r="CL103" i="1"/>
  <c r="CL105" i="1"/>
  <c r="CM105" i="1" s="1"/>
  <c r="CN105" i="1" s="1"/>
  <c r="CO105" i="1" s="1"/>
  <c r="CP105" i="1" s="1"/>
  <c r="CQ105" i="1" s="1"/>
  <c r="CR105" i="1" s="1"/>
  <c r="CS105" i="1" s="1"/>
  <c r="CT105" i="1" s="1"/>
  <c r="CU105" i="1" s="1"/>
  <c r="CV105" i="1" s="1"/>
  <c r="CW105" i="1" s="1"/>
  <c r="CX105" i="1" s="1"/>
  <c r="CY105" i="1" s="1"/>
  <c r="CZ105" i="1" s="1"/>
  <c r="DA105" i="1" s="1"/>
  <c r="DB105" i="1" s="1"/>
  <c r="CL104" i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AD68" i="1"/>
  <c r="AD37" i="1"/>
  <c r="AD26" i="1"/>
  <c r="AD27" i="1"/>
  <c r="AC195" i="1"/>
  <c r="AC198" i="1" s="1"/>
  <c r="AC199" i="1" s="1"/>
  <c r="AC190" i="1"/>
  <c r="AD194" i="1"/>
  <c r="AD193" i="1" s="1"/>
  <c r="AD206" i="1"/>
  <c r="CL79" i="1"/>
  <c r="CH98" i="1"/>
  <c r="CY206" i="1"/>
  <c r="CX206" i="1"/>
  <c r="AD188" i="1"/>
  <c r="AD157" i="1"/>
  <c r="CX43" i="1"/>
  <c r="CX235" i="1"/>
  <c r="CZ235" i="1"/>
  <c r="CY40" i="1"/>
  <c r="CY235" i="1"/>
  <c r="DA235" i="1"/>
  <c r="CZ121" i="1"/>
  <c r="CX39" i="1"/>
  <c r="CY121" i="1"/>
  <c r="CX259" i="1"/>
  <c r="CX260" i="1" s="1"/>
  <c r="DA121" i="1"/>
  <c r="CX40" i="1"/>
  <c r="CX38" i="1"/>
  <c r="CX121" i="1"/>
  <c r="CY259" i="1"/>
  <c r="CY260" i="1" s="1"/>
  <c r="CX241" i="1"/>
  <c r="CX242" i="1" s="1"/>
  <c r="CL216" i="1"/>
  <c r="CL214" i="1" s="1"/>
  <c r="CL219" i="1" s="1"/>
  <c r="AE19" i="1"/>
  <c r="AE262" i="1"/>
  <c r="DB35" i="1"/>
  <c r="DB32" i="1" s="1"/>
  <c r="AE32" i="1" s="1"/>
  <c r="AE35" i="1" s="1"/>
  <c r="DB161" i="1"/>
  <c r="DB25" i="1"/>
  <c r="DB24" i="1" s="1"/>
  <c r="AE24" i="1" s="1"/>
  <c r="DB162" i="1"/>
  <c r="AE162" i="1" s="1"/>
  <c r="AE192" i="1" s="1"/>
  <c r="DB155" i="1"/>
  <c r="AE155" i="1" s="1"/>
  <c r="DB154" i="1"/>
  <c r="AE154" i="1" s="1"/>
  <c r="AE189" i="1" s="1"/>
  <c r="DB153" i="1"/>
  <c r="DB234" i="1"/>
  <c r="CX166" i="1"/>
  <c r="CY205" i="1"/>
  <c r="CX205" i="1"/>
  <c r="CL99" i="1" l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X207" i="1"/>
  <c r="DB165" i="1"/>
  <c r="DB206" i="1" s="1"/>
  <c r="AE161" i="1"/>
  <c r="AE165" i="1" s="1"/>
  <c r="AE67" i="1"/>
  <c r="AE25" i="1"/>
  <c r="AE20" i="1"/>
  <c r="AE107" i="1"/>
  <c r="AE197" i="1"/>
  <c r="CY207" i="1"/>
  <c r="AE36" i="1"/>
  <c r="AD166" i="1"/>
  <c r="AD191" i="1"/>
  <c r="AD205" i="1"/>
  <c r="AD207" i="1" s="1"/>
  <c r="AD43" i="1"/>
  <c r="AD38" i="1"/>
  <c r="AD69" i="1"/>
  <c r="AD259" i="1"/>
  <c r="AD260" i="1" s="1"/>
  <c r="AD121" i="1"/>
  <c r="AD39" i="1"/>
  <c r="AE4" i="1"/>
  <c r="DB157" i="1"/>
  <c r="AE153" i="1"/>
  <c r="DB37" i="1"/>
  <c r="DB27" i="1"/>
  <c r="DB28" i="1"/>
  <c r="DB38" i="1" l="1"/>
  <c r="DB235" i="1"/>
  <c r="DB121" i="1"/>
  <c r="DB259" i="1"/>
  <c r="DB260" i="1" s="1"/>
  <c r="DB39" i="1"/>
  <c r="DB40" i="1"/>
  <c r="DB241" i="1"/>
  <c r="DB242" i="1" s="1"/>
  <c r="DB43" i="1"/>
  <c r="AE157" i="1"/>
  <c r="AE188" i="1"/>
  <c r="AD195" i="1"/>
  <c r="AD198" i="1" s="1"/>
  <c r="AD199" i="1" s="1"/>
  <c r="AD190" i="1"/>
  <c r="AE194" i="1"/>
  <c r="AE193" i="1" s="1"/>
  <c r="AE206" i="1"/>
  <c r="DB166" i="1"/>
  <c r="DB205" i="1"/>
  <c r="DB207" i="1" s="1"/>
  <c r="AE26" i="1"/>
  <c r="AE68" i="1"/>
  <c r="AE37" i="1"/>
  <c r="AE27" i="1"/>
  <c r="CL118" i="1" l="1"/>
  <c r="CL257" i="1"/>
  <c r="CL255" i="1"/>
  <c r="CM218" i="1"/>
  <c r="CL253" i="1"/>
  <c r="CL220" i="1"/>
  <c r="AE43" i="1"/>
  <c r="AE259" i="1"/>
  <c r="AE260" i="1" s="1"/>
  <c r="AE38" i="1"/>
  <c r="AE69" i="1"/>
  <c r="AE121" i="1"/>
  <c r="AE39" i="1"/>
  <c r="AE166" i="1"/>
  <c r="AE191" i="1"/>
  <c r="AE205" i="1"/>
  <c r="AE207" i="1" s="1"/>
  <c r="AB218" i="1"/>
  <c r="CL120" i="1" l="1"/>
  <c r="CL123" i="1" s="1"/>
  <c r="CL119" i="1"/>
  <c r="CL122" i="1" s="1"/>
  <c r="CM45" i="1"/>
  <c r="AE195" i="1"/>
  <c r="AE198" i="1" s="1"/>
  <c r="AE199" i="1" s="1"/>
  <c r="AE190" i="1"/>
  <c r="CM47" i="1" l="1"/>
  <c r="CM261" i="1"/>
  <c r="CM48" i="1" l="1"/>
  <c r="CM50" i="1" l="1"/>
  <c r="CM243" i="1" l="1"/>
  <c r="CM53" i="1"/>
  <c r="CM51" i="1"/>
  <c r="CM254" i="1" s="1"/>
  <c r="CM57" i="1"/>
  <c r="CM52" i="1"/>
  <c r="CM236" i="1"/>
  <c r="CM75" i="1" l="1"/>
  <c r="CM202" i="1"/>
  <c r="CM204" i="1" s="1"/>
  <c r="CM208" i="1" s="1"/>
  <c r="CM222" i="1" s="1"/>
  <c r="CM128" i="1"/>
  <c r="CM129" i="1" l="1"/>
  <c r="CM78" i="1"/>
  <c r="CM88" i="1" l="1"/>
  <c r="CM79" i="1"/>
  <c r="CM87" i="1"/>
  <c r="CM94" i="1"/>
  <c r="CI98" i="1"/>
  <c r="CM216" i="1"/>
  <c r="CM214" i="1" s="1"/>
  <c r="CM219" i="1" s="1"/>
  <c r="CM138" i="1"/>
  <c r="CM64" i="1" s="1"/>
  <c r="CM101" i="1"/>
  <c r="CM103" i="1" s="1"/>
  <c r="CM63" i="1"/>
  <c r="CM169" i="1" l="1"/>
  <c r="CM170" i="1" s="1"/>
  <c r="CM220" i="1" s="1"/>
  <c r="CM90" i="1"/>
  <c r="CM116" i="1"/>
  <c r="CM117" i="1"/>
  <c r="CM91" i="1"/>
  <c r="CM177" i="1" l="1"/>
  <c r="CM255" i="1"/>
  <c r="CM257" i="1"/>
  <c r="CN218" i="1"/>
  <c r="CM174" i="1"/>
  <c r="CM175" i="1" s="1"/>
  <c r="CM253" i="1"/>
  <c r="CN45" i="1" l="1"/>
  <c r="CM118" i="1"/>
  <c r="CM120" i="1" l="1"/>
  <c r="CM123" i="1" s="1"/>
  <c r="CM119" i="1"/>
  <c r="CM122" i="1" s="1"/>
  <c r="CN261" i="1"/>
  <c r="CN47" i="1"/>
  <c r="CN48" i="1" l="1"/>
  <c r="CN50" i="1" l="1"/>
  <c r="CN243" i="1" l="1"/>
  <c r="CN53" i="1"/>
  <c r="CN52" i="1"/>
  <c r="CN57" i="1"/>
  <c r="CN51" i="1"/>
  <c r="CN254" i="1" s="1"/>
  <c r="CN236" i="1"/>
  <c r="CN75" i="1" l="1"/>
  <c r="CN202" i="1"/>
  <c r="CN204" i="1" s="1"/>
  <c r="CN208" i="1" s="1"/>
  <c r="CN222" i="1" s="1"/>
  <c r="CN128" i="1"/>
  <c r="CN129" i="1" l="1"/>
  <c r="CN78" i="1"/>
  <c r="CN88" i="1" l="1"/>
  <c r="CN79" i="1"/>
  <c r="CN87" i="1"/>
  <c r="CN94" i="1"/>
  <c r="CJ98" i="1"/>
  <c r="CN138" i="1"/>
  <c r="CN64" i="1" s="1"/>
  <c r="CN101" i="1"/>
  <c r="CN103" i="1" s="1"/>
  <c r="CN216" i="1"/>
  <c r="CN214" i="1" s="1"/>
  <c r="CN219" i="1" s="1"/>
  <c r="CN63" i="1"/>
  <c r="CN116" i="1" l="1"/>
  <c r="CN90" i="1"/>
  <c r="CN169" i="1"/>
  <c r="CN170" i="1" s="1"/>
  <c r="CN117" i="1"/>
  <c r="CN91" i="1"/>
  <c r="CN177" i="1" l="1"/>
  <c r="CN257" i="1"/>
  <c r="CN255" i="1"/>
  <c r="CO218" i="1"/>
  <c r="CN174" i="1"/>
  <c r="CN175" i="1" s="1"/>
  <c r="CN253" i="1"/>
  <c r="CN220" i="1"/>
  <c r="CN118" i="1" l="1"/>
  <c r="CO45" i="1"/>
  <c r="CO47" i="1" l="1"/>
  <c r="CO261" i="1"/>
  <c r="CN119" i="1"/>
  <c r="CN122" i="1" s="1"/>
  <c r="CN120" i="1"/>
  <c r="CN123" i="1" s="1"/>
  <c r="CO48" i="1" l="1"/>
  <c r="CO50" i="1" l="1"/>
  <c r="CO243" i="1" l="1"/>
  <c r="CO52" i="1"/>
  <c r="CO51" i="1"/>
  <c r="CO254" i="1" s="1"/>
  <c r="CO57" i="1"/>
  <c r="CO53" i="1"/>
  <c r="CO236" i="1"/>
  <c r="CO75" i="1" l="1"/>
  <c r="CO202" i="1"/>
  <c r="CO204" i="1" s="1"/>
  <c r="CO208" i="1" s="1"/>
  <c r="CO222" i="1" s="1"/>
  <c r="CO128" i="1"/>
  <c r="CO129" i="1" l="1"/>
  <c r="CO78" i="1"/>
  <c r="CO88" i="1" l="1"/>
  <c r="CO87" i="1"/>
  <c r="CK98" i="1"/>
  <c r="CO94" i="1"/>
  <c r="CO79" i="1"/>
  <c r="CO216" i="1"/>
  <c r="CO214" i="1" s="1"/>
  <c r="CO219" i="1" s="1"/>
  <c r="CO101" i="1"/>
  <c r="CO103" i="1" s="1"/>
  <c r="CO138" i="1"/>
  <c r="CO64" i="1" s="1"/>
  <c r="CO63" i="1"/>
  <c r="CO169" i="1" l="1"/>
  <c r="CO170" i="1" s="1"/>
  <c r="CO220" i="1" s="1"/>
  <c r="CO116" i="1"/>
  <c r="CO90" i="1"/>
  <c r="CO91" i="1"/>
  <c r="CO117" i="1"/>
  <c r="CO177" i="1" l="1"/>
  <c r="CO174" i="1"/>
  <c r="CO175" i="1" s="1"/>
  <c r="CP218" i="1"/>
  <c r="CO257" i="1"/>
  <c r="CO255" i="1"/>
  <c r="CO253" i="1"/>
  <c r="CP45" i="1" l="1"/>
  <c r="CO118" i="1"/>
  <c r="CO120" i="1" l="1"/>
  <c r="CO123" i="1" s="1"/>
  <c r="CO119" i="1"/>
  <c r="CO122" i="1" s="1"/>
  <c r="CP261" i="1"/>
  <c r="CP47" i="1"/>
  <c r="AB45" i="1"/>
  <c r="CP48" i="1" l="1"/>
  <c r="AB48" i="1" s="1"/>
  <c r="AB46" i="1"/>
  <c r="AB261" i="1"/>
  <c r="AB47" i="1"/>
  <c r="AB50" i="1" l="1"/>
  <c r="AB57" i="1" s="1"/>
  <c r="CP50" i="1"/>
  <c r="CP53" i="1" s="1"/>
  <c r="AB49" i="1"/>
  <c r="CP57" i="1" l="1"/>
  <c r="CP202" i="1" s="1"/>
  <c r="CP204" i="1" s="1"/>
  <c r="CP208" i="1" s="1"/>
  <c r="CP222" i="1" s="1"/>
  <c r="AB52" i="1"/>
  <c r="AB51" i="1"/>
  <c r="AB254" i="1" s="1"/>
  <c r="CP236" i="1"/>
  <c r="CP243" i="1"/>
  <c r="CP52" i="1"/>
  <c r="CP51" i="1"/>
  <c r="CP254" i="1" s="1"/>
  <c r="AB70" i="1"/>
  <c r="AB60" i="1"/>
  <c r="AB61" i="1" s="1"/>
  <c r="AB202" i="1"/>
  <c r="AB204" i="1" s="1"/>
  <c r="AB208" i="1" s="1"/>
  <c r="AB222" i="1" s="1"/>
  <c r="CP75" i="1" l="1"/>
  <c r="CP128" i="1"/>
  <c r="AB128" i="1" s="1"/>
  <c r="AB129" i="1" s="1"/>
  <c r="CP78" i="1" l="1"/>
  <c r="CP129" i="1"/>
  <c r="CP63" i="1" s="1"/>
  <c r="CP81" i="1"/>
  <c r="AB184" i="1"/>
  <c r="AB216" i="1"/>
  <c r="AB214" i="1" s="1"/>
  <c r="AB219" i="1" s="1"/>
  <c r="AB138" i="1"/>
  <c r="AB64" i="1" s="1"/>
  <c r="AB63" i="1"/>
  <c r="CL98" i="1" l="1"/>
  <c r="CP94" i="1"/>
  <c r="CP88" i="1"/>
  <c r="CP87" i="1"/>
  <c r="CP79" i="1"/>
  <c r="CP101" i="1"/>
  <c r="CP103" i="1" s="1"/>
  <c r="CP138" i="1"/>
  <c r="CP64" i="1" s="1"/>
  <c r="CP216" i="1"/>
  <c r="CP214" i="1" s="1"/>
  <c r="CP219" i="1" s="1"/>
  <c r="CP169" i="1" s="1"/>
  <c r="CP90" i="1"/>
  <c r="AB87" i="1"/>
  <c r="CP116" i="1" l="1"/>
  <c r="CP91" i="1"/>
  <c r="CP117" i="1"/>
  <c r="AB88" i="1"/>
  <c r="AB90" i="1"/>
  <c r="AB169" i="1"/>
  <c r="AB170" i="1" s="1"/>
  <c r="CP170" i="1"/>
  <c r="AB91" i="1" l="1"/>
  <c r="CP257" i="1"/>
  <c r="CQ218" i="1"/>
  <c r="CP177" i="1"/>
  <c r="CP255" i="1"/>
  <c r="CP174" i="1"/>
  <c r="CP175" i="1" s="1"/>
  <c r="CP253" i="1"/>
  <c r="CP220" i="1"/>
  <c r="AB174" i="1"/>
  <c r="AB175" i="1" s="1"/>
  <c r="AC218" i="1"/>
  <c r="AB257" i="1"/>
  <c r="AB177" i="1"/>
  <c r="AB118" i="1" s="1"/>
  <c r="AB255" i="1"/>
  <c r="AB253" i="1"/>
  <c r="AB220" i="1"/>
  <c r="CQ45" i="1" l="1"/>
  <c r="CP118" i="1"/>
  <c r="CP119" i="1" l="1"/>
  <c r="CP122" i="1" s="1"/>
  <c r="CP120" i="1"/>
  <c r="CP123" i="1" s="1"/>
  <c r="CQ261" i="1"/>
  <c r="CQ47" i="1"/>
  <c r="CQ48" i="1" l="1"/>
  <c r="CQ50" i="1" l="1"/>
  <c r="CQ53" i="1" l="1"/>
  <c r="CQ57" i="1"/>
  <c r="CQ243" i="1"/>
  <c r="CQ51" i="1"/>
  <c r="CQ254" i="1" s="1"/>
  <c r="CQ52" i="1"/>
  <c r="CQ236" i="1"/>
  <c r="CQ75" i="1" l="1"/>
  <c r="CQ202" i="1"/>
  <c r="CQ204" i="1" s="1"/>
  <c r="CQ208" i="1" s="1"/>
  <c r="CQ222" i="1" s="1"/>
  <c r="CQ128" i="1"/>
  <c r="CQ129" i="1" l="1"/>
  <c r="CQ78" i="1"/>
  <c r="CQ87" i="1" l="1"/>
  <c r="CQ88" i="1"/>
  <c r="CQ94" i="1"/>
  <c r="CQ79" i="1"/>
  <c r="CQ216" i="1"/>
  <c r="CQ214" i="1" s="1"/>
  <c r="CQ219" i="1" s="1"/>
  <c r="CQ138" i="1"/>
  <c r="CQ64" i="1" s="1"/>
  <c r="CQ101" i="1"/>
  <c r="CQ103" i="1" s="1"/>
  <c r="CQ63" i="1"/>
  <c r="CQ169" i="1" l="1"/>
  <c r="CQ170" i="1" s="1"/>
  <c r="CQ220" i="1" s="1"/>
  <c r="CQ117" i="1"/>
  <c r="CQ91" i="1"/>
  <c r="CQ116" i="1"/>
  <c r="CQ90" i="1"/>
  <c r="CQ177" i="1" l="1"/>
  <c r="CQ257" i="1"/>
  <c r="CQ255" i="1"/>
  <c r="CR218" i="1"/>
  <c r="CQ174" i="1"/>
  <c r="CQ175" i="1" s="1"/>
  <c r="CQ253" i="1"/>
  <c r="CQ118" i="1" l="1"/>
  <c r="CR45" i="1"/>
  <c r="CR47" i="1" l="1"/>
  <c r="CR261" i="1"/>
  <c r="CQ120" i="1"/>
  <c r="CQ123" i="1" s="1"/>
  <c r="CQ119" i="1"/>
  <c r="CQ122" i="1" s="1"/>
  <c r="CR48" i="1" l="1"/>
  <c r="CR50" i="1" l="1"/>
  <c r="CR51" i="1" l="1"/>
  <c r="CR254" i="1" s="1"/>
  <c r="CR243" i="1"/>
  <c r="CR57" i="1"/>
  <c r="CR52" i="1"/>
  <c r="CR53" i="1"/>
  <c r="CR236" i="1"/>
  <c r="CR75" i="1" l="1"/>
  <c r="CR202" i="1"/>
  <c r="CR204" i="1" s="1"/>
  <c r="CR208" i="1" s="1"/>
  <c r="CR222" i="1" s="1"/>
  <c r="CR128" i="1"/>
  <c r="CR129" i="1" l="1"/>
  <c r="CR78" i="1"/>
  <c r="CR101" i="1" l="1"/>
  <c r="CR103" i="1" s="1"/>
  <c r="CR138" i="1"/>
  <c r="CR64" i="1" s="1"/>
  <c r="CR216" i="1"/>
  <c r="CR214" i="1" s="1"/>
  <c r="CR219" i="1" s="1"/>
  <c r="CR63" i="1"/>
  <c r="CR87" i="1"/>
  <c r="CR94" i="1"/>
  <c r="CR88" i="1"/>
  <c r="CR79" i="1"/>
  <c r="CR117" i="1" l="1"/>
  <c r="CR91" i="1"/>
  <c r="CR169" i="1"/>
  <c r="CR170" i="1" s="1"/>
  <c r="CR220" i="1" s="1"/>
  <c r="CR90" i="1"/>
  <c r="CR116" i="1"/>
  <c r="CR174" i="1" l="1"/>
  <c r="CR175" i="1" s="1"/>
  <c r="CR177" i="1"/>
  <c r="CR257" i="1"/>
  <c r="CR255" i="1"/>
  <c r="CS218" i="1"/>
  <c r="CR253" i="1"/>
  <c r="CR118" i="1" l="1"/>
  <c r="CS45" i="1"/>
  <c r="CS261" i="1" l="1"/>
  <c r="CS47" i="1"/>
  <c r="CR119" i="1"/>
  <c r="CR122" i="1" s="1"/>
  <c r="CR120" i="1"/>
  <c r="CR123" i="1" s="1"/>
  <c r="CS48" i="1" l="1"/>
  <c r="CS50" i="1" s="1"/>
  <c r="CS52" i="1" l="1"/>
  <c r="CS243" i="1"/>
  <c r="CS51" i="1"/>
  <c r="CS254" i="1" s="1"/>
  <c r="CS53" i="1"/>
  <c r="CS57" i="1"/>
  <c r="CS236" i="1"/>
  <c r="CS75" i="1" l="1"/>
  <c r="CS202" i="1"/>
  <c r="CS204" i="1" s="1"/>
  <c r="CS208" i="1" s="1"/>
  <c r="CS222" i="1" s="1"/>
  <c r="CS128" i="1"/>
  <c r="CS129" i="1" l="1"/>
  <c r="CS78" i="1"/>
  <c r="CS216" i="1" l="1"/>
  <c r="CS214" i="1" s="1"/>
  <c r="CS219" i="1" s="1"/>
  <c r="CS138" i="1"/>
  <c r="CS64" i="1" s="1"/>
  <c r="CS101" i="1"/>
  <c r="CS103" i="1" s="1"/>
  <c r="CS63" i="1"/>
  <c r="CS87" i="1"/>
  <c r="CS94" i="1"/>
  <c r="CS88" i="1"/>
  <c r="CS79" i="1"/>
  <c r="CS91" i="1" l="1"/>
  <c r="CS117" i="1"/>
  <c r="CS116" i="1"/>
  <c r="CS90" i="1"/>
  <c r="CS169" i="1"/>
  <c r="CS170" i="1" s="1"/>
  <c r="CS220" i="1" s="1"/>
  <c r="CS177" i="1" l="1"/>
  <c r="CS174" i="1"/>
  <c r="CS175" i="1" s="1"/>
  <c r="CT218" i="1"/>
  <c r="CS255" i="1"/>
  <c r="CS257" i="1"/>
  <c r="CS253" i="1"/>
  <c r="CT45" i="1" l="1"/>
  <c r="CS118" i="1"/>
  <c r="CS119" i="1" l="1"/>
  <c r="CS122" i="1" s="1"/>
  <c r="CS120" i="1"/>
  <c r="CS123" i="1" s="1"/>
  <c r="CT261" i="1"/>
  <c r="CT47" i="1"/>
  <c r="AC45" i="1"/>
  <c r="CT48" i="1" l="1"/>
  <c r="AC48" i="1" s="1"/>
  <c r="AC46" i="1"/>
  <c r="AC261" i="1"/>
  <c r="AC47" i="1"/>
  <c r="CT50" i="1" l="1"/>
  <c r="CT51" i="1" s="1"/>
  <c r="CT254" i="1" s="1"/>
  <c r="AC50" i="1"/>
  <c r="AC51" i="1" s="1"/>
  <c r="AC254" i="1" s="1"/>
  <c r="AC49" i="1"/>
  <c r="CT52" i="1" l="1"/>
  <c r="CT57" i="1"/>
  <c r="CT128" i="1" s="1"/>
  <c r="CT53" i="1"/>
  <c r="CT236" i="1"/>
  <c r="CT243" i="1"/>
  <c r="AC52" i="1"/>
  <c r="AC57" i="1"/>
  <c r="AC70" i="1"/>
  <c r="CT202" i="1" l="1"/>
  <c r="CT204" i="1" s="1"/>
  <c r="CT208" i="1" s="1"/>
  <c r="CT222" i="1" s="1"/>
  <c r="CT75" i="1"/>
  <c r="CT78" i="1" s="1"/>
  <c r="CT81" i="1" s="1"/>
  <c r="AC202" i="1"/>
  <c r="AC204" i="1" s="1"/>
  <c r="AC208" i="1" s="1"/>
  <c r="AC222" i="1" s="1"/>
  <c r="AC60" i="1"/>
  <c r="AC61" i="1" s="1"/>
  <c r="AC128" i="1"/>
  <c r="AC129" i="1" s="1"/>
  <c r="CT129" i="1"/>
  <c r="CT101" i="1" l="1"/>
  <c r="CT103" i="1" s="1"/>
  <c r="CT216" i="1"/>
  <c r="CT214" i="1" s="1"/>
  <c r="CT219" i="1" s="1"/>
  <c r="CT138" i="1"/>
  <c r="CT64" i="1" s="1"/>
  <c r="CT63" i="1"/>
  <c r="CT87" i="1"/>
  <c r="CT94" i="1"/>
  <c r="CT88" i="1"/>
  <c r="CT79" i="1"/>
  <c r="AC184" i="1"/>
  <c r="AC216" i="1"/>
  <c r="AC214" i="1" s="1"/>
  <c r="AC219" i="1" s="1"/>
  <c r="AC138" i="1"/>
  <c r="AC64" i="1" s="1"/>
  <c r="AC63" i="1"/>
  <c r="CT116" i="1" l="1"/>
  <c r="CT90" i="1"/>
  <c r="AC87" i="1"/>
  <c r="CT91" i="1"/>
  <c r="CT117" i="1"/>
  <c r="AC88" i="1"/>
  <c r="CT169" i="1"/>
  <c r="AC169" i="1" l="1"/>
  <c r="AC170" i="1" s="1"/>
  <c r="CT170" i="1"/>
  <c r="AC90" i="1"/>
  <c r="AC91" i="1"/>
  <c r="CT257" i="1" l="1"/>
  <c r="CT177" i="1"/>
  <c r="CT255" i="1"/>
  <c r="CU218" i="1"/>
  <c r="CT174" i="1"/>
  <c r="CT175" i="1" s="1"/>
  <c r="CT253" i="1"/>
  <c r="CT220" i="1"/>
  <c r="AD218" i="1"/>
  <c r="AC174" i="1"/>
  <c r="AC175" i="1" s="1"/>
  <c r="AC177" i="1"/>
  <c r="AC118" i="1" s="1"/>
  <c r="AC255" i="1"/>
  <c r="AC257" i="1"/>
  <c r="AC253" i="1"/>
  <c r="AC220" i="1"/>
  <c r="CU45" i="1" l="1"/>
  <c r="CT118" i="1"/>
  <c r="CU261" i="1" l="1"/>
  <c r="CU47" i="1"/>
  <c r="CT120" i="1"/>
  <c r="CT123" i="1" s="1"/>
  <c r="CT119" i="1"/>
  <c r="CT122" i="1" s="1"/>
  <c r="CU48" i="1" l="1"/>
  <c r="CU50" i="1" l="1"/>
  <c r="CU52" i="1" l="1"/>
  <c r="CU243" i="1"/>
  <c r="CU51" i="1"/>
  <c r="CU254" i="1" s="1"/>
  <c r="CU57" i="1"/>
  <c r="CU53" i="1"/>
  <c r="CU236" i="1"/>
  <c r="CU75" i="1" l="1"/>
  <c r="CU202" i="1"/>
  <c r="CU204" i="1" s="1"/>
  <c r="CU208" i="1" s="1"/>
  <c r="CU222" i="1" s="1"/>
  <c r="CU128" i="1"/>
  <c r="CU129" i="1" l="1"/>
  <c r="CU78" i="1"/>
  <c r="CU94" i="1" l="1"/>
  <c r="CU88" i="1"/>
  <c r="CU87" i="1"/>
  <c r="CU79" i="1"/>
  <c r="CU101" i="1"/>
  <c r="CU103" i="1" s="1"/>
  <c r="CU138" i="1"/>
  <c r="CU64" i="1" s="1"/>
  <c r="CU216" i="1"/>
  <c r="CU214" i="1" s="1"/>
  <c r="CU219" i="1" s="1"/>
  <c r="CU63" i="1"/>
  <c r="CU169" i="1" l="1"/>
  <c r="CU170" i="1" s="1"/>
  <c r="CU220" i="1" s="1"/>
  <c r="CU117" i="1"/>
  <c r="CU91" i="1"/>
  <c r="CU90" i="1"/>
  <c r="CU116" i="1"/>
  <c r="CV218" i="1" l="1"/>
  <c r="CU174" i="1"/>
  <c r="CU175" i="1" s="1"/>
  <c r="CU177" i="1"/>
  <c r="CU255" i="1"/>
  <c r="CU257" i="1"/>
  <c r="CU253" i="1"/>
  <c r="CV45" i="1" l="1"/>
  <c r="CU118" i="1"/>
  <c r="CU119" i="1" l="1"/>
  <c r="CU122" i="1" s="1"/>
  <c r="CU120" i="1"/>
  <c r="CU123" i="1" s="1"/>
  <c r="CV47" i="1"/>
  <c r="CV261" i="1"/>
  <c r="CV48" i="1" l="1"/>
  <c r="CV50" i="1" s="1"/>
  <c r="CV57" i="1" l="1"/>
  <c r="CV53" i="1"/>
  <c r="CV243" i="1"/>
  <c r="CV52" i="1"/>
  <c r="CV51" i="1"/>
  <c r="CV254" i="1" s="1"/>
  <c r="CV236" i="1"/>
  <c r="CV75" i="1" l="1"/>
  <c r="CV202" i="1"/>
  <c r="CV204" i="1" s="1"/>
  <c r="CV208" i="1" s="1"/>
  <c r="CV222" i="1" s="1"/>
  <c r="CV128" i="1"/>
  <c r="CV129" i="1" l="1"/>
  <c r="CV78" i="1"/>
  <c r="CV88" i="1" l="1"/>
  <c r="CV94" i="1"/>
  <c r="CV87" i="1"/>
  <c r="CV79" i="1"/>
  <c r="CV138" i="1"/>
  <c r="CV64" i="1" s="1"/>
  <c r="CV216" i="1"/>
  <c r="CV214" i="1" s="1"/>
  <c r="CV219" i="1" s="1"/>
  <c r="CV101" i="1"/>
  <c r="CV103" i="1" s="1"/>
  <c r="CV63" i="1"/>
  <c r="CV169" i="1" l="1"/>
  <c r="CV170" i="1" s="1"/>
  <c r="CV220" i="1" s="1"/>
  <c r="CV90" i="1"/>
  <c r="CV116" i="1"/>
  <c r="CV117" i="1"/>
  <c r="CV91" i="1"/>
  <c r="CV177" i="1" l="1"/>
  <c r="CV257" i="1"/>
  <c r="CV255" i="1"/>
  <c r="CW218" i="1"/>
  <c r="CV174" i="1"/>
  <c r="CV175" i="1" s="1"/>
  <c r="CV253" i="1"/>
  <c r="CV118" i="1" l="1"/>
  <c r="CW45" i="1"/>
  <c r="CW47" i="1" l="1"/>
  <c r="CW261" i="1"/>
  <c r="CV119" i="1"/>
  <c r="CV122" i="1" s="1"/>
  <c r="CV120" i="1"/>
  <c r="CV123" i="1" s="1"/>
  <c r="CW48" i="1" l="1"/>
  <c r="CW50" i="1" l="1"/>
  <c r="CW52" i="1" l="1"/>
  <c r="CW53" i="1"/>
  <c r="CW51" i="1"/>
  <c r="CW254" i="1" s="1"/>
  <c r="CW57" i="1"/>
  <c r="CW243" i="1"/>
  <c r="CW236" i="1"/>
  <c r="CW75" i="1" l="1"/>
  <c r="CW202" i="1"/>
  <c r="CW204" i="1" s="1"/>
  <c r="CW208" i="1" s="1"/>
  <c r="CW222" i="1" s="1"/>
  <c r="CW128" i="1"/>
  <c r="CW78" i="1" l="1"/>
  <c r="CW129" i="1"/>
  <c r="CW94" i="1" l="1"/>
  <c r="CW88" i="1"/>
  <c r="CW87" i="1"/>
  <c r="CW79" i="1"/>
  <c r="CW101" i="1"/>
  <c r="CW103" i="1" s="1"/>
  <c r="CW216" i="1"/>
  <c r="CW214" i="1" s="1"/>
  <c r="CW219" i="1" s="1"/>
  <c r="CW138" i="1"/>
  <c r="CW64" i="1" s="1"/>
  <c r="CW63" i="1"/>
  <c r="CW169" i="1" l="1"/>
  <c r="CW170" i="1" s="1"/>
  <c r="CW220" i="1" s="1"/>
  <c r="CW90" i="1"/>
  <c r="CW116" i="1"/>
  <c r="CW117" i="1"/>
  <c r="CW91" i="1"/>
  <c r="CX218" i="1" l="1"/>
  <c r="CW177" i="1"/>
  <c r="CW174" i="1"/>
  <c r="CW175" i="1" s="1"/>
  <c r="CW257" i="1"/>
  <c r="CW255" i="1"/>
  <c r="CW253" i="1"/>
  <c r="CX45" i="1" l="1"/>
  <c r="CW118" i="1"/>
  <c r="CW119" i="1" l="1"/>
  <c r="CW122" i="1" s="1"/>
  <c r="CW120" i="1"/>
  <c r="CW123" i="1" s="1"/>
  <c r="CX261" i="1"/>
  <c r="CX47" i="1"/>
  <c r="AD45" i="1"/>
  <c r="CX48" i="1" l="1"/>
  <c r="AD48" i="1" s="1"/>
  <c r="AD46" i="1"/>
  <c r="AD261" i="1"/>
  <c r="AD47" i="1"/>
  <c r="AD49" i="1" l="1"/>
  <c r="AD50" i="1"/>
  <c r="CX50" i="1"/>
  <c r="CX51" i="1" l="1"/>
  <c r="CX254" i="1" s="1"/>
  <c r="CX52" i="1"/>
  <c r="CX57" i="1"/>
  <c r="CX243" i="1"/>
  <c r="CX53" i="1"/>
  <c r="CX236" i="1"/>
  <c r="AD57" i="1"/>
  <c r="AD51" i="1"/>
  <c r="AD254" i="1" s="1"/>
  <c r="AD70" i="1"/>
  <c r="AD52" i="1"/>
  <c r="CX75" i="1" l="1"/>
  <c r="CX202" i="1"/>
  <c r="CX204" i="1" s="1"/>
  <c r="CX208" i="1" s="1"/>
  <c r="CX222" i="1" s="1"/>
  <c r="CX128" i="1"/>
  <c r="AD60" i="1"/>
  <c r="AD61" i="1" s="1"/>
  <c r="AD202" i="1"/>
  <c r="AD204" i="1" s="1"/>
  <c r="AD208" i="1" s="1"/>
  <c r="AD222" i="1" s="1"/>
  <c r="CX78" i="1" l="1"/>
  <c r="CX129" i="1"/>
  <c r="AD128" i="1"/>
  <c r="AD129" i="1" s="1"/>
  <c r="CX87" i="1" l="1"/>
  <c r="CX88" i="1"/>
  <c r="CX81" i="1"/>
  <c r="CX94" i="1"/>
  <c r="CX79" i="1"/>
  <c r="CX138" i="1"/>
  <c r="CX64" i="1" s="1"/>
  <c r="CX216" i="1"/>
  <c r="CX214" i="1" s="1"/>
  <c r="CX219" i="1" s="1"/>
  <c r="CX101" i="1"/>
  <c r="CX103" i="1" s="1"/>
  <c r="CX63" i="1"/>
  <c r="AD216" i="1"/>
  <c r="AD214" i="1" s="1"/>
  <c r="AD219" i="1" s="1"/>
  <c r="AD138" i="1"/>
  <c r="AD64" i="1" s="1"/>
  <c r="AD184" i="1"/>
  <c r="AD63" i="1"/>
  <c r="CX169" i="1" l="1"/>
  <c r="CX91" i="1"/>
  <c r="CX117" i="1"/>
  <c r="AD88" i="1"/>
  <c r="CX90" i="1"/>
  <c r="CX116" i="1"/>
  <c r="AD87" i="1"/>
  <c r="AD91" i="1" l="1"/>
  <c r="AD90" i="1"/>
  <c r="AD169" i="1"/>
  <c r="AD170" i="1" s="1"/>
  <c r="CX170" i="1"/>
  <c r="CY218" i="1" l="1"/>
  <c r="CX255" i="1"/>
  <c r="CX177" i="1"/>
  <c r="CX257" i="1"/>
  <c r="CX174" i="1"/>
  <c r="CX175" i="1" s="1"/>
  <c r="CX253" i="1"/>
  <c r="CX220" i="1"/>
  <c r="AD174" i="1"/>
  <c r="AD175" i="1" s="1"/>
  <c r="AD255" i="1"/>
  <c r="AD257" i="1"/>
  <c r="AE218" i="1"/>
  <c r="AD177" i="1"/>
  <c r="AD118" i="1" s="1"/>
  <c r="AD253" i="1"/>
  <c r="AD220" i="1"/>
  <c r="CX118" i="1" l="1"/>
  <c r="CY45" i="1"/>
  <c r="CY261" i="1" l="1"/>
  <c r="CY47" i="1"/>
  <c r="CX119" i="1"/>
  <c r="CX122" i="1" s="1"/>
  <c r="CX120" i="1"/>
  <c r="CX123" i="1" s="1"/>
  <c r="CY48" i="1" l="1"/>
  <c r="CY50" i="1" s="1"/>
  <c r="CY57" i="1" l="1"/>
  <c r="CY243" i="1"/>
  <c r="CY51" i="1"/>
  <c r="CY254" i="1" s="1"/>
  <c r="CY52" i="1"/>
  <c r="CY53" i="1"/>
  <c r="CY236" i="1"/>
  <c r="CY202" i="1" l="1"/>
  <c r="CY204" i="1" s="1"/>
  <c r="CY208" i="1" s="1"/>
  <c r="CY222" i="1" s="1"/>
  <c r="CY75" i="1"/>
  <c r="CY128" i="1"/>
  <c r="CY129" i="1" l="1"/>
  <c r="CY78" i="1"/>
  <c r="CY88" i="1" l="1"/>
  <c r="CY87" i="1"/>
  <c r="CY94" i="1"/>
  <c r="CY79" i="1"/>
  <c r="CY101" i="1"/>
  <c r="CY103" i="1" s="1"/>
  <c r="CY216" i="1"/>
  <c r="CY214" i="1" s="1"/>
  <c r="CY219" i="1" s="1"/>
  <c r="CY138" i="1"/>
  <c r="CY64" i="1" s="1"/>
  <c r="CY63" i="1"/>
  <c r="CY169" i="1" l="1"/>
  <c r="CY170" i="1" s="1"/>
  <c r="CY220" i="1" s="1"/>
  <c r="CY116" i="1"/>
  <c r="CY90" i="1"/>
  <c r="CY91" i="1"/>
  <c r="CY117" i="1"/>
  <c r="CY255" i="1" l="1"/>
  <c r="CZ218" i="1"/>
  <c r="CY174" i="1"/>
  <c r="CY175" i="1" s="1"/>
  <c r="CY177" i="1"/>
  <c r="CY257" i="1"/>
  <c r="CY253" i="1"/>
  <c r="CY118" i="1" l="1"/>
  <c r="CZ45" i="1"/>
  <c r="CZ261" i="1" l="1"/>
  <c r="CZ47" i="1"/>
  <c r="CY120" i="1"/>
  <c r="CY123" i="1" s="1"/>
  <c r="CY119" i="1"/>
  <c r="CY122" i="1" s="1"/>
  <c r="CZ48" i="1" l="1"/>
  <c r="CZ50" i="1" s="1"/>
  <c r="CZ51" i="1" l="1"/>
  <c r="CZ254" i="1" s="1"/>
  <c r="CZ243" i="1"/>
  <c r="CZ53" i="1"/>
  <c r="CZ57" i="1"/>
  <c r="CZ52" i="1"/>
  <c r="CZ236" i="1"/>
  <c r="CZ75" i="1" l="1"/>
  <c r="CZ202" i="1"/>
  <c r="CZ204" i="1" s="1"/>
  <c r="CZ208" i="1" s="1"/>
  <c r="CZ222" i="1" s="1"/>
  <c r="CZ128" i="1"/>
  <c r="CZ129" i="1" l="1"/>
  <c r="CZ78" i="1"/>
  <c r="CZ87" i="1" l="1"/>
  <c r="CZ88" i="1"/>
  <c r="CZ94" i="1"/>
  <c r="CZ79" i="1"/>
  <c r="CZ216" i="1"/>
  <c r="CZ214" i="1" s="1"/>
  <c r="CZ219" i="1" s="1"/>
  <c r="CZ138" i="1"/>
  <c r="CZ64" i="1" s="1"/>
  <c r="CZ101" i="1"/>
  <c r="CZ103" i="1" s="1"/>
  <c r="CZ63" i="1"/>
  <c r="CZ91" i="1" l="1"/>
  <c r="CZ117" i="1"/>
  <c r="CZ169" i="1"/>
  <c r="CZ170" i="1" s="1"/>
  <c r="CZ116" i="1"/>
  <c r="CZ90" i="1"/>
  <c r="CZ257" i="1" l="1"/>
  <c r="CZ255" i="1"/>
  <c r="CZ174" i="1"/>
  <c r="CZ175" i="1" s="1"/>
  <c r="DA218" i="1"/>
  <c r="CZ177" i="1"/>
  <c r="CZ253" i="1"/>
  <c r="CZ220" i="1"/>
  <c r="DA45" i="1" l="1"/>
  <c r="CZ118" i="1"/>
  <c r="CZ119" i="1" l="1"/>
  <c r="CZ122" i="1" s="1"/>
  <c r="CZ120" i="1"/>
  <c r="CZ123" i="1" s="1"/>
  <c r="DA47" i="1"/>
  <c r="DA261" i="1"/>
  <c r="DA48" i="1" l="1"/>
  <c r="DA50" i="1" l="1"/>
  <c r="DA52" i="1" l="1"/>
  <c r="DA53" i="1"/>
  <c r="DA243" i="1"/>
  <c r="DA57" i="1"/>
  <c r="DA51" i="1"/>
  <c r="DA254" i="1" s="1"/>
  <c r="DA236" i="1"/>
  <c r="DA202" i="1" l="1"/>
  <c r="DA204" i="1" s="1"/>
  <c r="DA208" i="1" s="1"/>
  <c r="DA222" i="1" s="1"/>
  <c r="DA75" i="1"/>
  <c r="DA128" i="1"/>
  <c r="DA78" i="1" l="1"/>
  <c r="DA129" i="1"/>
  <c r="DA101" i="1" l="1"/>
  <c r="DA103" i="1" s="1"/>
  <c r="DA216" i="1"/>
  <c r="DA214" i="1" s="1"/>
  <c r="DA219" i="1" s="1"/>
  <c r="DA138" i="1"/>
  <c r="DA64" i="1" s="1"/>
  <c r="DA63" i="1"/>
  <c r="DA88" i="1"/>
  <c r="DA94" i="1"/>
  <c r="DA87" i="1"/>
  <c r="DA79" i="1"/>
  <c r="DA116" i="1" l="1"/>
  <c r="DA90" i="1"/>
  <c r="DA169" i="1"/>
  <c r="DA170" i="1" s="1"/>
  <c r="DA220" i="1" s="1"/>
  <c r="DA91" i="1"/>
  <c r="DA117" i="1"/>
  <c r="DA174" i="1" l="1"/>
  <c r="DA175" i="1" s="1"/>
  <c r="DB218" i="1"/>
  <c r="DA177" i="1"/>
  <c r="DA257" i="1"/>
  <c r="DA255" i="1"/>
  <c r="DA253" i="1"/>
  <c r="DB45" i="1" l="1"/>
  <c r="DA118" i="1"/>
  <c r="DA120" i="1" l="1"/>
  <c r="DA123" i="1" s="1"/>
  <c r="DA119" i="1"/>
  <c r="DA122" i="1" s="1"/>
  <c r="DB261" i="1"/>
  <c r="DB47" i="1"/>
  <c r="AE45" i="1"/>
  <c r="DB48" i="1" l="1"/>
  <c r="AE48" i="1" s="1"/>
  <c r="AE46" i="1"/>
  <c r="AE261" i="1"/>
  <c r="AE47" i="1"/>
  <c r="AE50" i="1" l="1"/>
  <c r="AE57" i="1" s="1"/>
  <c r="DB50" i="1"/>
  <c r="DB53" i="1" s="1"/>
  <c r="AE49" i="1"/>
  <c r="DB236" i="1" l="1"/>
  <c r="DB52" i="1"/>
  <c r="DB243" i="1"/>
  <c r="DB51" i="1"/>
  <c r="DB254" i="1" s="1"/>
  <c r="DB57" i="1"/>
  <c r="DB202" i="1" s="1"/>
  <c r="DB204" i="1" s="1"/>
  <c r="DB208" i="1" s="1"/>
  <c r="DB222" i="1" s="1"/>
  <c r="AE70" i="1"/>
  <c r="AE51" i="1"/>
  <c r="AE254" i="1" s="1"/>
  <c r="AE52" i="1"/>
  <c r="AE202" i="1"/>
  <c r="AE204" i="1" s="1"/>
  <c r="AE208" i="1" s="1"/>
  <c r="AE222" i="1" s="1"/>
  <c r="AE60" i="1"/>
  <c r="AE61" i="1" s="1"/>
  <c r="DB128" i="1" l="1"/>
  <c r="AE128" i="1" s="1"/>
  <c r="AE129" i="1" s="1"/>
  <c r="DB75" i="1"/>
  <c r="DB78" i="1" s="1"/>
  <c r="DB81" i="1" s="1"/>
  <c r="DB129" i="1" l="1"/>
  <c r="DB138" i="1" s="1"/>
  <c r="DB64" i="1" s="1"/>
  <c r="DB79" i="1"/>
  <c r="DB94" i="1"/>
  <c r="DB87" i="1"/>
  <c r="DB116" i="1" s="1"/>
  <c r="DB88" i="1"/>
  <c r="DB91" i="1" s="1"/>
  <c r="AE184" i="1"/>
  <c r="AE138" i="1"/>
  <c r="AE64" i="1" s="1"/>
  <c r="AE216" i="1"/>
  <c r="AE214" i="1" s="1"/>
  <c r="AE219" i="1" s="1"/>
  <c r="AE63" i="1"/>
  <c r="DB101" i="1" l="1"/>
  <c r="DB103" i="1" s="1"/>
  <c r="DB63" i="1"/>
  <c r="DB216" i="1"/>
  <c r="DB214" i="1" s="1"/>
  <c r="DB219" i="1" s="1"/>
  <c r="DB169" i="1" s="1"/>
  <c r="DB117" i="1"/>
  <c r="AE87" i="1"/>
  <c r="DB90" i="1"/>
  <c r="AE88" i="1"/>
  <c r="AE91" i="1" s="1"/>
  <c r="AE90" i="1" l="1"/>
  <c r="DB170" i="1"/>
  <c r="AE169" i="1"/>
  <c r="AE170" i="1" s="1"/>
  <c r="AE174" i="1" l="1"/>
  <c r="AE175" i="1" s="1"/>
  <c r="AE255" i="1"/>
  <c r="AE257" i="1"/>
  <c r="AE177" i="1"/>
  <c r="AE118" i="1" s="1"/>
  <c r="AE253" i="1"/>
  <c r="AE220" i="1"/>
  <c r="DB174" i="1"/>
  <c r="DB175" i="1" s="1"/>
  <c r="DB255" i="1"/>
  <c r="DB257" i="1"/>
  <c r="DB177" i="1"/>
  <c r="DB118" i="1" s="1"/>
  <c r="DB253" i="1"/>
  <c r="DB220" i="1"/>
  <c r="DB119" i="1" l="1"/>
  <c r="DB122" i="1" s="1"/>
  <c r="DB120" i="1"/>
  <c r="DB123" i="1" s="1"/>
  <c r="AB72" i="1" l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F74" i="1"/>
  <c r="F75" i="1"/>
  <c r="F78" i="1"/>
  <c r="F94" i="1"/>
  <c r="I74" i="1"/>
  <c r="I116" i="1"/>
  <c r="I119" i="1"/>
  <c r="I122" i="1"/>
  <c r="U74" i="1"/>
  <c r="U101" i="1"/>
  <c r="U105" i="1"/>
  <c r="N74" i="1"/>
  <c r="N101" i="1"/>
  <c r="N103" i="1"/>
  <c r="N104" i="1"/>
  <c r="I101" i="1"/>
  <c r="I105" i="1"/>
  <c r="V74" i="1"/>
  <c r="V116" i="1"/>
  <c r="V119" i="1"/>
  <c r="E98" i="1"/>
  <c r="P74" i="1"/>
  <c r="P75" i="1"/>
  <c r="X74" i="1"/>
  <c r="X116" i="1"/>
  <c r="X119" i="1"/>
  <c r="X122" i="1"/>
  <c r="X117" i="1"/>
  <c r="X120" i="1"/>
  <c r="X123" i="1"/>
  <c r="M74" i="1"/>
  <c r="M117" i="1"/>
  <c r="M120" i="1"/>
  <c r="F95" i="1"/>
  <c r="Z74" i="1"/>
  <c r="Z108" i="1"/>
  <c r="Z111" i="1"/>
  <c r="Y74" i="1"/>
  <c r="Y75" i="1"/>
  <c r="Y78" i="1"/>
  <c r="Y94" i="1"/>
  <c r="Y95" i="1"/>
  <c r="Y96" i="1"/>
  <c r="X75" i="1"/>
  <c r="X78" i="1"/>
  <c r="Y79" i="1"/>
  <c r="X77" i="1"/>
  <c r="X101" i="1"/>
  <c r="X104" i="1"/>
  <c r="X103" i="1"/>
  <c r="X105" i="1"/>
  <c r="X108" i="1"/>
  <c r="X113" i="1"/>
  <c r="X112" i="1"/>
  <c r="X111" i="1"/>
  <c r="X96" i="1"/>
  <c r="X95" i="1"/>
  <c r="X94" i="1"/>
  <c r="G74" i="1"/>
  <c r="G75" i="1"/>
  <c r="G78" i="1"/>
  <c r="F108" i="1"/>
  <c r="T74" i="1"/>
  <c r="T75" i="1"/>
  <c r="T78" i="1"/>
  <c r="O74" i="1"/>
  <c r="O108" i="1"/>
  <c r="AC72" i="1"/>
  <c r="AD72" i="1"/>
  <c r="AD74" i="1"/>
  <c r="AD108" i="1"/>
  <c r="AD111" i="1"/>
  <c r="AB74" i="1"/>
  <c r="AB101" i="1"/>
  <c r="AB104" i="1"/>
  <c r="AB105" i="1"/>
  <c r="AC74" i="1"/>
  <c r="AC101" i="1"/>
  <c r="AC105" i="1"/>
  <c r="AC116" i="1"/>
  <c r="AC119" i="1"/>
  <c r="AD75" i="1"/>
  <c r="AD78" i="1"/>
  <c r="AD94" i="1"/>
  <c r="AC98" i="1"/>
  <c r="AD113" i="1"/>
  <c r="AD112" i="1"/>
  <c r="AD95" i="1"/>
  <c r="AD101" i="1"/>
  <c r="G116" i="1"/>
  <c r="Z101" i="1"/>
  <c r="Y77" i="1"/>
  <c r="V101" i="1"/>
  <c r="V104" i="1"/>
  <c r="AC108" i="1"/>
  <c r="AC75" i="1"/>
  <c r="AD117" i="1"/>
  <c r="U75" i="1"/>
  <c r="U78" i="1"/>
  <c r="T98" i="1"/>
  <c r="K74" i="1"/>
  <c r="K75" i="1"/>
  <c r="K77" i="1"/>
  <c r="U79" i="1"/>
  <c r="T116" i="1"/>
  <c r="L74" i="1"/>
  <c r="P101" i="1"/>
  <c r="K116" i="1"/>
  <c r="Z112" i="1"/>
  <c r="M101" i="1"/>
  <c r="J74" i="1"/>
  <c r="J101" i="1"/>
  <c r="J103" i="1"/>
  <c r="J104" i="1"/>
  <c r="AD104" i="1"/>
  <c r="AE72" i="1"/>
  <c r="AE74" i="1"/>
  <c r="AE101" i="1"/>
  <c r="AE103" i="1"/>
  <c r="AE108" i="1"/>
  <c r="AE113" i="1"/>
  <c r="AE116" i="1"/>
  <c r="AE119" i="1"/>
  <c r="AE122" i="1"/>
  <c r="T79" i="1"/>
  <c r="O117" i="1"/>
  <c r="P117" i="1"/>
  <c r="S74" i="1"/>
  <c r="S116" i="1"/>
  <c r="S119" i="1"/>
  <c r="O75" i="1"/>
  <c r="O78" i="1"/>
  <c r="O79" i="1"/>
  <c r="U108" i="1"/>
  <c r="U112" i="1"/>
  <c r="W98" i="1"/>
  <c r="N117" i="1"/>
  <c r="AC104" i="1"/>
  <c r="AD79" i="1"/>
  <c r="Q74" i="1"/>
  <c r="Q108" i="1"/>
  <c r="Q111" i="1"/>
  <c r="U103" i="1"/>
  <c r="Q112" i="1"/>
  <c r="U113" i="1"/>
  <c r="V122" i="1"/>
  <c r="P120" i="1"/>
  <c r="O116" i="1"/>
  <c r="F101" i="1"/>
  <c r="Q117" i="1"/>
  <c r="Q120" i="1"/>
  <c r="G101" i="1"/>
  <c r="R74" i="1"/>
  <c r="R116" i="1"/>
  <c r="G104" i="1"/>
  <c r="I103" i="1"/>
  <c r="H74" i="1"/>
  <c r="H75" i="1"/>
  <c r="H78" i="1"/>
  <c r="H79" i="1"/>
  <c r="P77" i="1"/>
  <c r="G95" i="1"/>
  <c r="U111" i="1"/>
  <c r="AB116" i="1"/>
  <c r="AB119" i="1"/>
  <c r="AB108" i="1"/>
  <c r="AB111" i="1"/>
  <c r="U116" i="1"/>
  <c r="U119" i="1"/>
  <c r="U122" i="1"/>
  <c r="AA74" i="1"/>
  <c r="AA117" i="1"/>
  <c r="AA120" i="1"/>
  <c r="AA123" i="1"/>
  <c r="AA75" i="1"/>
  <c r="AA77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Y117" i="1"/>
  <c r="Y108" i="1"/>
  <c r="T101" i="1"/>
  <c r="T103" i="1"/>
  <c r="I117" i="1"/>
  <c r="I120" i="1"/>
  <c r="I123" i="1"/>
  <c r="Q101" i="1"/>
  <c r="Q105" i="1"/>
  <c r="T96" i="1"/>
  <c r="V108" i="1"/>
  <c r="V113" i="1"/>
  <c r="I75" i="1"/>
  <c r="I78" i="1"/>
  <c r="F98" i="1"/>
  <c r="F104" i="1"/>
  <c r="T119" i="1"/>
  <c r="H96" i="1"/>
  <c r="L101" i="1"/>
  <c r="X79" i="1"/>
  <c r="F111" i="1"/>
  <c r="V111" i="1"/>
  <c r="F117" i="1"/>
  <c r="G119" i="1"/>
  <c r="J117" i="1"/>
  <c r="J120" i="1"/>
  <c r="J123" i="1"/>
  <c r="L105" i="1"/>
  <c r="X98" i="1"/>
  <c r="AC113" i="1"/>
  <c r="Z117" i="1"/>
  <c r="AD116" i="1"/>
  <c r="P105" i="1"/>
  <c r="K119" i="1"/>
  <c r="T117" i="1"/>
  <c r="T108" i="1"/>
  <c r="O119" i="1"/>
  <c r="AC73" i="1"/>
  <c r="AD73" i="1"/>
  <c r="AE73" i="1"/>
  <c r="T105" i="1"/>
  <c r="N98" i="1"/>
  <c r="O94" i="1"/>
  <c r="AB75" i="1"/>
  <c r="AB117" i="1"/>
  <c r="T120" i="1"/>
  <c r="T123" i="1"/>
  <c r="R75" i="1"/>
  <c r="R78" i="1"/>
  <c r="R79" i="1"/>
  <c r="F96" i="1"/>
  <c r="R96" i="1"/>
  <c r="R95" i="1"/>
  <c r="AB112" i="1"/>
  <c r="P108" i="1"/>
  <c r="P111" i="1"/>
  <c r="N108" i="1"/>
  <c r="S75" i="1"/>
  <c r="S78" i="1"/>
  <c r="R98" i="1"/>
  <c r="N75" i="1"/>
  <c r="N78" i="1"/>
  <c r="I108" i="1"/>
  <c r="J108" i="1"/>
  <c r="V75" i="1"/>
  <c r="V77" i="1"/>
  <c r="I95" i="1"/>
  <c r="F112" i="1"/>
  <c r="G94" i="1"/>
  <c r="P116" i="1"/>
  <c r="U117" i="1"/>
  <c r="U120" i="1"/>
  <c r="N96" i="1"/>
  <c r="P112" i="1"/>
  <c r="S94" i="1"/>
  <c r="M108" i="1"/>
  <c r="M111" i="1"/>
  <c r="Q103" i="1"/>
  <c r="Q116" i="1"/>
  <c r="Q119" i="1"/>
  <c r="Q122" i="1"/>
  <c r="J112" i="1"/>
  <c r="P119" i="1"/>
  <c r="AE111" i="1"/>
  <c r="AB103" i="1"/>
  <c r="AC122" i="1"/>
  <c r="AD105" i="1"/>
  <c r="AE112" i="1"/>
  <c r="T95" i="1"/>
  <c r="Q113" i="1"/>
  <c r="E72" i="1"/>
  <c r="E74" i="1"/>
  <c r="E116" i="1"/>
  <c r="E119" i="1"/>
  <c r="E122" i="1"/>
  <c r="L103" i="1"/>
  <c r="K108" i="1"/>
  <c r="K111" i="1"/>
  <c r="T94" i="1"/>
  <c r="J113" i="1"/>
  <c r="N112" i="1"/>
  <c r="H117" i="1"/>
  <c r="H120" i="1"/>
  <c r="H116" i="1"/>
  <c r="H119" i="1"/>
  <c r="E117" i="1"/>
  <c r="E120" i="1"/>
  <c r="F116" i="1"/>
  <c r="S98" i="1"/>
  <c r="R117" i="1"/>
  <c r="U104" i="1"/>
  <c r="G79" i="1"/>
  <c r="L75" i="1"/>
  <c r="I77" i="1"/>
  <c r="S108" i="1"/>
  <c r="S111" i="1"/>
  <c r="L108" i="1"/>
  <c r="L112" i="1"/>
  <c r="O120" i="1"/>
  <c r="O123" i="1"/>
  <c r="H98" i="1"/>
  <c r="W74" i="1"/>
  <c r="W116" i="1"/>
  <c r="W108" i="1"/>
  <c r="Q123" i="1"/>
  <c r="F103" i="1"/>
  <c r="G122" i="1"/>
  <c r="H94" i="1"/>
  <c r="Z103" i="1"/>
  <c r="Z75" i="1"/>
  <c r="L78" i="1"/>
  <c r="Q104" i="1"/>
  <c r="S112" i="1"/>
  <c r="G96" i="1"/>
  <c r="Y112" i="1"/>
  <c r="F79" i="1"/>
  <c r="AC78" i="1"/>
  <c r="AC117" i="1"/>
  <c r="K78" i="1"/>
  <c r="M75" i="1"/>
  <c r="M78" i="1"/>
  <c r="M79" i="1"/>
  <c r="E75" i="1"/>
  <c r="M95" i="1"/>
  <c r="Q75" i="1"/>
  <c r="Q78" i="1"/>
  <c r="Q95" i="1"/>
  <c r="AC77" i="1"/>
  <c r="AE75" i="1"/>
  <c r="AE77" i="1"/>
  <c r="Z78" i="1"/>
  <c r="Y98" i="1"/>
  <c r="J116" i="1"/>
  <c r="J119" i="1"/>
  <c r="G98" i="1"/>
  <c r="M123" i="1"/>
  <c r="W111" i="1"/>
  <c r="Y113" i="1"/>
  <c r="M113" i="1"/>
  <c r="O95" i="1"/>
  <c r="AB78" i="1"/>
  <c r="AB120" i="1"/>
  <c r="N116" i="1"/>
  <c r="N119" i="1"/>
  <c r="N122" i="1"/>
  <c r="G117" i="1"/>
  <c r="R120" i="1"/>
  <c r="N105" i="1"/>
  <c r="S117" i="1"/>
  <c r="V117" i="1"/>
  <c r="V120" i="1"/>
  <c r="V123" i="1"/>
  <c r="G77" i="1"/>
  <c r="E108" i="1"/>
  <c r="E112" i="1"/>
  <c r="W117" i="1"/>
  <c r="S77" i="1"/>
  <c r="N111" i="1"/>
  <c r="F119" i="1"/>
  <c r="F122" i="1"/>
  <c r="P78" i="1"/>
  <c r="P95" i="1"/>
  <c r="P94" i="1"/>
  <c r="P79" i="1"/>
  <c r="J75" i="1"/>
  <c r="J78" i="1"/>
  <c r="I112" i="1"/>
  <c r="M98" i="1"/>
  <c r="AB122" i="1"/>
  <c r="S95" i="1"/>
  <c r="R101" i="1"/>
  <c r="M112" i="1"/>
  <c r="T77" i="1"/>
  <c r="O77" i="1"/>
  <c r="N94" i="1"/>
  <c r="R104" i="1"/>
  <c r="R105" i="1"/>
  <c r="AA78" i="1"/>
  <c r="AA116" i="1"/>
  <c r="AA119" i="1"/>
  <c r="AA101" i="1"/>
  <c r="AA105" i="1"/>
  <c r="AA108" i="1"/>
  <c r="AA113" i="1"/>
  <c r="H73" i="1"/>
  <c r="Z116" i="1"/>
  <c r="Y116" i="1"/>
  <c r="Y119" i="1"/>
  <c r="Y122" i="1"/>
  <c r="N77" i="1"/>
  <c r="T111" i="1"/>
  <c r="W75" i="1"/>
  <c r="W78" i="1"/>
  <c r="I94" i="1"/>
  <c r="R108" i="1"/>
  <c r="O112" i="1"/>
  <c r="L117" i="1"/>
  <c r="L120" i="1"/>
  <c r="R119" i="1"/>
  <c r="R122" i="1"/>
  <c r="S79" i="1"/>
  <c r="P103" i="1"/>
  <c r="W101" i="1"/>
  <c r="W119" i="1"/>
  <c r="R94" i="1"/>
  <c r="L113" i="1"/>
  <c r="O111" i="1"/>
  <c r="N120" i="1"/>
  <c r="R123" i="1"/>
  <c r="G105" i="1"/>
  <c r="O101" i="1"/>
  <c r="O113" i="1"/>
  <c r="H77" i="1"/>
  <c r="E123" i="1"/>
  <c r="P104" i="1"/>
  <c r="AC103" i="1"/>
  <c r="AD103" i="1"/>
  <c r="AD96" i="1"/>
  <c r="AE104" i="1"/>
  <c r="AE105" i="1"/>
  <c r="I104" i="1"/>
  <c r="F113" i="1"/>
  <c r="W113" i="1"/>
  <c r="F120" i="1"/>
  <c r="F105" i="1"/>
  <c r="I96" i="1"/>
  <c r="Z95" i="1"/>
  <c r="V98" i="1"/>
  <c r="V112" i="1"/>
  <c r="J111" i="1"/>
  <c r="O122" i="1"/>
  <c r="S101" i="1"/>
  <c r="L116" i="1"/>
  <c r="L119" i="1"/>
  <c r="K113" i="1"/>
  <c r="T112" i="1"/>
  <c r="W120" i="1"/>
  <c r="K112" i="1"/>
  <c r="H108" i="1"/>
  <c r="H111" i="1"/>
  <c r="K101" i="1"/>
  <c r="O103" i="1"/>
  <c r="P96" i="1"/>
  <c r="J94" i="1"/>
  <c r="Y101" i="1"/>
  <c r="N123" i="1"/>
  <c r="P98" i="1"/>
  <c r="AC79" i="1"/>
  <c r="AC120" i="1"/>
  <c r="AD120" i="1"/>
  <c r="AD119" i="1"/>
  <c r="K94" i="1"/>
  <c r="E78" i="1"/>
  <c r="E94" i="1"/>
  <c r="M116" i="1"/>
  <c r="Q79" i="1"/>
  <c r="AB94" i="1"/>
  <c r="L98" i="1"/>
  <c r="AC96" i="1"/>
  <c r="Q98" i="1"/>
  <c r="G120" i="1"/>
  <c r="U123" i="1"/>
  <c r="E111" i="1"/>
  <c r="P122" i="1"/>
  <c r="F123" i="1"/>
  <c r="G103" i="1"/>
  <c r="Z96" i="1"/>
  <c r="I111" i="1"/>
  <c r="S105" i="1"/>
  <c r="V78" i="1"/>
  <c r="U98" i="1"/>
  <c r="M77" i="1"/>
  <c r="M96" i="1"/>
  <c r="E77" i="1"/>
  <c r="E101" i="1"/>
  <c r="E103" i="1"/>
  <c r="U96" i="1"/>
  <c r="M94" i="1"/>
  <c r="U77" i="1"/>
  <c r="U94" i="1"/>
  <c r="W79" i="1"/>
  <c r="R113" i="1"/>
  <c r="K117" i="1"/>
  <c r="K120" i="1"/>
  <c r="K123" i="1"/>
  <c r="W105" i="1"/>
  <c r="V94" i="1"/>
  <c r="Z79" i="1"/>
  <c r="M119" i="1"/>
  <c r="M122" i="1"/>
  <c r="V95" i="1"/>
  <c r="S103" i="1"/>
  <c r="E79" i="1"/>
  <c r="D98" i="1"/>
  <c r="J98" i="1"/>
  <c r="L122" i="1"/>
  <c r="V96" i="1"/>
  <c r="V79" i="1"/>
  <c r="Q96" i="1"/>
  <c r="E104" i="1"/>
  <c r="E105" i="1"/>
  <c r="Q94" i="1"/>
  <c r="AB77" i="1"/>
  <c r="H95" i="1"/>
  <c r="S122" i="1"/>
  <c r="F77" i="1"/>
  <c r="Y120" i="1"/>
  <c r="Z113" i="1"/>
  <c r="O96" i="1"/>
  <c r="S120" i="1"/>
  <c r="O105" i="1"/>
  <c r="J77" i="1"/>
  <c r="M105" i="1"/>
  <c r="I113" i="1"/>
  <c r="Z119" i="1"/>
  <c r="Z122" i="1"/>
  <c r="Y105" i="1"/>
  <c r="K103" i="1"/>
  <c r="M104" i="1"/>
  <c r="J79" i="1"/>
  <c r="Z120" i="1"/>
  <c r="Z123" i="1"/>
  <c r="P123" i="1"/>
  <c r="AC112" i="1"/>
  <c r="M103" i="1"/>
  <c r="T122" i="1"/>
  <c r="L104" i="1"/>
  <c r="K122" i="1"/>
  <c r="J122" i="1"/>
  <c r="I79" i="1"/>
  <c r="P113" i="1"/>
  <c r="W103" i="1"/>
  <c r="T104" i="1"/>
  <c r="L79" i="1"/>
  <c r="O98" i="1"/>
  <c r="R111" i="1"/>
  <c r="W112" i="1"/>
  <c r="AA96" i="1"/>
  <c r="Y104" i="1"/>
  <c r="T113" i="1"/>
  <c r="W104" i="1"/>
  <c r="AA104" i="1"/>
  <c r="V103" i="1"/>
  <c r="L96" i="1"/>
  <c r="AB79" i="1"/>
  <c r="Z104" i="1"/>
  <c r="N95" i="1"/>
  <c r="AA112" i="1"/>
  <c r="G73" i="1"/>
  <c r="F73" i="1"/>
  <c r="E73" i="1"/>
  <c r="Z105" i="1"/>
  <c r="W123" i="1"/>
  <c r="V105" i="1"/>
  <c r="W77" i="1"/>
  <c r="W122" i="1"/>
  <c r="R103" i="1"/>
  <c r="Y103" i="1"/>
  <c r="N79" i="1"/>
  <c r="L77" i="1"/>
  <c r="AA122" i="1"/>
  <c r="Z77" i="1"/>
  <c r="O104" i="1"/>
  <c r="I98" i="1"/>
  <c r="AA79" i="1"/>
  <c r="Z98" i="1"/>
  <c r="AC111" i="1"/>
  <c r="J96" i="1"/>
  <c r="AA111" i="1"/>
  <c r="L94" i="1"/>
  <c r="K105" i="1"/>
  <c r="L95" i="1"/>
  <c r="S123" i="1"/>
  <c r="Y123" i="1"/>
  <c r="N113" i="1"/>
  <c r="G108" i="1"/>
  <c r="S96" i="1"/>
  <c r="J95" i="1"/>
  <c r="AA103" i="1"/>
  <c r="Y111" i="1"/>
  <c r="AA94" i="1"/>
  <c r="AB96" i="1"/>
  <c r="AC95" i="1"/>
  <c r="AD77" i="1"/>
  <c r="AE78" i="1"/>
  <c r="AE117" i="1"/>
  <c r="E96" i="1"/>
  <c r="H101" i="1"/>
  <c r="U95" i="1"/>
  <c r="H123" i="1"/>
  <c r="AA98" i="1"/>
  <c r="AC94" i="1"/>
  <c r="AD122" i="1"/>
  <c r="AE120" i="1"/>
  <c r="AE123" i="1"/>
  <c r="AB113" i="1"/>
  <c r="Z94" i="1"/>
  <c r="L111" i="1"/>
  <c r="J105" i="1"/>
  <c r="K95" i="1"/>
  <c r="E95" i="1"/>
  <c r="K96" i="1"/>
  <c r="S113" i="1"/>
  <c r="H122" i="1"/>
  <c r="AB123" i="1"/>
  <c r="AD123" i="1"/>
  <c r="AE94" i="1"/>
  <c r="AE95" i="1"/>
  <c r="K104" i="1"/>
  <c r="K98" i="1"/>
  <c r="R77" i="1"/>
  <c r="L123" i="1"/>
  <c r="AA95" i="1"/>
  <c r="R112" i="1"/>
  <c r="H112" i="1"/>
  <c r="AB98" i="1"/>
  <c r="AC123" i="1"/>
  <c r="AE96" i="1"/>
  <c r="K79" i="1"/>
  <c r="E113" i="1"/>
  <c r="H113" i="1"/>
  <c r="W94" i="1"/>
  <c r="W96" i="1"/>
  <c r="AD98" i="1"/>
  <c r="S104" i="1"/>
  <c r="AB95" i="1"/>
  <c r="W95" i="1"/>
  <c r="G123" i="1"/>
  <c r="G111" i="1"/>
  <c r="AE79" i="1"/>
  <c r="H105" i="1"/>
  <c r="H104" i="1"/>
  <c r="H103" i="1"/>
  <c r="G113" i="1"/>
  <c r="G112" i="1"/>
  <c r="Q7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Saqib Khan</author>
  </authors>
  <commentList>
    <comment ref="CK56" authorId="0" shapeId="0" xr:uid="{BA36A540-78FE-4262-8C79-61340C1A018F}">
      <text>
        <r>
          <rPr>
            <sz val="11"/>
            <color theme="1"/>
            <rFont val="Calibri"/>
            <family val="2"/>
            <scheme val="minor"/>
          </rPr>
          <t xml:space="preserve">Statutory impact of new Labour Codes -2128 cr
Provision towards legal claim-1010 cr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<sst xmlns="http://schemas.openxmlformats.org/spreadsheetml/2006/main" count="671" uniqueCount="532">
  <si>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</si>
  <si>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</si>
  <si>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</si>
  <si>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</si>
  <si>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</si>
  <si>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</si>
  <si>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</si>
  <si>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</si>
  <si>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</si>
  <si>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</si>
  <si>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</si>
  <si>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</si>
  <si>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</si>
  <si>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</si>
  <si>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</si>
  <si>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</si>
  <si>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</si>
  <si>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</si>
  <si>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</si>
  <si>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</si>
  <si>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</si>
  <si>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</si>
  <si>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</si>
  <si>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</si>
  <si>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</si>
  <si>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</si>
  <si>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</si>
  <si>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</si>
  <si>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</si>
  <si>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</si>
  <si>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</si>
  <si>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</si>
  <si>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</si>
  <si>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</si>
  <si>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</si>
  <si>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</si>
  <si>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</si>
  <si>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</si>
  <si>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</si>
  <si>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</si>
  <si>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</si>
  <si>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</si>
  <si>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</si>
  <si>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</si>
  <si>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</si>
  <si>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</si>
  <si>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</si>
  <si>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</si>
  <si>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</si>
  <si>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</si>
  <si>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</si>
  <si>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</si>
  <si>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</si>
  <si>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</si>
  <si>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</si>
  <si>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</si>
  <si>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</si>
  <si>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</si>
  <si>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</si>
  <si>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</si>
  <si>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</si>
  <si>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</si>
  <si>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</si>
  <si>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</si>
  <si>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</si>
  <si>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</si>
  <si>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</si>
  <si>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</si>
  <si>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</si>
  <si>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</si>
  <si>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</si>
  <si>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</si>
  <si>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</si>
  <si>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</si>
  <si>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</si>
  <si>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</si>
  <si>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</si>
  <si>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</si>
  <si>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</si>
  <si>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</si>
  <si>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</si>
  <si>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</si>
  <si>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</si>
  <si>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</si>
  <si>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</si>
  <si>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</si>
  <si>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</si>
  <si>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</si>
  <si>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</si>
  <si>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</si>
  <si>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</si>
  <si>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</si>
  <si>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</si>
  <si>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</si>
  <si>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</si>
  <si>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</si>
  <si>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</si>
  <si>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</si>
  <si>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</si>
  <si>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</si>
  <si>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</si>
  <si>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</si>
  <si>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</si>
  <si>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</si>
  <si>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</si>
  <si>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</si>
  <si>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</si>
  <si>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</si>
  <si>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</si>
  <si>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</si>
  <si>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</si>
  <si>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</si>
  <si>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</si>
  <si>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</si>
  <si>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</si>
  <si>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</si>
  <si>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</si>
  <si>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</si>
  <si>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</si>
  <si>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</si>
  <si>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</si>
  <si>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</si>
  <si>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</si>
  <si>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</si>
  <si>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</si>
  <si>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</si>
  <si>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</si>
  <si>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</si>
  <si>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</si>
  <si>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</si>
  <si>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</si>
  <si>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</si>
  <si>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</si>
  <si>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</si>
  <si>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</si>
  <si>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</si>
  <si>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</si>
  <si>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</si>
  <si>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</si>
  <si>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</si>
  <si>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</si>
  <si>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</si>
  <si>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</si>
  <si>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</si>
  <si>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</si>
  <si>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</si>
  <si>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</si>
  <si>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</si>
  <si>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</si>
  <si>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</si>
  <si>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</si>
  <si>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</si>
  <si>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</si>
  <si>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</si>
  <si>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</si>
  <si>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</si>
  <si>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</si>
  <si>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</si>
  <si>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</si>
  <si>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</si>
  <si>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</si>
  <si>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</si>
  <si>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</si>
  <si>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</si>
  <si>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</si>
  <si>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</si>
  <si>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</si>
  <si>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</si>
  <si>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</si>
  <si>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</si>
  <si>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</si>
  <si>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</si>
  <si>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</si>
  <si>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</si>
  <si>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</si>
  <si>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</si>
  <si>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</si>
  <si>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</si>
  <si>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</si>
  <si>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</si>
  <si>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</si>
  <si>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</si>
  <si>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</si>
  <si>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</si>
  <si>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</si>
  <si>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</si>
  <si>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</si>
  <si>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</si>
  <si>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</si>
  <si>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</si>
  <si>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</si>
  <si>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</si>
  <si>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</si>
  <si>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</si>
  <si>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</si>
  <si>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</si>
  <si>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</si>
  <si>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</si>
  <si>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</si>
  <si>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</si>
  <si>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</si>
  <si>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</si>
  <si>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</si>
  <si>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</si>
  <si>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</si>
  <si>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</si>
  <si>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</si>
  <si>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</si>
  <si>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</si>
  <si>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</si>
  <si>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</si>
  <si>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</si>
  <si>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</si>
  <si>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</si>
  <si>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</si>
  <si>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</si>
  <si>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</si>
  <si>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</si>
  <si>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</si>
  <si>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</si>
  <si>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</si>
  <si>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</si>
  <si>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</si>
  <si>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</si>
  <si>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</si>
  <si>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</si>
  <si>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</si>
  <si>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</si>
  <si>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</si>
  <si>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</si>
  <si>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</si>
  <si>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</si>
  <si>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</si>
  <si>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</si>
  <si>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</si>
  <si>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</si>
  <si>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</si>
  <si>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</si>
  <si>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</si>
  <si>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</si>
  <si>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</si>
  <si>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</si>
  <si>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</si>
  <si>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</si>
  <si>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</si>
  <si>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</si>
  <si>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</si>
  <si>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</si>
  <si>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</si>
  <si>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</si>
  <si>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</si>
  <si>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</si>
  <si>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</si>
  <si>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</si>
  <si>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</si>
  <si>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</si>
  <si>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</si>
  <si>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</si>
  <si>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</si>
  <si>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</si>
  <si>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</si>
  <si>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</si>
  <si>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</si>
  <si>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</si>
  <si>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</si>
  <si>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</si>
  <si>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</si>
  <si>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</si>
  <si>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</si>
  <si>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</si>
  <si>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</si>
  <si>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</si>
  <si>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</si>
  <si>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</si>
  <si>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</si>
  <si>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</si>
  <si>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</si>
  <si>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</si>
  <si>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</si>
  <si>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</si>
  <si>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</si>
  <si>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</si>
  <si>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</si>
  <si>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</si>
  <si>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</si>
  <si>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</si>
  <si>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</si>
  <si>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</si>
  <si>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</si>
  <si>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</si>
  <si>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</si>
  <si>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</si>
  <si>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</si>
  <si>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</si>
  <si>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</si>
  <si>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</si>
  <si>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</si>
  <si>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</si>
  <si>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</si>
  <si>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</si>
  <si>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</si>
  <si>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</si>
  <si>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</si>
  <si>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</si>
  <si>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</si>
  <si>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</si>
  <si>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</si>
  <si>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</si>
  <si>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</si>
  <si>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</si>
  <si>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</si>
  <si>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</si>
  <si>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</si>
  <si>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</si>
  <si>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</si>
  <si>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</si>
  <si>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</si>
  <si>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</si>
  <si>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</si>
  <si>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</si>
  <si>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</si>
  <si>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</si>
  <si>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</si>
  <si>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</si>
  <si>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</si>
  <si>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</si>
  <si>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</si>
  <si>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</si>
  <si>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</si>
  <si>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</si>
  <si>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</si>
  <si>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</si>
  <si>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</si>
  <si>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</si>
  <si>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</si>
  <si>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</si>
  <si>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</si>
  <si>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</si>
  <si>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</si>
  <si>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</si>
  <si>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</si>
  <si>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</si>
  <si>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</si>
  <si>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</si>
  <si>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</si>
  <si>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</si>
  <si>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</si>
  <si>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</si>
  <si>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</si>
  <si>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</si>
  <si>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</si>
  <si>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</si>
  <si>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</si>
  <si>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</si>
  <si>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</si>
  <si>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</si>
  <si>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</si>
  <si>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</si>
  <si>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</si>
  <si>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</si>
  <si>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</si>
  <si>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</si>
  <si>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</si>
  <si>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</si>
  <si>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</si>
  <si>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</si>
  <si>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</si>
  <si>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</si>
  <si>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</si>
  <si>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</si>
  <si>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</si>
  <si>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</si>
  <si>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</si>
  <si>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</si>
  <si>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</si>
  <si>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</si>
  <si>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</si>
  <si>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</si>
  <si>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</si>
  <si>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</si>
  <si>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</si>
  <si>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</si>
  <si>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</si>
  <si>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</si>
  <si>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</si>
  <si>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</si>
  <si>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</si>
  <si>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</si>
  <si>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</si>
  <si>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</si>
  <si>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</si>
  <si>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</si>
  <si>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</si>
  <si>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</si>
  <si>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</si>
  <si>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</si>
  <si>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</si>
  <si>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</si>
  <si>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</si>
  <si>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</si>
  <si>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</si>
  <si>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</si>
  <si>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</si>
  <si>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</si>
  <si>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</si>
  <si>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</si>
  <si>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</si>
  <si>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</si>
  <si>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</si>
  <si>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</si>
  <si>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</si>
  <si>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</si>
  <si>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</si>
  <si>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</si>
  <si>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</si>
  <si>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</si>
  <si>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</si>
  <si>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</si>
  <si>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</si>
  <si>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</si>
  <si>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</si>
  <si>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</si>
  <si>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</si>
  <si>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</si>
  <si>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</si>
  <si>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</si>
  <si>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</si>
  <si>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</si>
  <si>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</si>
  <si>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</si>
  <si>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</si>
  <si>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</si>
  <si>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</si>
  <si>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</si>
  <si>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</si>
  <si>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</si>
  <si>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</si>
  <si>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</si>
  <si>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</si>
  <si>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</si>
  <si>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</si>
  <si>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</si>
  <si>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</si>
  <si>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</si>
  <si>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</si>
  <si>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</si>
  <si>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</si>
  <si>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</si>
  <si>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</si>
  <si>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</si>
  <si>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</si>
  <si>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</si>
  <si>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</si>
  <si>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</si>
  <si>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</si>
  <si>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</si>
  <si>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</si>
  <si>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</si>
  <si>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</si>
  <si>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</si>
  <si>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</si>
  <si>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</si>
  <si>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</si>
  <si>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</si>
  <si>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</si>
  <si>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</si>
  <si>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</si>
  <si>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</si>
  <si>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</si>
  <si>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</si>
  <si>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</si>
  <si>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</si>
  <si>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</si>
  <si>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</si>
  <si>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</si>
  <si>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</si>
  <si>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</si>
  <si>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</si>
  <si>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</si>
  <si>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</si>
  <si>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</si>
  <si>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</si>
  <si>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</si>
  <si>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</si>
  <si>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</si>
  <si>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</si>
  <si>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</si>
  <si>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</si>
  <si>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</si>
  <si>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</si>
  <si>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</si>
  <si>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</si>
  <si>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</si>
  <si>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</si>
  <si>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</si>
  <si>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</si>
  <si>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</si>
  <si>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</si>
  <si>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</si>
  <si>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</si>
  <si>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</si>
  <si>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</si>
  <si>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</si>
  <si>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</si>
  <si>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</si>
  <si>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</si>
  <si>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</si>
  <si>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</si>
  <si>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</si>
  <si>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</si>
  <si>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</si>
  <si>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</si>
  <si>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</si>
  <si>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</si>
  <si>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</si>
  <si>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DATE</t>
  </si>
  <si>
    <t>ADJHIGH</t>
  </si>
  <si>
    <t>ADJCLOSE</t>
  </si>
  <si>
    <t>ADJLOW</t>
  </si>
  <si>
    <t>ADJOPEN</t>
  </si>
  <si>
    <t>CLOSE</t>
  </si>
  <si>
    <t>VOLUME</t>
  </si>
  <si>
    <t>Revenue Mn $</t>
  </si>
  <si>
    <t>Forex</t>
  </si>
  <si>
    <t>Employee</t>
  </si>
  <si>
    <t>Net Additions</t>
  </si>
  <si>
    <t>TTM TCV</t>
  </si>
  <si>
    <t>TTM TCV YOY%</t>
  </si>
  <si>
    <t>Revenue Mn $ QoQ%</t>
  </si>
  <si>
    <t>TCV(USD)</t>
  </si>
  <si>
    <t>RF</t>
  </si>
  <si>
    <t>Tata Consultancy Services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</si>
</sst>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  <numFmt numFmtId="168" formatCode="_ * #,##0.000_ ;_ * \-#,##0.000_ ;_ * &quot;-&quot;??_ ;_ @_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19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9" fontId="20" fillId="7" borderId="0" xfId="1" applyFont="1" applyFill="1" applyAlignment="1">
      <alignment horizontal="center"/>
    </xf>
    <xf numFmtId="9" fontId="20" fillId="2" borderId="0" xfId="1" applyFont="1" applyFill="1" applyAlignment="1">
      <alignment horizontal="left"/>
    </xf>
    <xf numFmtId="9" fontId="20" fillId="2" borderId="0" xfId="1" applyFont="1" applyFill="1" applyAlignment="1">
      <alignment horizontal="right"/>
    </xf>
    <xf numFmtId="165" fontId="20" fillId="2" borderId="0" xfId="2" applyNumberFormat="1" applyFont="1" applyFill="1" applyAlignment="1">
      <alignment horizontal="left"/>
    </xf>
    <xf numFmtId="165" fontId="20" fillId="2" borderId="0" xfId="2" applyNumberFormat="1" applyFont="1" applyFill="1" applyAlignment="1">
      <alignment horizontal="center"/>
    </xf>
    <xf numFmtId="165" fontId="20" fillId="7" borderId="0" xfId="2" applyNumberFormat="1" applyFont="1" applyFill="1" applyAlignment="1">
      <alignment horizontal="center"/>
    </xf>
    <xf numFmtId="165" fontId="7" fillId="0" borderId="0" xfId="2" applyNumberFormat="1" applyFont="1" applyAlignment="1">
      <alignment horizontal="center"/>
    </xf>
    <xf numFmtId="165" fontId="20" fillId="0" borderId="0" xfId="2" applyNumberFormat="1" applyFont="1" applyFill="1" applyAlignment="1">
      <alignment horizontal="center"/>
    </xf>
    <xf numFmtId="165" fontId="18" fillId="2" borderId="0" xfId="2" applyNumberFormat="1" applyFont="1" applyFill="1" applyAlignment="1">
      <alignment horizontal="left"/>
    </xf>
    <xf numFmtId="165" fontId="18" fillId="2" borderId="0" xfId="2" applyNumberFormat="1" applyFont="1" applyFill="1" applyAlignment="1">
      <alignment horizontal="center"/>
    </xf>
    <xf numFmtId="165" fontId="18" fillId="7" borderId="0" xfId="2" applyNumberFormat="1" applyFont="1" applyFill="1" applyAlignment="1">
      <alignment horizontal="center"/>
    </xf>
    <xf numFmtId="165" fontId="4" fillId="0" borderId="0" xfId="2" applyNumberFormat="1" applyFont="1" applyAlignment="1">
      <alignment horizontal="center"/>
    </xf>
    <xf numFmtId="165" fontId="18" fillId="0" borderId="0" xfId="2" applyNumberFormat="1" applyFont="1" applyFill="1" applyAlignment="1">
      <alignment horizontal="center"/>
    </xf>
    <xf numFmtId="43" fontId="18" fillId="2" borderId="0" xfId="2" applyFont="1" applyFill="1" applyAlignment="1">
      <alignment horizontal="left"/>
    </xf>
    <xf numFmtId="9" fontId="20" fillId="7" borderId="0" xfId="1" applyFont="1" applyFill="1" applyAlignment="1">
      <alignment horizontal="right"/>
    </xf>
    <xf numFmtId="9" fontId="7" fillId="0" borderId="0" xfId="1" applyFont="1" applyAlignment="1">
      <alignment horizontal="right"/>
    </xf>
    <xf numFmtId="9" fontId="20" fillId="0" borderId="0" xfId="1" applyFont="1" applyFill="1" applyAlignment="1">
      <alignment horizontal="right"/>
    </xf>
    <xf numFmtId="165" fontId="2" fillId="7" borderId="0" xfId="2" applyNumberFormat="1" applyFont="1" applyFill="1"/>
    <xf numFmtId="43" fontId="18" fillId="7" borderId="0" xfId="2" applyFont="1" applyFill="1" applyAlignment="1">
      <alignment horizontal="right"/>
    </xf>
    <xf numFmtId="43" fontId="20" fillId="7" borderId="0" xfId="2" applyFont="1" applyFill="1" applyAlignment="1">
      <alignment horizontal="right"/>
    </xf>
    <xf numFmtId="166" fontId="20" fillId="2" borderId="0" xfId="1" applyNumberFormat="1" applyFont="1" applyFill="1" applyAlignment="1">
      <alignment horizontal="left"/>
    </xf>
    <xf numFmtId="166" fontId="20" fillId="2" borderId="0" xfId="1" applyNumberFormat="1" applyFont="1" applyFill="1" applyAlignment="1">
      <alignment horizontal="center"/>
    </xf>
    <xf numFmtId="166" fontId="20" fillId="7" borderId="0" xfId="1" applyNumberFormat="1" applyFont="1" applyFill="1" applyAlignment="1">
      <alignment horizontal="center"/>
    </xf>
    <xf numFmtId="166" fontId="7" fillId="0" borderId="0" xfId="1" applyNumberFormat="1" applyFont="1" applyAlignment="1">
      <alignment horizontal="center"/>
    </xf>
    <xf numFmtId="166" fontId="20" fillId="2" borderId="0" xfId="1" applyNumberFormat="1" applyFont="1" applyFill="1" applyAlignment="1">
      <alignment horizontal="right"/>
    </xf>
    <xf numFmtId="166" fontId="20" fillId="7" borderId="0" xfId="1" applyNumberFormat="1" applyFont="1" applyFill="1" applyAlignment="1">
      <alignment horizontal="right"/>
    </xf>
    <xf numFmtId="166" fontId="20" fillId="0" borderId="0" xfId="1" applyNumberFormat="1" applyFont="1" applyFill="1" applyAlignment="1">
      <alignment horizontal="center"/>
    </xf>
    <xf numFmtId="168" fontId="20" fillId="2" borderId="0" xfId="2" applyNumberFormat="1" applyFont="1" applyFill="1" applyAlignment="1">
      <alignment horizontal="center"/>
    </xf>
    <xf numFmtId="17" fontId="5" fillId="0" borderId="0" xfId="0" applyNumberFormat="1" applyFont="1" applyAlignment="1">
      <alignment horizontal="center"/>
    </xf>
    <xf numFmtId="43" fontId="9" fillId="0" borderId="0" xfId="0" applyNumberFormat="1" applyFont="1"/>
    <xf numFmtId="43" fontId="5" fillId="3" borderId="0" xfId="0" applyNumberFormat="1" applyFont="1" applyFill="1"/>
    <xf numFmtId="43" fontId="7" fillId="0" borderId="0" xfId="0" applyNumberFormat="1" applyFont="1"/>
    <xf numFmtId="9" fontId="4" fillId="4" borderId="0" xfId="2" applyNumberFormat="1" applyFont="1" applyFill="1"/>
    <xf numFmtId="43" fontId="9" fillId="4" borderId="0" xfId="0" applyNumberFormat="1" applyFont="1" applyFill="1"/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Template!$AL$96:$CL$96</c:f>
              <c:numCache>
                <c:formatCode>_(* #,##0.00_);_(* \(#,##0.00\);_(* "-"??_);_(@_)</c:formatCode>
                <c:ptCount val="53"/>
                <c:pt idx="0">
                  <c:v>16.321760455145427</c:v>
                </c:pt>
                <c:pt idx="1">
                  <c:v>17.098260075226136</c:v>
                </c:pt>
                <c:pt idx="2">
                  <c:v>16.959248220211034</c:v>
                </c:pt>
                <c:pt idx="3">
                  <c:v>19.854843616367901</c:v>
                </c:pt>
                <c:pt idx="4">
                  <c:v>19.028552166133455</c:v>
                </c:pt>
                <c:pt idx="5">
                  <c:v>17.747533366336146</c:v>
                </c:pt>
                <c:pt idx="6">
                  <c:v>20.121399593113868</c:v>
                </c:pt>
                <c:pt idx="7">
                  <c:v>20.232577900041747</c:v>
                </c:pt>
                <c:pt idx="8">
                  <c:v>22.504375742094361</c:v>
                </c:pt>
                <c:pt idx="9">
                  <c:v>21.703916331777453</c:v>
                </c:pt>
                <c:pt idx="10">
                  <c:v>21.301549072828571</c:v>
                </c:pt>
                <c:pt idx="11">
                  <c:v>19.374395580582249</c:v>
                </c:pt>
                <c:pt idx="12">
                  <c:v>15.803007828594975</c:v>
                </c:pt>
                <c:pt idx="13">
                  <c:v>17.523991545893722</c:v>
                </c:pt>
                <c:pt idx="14">
                  <c:v>16.327337987614875</c:v>
                </c:pt>
                <c:pt idx="15">
                  <c:v>14.292329272510662</c:v>
                </c:pt>
                <c:pt idx="16">
                  <c:v>14.832374757503137</c:v>
                </c:pt>
                <c:pt idx="17">
                  <c:v>15.748543427094187</c:v>
                </c:pt>
                <c:pt idx="18">
                  <c:v>16.32560034138961</c:v>
                </c:pt>
                <c:pt idx="19">
                  <c:v>17.192518605562086</c:v>
                </c:pt>
                <c:pt idx="20">
                  <c:v>18.381038488345077</c:v>
                </c:pt>
                <c:pt idx="21">
                  <c:v>18.91719628228206</c:v>
                </c:pt>
                <c:pt idx="22">
                  <c:v>23.100917143255685</c:v>
                </c:pt>
                <c:pt idx="23">
                  <c:v>21.349024793388427</c:v>
                </c:pt>
                <c:pt idx="24">
                  <c:v>20.813964794102695</c:v>
                </c:pt>
                <c:pt idx="25">
                  <c:v>22.50788829309116</c:v>
                </c:pt>
                <c:pt idx="26">
                  <c:v>22.06363411924454</c:v>
                </c:pt>
                <c:pt idx="27">
                  <c:v>21.541104975784311</c:v>
                </c:pt>
                <c:pt idx="28">
                  <c:v>16.839604205318494</c:v>
                </c:pt>
                <c:pt idx="29">
                  <c:v>19.133805298395107</c:v>
                </c:pt>
                <c:pt idx="30">
                  <c:v>23.645070289946034</c:v>
                </c:pt>
                <c:pt idx="31">
                  <c:v>27.798958429632371</c:v>
                </c:pt>
                <c:pt idx="32">
                  <c:v>29.058547313361863</c:v>
                </c:pt>
                <c:pt idx="33">
                  <c:v>30.513285457809697</c:v>
                </c:pt>
                <c:pt idx="34">
                  <c:v>31.007364881489373</c:v>
                </c:pt>
                <c:pt idx="35">
                  <c:v>32.558557122745498</c:v>
                </c:pt>
                <c:pt idx="36">
                  <c:v>31.650324836277296</c:v>
                </c:pt>
                <c:pt idx="37">
                  <c:v>28.209724978735469</c:v>
                </c:pt>
                <c:pt idx="38">
                  <c:v>26.745076254923749</c:v>
                </c:pt>
                <c:pt idx="39">
                  <c:v>26.46281310685578</c:v>
                </c:pt>
                <c:pt idx="40">
                  <c:v>26.592360073077565</c:v>
                </c:pt>
                <c:pt idx="41">
                  <c:v>25.408604805340282</c:v>
                </c:pt>
                <c:pt idx="42">
                  <c:v>26.347023782863793</c:v>
                </c:pt>
                <c:pt idx="43">
                  <c:v>26.172005935754189</c:v>
                </c:pt>
                <c:pt idx="44">
                  <c:v>28.205118849485764</c:v>
                </c:pt>
                <c:pt idx="45">
                  <c:v>27.194652115738418</c:v>
                </c:pt>
                <c:pt idx="46">
                  <c:v>29.065685241430611</c:v>
                </c:pt>
                <c:pt idx="47">
                  <c:v>29.063634312901176</c:v>
                </c:pt>
                <c:pt idx="48">
                  <c:v>25.777206351821714</c:v>
                </c:pt>
                <c:pt idx="49">
                  <c:v>22.483114484606169</c:v>
                </c:pt>
                <c:pt idx="50">
                  <c:v>20.657491991932613</c:v>
                </c:pt>
                <c:pt idx="51">
                  <c:v>19.870087286091646</c:v>
                </c:pt>
                <c:pt idx="52">
                  <c:v>15.806511463450944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D1-4A18-8F2B-6B926CA40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5689040"/>
        <c:axId val="1015686160"/>
      </c:lineChart>
      <c:catAx>
        <c:axId val="101568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686160"/>
        <c:crosses val="autoZero"/>
        <c:auto val="1"/>
        <c:lblAlgn val="ctr"/>
        <c:lblOffset val="100"/>
        <c:noMultiLvlLbl val="0"/>
      </c:catAx>
      <c:valAx>
        <c:axId val="101568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6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66675</xdr:colOff>
      <xdr:row>99</xdr:row>
      <xdr:rowOff>90487</xdr:rowOff>
    </xdr:from>
    <xdr:to>
      <xdr:col>48</xdr:col>
      <xdr:colOff>180975</xdr:colOff>
      <xdr:row>117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AB6711-DAE2-43BC-606B-374DE0D41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3"/>
  <sheetViews>
    <sheetView tabSelected="1" zoomScaleNormal="100" workbookViewId="0">
      <pane xSplit="1" ySplit="1" topLeftCell="CH47" activePane="bottomRight" state="frozen"/>
      <selection pane="topRight" activeCell="B1" sqref="B1"/>
      <selection pane="bottomLeft" activeCell="A2" sqref="A2"/>
      <selection pane="bottomRight" activeCell="CL72" sqref="CL72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7" width="11.140625" style="2"/>
    <col min="88" max="90" width="12.7109375" style="2" bestFit="1" customWidth="1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Tata Consultancy Services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J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ref="CK1" si="16">EOMONTH(CJ1,3)</f>
        <v>46022</v>
      </c>
      <c r="CL1" s="79">
        <f t="shared" ref="CL1" si="17">EOMONTH(CK1,3)</f>
        <v>46112</v>
      </c>
      <c r="CM1" s="80">
        <f t="shared" ref="CM1" si="18">EOMONTH(CL1,3)</f>
        <v>46203</v>
      </c>
      <c r="CN1" s="80">
        <f t="shared" ref="CN1" si="19">EOMONTH(CM1,3)</f>
        <v>46295</v>
      </c>
      <c r="CO1" s="80">
        <f t="shared" ref="CO1" si="20">EOMONTH(CN1,3)</f>
        <v>46387</v>
      </c>
      <c r="CP1" s="80">
        <f t="shared" ref="CP1" si="21">EOMONTH(CO1,3)</f>
        <v>46477</v>
      </c>
      <c r="CQ1" s="80">
        <f t="shared" ref="CQ1" si="22">EOMONTH(CP1,3)</f>
        <v>46568</v>
      </c>
      <c r="CR1" s="80">
        <f t="shared" ref="CR1" si="23">EOMONTH(CQ1,3)</f>
        <v>46660</v>
      </c>
      <c r="CS1" s="80">
        <f t="shared" ref="CS1" si="24">EOMONTH(CR1,3)</f>
        <v>46752</v>
      </c>
      <c r="CT1" s="80">
        <f t="shared" ref="CT1" si="25">EOMONTH(CS1,3)</f>
        <v>46843</v>
      </c>
      <c r="CU1" s="80">
        <f t="shared" ref="CU1" si="26">EOMONTH(CT1,3)</f>
        <v>46934</v>
      </c>
      <c r="CV1" s="80">
        <f t="shared" ref="CV1" si="27">EOMONTH(CU1,3)</f>
        <v>47026</v>
      </c>
      <c r="CW1" s="80">
        <f t="shared" ref="CW1" si="28">EOMONTH(CV1,3)</f>
        <v>47118</v>
      </c>
      <c r="CX1" s="80">
        <f t="shared" ref="CX1" si="29">EOMONTH(CW1,3)</f>
        <v>47208</v>
      </c>
      <c r="CY1" s="80">
        <f t="shared" ref="CY1" si="30">EOMONTH(CX1,3)</f>
        <v>47299</v>
      </c>
      <c r="CZ1" s="80">
        <f t="shared" ref="CZ1" si="31">EOMONTH(CY1,3)</f>
        <v>47391</v>
      </c>
      <c r="DA1" s="80">
        <f t="shared" ref="DA1" si="32">EOMONTH(CZ1,3)</f>
        <v>47483</v>
      </c>
      <c r="DB1" s="80">
        <f t="shared" ref="DB1" si="33">EOMONTH(DA1,3)</f>
        <v>47573</v>
      </c>
      <c r="DE1" s="148" t="s">
        <v>445</v>
      </c>
      <c r="DF1" s="213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212"/>
      <c r="CK3" s="212"/>
      <c r="CL3" s="212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09" customFormat="1" x14ac:dyDescent="0.2">
      <c r="A4" s="198" t="s">
        <v>522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>
        <f>+SUM(AI4:AL4)</f>
        <v>11568.090085974432</v>
      </c>
      <c r="O4" s="107">
        <f>+SUM(AM4:AP4)</f>
        <v>13442.015981749762</v>
      </c>
      <c r="P4" s="107">
        <f>+SUM(AQ4:AT4)</f>
        <v>15454.848160042438</v>
      </c>
      <c r="Q4" s="107">
        <f>+SUM(AU4:AX4)</f>
        <v>16544</v>
      </c>
      <c r="R4" s="107">
        <f>+SUM(AY4:BB4)</f>
        <v>17575</v>
      </c>
      <c r="S4" s="107">
        <f>+SUM(BC4:BF4)</f>
        <v>19087</v>
      </c>
      <c r="T4" s="107">
        <f>+SUM(BG4:BJ4)</f>
        <v>20913</v>
      </c>
      <c r="U4" s="107">
        <f>+SUM(BK4:BN4)</f>
        <v>22032</v>
      </c>
      <c r="V4" s="107">
        <f>+SUM(BO4:BR4)</f>
        <v>22161.343497880487</v>
      </c>
      <c r="W4" s="107">
        <f>+SUM(BS4:BV4)</f>
        <v>25696.740716268007</v>
      </c>
      <c r="X4" s="107">
        <f>+SUM(BW4:BZ4)</f>
        <v>27927</v>
      </c>
      <c r="Y4" s="107">
        <f>+SUM(CA4:CD4)</f>
        <v>29080</v>
      </c>
      <c r="Z4" s="107">
        <f>+SUM(CE4:CH4)</f>
        <v>30179</v>
      </c>
      <c r="AA4" s="108">
        <f>SUM(CI4:CL4)</f>
        <v>30033.727999999999</v>
      </c>
      <c r="AB4" s="108">
        <f>+SUM(CM4:CP4)</f>
        <v>31461.072120413159</v>
      </c>
      <c r="AC4" s="108">
        <f>+SUM(CQ4:CT4)</f>
        <v>33084.707086507282</v>
      </c>
      <c r="AD4" s="108">
        <f>+SUM(CU4:CX4)</f>
        <v>34792.134190804252</v>
      </c>
      <c r="AE4" s="108">
        <f>+SUM(CY4:DB4)</f>
        <v>36587.677756548663</v>
      </c>
      <c r="AI4" s="107">
        <v>2728.2036697247704</v>
      </c>
      <c r="AJ4" s="107">
        <v>2852.5840029218407</v>
      </c>
      <c r="AK4" s="107">
        <v>2948.0700788846088</v>
      </c>
      <c r="AL4" s="107">
        <v>3039.2323344432116</v>
      </c>
      <c r="AM4" s="107">
        <v>3164.5091484869808</v>
      </c>
      <c r="AN4" s="107">
        <v>3337.1364937957369</v>
      </c>
      <c r="AO4" s="107">
        <v>3437.8366160800779</v>
      </c>
      <c r="AP4" s="107">
        <v>3502.5337233869659</v>
      </c>
      <c r="AQ4" s="107">
        <v>3694.4076858813696</v>
      </c>
      <c r="AR4" s="107">
        <v>3928.8155724183439</v>
      </c>
      <c r="AS4" s="107">
        <v>3930.8743783090013</v>
      </c>
      <c r="AT4" s="107">
        <v>3900.750523433725</v>
      </c>
      <c r="AU4" s="107">
        <v>4036</v>
      </c>
      <c r="AV4" s="107">
        <v>4156</v>
      </c>
      <c r="AW4" s="107">
        <v>4145</v>
      </c>
      <c r="AX4" s="107">
        <v>4207</v>
      </c>
      <c r="AY4" s="107">
        <v>4362</v>
      </c>
      <c r="AZ4" s="107">
        <v>4374</v>
      </c>
      <c r="BA4" s="107">
        <v>4387</v>
      </c>
      <c r="BB4" s="107">
        <v>4452</v>
      </c>
      <c r="BC4" s="107">
        <v>4591</v>
      </c>
      <c r="BD4" s="107">
        <v>4739</v>
      </c>
      <c r="BE4" s="107">
        <v>4787</v>
      </c>
      <c r="BF4" s="107">
        <v>4970</v>
      </c>
      <c r="BG4" s="107">
        <v>5051</v>
      </c>
      <c r="BH4" s="107">
        <v>5215</v>
      </c>
      <c r="BI4" s="107">
        <v>5250</v>
      </c>
      <c r="BJ4" s="107">
        <v>5397</v>
      </c>
      <c r="BK4" s="107">
        <v>5485</v>
      </c>
      <c r="BL4" s="107">
        <v>5517</v>
      </c>
      <c r="BM4" s="107">
        <v>5586</v>
      </c>
      <c r="BN4" s="107">
        <v>5444</v>
      </c>
      <c r="BO4" s="107">
        <v>5059</v>
      </c>
      <c r="BP4" s="107">
        <v>5424</v>
      </c>
      <c r="BQ4" s="107">
        <v>5702</v>
      </c>
      <c r="BR4" s="107">
        <v>5976.3434978804871</v>
      </c>
      <c r="BS4" s="107">
        <v>6154</v>
      </c>
      <c r="BT4" s="107">
        <v>6333</v>
      </c>
      <c r="BU4" s="107">
        <v>6524</v>
      </c>
      <c r="BV4" s="107">
        <v>6685.7407162680056</v>
      </c>
      <c r="BW4" s="107">
        <v>6780</v>
      </c>
      <c r="BX4" s="107">
        <v>6877</v>
      </c>
      <c r="BY4" s="107">
        <v>7075</v>
      </c>
      <c r="BZ4" s="107">
        <v>7195</v>
      </c>
      <c r="CA4" s="107">
        <v>7226</v>
      </c>
      <c r="CB4" s="107">
        <v>7210</v>
      </c>
      <c r="CC4" s="107">
        <v>7281</v>
      </c>
      <c r="CD4" s="107">
        <v>7363</v>
      </c>
      <c r="CE4" s="107">
        <v>7505</v>
      </c>
      <c r="CF4" s="107">
        <v>7670</v>
      </c>
      <c r="CG4" s="107">
        <v>7539</v>
      </c>
      <c r="CH4" s="107">
        <v>7465</v>
      </c>
      <c r="CI4" s="107">
        <v>7421</v>
      </c>
      <c r="CJ4" s="107">
        <v>7466</v>
      </c>
      <c r="CK4" s="107">
        <v>7525.7280000000001</v>
      </c>
      <c r="CL4" s="107">
        <v>7621</v>
      </c>
      <c r="CM4" s="203">
        <f t="shared" ref="CM4:DB4" si="34">+CL4+(CM6*CL4)</f>
        <v>7717.478096471199</v>
      </c>
      <c r="CN4" s="203">
        <f t="shared" si="34"/>
        <v>7815.1775579993073</v>
      </c>
      <c r="CO4" s="203">
        <f t="shared" si="34"/>
        <v>7914.1138464627911</v>
      </c>
      <c r="CP4" s="203">
        <f t="shared" si="34"/>
        <v>8014.3026194798613</v>
      </c>
      <c r="CQ4" s="203">
        <f t="shared" si="34"/>
        <v>8115.7597328864431</v>
      </c>
      <c r="CR4" s="203">
        <f t="shared" si="34"/>
        <v>8218.5012432455151</v>
      </c>
      <c r="CS4" s="203">
        <f t="shared" si="34"/>
        <v>8322.5434103882144</v>
      </c>
      <c r="CT4" s="203">
        <f t="shared" si="34"/>
        <v>8427.9026999871094</v>
      </c>
      <c r="CU4" s="203">
        <f t="shared" si="34"/>
        <v>8534.5957861620518</v>
      </c>
      <c r="CV4" s="203">
        <f t="shared" si="34"/>
        <v>8642.6395541190177</v>
      </c>
      <c r="CW4" s="203">
        <f t="shared" si="34"/>
        <v>8752.05110282235</v>
      </c>
      <c r="CX4" s="203">
        <f t="shared" si="34"/>
        <v>8862.8477477008382</v>
      </c>
      <c r="CY4" s="203">
        <f t="shared" si="34"/>
        <v>8975.0470233880478</v>
      </c>
      <c r="CZ4" s="203">
        <f t="shared" si="34"/>
        <v>9088.6666864973486</v>
      </c>
      <c r="DA4" s="203">
        <f t="shared" si="34"/>
        <v>9203.724718432064</v>
      </c>
      <c r="DB4" s="203">
        <f t="shared" si="34"/>
        <v>9320.2393282312041</v>
      </c>
      <c r="DE4" s="117"/>
      <c r="DF4" s="109">
        <v>7570.8823680000005</v>
      </c>
    </row>
    <row r="5" spans="1:110" s="158" customFormat="1" x14ac:dyDescent="0.2">
      <c r="A5" s="155" t="s">
        <v>523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>
        <f>+AL5</f>
        <v>54.059999999999995</v>
      </c>
      <c r="O5" s="156">
        <f>+AP5</f>
        <v>61.529999999999994</v>
      </c>
      <c r="P5" s="156">
        <f>+AT5</f>
        <v>62.089999999999996</v>
      </c>
      <c r="Q5" s="156">
        <f>+AX5</f>
        <v>67.62300927026385</v>
      </c>
      <c r="R5" s="156">
        <f>+BB5</f>
        <v>66.581311769991018</v>
      </c>
      <c r="S5" s="156">
        <f>+BF5</f>
        <v>64.537223340040242</v>
      </c>
      <c r="T5" s="156">
        <f>+BJ5</f>
        <v>70.428015564202326</v>
      </c>
      <c r="U5" s="156">
        <f>+BN5</f>
        <v>73.376193975018367</v>
      </c>
      <c r="V5" s="156">
        <f>+BR5</f>
        <v>73.13</v>
      </c>
      <c r="W5" s="156">
        <f>+BV5</f>
        <v>75.67</v>
      </c>
      <c r="X5" s="156">
        <f>+BZ5</f>
        <v>82.226546212647676</v>
      </c>
      <c r="Y5" s="156">
        <f>+CD5</f>
        <v>83.16854542985196</v>
      </c>
      <c r="Z5" s="156">
        <f>+CH5</f>
        <v>86.375083724045538</v>
      </c>
      <c r="AA5" s="24">
        <f t="shared" ref="AA5" si="35">+CL5</f>
        <v>92.767353365700046</v>
      </c>
      <c r="AB5" s="24">
        <f t="shared" ref="AB5" si="36">+CP5</f>
        <v>91</v>
      </c>
      <c r="AC5" s="24">
        <f t="shared" ref="AC5" si="37">+CT5</f>
        <v>91</v>
      </c>
      <c r="AD5" s="24">
        <f t="shared" ref="AD5" si="38">+CX5</f>
        <v>91</v>
      </c>
      <c r="AE5" s="24">
        <f t="shared" ref="AE5" si="39">+DB5</f>
        <v>91</v>
      </c>
      <c r="AI5" s="156">
        <v>54.5</v>
      </c>
      <c r="AJ5" s="156">
        <v>54.76</v>
      </c>
      <c r="AK5" s="156">
        <v>54.509999999999991</v>
      </c>
      <c r="AL5" s="156">
        <v>54.059999999999995</v>
      </c>
      <c r="AM5" s="156">
        <v>56.84</v>
      </c>
      <c r="AN5" s="156">
        <v>62.86</v>
      </c>
      <c r="AO5" s="156">
        <v>61.939999999999991</v>
      </c>
      <c r="AP5" s="156">
        <v>61.529999999999994</v>
      </c>
      <c r="AQ5" s="156">
        <v>59.85</v>
      </c>
      <c r="AR5" s="156">
        <v>60.61999999999999</v>
      </c>
      <c r="AS5" s="156">
        <v>62.329999999999984</v>
      </c>
      <c r="AT5" s="156">
        <v>62.089999999999996</v>
      </c>
      <c r="AU5" s="156">
        <v>63.597621407333989</v>
      </c>
      <c r="AV5" s="156">
        <v>65.363330125120299</v>
      </c>
      <c r="AW5" s="156">
        <v>66.016887816646559</v>
      </c>
      <c r="AX5" s="156">
        <v>67.62300927026385</v>
      </c>
      <c r="AY5" s="156">
        <v>67.182485098578638</v>
      </c>
      <c r="AZ5" s="156">
        <v>66.950160036579788</v>
      </c>
      <c r="BA5" s="156">
        <v>67.779803966263955</v>
      </c>
      <c r="BB5" s="156">
        <v>66.581311769991018</v>
      </c>
      <c r="BC5" s="156">
        <v>64.439120017425395</v>
      </c>
      <c r="BD5" s="156">
        <v>64.446085672082717</v>
      </c>
      <c r="BE5" s="156">
        <v>64.558178399832883</v>
      </c>
      <c r="BF5" s="156">
        <v>64.537223340040242</v>
      </c>
      <c r="BG5" s="156">
        <v>67.830132647000596</v>
      </c>
      <c r="BH5" s="156">
        <v>70.669223394055606</v>
      </c>
      <c r="BI5" s="156">
        <v>71.12</v>
      </c>
      <c r="BJ5" s="156">
        <v>70.428015564202326</v>
      </c>
      <c r="BK5" s="156">
        <v>69.593436645396537</v>
      </c>
      <c r="BL5" s="156">
        <v>70.648903389523298</v>
      </c>
      <c r="BM5" s="156">
        <v>71.346222699606159</v>
      </c>
      <c r="BN5" s="156">
        <v>73.376193975018367</v>
      </c>
      <c r="BO5" s="156">
        <v>75.750148250642425</v>
      </c>
      <c r="BP5" s="156">
        <v>73.99520648967551</v>
      </c>
      <c r="BQ5" s="156">
        <v>73.68467204489653</v>
      </c>
      <c r="BR5" s="156">
        <v>73.13</v>
      </c>
      <c r="BS5" s="156">
        <v>73.791030224244395</v>
      </c>
      <c r="BT5" s="156">
        <v>74.004421285330807</v>
      </c>
      <c r="BU5" s="156">
        <v>74.931023911710611</v>
      </c>
      <c r="BV5" s="156">
        <v>75.67</v>
      </c>
      <c r="BW5" s="156">
        <v>77.814159292035399</v>
      </c>
      <c r="BX5" s="156">
        <v>80.426057874072995</v>
      </c>
      <c r="BY5" s="156">
        <v>82.302473498233212</v>
      </c>
      <c r="BZ5" s="156">
        <v>82.226546212647676</v>
      </c>
      <c r="CA5" s="156">
        <v>82.176861334071404</v>
      </c>
      <c r="CB5" s="156">
        <v>82.790568654646322</v>
      </c>
      <c r="CC5" s="156">
        <v>83.220711440736167</v>
      </c>
      <c r="CD5" s="156">
        <v>83.16854542985196</v>
      </c>
      <c r="CE5" s="156">
        <v>83.42838107928047</v>
      </c>
      <c r="CF5" s="156">
        <v>83.779661016949149</v>
      </c>
      <c r="CG5" s="156">
        <v>84.856081708449395</v>
      </c>
      <c r="CH5" s="156">
        <v>86.375083724045538</v>
      </c>
      <c r="CI5" s="156">
        <v>85.48308853254278</v>
      </c>
      <c r="CJ5" s="156">
        <f>+CJ17/CJ4*10</f>
        <v>88.13152960085722</v>
      </c>
      <c r="CK5" s="156">
        <f>+CK17/CK4*10</f>
        <v>89.143535349669833</v>
      </c>
      <c r="CL5" s="156">
        <f>+CL17/CL4*10</f>
        <v>92.767353365700046</v>
      </c>
      <c r="CM5" s="204">
        <v>91</v>
      </c>
      <c r="CN5" s="204">
        <f t="shared" ref="CN5:DB5" si="40">CM5</f>
        <v>91</v>
      </c>
      <c r="CO5" s="204">
        <f t="shared" si="40"/>
        <v>91</v>
      </c>
      <c r="CP5" s="204">
        <f t="shared" si="40"/>
        <v>91</v>
      </c>
      <c r="CQ5" s="204">
        <f t="shared" si="40"/>
        <v>91</v>
      </c>
      <c r="CR5" s="204">
        <f t="shared" si="40"/>
        <v>91</v>
      </c>
      <c r="CS5" s="204">
        <f t="shared" si="40"/>
        <v>91</v>
      </c>
      <c r="CT5" s="204">
        <f t="shared" si="40"/>
        <v>91</v>
      </c>
      <c r="CU5" s="204">
        <f t="shared" si="40"/>
        <v>91</v>
      </c>
      <c r="CV5" s="204">
        <f t="shared" si="40"/>
        <v>91</v>
      </c>
      <c r="CW5" s="204">
        <f t="shared" si="40"/>
        <v>91</v>
      </c>
      <c r="CX5" s="204">
        <f t="shared" si="40"/>
        <v>91</v>
      </c>
      <c r="CY5" s="204">
        <f t="shared" si="40"/>
        <v>91</v>
      </c>
      <c r="CZ5" s="204">
        <f t="shared" si="40"/>
        <v>91</v>
      </c>
      <c r="DA5" s="204">
        <f t="shared" si="40"/>
        <v>91</v>
      </c>
      <c r="DB5" s="204">
        <f t="shared" si="40"/>
        <v>91</v>
      </c>
      <c r="DE5" s="159"/>
      <c r="DF5" s="158">
        <v>90</v>
      </c>
    </row>
    <row r="6" spans="1:110" s="208" customFormat="1" x14ac:dyDescent="0.2">
      <c r="A6" s="205" t="s">
        <v>528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7"/>
      <c r="AB6" s="207"/>
      <c r="AC6" s="207"/>
      <c r="AD6" s="207"/>
      <c r="AE6" s="207"/>
      <c r="AI6" s="206"/>
      <c r="AJ6" s="209">
        <f t="shared" ref="AJ6:CI6" si="41">AJ4/AI4-1</f>
        <v>4.5590560036750549E-2</v>
      </c>
      <c r="AK6" s="209">
        <f t="shared" si="41"/>
        <v>3.3473536928260161E-2</v>
      </c>
      <c r="AL6" s="209">
        <f t="shared" si="41"/>
        <v>3.0922689460995967E-2</v>
      </c>
      <c r="AM6" s="209">
        <f t="shared" si="41"/>
        <v>4.1219887214289042E-2</v>
      </c>
      <c r="AN6" s="209">
        <f t="shared" si="41"/>
        <v>5.4551065333874327E-2</v>
      </c>
      <c r="AO6" s="209">
        <f t="shared" si="41"/>
        <v>3.0175607881654853E-2</v>
      </c>
      <c r="AP6" s="209">
        <f t="shared" si="41"/>
        <v>1.8819133813478661E-2</v>
      </c>
      <c r="AQ6" s="209">
        <f t="shared" si="41"/>
        <v>5.4781474683093245E-2</v>
      </c>
      <c r="AR6" s="209">
        <f t="shared" si="41"/>
        <v>6.344938254453969E-2</v>
      </c>
      <c r="AS6" s="209">
        <f t="shared" si="41"/>
        <v>5.2402711522292478E-4</v>
      </c>
      <c r="AT6" s="209">
        <f t="shared" si="41"/>
        <v>-7.6633980066885821E-3</v>
      </c>
      <c r="AU6" s="209">
        <f t="shared" si="41"/>
        <v>3.4672680488989194E-2</v>
      </c>
      <c r="AV6" s="209">
        <f t="shared" si="41"/>
        <v>2.9732408325074289E-2</v>
      </c>
      <c r="AW6" s="209">
        <f t="shared" si="41"/>
        <v>-2.6467757459095465E-3</v>
      </c>
      <c r="AX6" s="209">
        <f t="shared" si="41"/>
        <v>1.4957780458383585E-2</v>
      </c>
      <c r="AY6" s="209">
        <f t="shared" si="41"/>
        <v>3.6843356310910291E-2</v>
      </c>
      <c r="AZ6" s="209">
        <f t="shared" si="41"/>
        <v>2.7510316368637433E-3</v>
      </c>
      <c r="BA6" s="209">
        <f t="shared" si="41"/>
        <v>2.9721079103794956E-3</v>
      </c>
      <c r="BB6" s="209">
        <f t="shared" si="41"/>
        <v>1.4816503305219886E-2</v>
      </c>
      <c r="BC6" s="209">
        <f t="shared" si="41"/>
        <v>3.1221922731356599E-2</v>
      </c>
      <c r="BD6" s="209">
        <f t="shared" si="41"/>
        <v>3.2236985406229657E-2</v>
      </c>
      <c r="BE6" s="209">
        <f t="shared" si="41"/>
        <v>1.0128719139058884E-2</v>
      </c>
      <c r="BF6" s="209">
        <f t="shared" si="41"/>
        <v>3.8228535617296888E-2</v>
      </c>
      <c r="BG6" s="209">
        <f t="shared" si="41"/>
        <v>1.6297786720322005E-2</v>
      </c>
      <c r="BH6" s="209">
        <f t="shared" si="41"/>
        <v>3.2468818055830573E-2</v>
      </c>
      <c r="BI6" s="209">
        <f t="shared" si="41"/>
        <v>6.7114093959732557E-3</v>
      </c>
      <c r="BJ6" s="209">
        <f t="shared" si="41"/>
        <v>2.8000000000000025E-2</v>
      </c>
      <c r="BK6" s="209">
        <f t="shared" si="41"/>
        <v>1.6305354826755547E-2</v>
      </c>
      <c r="BL6" s="209">
        <f t="shared" si="41"/>
        <v>5.8340929808569086E-3</v>
      </c>
      <c r="BM6" s="209">
        <f t="shared" si="41"/>
        <v>1.2506797172376238E-2</v>
      </c>
      <c r="BN6" s="209">
        <f t="shared" si="41"/>
        <v>-2.5420694593626947E-2</v>
      </c>
      <c r="BO6" s="209">
        <f t="shared" si="41"/>
        <v>-7.0720058780308626E-2</v>
      </c>
      <c r="BP6" s="209">
        <f t="shared" si="41"/>
        <v>7.2148645977465842E-2</v>
      </c>
      <c r="BQ6" s="209">
        <f t="shared" si="41"/>
        <v>5.1253687315634178E-2</v>
      </c>
      <c r="BR6" s="209">
        <f t="shared" si="41"/>
        <v>4.8113556275076741E-2</v>
      </c>
      <c r="BS6" s="209">
        <f t="shared" si="41"/>
        <v>2.9726621668001219E-2</v>
      </c>
      <c r="BT6" s="209">
        <f t="shared" si="41"/>
        <v>2.9086772830679175E-2</v>
      </c>
      <c r="BU6" s="209">
        <f t="shared" si="41"/>
        <v>3.0159482078004007E-2</v>
      </c>
      <c r="BV6" s="209">
        <f t="shared" si="41"/>
        <v>2.4791648722870319E-2</v>
      </c>
      <c r="BW6" s="209">
        <f t="shared" si="41"/>
        <v>1.4098555078966735E-2</v>
      </c>
      <c r="BX6" s="209">
        <f t="shared" si="41"/>
        <v>1.4306784660766958E-2</v>
      </c>
      <c r="BY6" s="209">
        <f t="shared" si="41"/>
        <v>2.8791624254762338E-2</v>
      </c>
      <c r="BZ6" s="209">
        <f t="shared" si="41"/>
        <v>1.6961130742049413E-2</v>
      </c>
      <c r="CA6" s="209">
        <f t="shared" si="41"/>
        <v>4.3085476025017666E-3</v>
      </c>
      <c r="CB6" s="209">
        <f t="shared" si="41"/>
        <v>-2.214226404649855E-3</v>
      </c>
      <c r="CC6" s="209">
        <f t="shared" si="41"/>
        <v>9.8474341192786863E-3</v>
      </c>
      <c r="CD6" s="209">
        <f t="shared" si="41"/>
        <v>1.1262189259717115E-2</v>
      </c>
      <c r="CE6" s="209">
        <f t="shared" si="41"/>
        <v>1.9285617275567102E-2</v>
      </c>
      <c r="CF6" s="209">
        <f t="shared" si="41"/>
        <v>2.1985343104596877E-2</v>
      </c>
      <c r="CG6" s="209">
        <f t="shared" si="41"/>
        <v>-1.7079530638852702E-2</v>
      </c>
      <c r="CH6" s="209">
        <f t="shared" si="41"/>
        <v>-9.8156254145111976E-3</v>
      </c>
      <c r="CI6" s="209">
        <f t="shared" si="41"/>
        <v>-5.8941728064300092E-3</v>
      </c>
      <c r="CJ6" s="209">
        <f>CJ4/CI4-1</f>
        <v>6.0638727934241299E-3</v>
      </c>
      <c r="CK6" s="209">
        <f>CK4/CJ4-1</f>
        <v>8.0000000000000071E-3</v>
      </c>
      <c r="CL6" s="209">
        <f>CL4/CK4-1</f>
        <v>1.265950616339051E-2</v>
      </c>
      <c r="CM6" s="210">
        <f t="shared" ref="CM6:DB6" si="42">+CL6</f>
        <v>1.265950616339051E-2</v>
      </c>
      <c r="CN6" s="210">
        <f t="shared" si="42"/>
        <v>1.265950616339051E-2</v>
      </c>
      <c r="CO6" s="210">
        <f t="shared" si="42"/>
        <v>1.265950616339051E-2</v>
      </c>
      <c r="CP6" s="210">
        <f t="shared" si="42"/>
        <v>1.265950616339051E-2</v>
      </c>
      <c r="CQ6" s="210">
        <f t="shared" si="42"/>
        <v>1.265950616339051E-2</v>
      </c>
      <c r="CR6" s="210">
        <f t="shared" si="42"/>
        <v>1.265950616339051E-2</v>
      </c>
      <c r="CS6" s="210">
        <f t="shared" si="42"/>
        <v>1.265950616339051E-2</v>
      </c>
      <c r="CT6" s="210">
        <f t="shared" si="42"/>
        <v>1.265950616339051E-2</v>
      </c>
      <c r="CU6" s="210">
        <f t="shared" si="42"/>
        <v>1.265950616339051E-2</v>
      </c>
      <c r="CV6" s="210">
        <f t="shared" si="42"/>
        <v>1.265950616339051E-2</v>
      </c>
      <c r="CW6" s="210">
        <f t="shared" si="42"/>
        <v>1.265950616339051E-2</v>
      </c>
      <c r="CX6" s="210">
        <f t="shared" si="42"/>
        <v>1.265950616339051E-2</v>
      </c>
      <c r="CY6" s="210">
        <f t="shared" si="42"/>
        <v>1.265950616339051E-2</v>
      </c>
      <c r="CZ6" s="210">
        <f t="shared" si="42"/>
        <v>1.265950616339051E-2</v>
      </c>
      <c r="DA6" s="210">
        <f t="shared" si="42"/>
        <v>1.265950616339051E-2</v>
      </c>
      <c r="DB6" s="210">
        <f t="shared" si="42"/>
        <v>1.265950616339051E-2</v>
      </c>
      <c r="DE6" s="211"/>
      <c r="DF6" s="208">
        <v>6.0000000000000001E-3</v>
      </c>
    </row>
    <row r="7" spans="1:110" s="158" customFormat="1" x14ac:dyDescent="0.2">
      <c r="A7" s="155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7"/>
      <c r="AB7" s="157"/>
      <c r="AC7" s="157"/>
      <c r="AD7" s="157"/>
      <c r="AE7" s="157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6"/>
      <c r="CB7" s="156"/>
      <c r="CC7" s="156"/>
      <c r="CD7" s="156"/>
      <c r="CE7" s="156"/>
      <c r="CF7" s="156"/>
      <c r="CG7" s="156"/>
      <c r="CH7" s="156"/>
      <c r="CI7" s="156"/>
      <c r="CJ7" s="156"/>
      <c r="CK7" s="156"/>
      <c r="CL7" s="156"/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96" customFormat="1" x14ac:dyDescent="0.2">
      <c r="A8" s="193" t="s">
        <v>524</v>
      </c>
      <c r="B8" s="194"/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89">
        <f>+AL8</f>
        <v>276196</v>
      </c>
      <c r="O8" s="189">
        <f>+AP8</f>
        <v>300464</v>
      </c>
      <c r="P8" s="189">
        <f>+AT8</f>
        <v>319656</v>
      </c>
      <c r="Q8" s="189">
        <f>+AX8</f>
        <v>353843</v>
      </c>
      <c r="R8" s="189">
        <f>+BB8</f>
        <v>387223</v>
      </c>
      <c r="S8" s="189">
        <f>+BF8</f>
        <v>394998</v>
      </c>
      <c r="T8" s="189">
        <f>+BJ8</f>
        <v>424285</v>
      </c>
      <c r="U8" s="189">
        <f>+BN8</f>
        <v>448464</v>
      </c>
      <c r="V8" s="189">
        <f>+BR8</f>
        <v>488649</v>
      </c>
      <c r="W8" s="189">
        <f>+BV8</f>
        <v>592195</v>
      </c>
      <c r="X8" s="189">
        <f>+BZ8</f>
        <v>614795</v>
      </c>
      <c r="Y8" s="189">
        <f>+CD8</f>
        <v>601546</v>
      </c>
      <c r="Z8" s="189">
        <f>+CH8</f>
        <v>607979</v>
      </c>
      <c r="AA8" s="202">
        <f t="shared" ref="AA8" si="43">+CL8</f>
        <v>584519</v>
      </c>
      <c r="AB8" s="202">
        <f t="shared" ref="AB8" si="44">+CP8</f>
        <v>0</v>
      </c>
      <c r="AC8" s="202">
        <f t="shared" ref="AC8" si="45">+CT8</f>
        <v>0</v>
      </c>
      <c r="AD8" s="202">
        <f t="shared" ref="AD8" si="46">+CX8</f>
        <v>0</v>
      </c>
      <c r="AE8" s="202">
        <f t="shared" ref="AE8" si="47">+DB8</f>
        <v>0</v>
      </c>
      <c r="AI8" s="194">
        <v>243545</v>
      </c>
      <c r="AJ8" s="194">
        <v>254076</v>
      </c>
      <c r="AK8" s="194">
        <v>263637</v>
      </c>
      <c r="AL8" s="194">
        <v>276196</v>
      </c>
      <c r="AM8" s="194">
        <v>277586</v>
      </c>
      <c r="AN8" s="194">
        <v>285250</v>
      </c>
      <c r="AO8" s="194">
        <v>290713</v>
      </c>
      <c r="AP8" s="194">
        <v>300464</v>
      </c>
      <c r="AQ8" s="194">
        <v>305431</v>
      </c>
      <c r="AR8" s="194">
        <v>313757</v>
      </c>
      <c r="AS8" s="194">
        <v>318625</v>
      </c>
      <c r="AT8" s="194">
        <v>319656</v>
      </c>
      <c r="AU8" s="194">
        <v>324935</v>
      </c>
      <c r="AV8" s="194">
        <v>335620</v>
      </c>
      <c r="AW8" s="194">
        <v>344691</v>
      </c>
      <c r="AX8" s="194">
        <v>353843</v>
      </c>
      <c r="AY8" s="194">
        <v>362079</v>
      </c>
      <c r="AZ8" s="194">
        <v>371519</v>
      </c>
      <c r="BA8" s="194">
        <v>378497</v>
      </c>
      <c r="BB8" s="194">
        <v>387223</v>
      </c>
      <c r="BC8" s="194">
        <v>385809</v>
      </c>
      <c r="BD8" s="194">
        <v>389213</v>
      </c>
      <c r="BE8" s="194">
        <v>390880</v>
      </c>
      <c r="BF8" s="194">
        <v>394998</v>
      </c>
      <c r="BG8" s="194">
        <v>400875</v>
      </c>
      <c r="BH8" s="194">
        <v>411102</v>
      </c>
      <c r="BI8" s="194">
        <v>417929</v>
      </c>
      <c r="BJ8" s="194">
        <v>424285</v>
      </c>
      <c r="BK8" s="194">
        <v>436641</v>
      </c>
      <c r="BL8" s="194">
        <v>450738</v>
      </c>
      <c r="BM8" s="194">
        <v>446675</v>
      </c>
      <c r="BN8" s="194">
        <v>448464</v>
      </c>
      <c r="BO8" s="194">
        <v>443676</v>
      </c>
      <c r="BP8" s="194">
        <v>453540</v>
      </c>
      <c r="BQ8" s="194">
        <v>469261</v>
      </c>
      <c r="BR8" s="194">
        <v>488649</v>
      </c>
      <c r="BS8" s="194">
        <v>509058</v>
      </c>
      <c r="BT8" s="194">
        <v>528748</v>
      </c>
      <c r="BU8" s="194">
        <v>556986</v>
      </c>
      <c r="BV8" s="194">
        <v>592195</v>
      </c>
      <c r="BW8" s="194">
        <v>606331</v>
      </c>
      <c r="BX8" s="194">
        <v>616171</v>
      </c>
      <c r="BY8" s="194">
        <v>613974</v>
      </c>
      <c r="BZ8" s="194">
        <v>614795</v>
      </c>
      <c r="CA8" s="194">
        <v>615318</v>
      </c>
      <c r="CB8" s="194">
        <v>608985</v>
      </c>
      <c r="CC8" s="194">
        <v>603305</v>
      </c>
      <c r="CD8" s="194">
        <v>601546</v>
      </c>
      <c r="CE8" s="194">
        <v>606998</v>
      </c>
      <c r="CF8" s="194">
        <v>612724</v>
      </c>
      <c r="CG8" s="194">
        <v>607354</v>
      </c>
      <c r="CH8" s="194">
        <v>607979</v>
      </c>
      <c r="CI8" s="194">
        <v>613069</v>
      </c>
      <c r="CJ8" s="194">
        <v>593314</v>
      </c>
      <c r="CK8" s="194">
        <v>582163</v>
      </c>
      <c r="CL8" s="194">
        <v>584519</v>
      </c>
      <c r="CM8" s="195"/>
      <c r="CN8" s="195"/>
      <c r="CO8" s="195"/>
      <c r="CP8" s="195"/>
      <c r="CQ8" s="195"/>
      <c r="CR8" s="195"/>
      <c r="CS8" s="195"/>
      <c r="CT8" s="195"/>
      <c r="CU8" s="195"/>
      <c r="CV8" s="195"/>
      <c r="CW8" s="195"/>
      <c r="CX8" s="195"/>
      <c r="CY8" s="195"/>
      <c r="CZ8" s="195"/>
      <c r="DA8" s="195"/>
      <c r="DB8" s="195"/>
      <c r="DE8" s="197"/>
    </row>
    <row r="9" spans="1:110" s="191" customFormat="1" x14ac:dyDescent="0.2">
      <c r="A9" s="188" t="s">
        <v>525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>
        <f>+O8-N8</f>
        <v>24268</v>
      </c>
      <c r="P9" s="189">
        <f t="shared" ref="P9:AE9" si="48">+P8-O8</f>
        <v>19192</v>
      </c>
      <c r="Q9" s="189">
        <f t="shared" si="48"/>
        <v>34187</v>
      </c>
      <c r="R9" s="189">
        <f t="shared" si="48"/>
        <v>33380</v>
      </c>
      <c r="S9" s="189">
        <f t="shared" si="48"/>
        <v>7775</v>
      </c>
      <c r="T9" s="189">
        <f t="shared" si="48"/>
        <v>29287</v>
      </c>
      <c r="U9" s="189">
        <f t="shared" si="48"/>
        <v>24179</v>
      </c>
      <c r="V9" s="189">
        <f t="shared" si="48"/>
        <v>40185</v>
      </c>
      <c r="W9" s="189">
        <f t="shared" si="48"/>
        <v>103546</v>
      </c>
      <c r="X9" s="189">
        <f t="shared" si="48"/>
        <v>22600</v>
      </c>
      <c r="Y9" s="189">
        <f t="shared" si="48"/>
        <v>-13249</v>
      </c>
      <c r="Z9" s="189">
        <f t="shared" si="48"/>
        <v>6433</v>
      </c>
      <c r="AA9" s="190">
        <f t="shared" si="48"/>
        <v>-23460</v>
      </c>
      <c r="AB9" s="190">
        <f t="shared" si="48"/>
        <v>-584519</v>
      </c>
      <c r="AC9" s="190">
        <f t="shared" si="48"/>
        <v>0</v>
      </c>
      <c r="AD9" s="190">
        <f t="shared" si="48"/>
        <v>0</v>
      </c>
      <c r="AE9" s="190">
        <f t="shared" si="48"/>
        <v>0</v>
      </c>
      <c r="AI9" s="189"/>
      <c r="AJ9" s="189">
        <f>+AJ8-AI8</f>
        <v>10531</v>
      </c>
      <c r="AK9" s="189">
        <f t="shared" ref="AK9:CL9" si="49">+AK8-AJ8</f>
        <v>9561</v>
      </c>
      <c r="AL9" s="189">
        <f t="shared" si="49"/>
        <v>12559</v>
      </c>
      <c r="AM9" s="189">
        <f t="shared" si="49"/>
        <v>1390</v>
      </c>
      <c r="AN9" s="189">
        <f t="shared" si="49"/>
        <v>7664</v>
      </c>
      <c r="AO9" s="189">
        <f t="shared" si="49"/>
        <v>5463</v>
      </c>
      <c r="AP9" s="189">
        <f t="shared" si="49"/>
        <v>9751</v>
      </c>
      <c r="AQ9" s="189">
        <f t="shared" si="49"/>
        <v>4967</v>
      </c>
      <c r="AR9" s="189">
        <f t="shared" si="49"/>
        <v>8326</v>
      </c>
      <c r="AS9" s="189">
        <f t="shared" si="49"/>
        <v>4868</v>
      </c>
      <c r="AT9" s="189">
        <f t="shared" si="49"/>
        <v>1031</v>
      </c>
      <c r="AU9" s="189">
        <f t="shared" si="49"/>
        <v>5279</v>
      </c>
      <c r="AV9" s="189">
        <f t="shared" si="49"/>
        <v>10685</v>
      </c>
      <c r="AW9" s="189">
        <f t="shared" si="49"/>
        <v>9071</v>
      </c>
      <c r="AX9" s="189">
        <f t="shared" si="49"/>
        <v>9152</v>
      </c>
      <c r="AY9" s="189">
        <f t="shared" si="49"/>
        <v>8236</v>
      </c>
      <c r="AZ9" s="189">
        <f t="shared" si="49"/>
        <v>9440</v>
      </c>
      <c r="BA9" s="189">
        <f t="shared" si="49"/>
        <v>6978</v>
      </c>
      <c r="BB9" s="189">
        <f t="shared" si="49"/>
        <v>8726</v>
      </c>
      <c r="BC9" s="189">
        <f t="shared" si="49"/>
        <v>-1414</v>
      </c>
      <c r="BD9" s="189">
        <f t="shared" si="49"/>
        <v>3404</v>
      </c>
      <c r="BE9" s="189">
        <f t="shared" si="49"/>
        <v>1667</v>
      </c>
      <c r="BF9" s="189">
        <f t="shared" si="49"/>
        <v>4118</v>
      </c>
      <c r="BG9" s="189">
        <f t="shared" si="49"/>
        <v>5877</v>
      </c>
      <c r="BH9" s="189">
        <f t="shared" si="49"/>
        <v>10227</v>
      </c>
      <c r="BI9" s="189">
        <f t="shared" si="49"/>
        <v>6827</v>
      </c>
      <c r="BJ9" s="189">
        <f t="shared" si="49"/>
        <v>6356</v>
      </c>
      <c r="BK9" s="189">
        <f t="shared" si="49"/>
        <v>12356</v>
      </c>
      <c r="BL9" s="189">
        <f t="shared" si="49"/>
        <v>14097</v>
      </c>
      <c r="BM9" s="189">
        <f t="shared" si="49"/>
        <v>-4063</v>
      </c>
      <c r="BN9" s="189">
        <f t="shared" si="49"/>
        <v>1789</v>
      </c>
      <c r="BO9" s="189">
        <f t="shared" si="49"/>
        <v>-4788</v>
      </c>
      <c r="BP9" s="189">
        <f t="shared" si="49"/>
        <v>9864</v>
      </c>
      <c r="BQ9" s="189">
        <f t="shared" si="49"/>
        <v>15721</v>
      </c>
      <c r="BR9" s="189">
        <f t="shared" si="49"/>
        <v>19388</v>
      </c>
      <c r="BS9" s="189">
        <f t="shared" si="49"/>
        <v>20409</v>
      </c>
      <c r="BT9" s="189">
        <f t="shared" si="49"/>
        <v>19690</v>
      </c>
      <c r="BU9" s="189">
        <f t="shared" si="49"/>
        <v>28238</v>
      </c>
      <c r="BV9" s="189">
        <f t="shared" si="49"/>
        <v>35209</v>
      </c>
      <c r="BW9" s="189">
        <f t="shared" si="49"/>
        <v>14136</v>
      </c>
      <c r="BX9" s="189">
        <f t="shared" si="49"/>
        <v>9840</v>
      </c>
      <c r="BY9" s="189">
        <f t="shared" si="49"/>
        <v>-2197</v>
      </c>
      <c r="BZ9" s="189">
        <f t="shared" si="49"/>
        <v>821</v>
      </c>
      <c r="CA9" s="189">
        <f t="shared" si="49"/>
        <v>523</v>
      </c>
      <c r="CB9" s="189">
        <f t="shared" si="49"/>
        <v>-6333</v>
      </c>
      <c r="CC9" s="189">
        <f t="shared" si="49"/>
        <v>-5680</v>
      </c>
      <c r="CD9" s="189">
        <f t="shared" si="49"/>
        <v>-1759</v>
      </c>
      <c r="CE9" s="189">
        <f t="shared" si="49"/>
        <v>5452</v>
      </c>
      <c r="CF9" s="189">
        <f t="shared" si="49"/>
        <v>5726</v>
      </c>
      <c r="CG9" s="189">
        <f t="shared" si="49"/>
        <v>-5370</v>
      </c>
      <c r="CH9" s="189">
        <f t="shared" si="49"/>
        <v>625</v>
      </c>
      <c r="CI9" s="189">
        <f t="shared" si="49"/>
        <v>5090</v>
      </c>
      <c r="CJ9" s="189">
        <f t="shared" si="49"/>
        <v>-19755</v>
      </c>
      <c r="CK9" s="189">
        <f t="shared" si="49"/>
        <v>-11151</v>
      </c>
      <c r="CL9" s="189">
        <f t="shared" si="49"/>
        <v>2356</v>
      </c>
      <c r="CM9" s="190"/>
      <c r="CN9" s="190"/>
      <c r="CO9" s="190"/>
      <c r="CP9" s="190"/>
      <c r="CQ9" s="190"/>
      <c r="CR9" s="190"/>
      <c r="CS9" s="190"/>
      <c r="CT9" s="190"/>
      <c r="CU9" s="190"/>
      <c r="CV9" s="190"/>
      <c r="CW9" s="190"/>
      <c r="CX9" s="190"/>
      <c r="CY9" s="190"/>
      <c r="CZ9" s="190"/>
      <c r="DA9" s="190"/>
      <c r="DB9" s="190"/>
      <c r="DE9" s="192"/>
    </row>
    <row r="10" spans="1:110" s="158" customFormat="1" x14ac:dyDescent="0.2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7"/>
      <c r="AB10" s="157"/>
      <c r="AC10" s="157"/>
      <c r="AD10" s="157"/>
      <c r="AE10" s="157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56"/>
      <c r="CB10" s="156"/>
      <c r="CC10" s="156"/>
      <c r="CD10" s="156"/>
      <c r="CE10" s="156"/>
      <c r="CF10" s="156"/>
      <c r="CG10" s="156"/>
      <c r="CH10" s="156"/>
      <c r="CI10" s="156"/>
      <c r="CJ10" s="156"/>
      <c r="CK10" s="156"/>
      <c r="CL10" s="156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0" s="109" customFormat="1" x14ac:dyDescent="0.2">
      <c r="A11" s="198" t="s">
        <v>529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>
        <f>+SUM(BG11:BJ11)</f>
        <v>21900</v>
      </c>
      <c r="U11" s="107">
        <f>+SUM(BK11:BN11)</f>
        <v>27000</v>
      </c>
      <c r="V11" s="107">
        <f>+SUM(BO11:BR11)</f>
        <v>31500</v>
      </c>
      <c r="W11" s="107">
        <f>+SUM(BS11:BV11)</f>
        <v>34600</v>
      </c>
      <c r="X11" s="107">
        <f>+SUM(BW11:BZ11)</f>
        <v>34100</v>
      </c>
      <c r="Y11" s="107">
        <f>+SUM(CA11:CD11)</f>
        <v>42700</v>
      </c>
      <c r="Z11" s="107">
        <f>+SUM(CE11:CH11)</f>
        <v>39300</v>
      </c>
      <c r="AA11" s="108">
        <f>SUM(CI11:CL11)</f>
        <v>40700</v>
      </c>
      <c r="AB11" s="108">
        <f>+SUM(CM11:CP11)</f>
        <v>0</v>
      </c>
      <c r="AC11" s="108">
        <f>+SUM(CQ11:CT11)</f>
        <v>0</v>
      </c>
      <c r="AD11" s="108">
        <f>+SUM(CU11:CX11)</f>
        <v>0</v>
      </c>
      <c r="AE11" s="108">
        <f>+SUM(CY11:DB11)</f>
        <v>0</v>
      </c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>
        <v>4900</v>
      </c>
      <c r="BH11" s="107">
        <v>4900</v>
      </c>
      <c r="BI11" s="107">
        <v>5900</v>
      </c>
      <c r="BJ11" s="107">
        <v>6200</v>
      </c>
      <c r="BK11" s="107">
        <v>5700</v>
      </c>
      <c r="BL11" s="107">
        <v>6400</v>
      </c>
      <c r="BM11" s="107">
        <v>6000</v>
      </c>
      <c r="BN11" s="107">
        <v>8900</v>
      </c>
      <c r="BO11" s="107">
        <v>6900</v>
      </c>
      <c r="BP11" s="107">
        <v>8600</v>
      </c>
      <c r="BQ11" s="107">
        <v>6800</v>
      </c>
      <c r="BR11" s="107">
        <v>9200</v>
      </c>
      <c r="BS11" s="107">
        <v>8100</v>
      </c>
      <c r="BT11" s="107">
        <v>7600</v>
      </c>
      <c r="BU11" s="107">
        <v>7600</v>
      </c>
      <c r="BV11" s="107">
        <v>11300</v>
      </c>
      <c r="BW11" s="107">
        <v>8200</v>
      </c>
      <c r="BX11" s="107">
        <v>8100</v>
      </c>
      <c r="BY11" s="107">
        <v>7800</v>
      </c>
      <c r="BZ11" s="107">
        <v>10000</v>
      </c>
      <c r="CA11" s="107">
        <v>10200</v>
      </c>
      <c r="CB11" s="107">
        <v>11200</v>
      </c>
      <c r="CC11" s="107">
        <v>8100</v>
      </c>
      <c r="CD11" s="107">
        <v>13200</v>
      </c>
      <c r="CE11" s="107">
        <v>8300</v>
      </c>
      <c r="CF11" s="107">
        <v>8600</v>
      </c>
      <c r="CG11" s="107">
        <v>10200</v>
      </c>
      <c r="CH11" s="107">
        <v>12200</v>
      </c>
      <c r="CI11" s="107">
        <v>9400</v>
      </c>
      <c r="CJ11" s="107">
        <v>10000</v>
      </c>
      <c r="CK11" s="107">
        <v>9300</v>
      </c>
      <c r="CL11" s="107">
        <f>12*1000</f>
        <v>12000</v>
      </c>
      <c r="CM11" s="108"/>
      <c r="CN11" s="108"/>
      <c r="CO11" s="108"/>
      <c r="CP11" s="108"/>
      <c r="CQ11" s="108"/>
      <c r="CR11" s="108"/>
      <c r="CS11" s="108"/>
      <c r="CT11" s="108"/>
      <c r="CU11" s="108"/>
      <c r="CV11" s="108"/>
      <c r="CW11" s="108"/>
      <c r="CX11" s="108"/>
      <c r="CY11" s="108"/>
      <c r="CZ11" s="108"/>
      <c r="DA11" s="108"/>
      <c r="DB11" s="108"/>
      <c r="DE11" s="117"/>
    </row>
    <row r="12" spans="1:110" s="158" customFormat="1" x14ac:dyDescent="0.2">
      <c r="A12" s="155" t="s">
        <v>526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7"/>
      <c r="AB12" s="157"/>
      <c r="AC12" s="157"/>
      <c r="AD12" s="157"/>
      <c r="AE12" s="157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>
        <f>+SUM(BG11:BJ11)</f>
        <v>21900</v>
      </c>
      <c r="BK12" s="156">
        <f t="shared" ref="BK12:CL12" si="50">+SUM(BH11:BK11)</f>
        <v>22700</v>
      </c>
      <c r="BL12" s="156">
        <f t="shared" si="50"/>
        <v>24200</v>
      </c>
      <c r="BM12" s="156">
        <f t="shared" si="50"/>
        <v>24300</v>
      </c>
      <c r="BN12" s="156">
        <f t="shared" si="50"/>
        <v>27000</v>
      </c>
      <c r="BO12" s="156">
        <f t="shared" si="50"/>
        <v>28200</v>
      </c>
      <c r="BP12" s="156">
        <f t="shared" si="50"/>
        <v>30400</v>
      </c>
      <c r="BQ12" s="156">
        <f t="shared" si="50"/>
        <v>31200</v>
      </c>
      <c r="BR12" s="156">
        <f t="shared" si="50"/>
        <v>31500</v>
      </c>
      <c r="BS12" s="156">
        <f t="shared" si="50"/>
        <v>32700</v>
      </c>
      <c r="BT12" s="156">
        <f t="shared" si="50"/>
        <v>31700</v>
      </c>
      <c r="BU12" s="156">
        <f t="shared" si="50"/>
        <v>32500</v>
      </c>
      <c r="BV12" s="156">
        <f t="shared" si="50"/>
        <v>34600</v>
      </c>
      <c r="BW12" s="156">
        <f t="shared" si="50"/>
        <v>34700</v>
      </c>
      <c r="BX12" s="156">
        <f t="shared" si="50"/>
        <v>35200</v>
      </c>
      <c r="BY12" s="156">
        <f t="shared" si="50"/>
        <v>35400</v>
      </c>
      <c r="BZ12" s="156">
        <f t="shared" si="50"/>
        <v>34100</v>
      </c>
      <c r="CA12" s="156">
        <f t="shared" si="50"/>
        <v>36100</v>
      </c>
      <c r="CB12" s="156">
        <f t="shared" si="50"/>
        <v>39200</v>
      </c>
      <c r="CC12" s="156">
        <f t="shared" si="50"/>
        <v>39500</v>
      </c>
      <c r="CD12" s="156">
        <f t="shared" si="50"/>
        <v>42700</v>
      </c>
      <c r="CE12" s="156">
        <f t="shared" si="50"/>
        <v>40800</v>
      </c>
      <c r="CF12" s="156">
        <f t="shared" si="50"/>
        <v>38200</v>
      </c>
      <c r="CG12" s="156">
        <f t="shared" si="50"/>
        <v>40300</v>
      </c>
      <c r="CH12" s="156">
        <f t="shared" si="50"/>
        <v>39300</v>
      </c>
      <c r="CI12" s="156">
        <f t="shared" si="50"/>
        <v>40400</v>
      </c>
      <c r="CJ12" s="156">
        <f t="shared" si="50"/>
        <v>41800</v>
      </c>
      <c r="CK12" s="156">
        <f t="shared" si="50"/>
        <v>40900</v>
      </c>
      <c r="CL12" s="156">
        <f t="shared" si="50"/>
        <v>40700</v>
      </c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0" s="200" customFormat="1" x14ac:dyDescent="0.2">
      <c r="A13" s="186" t="s">
        <v>527</v>
      </c>
      <c r="B13" s="187"/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7"/>
      <c r="P13" s="187"/>
      <c r="Q13" s="187"/>
      <c r="R13" s="187"/>
      <c r="S13" s="187"/>
      <c r="T13" s="187"/>
      <c r="U13" s="187">
        <f t="shared" ref="U13:Y13" si="51">+U11/T11-1</f>
        <v>0.23287671232876717</v>
      </c>
      <c r="V13" s="187">
        <f t="shared" si="51"/>
        <v>0.16666666666666674</v>
      </c>
      <c r="W13" s="187">
        <f t="shared" si="51"/>
        <v>9.8412698412698507E-2</v>
      </c>
      <c r="X13" s="187">
        <f t="shared" si="51"/>
        <v>-1.4450867052023142E-2</v>
      </c>
      <c r="Y13" s="187">
        <f t="shared" si="51"/>
        <v>0.25219941348973607</v>
      </c>
      <c r="Z13" s="187">
        <f>+Z11/Y11-1</f>
        <v>-7.9625292740046816E-2</v>
      </c>
      <c r="AA13" s="199">
        <f t="shared" ref="AA13:AE13" si="52">+AA11/Z11-1</f>
        <v>3.5623409669211181E-2</v>
      </c>
      <c r="AB13" s="199">
        <f t="shared" si="52"/>
        <v>-1</v>
      </c>
      <c r="AC13" s="199" t="e">
        <f t="shared" si="52"/>
        <v>#DIV/0!</v>
      </c>
      <c r="AD13" s="199" t="e">
        <f t="shared" si="52"/>
        <v>#DIV/0!</v>
      </c>
      <c r="AE13" s="199" t="e">
        <f t="shared" si="52"/>
        <v>#DIV/0!</v>
      </c>
      <c r="AI13" s="187"/>
      <c r="AJ13" s="187"/>
      <c r="AK13" s="187"/>
      <c r="AL13" s="187"/>
      <c r="AM13" s="187"/>
      <c r="AN13" s="187"/>
      <c r="AO13" s="187"/>
      <c r="AP13" s="187"/>
      <c r="AQ13" s="187"/>
      <c r="AR13" s="187"/>
      <c r="AS13" s="187"/>
      <c r="AT13" s="187"/>
      <c r="AU13" s="187"/>
      <c r="AV13" s="187"/>
      <c r="AW13" s="187"/>
      <c r="AX13" s="187"/>
      <c r="AY13" s="187"/>
      <c r="AZ13" s="187"/>
      <c r="BA13" s="187"/>
      <c r="BB13" s="187"/>
      <c r="BC13" s="187"/>
      <c r="BD13" s="187"/>
      <c r="BE13" s="187"/>
      <c r="BF13" s="187"/>
      <c r="BG13" s="187"/>
      <c r="BH13" s="187"/>
      <c r="BI13" s="187"/>
      <c r="BJ13" s="187"/>
      <c r="BK13" s="187"/>
      <c r="BL13" s="187"/>
      <c r="BM13" s="187"/>
      <c r="BN13" s="187">
        <f t="shared" ref="BN13:CI13" si="53">+BN12/BJ12-1</f>
        <v>0.23287671232876717</v>
      </c>
      <c r="BO13" s="187">
        <f t="shared" si="53"/>
        <v>0.24229074889867852</v>
      </c>
      <c r="BP13" s="187">
        <f t="shared" si="53"/>
        <v>0.25619834710743805</v>
      </c>
      <c r="BQ13" s="187">
        <f t="shared" si="53"/>
        <v>0.28395061728395055</v>
      </c>
      <c r="BR13" s="187">
        <f t="shared" si="53"/>
        <v>0.16666666666666674</v>
      </c>
      <c r="BS13" s="187">
        <f t="shared" si="53"/>
        <v>0.15957446808510634</v>
      </c>
      <c r="BT13" s="187">
        <f t="shared" si="53"/>
        <v>4.2763157894736947E-2</v>
      </c>
      <c r="BU13" s="187">
        <f t="shared" si="53"/>
        <v>4.1666666666666741E-2</v>
      </c>
      <c r="BV13" s="187">
        <f t="shared" si="53"/>
        <v>9.8412698412698507E-2</v>
      </c>
      <c r="BW13" s="187">
        <f t="shared" si="53"/>
        <v>6.1162079510703293E-2</v>
      </c>
      <c r="BX13" s="187">
        <f t="shared" si="53"/>
        <v>0.11041009463722395</v>
      </c>
      <c r="BY13" s="187">
        <f t="shared" si="53"/>
        <v>8.9230769230769225E-2</v>
      </c>
      <c r="BZ13" s="187">
        <f t="shared" si="53"/>
        <v>-1.4450867052023142E-2</v>
      </c>
      <c r="CA13" s="187">
        <f t="shared" si="53"/>
        <v>4.0345821325648457E-2</v>
      </c>
      <c r="CB13" s="187">
        <f t="shared" si="53"/>
        <v>0.11363636363636354</v>
      </c>
      <c r="CC13" s="187">
        <f t="shared" si="53"/>
        <v>0.11581920903954801</v>
      </c>
      <c r="CD13" s="187">
        <f t="shared" si="53"/>
        <v>0.25219941348973607</v>
      </c>
      <c r="CE13" s="187">
        <f t="shared" si="53"/>
        <v>0.1301939058171746</v>
      </c>
      <c r="CF13" s="187">
        <f t="shared" si="53"/>
        <v>-2.5510204081632626E-2</v>
      </c>
      <c r="CG13" s="187">
        <f t="shared" si="53"/>
        <v>2.0253164556962133E-2</v>
      </c>
      <c r="CH13" s="187">
        <f t="shared" si="53"/>
        <v>-7.9625292740046816E-2</v>
      </c>
      <c r="CI13" s="187">
        <f t="shared" si="53"/>
        <v>-9.8039215686274161E-3</v>
      </c>
      <c r="CJ13" s="187">
        <f>+CJ12/CF12-1</f>
        <v>9.4240837696335067E-2</v>
      </c>
      <c r="CK13" s="187">
        <f>+CK12/CG12-1</f>
        <v>1.4888337468982549E-2</v>
      </c>
      <c r="CL13" s="187">
        <f>+CL12/CH12-1</f>
        <v>3.5623409669211181E-2</v>
      </c>
      <c r="CM13" s="199"/>
      <c r="CN13" s="199"/>
      <c r="CO13" s="199"/>
      <c r="CP13" s="199"/>
      <c r="CQ13" s="199"/>
      <c r="CR13" s="199"/>
      <c r="CS13" s="199"/>
      <c r="CT13" s="199"/>
      <c r="CU13" s="199"/>
      <c r="CV13" s="199"/>
      <c r="CW13" s="199"/>
      <c r="CX13" s="199"/>
      <c r="CY13" s="199"/>
      <c r="CZ13" s="199"/>
      <c r="DA13" s="199"/>
      <c r="DB13" s="199"/>
      <c r="DE13" s="201"/>
    </row>
    <row r="14" spans="1:110" s="158" customFormat="1" x14ac:dyDescent="0.2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85"/>
      <c r="AB14" s="185"/>
      <c r="AC14" s="185"/>
      <c r="AD14" s="157"/>
      <c r="AE14" s="157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/>
      <c r="CE14" s="156"/>
      <c r="CF14" s="156"/>
      <c r="CG14" s="156"/>
      <c r="CH14" s="156"/>
      <c r="CI14" s="156"/>
      <c r="CJ14" s="156"/>
      <c r="CK14" s="156"/>
      <c r="CL14" s="156"/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E14" s="159"/>
    </row>
    <row r="15" spans="1:110" s="106" customFormat="1" x14ac:dyDescent="0.2">
      <c r="A15" s="151" t="s">
        <v>500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5"/>
      <c r="AB15" s="105"/>
      <c r="AC15" s="105"/>
      <c r="AD15" s="105"/>
      <c r="AE15" s="105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104"/>
      <c r="BZ15" s="104"/>
      <c r="CA15" s="104"/>
      <c r="CB15" s="104"/>
      <c r="CC15" s="104"/>
      <c r="CD15" s="104"/>
      <c r="CE15" s="104"/>
      <c r="CF15" s="104"/>
      <c r="CG15" s="104"/>
      <c r="CH15" s="104"/>
      <c r="CI15" s="104"/>
      <c r="CJ15" s="104"/>
      <c r="CK15" s="104"/>
      <c r="CL15" s="104"/>
      <c r="CM15" s="105"/>
      <c r="CN15" s="105"/>
      <c r="CO15" s="105"/>
      <c r="CP15" s="105"/>
      <c r="CQ15" s="105"/>
      <c r="CR15" s="105"/>
      <c r="CS15" s="105"/>
      <c r="CT15" s="105"/>
      <c r="CU15" s="105"/>
      <c r="CV15" s="105"/>
      <c r="CW15" s="105"/>
      <c r="CX15" s="105"/>
      <c r="CY15" s="105"/>
      <c r="CZ15" s="105"/>
      <c r="DA15" s="105"/>
      <c r="DB15" s="105"/>
      <c r="DE15" s="118"/>
    </row>
    <row r="16" spans="1:110" s="106" customFormat="1" x14ac:dyDescent="0.2">
      <c r="A16" s="151" t="s">
        <v>485</v>
      </c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05"/>
      <c r="AC16" s="105"/>
      <c r="AD16" s="105"/>
      <c r="AE16" s="105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18"/>
      <c r="BJ16" s="118"/>
      <c r="BK16" s="118"/>
      <c r="BL16" s="118"/>
      <c r="BM16" s="118"/>
      <c r="BN16" s="118"/>
      <c r="BO16" s="118"/>
      <c r="BP16" s="118"/>
      <c r="BQ16" s="118"/>
      <c r="BR16" s="118"/>
      <c r="BS16" s="118"/>
      <c r="BT16" s="118"/>
      <c r="BU16" s="118"/>
      <c r="BV16" s="118"/>
      <c r="BW16" s="118"/>
      <c r="BX16" s="118"/>
      <c r="BY16" s="118"/>
      <c r="BZ16" s="118"/>
      <c r="CA16" s="118"/>
      <c r="CB16" s="118"/>
      <c r="CC16" s="118"/>
      <c r="CD16" s="118"/>
      <c r="CE16" s="118"/>
      <c r="CF16" s="118"/>
      <c r="CG16" s="118"/>
      <c r="CH16" s="118"/>
      <c r="CI16" s="118"/>
      <c r="CJ16" s="160"/>
      <c r="CK16" s="160"/>
      <c r="CL16" s="160"/>
      <c r="CM16" s="105"/>
      <c r="CN16" s="105"/>
      <c r="CO16" s="105"/>
      <c r="CP16" s="105"/>
      <c r="CQ16" s="105"/>
      <c r="CR16" s="105"/>
      <c r="CS16" s="105"/>
      <c r="CT16" s="105"/>
      <c r="CU16" s="105"/>
      <c r="CV16" s="105"/>
      <c r="CW16" s="105"/>
      <c r="CX16" s="105"/>
      <c r="CY16" s="105"/>
      <c r="CZ16" s="105"/>
      <c r="DA16" s="105"/>
      <c r="DB16" s="105"/>
      <c r="DE16" s="118"/>
    </row>
    <row r="17" spans="1:110" s="25" customFormat="1" outlineLevel="1" x14ac:dyDescent="0.2">
      <c r="A17" s="25" t="s">
        <v>430</v>
      </c>
      <c r="B17" s="25">
        <f>'Annual Raw'!C6</f>
        <v>0</v>
      </c>
      <c r="C17" s="25">
        <f>'Annual Raw'!D6</f>
        <v>0</v>
      </c>
      <c r="D17" s="25">
        <f>'Annual Raw'!E6</f>
        <v>0</v>
      </c>
      <c r="E17" s="25">
        <f>'Annual Raw'!F6</f>
        <v>0</v>
      </c>
      <c r="F17" s="25">
        <f>'Annual Raw'!G6</f>
        <v>9753.98</v>
      </c>
      <c r="G17" s="25">
        <f>'Annual Raw'!H6</f>
        <v>13266.11</v>
      </c>
      <c r="H17" s="25">
        <f>'Annual Raw'!I6</f>
        <v>18687.330000000002</v>
      </c>
      <c r="I17" s="25">
        <f>'Annual Raw'!J6</f>
        <v>22622.35</v>
      </c>
      <c r="J17" s="25">
        <f>'Annual Raw'!K6</f>
        <v>27814.959999999999</v>
      </c>
      <c r="K17" s="25">
        <f>'Annual Raw'!L6</f>
        <v>30029.31</v>
      </c>
      <c r="L17" s="25">
        <f>'Annual Raw'!M6</f>
        <v>37324.78</v>
      </c>
      <c r="M17" s="25">
        <f>'Annual Raw'!N6</f>
        <v>48894.080000000002</v>
      </c>
      <c r="N17" s="25">
        <f>'Annual Raw'!O6</f>
        <v>62990.3</v>
      </c>
      <c r="O17" s="25">
        <f>'Annual Raw'!P6</f>
        <v>81812.509999999995</v>
      </c>
      <c r="P17" s="25">
        <f>'Annual Raw'!Q6</f>
        <v>94652.5</v>
      </c>
      <c r="Q17" s="25">
        <f>'Annual Raw'!R6</f>
        <v>108646</v>
      </c>
      <c r="R17" s="25">
        <f>'Annual Raw'!S6</f>
        <v>117966</v>
      </c>
      <c r="S17" s="25">
        <f>'Annual Raw'!T6</f>
        <v>123104</v>
      </c>
      <c r="T17" s="25">
        <f>'Annual Raw'!U6</f>
        <v>146463</v>
      </c>
      <c r="U17" s="25">
        <f>'Annual Raw'!V6</f>
        <v>156949</v>
      </c>
      <c r="V17" s="25">
        <f>'Annual Raw'!W6</f>
        <v>164177</v>
      </c>
      <c r="W17" s="25">
        <f>'Annual Raw'!X6</f>
        <v>191754</v>
      </c>
      <c r="X17" s="25">
        <f>'Annual Raw'!Y6</f>
        <v>225458</v>
      </c>
      <c r="Y17" s="25">
        <f>'Annual Raw'!Z6</f>
        <v>240893</v>
      </c>
      <c r="Z17" s="25">
        <f>'Annual Raw'!AA6</f>
        <v>255324</v>
      </c>
      <c r="AA17" s="25">
        <f>'Annual Raw'!AB6</f>
        <v>267021</v>
      </c>
      <c r="AB17" s="17">
        <f>+SUM(CM17:CP17)</f>
        <v>286295.75629575975</v>
      </c>
      <c r="AC17" s="17">
        <f>+SUM(CQ17:CT17)</f>
        <v>301070.83448721631</v>
      </c>
      <c r="AD17" s="17">
        <f>+SUM(CU17:CX17)</f>
        <v>316608.42113631876</v>
      </c>
      <c r="AE17" s="17">
        <f>+SUM(CY17:DB17)</f>
        <v>332947.8675845929</v>
      </c>
      <c r="AI17" s="25">
        <f>'QTR Raw'!C6+'QTR Raw'!C8</f>
        <v>14868.71</v>
      </c>
      <c r="AJ17" s="25">
        <f>'QTR Raw'!D6+'QTR Raw'!D8</f>
        <v>15620.75</v>
      </c>
      <c r="AK17" s="25">
        <f>'QTR Raw'!E6+'QTR Raw'!E8</f>
        <v>16069.93</v>
      </c>
      <c r="AL17" s="25">
        <f>'QTR Raw'!F6+'QTR Raw'!F8</f>
        <v>16430.09</v>
      </c>
      <c r="AM17" s="25">
        <f>'QTR Raw'!G6+'QTR Raw'!G8</f>
        <v>17987.07</v>
      </c>
      <c r="AN17" s="25">
        <f>'QTR Raw'!H6+'QTR Raw'!H8</f>
        <v>20977.24</v>
      </c>
      <c r="AO17" s="25">
        <f>'QTR Raw'!I6+'QTR Raw'!I8</f>
        <v>21293.96</v>
      </c>
      <c r="AP17" s="25">
        <f>'QTR Raw'!J6+'QTR Raw'!J8</f>
        <v>21551.09</v>
      </c>
      <c r="AQ17" s="25">
        <f>'QTR Raw'!K6+'QTR Raw'!K8</f>
        <v>22111.03</v>
      </c>
      <c r="AR17" s="25">
        <f>'QTR Raw'!L6+'QTR Raw'!L8</f>
        <v>23816.48</v>
      </c>
      <c r="AS17" s="25">
        <f>'QTR Raw'!M6+'QTR Raw'!M8</f>
        <v>24501.14</v>
      </c>
      <c r="AT17" s="25">
        <f>'QTR Raw'!N6+'QTR Raw'!N8</f>
        <v>24219.759999999998</v>
      </c>
      <c r="AU17" s="25">
        <f>'QTR Raw'!O6+'QTR Raw'!O8</f>
        <v>25668</v>
      </c>
      <c r="AV17" s="25">
        <f>'QTR Raw'!P6+'QTR Raw'!P8</f>
        <v>27165</v>
      </c>
      <c r="AW17" s="25">
        <f>'QTR Raw'!Q6+'QTR Raw'!Q8</f>
        <v>27364</v>
      </c>
      <c r="AX17" s="25">
        <f>'QTR Raw'!R6+'QTR Raw'!R8</f>
        <v>28449</v>
      </c>
      <c r="AY17" s="25">
        <f>'QTR Raw'!S6+'QTR Raw'!S8</f>
        <v>29305</v>
      </c>
      <c r="AZ17" s="25">
        <f>'QTR Raw'!T6+'QTR Raw'!T8</f>
        <v>29284</v>
      </c>
      <c r="BA17" s="25">
        <f>'QTR Raw'!U6+'QTR Raw'!U8</f>
        <v>29735</v>
      </c>
      <c r="BB17" s="25">
        <f>'QTR Raw'!V6+'QTR Raw'!V8</f>
        <v>29642</v>
      </c>
      <c r="BC17" s="25">
        <f>'QTR Raw'!W6+'QTR Raw'!W8</f>
        <v>29584</v>
      </c>
      <c r="BD17" s="25">
        <f>'QTR Raw'!X6+'QTR Raw'!X8</f>
        <v>30541</v>
      </c>
      <c r="BE17" s="25">
        <f>'QTR Raw'!Y6+'QTR Raw'!Y8</f>
        <v>30904</v>
      </c>
      <c r="BF17" s="25">
        <f>'QTR Raw'!Z6+'QTR Raw'!Z8</f>
        <v>32075</v>
      </c>
      <c r="BG17" s="25">
        <f>'QTR Raw'!AA6+'QTR Raw'!AA8</f>
        <v>34261</v>
      </c>
      <c r="BH17" s="25">
        <f>'QTR Raw'!AB6+'QTR Raw'!AB8</f>
        <v>36854</v>
      </c>
      <c r="BI17" s="25">
        <f>'QTR Raw'!AC6+'QTR Raw'!AC8</f>
        <v>37338</v>
      </c>
      <c r="BJ17" s="25">
        <f>'QTR Raw'!AD6+'QTR Raw'!AD8</f>
        <v>38010</v>
      </c>
      <c r="BK17" s="25">
        <f>'QTR Raw'!AE6+'QTR Raw'!AE8</f>
        <v>38172</v>
      </c>
      <c r="BL17" s="25">
        <f>'QTR Raw'!AF6+'QTR Raw'!AF8</f>
        <v>38977</v>
      </c>
      <c r="BM17" s="25">
        <f>'QTR Raw'!AG6+'QTR Raw'!AG8</f>
        <v>39854</v>
      </c>
      <c r="BN17" s="25">
        <f>'QTR Raw'!AH6+'QTR Raw'!AH8</f>
        <v>39946</v>
      </c>
      <c r="BO17" s="25">
        <f>'QTR Raw'!AI6+'QTR Raw'!AI8</f>
        <v>38322</v>
      </c>
      <c r="BP17" s="25">
        <f>'QTR Raw'!AJ6+'QTR Raw'!AJ8</f>
        <v>40135</v>
      </c>
      <c r="BQ17" s="25">
        <f>'QTR Raw'!AK6+'QTR Raw'!AK8</f>
        <v>42015</v>
      </c>
      <c r="BR17" s="25">
        <f>'QTR Raw'!AL6+'QTR Raw'!AL8</f>
        <v>43705</v>
      </c>
      <c r="BS17" s="25">
        <f>'QTR Raw'!AM6+'QTR Raw'!AM8</f>
        <v>45411</v>
      </c>
      <c r="BT17" s="25">
        <f>'QTR Raw'!AN6+'QTR Raw'!AN8</f>
        <v>46867</v>
      </c>
      <c r="BU17" s="25">
        <f>'QTR Raw'!AO6+'QTR Raw'!AO8</f>
        <v>48885</v>
      </c>
      <c r="BV17" s="25">
        <f>'QTR Raw'!AP6+'QTR Raw'!AP8</f>
        <v>50591</v>
      </c>
      <c r="BW17" s="25">
        <f>'QTR Raw'!AQ6+'QTR Raw'!AQ8</f>
        <v>52758</v>
      </c>
      <c r="BX17" s="25">
        <f>'QTR Raw'!AR6+'QTR Raw'!AR8</f>
        <v>55309</v>
      </c>
      <c r="BY17" s="25">
        <f>'QTR Raw'!AS6+'QTR Raw'!AS8</f>
        <v>58229</v>
      </c>
      <c r="BZ17" s="25">
        <f>'QTR Raw'!AT6+'QTR Raw'!AT8</f>
        <v>59162</v>
      </c>
      <c r="CA17" s="25">
        <f>'QTR Raw'!AU6+'QTR Raw'!AU8</f>
        <v>59381</v>
      </c>
      <c r="CB17" s="25">
        <f>'QTR Raw'!AV6+'QTR Raw'!AV8</f>
        <v>59692</v>
      </c>
      <c r="CC17" s="25">
        <f>'QTR Raw'!AW6+'QTR Raw'!AW8</f>
        <v>60583</v>
      </c>
      <c r="CD17" s="25">
        <f>'QTR Raw'!AX6+'QTR Raw'!AX8</f>
        <v>61237</v>
      </c>
      <c r="CE17" s="25">
        <f>'QTR Raw'!AY6+'QTR Raw'!AY8</f>
        <v>62613</v>
      </c>
      <c r="CF17" s="25">
        <f>'QTR Raw'!AZ6+'QTR Raw'!AZ8</f>
        <v>64259</v>
      </c>
      <c r="CG17" s="25">
        <f>'QTR Raw'!BA6+'QTR Raw'!BA8</f>
        <v>63973</v>
      </c>
      <c r="CH17" s="25">
        <f>'QTR Raw'!BB6+'QTR Raw'!BB8</f>
        <v>64479</v>
      </c>
      <c r="CI17" s="25">
        <f>'QTR Raw'!BC6+'QTR Raw'!BC8</f>
        <v>63437</v>
      </c>
      <c r="CJ17" s="25">
        <f>'QTR Raw'!BD6+'QTR Raw'!BD8</f>
        <v>65799</v>
      </c>
      <c r="CK17" s="25">
        <f>'QTR Raw'!BE6+'QTR Raw'!BE8</f>
        <v>67087</v>
      </c>
      <c r="CL17" s="25">
        <f>'QTR Raw'!BF6+'QTR Raw'!BF8</f>
        <v>70698</v>
      </c>
      <c r="CM17" s="17">
        <f t="shared" ref="CM17:DB17" si="54">+CM4*CM5/10</f>
        <v>70229.050677887906</v>
      </c>
      <c r="CN17" s="17">
        <f t="shared" si="54"/>
        <v>71118.115777793704</v>
      </c>
      <c r="CO17" s="17">
        <f t="shared" si="54"/>
        <v>72018.436002811388</v>
      </c>
      <c r="CP17" s="17">
        <f t="shared" si="54"/>
        <v>72930.153837266742</v>
      </c>
      <c r="CQ17" s="17">
        <f t="shared" si="54"/>
        <v>73853.413569266631</v>
      </c>
      <c r="CR17" s="17">
        <f t="shared" si="54"/>
        <v>74788.361313534188</v>
      </c>
      <c r="CS17" s="17">
        <f t="shared" si="54"/>
        <v>75735.145034532747</v>
      </c>
      <c r="CT17" s="17">
        <f t="shared" si="54"/>
        <v>76693.914569882705</v>
      </c>
      <c r="CU17" s="17">
        <f t="shared" si="54"/>
        <v>77664.82165407468</v>
      </c>
      <c r="CV17" s="17">
        <f t="shared" si="54"/>
        <v>78648.019942483064</v>
      </c>
      <c r="CW17" s="17">
        <f t="shared" si="54"/>
        <v>79643.665035683385</v>
      </c>
      <c r="CX17" s="17">
        <f t="shared" si="54"/>
        <v>80651.91450407762</v>
      </c>
      <c r="CY17" s="17">
        <f t="shared" si="54"/>
        <v>81672.927912831234</v>
      </c>
      <c r="CZ17" s="17">
        <f t="shared" si="54"/>
        <v>82706.866847125872</v>
      </c>
      <c r="DA17" s="17">
        <f t="shared" si="54"/>
        <v>83753.894937731777</v>
      </c>
      <c r="DB17" s="17">
        <f t="shared" si="54"/>
        <v>84814.177886903955</v>
      </c>
      <c r="DE17" s="119"/>
      <c r="DF17" s="25">
        <v>68137.94131200001</v>
      </c>
    </row>
    <row r="18" spans="1:110" s="92" customFormat="1" outlineLevel="1" x14ac:dyDescent="0.2">
      <c r="A18" s="92" t="s">
        <v>109</v>
      </c>
      <c r="B18" s="92">
        <f>'Annual Raw'!C7+'Annual Raw'!C8+'Annual Raw'!C9</f>
        <v>0</v>
      </c>
      <c r="C18" s="92">
        <f>'Annual Raw'!D7+'Annual Raw'!D8+'Annual Raw'!D9</f>
        <v>0</v>
      </c>
      <c r="D18" s="92">
        <f>'Annual Raw'!E7+'Annual Raw'!E8+'Annual Raw'!E9</f>
        <v>0</v>
      </c>
      <c r="E18" s="92">
        <f>'Annual Raw'!F7+'Annual Raw'!F8+'Annual Raw'!F9</f>
        <v>0</v>
      </c>
      <c r="F18" s="92">
        <f>'Annual Raw'!G7+'Annual Raw'!G8+'Annual Raw'!G9</f>
        <v>5.51</v>
      </c>
      <c r="G18" s="92">
        <f>'Annual Raw'!H7+'Annual Raw'!H8+'Annual Raw'!H9</f>
        <v>2.12</v>
      </c>
      <c r="H18" s="92">
        <f>'Annual Raw'!I7+'Annual Raw'!I8+'Annual Raw'!I9</f>
        <v>2.12</v>
      </c>
      <c r="I18" s="92">
        <f>'Annual Raw'!J7+'Annual Raw'!J8+'Annual Raw'!J9</f>
        <v>2.83</v>
      </c>
      <c r="J18" s="92">
        <f>'Annual Raw'!K7+'Annual Raw'!K8+'Annual Raw'!K9</f>
        <v>2.08</v>
      </c>
      <c r="K18" s="92">
        <f>'Annual Raw'!L7+'Annual Raw'!L8+'Annual Raw'!L9</f>
        <v>0.39</v>
      </c>
      <c r="L18" s="92">
        <f>'Annual Raw'!M7+'Annual Raw'!M8+'Annual Raw'!M9</f>
        <v>0.27</v>
      </c>
      <c r="M18" s="92">
        <f>'Annual Raw'!N7+'Annual Raw'!N8+'Annual Raw'!N9</f>
        <v>0.25</v>
      </c>
      <c r="N18" s="92">
        <f>'Annual Raw'!O7+'Annual Raw'!O8+'Annual Raw'!O9</f>
        <v>0.82</v>
      </c>
      <c r="O18" s="92">
        <f>'Annual Raw'!P7+'Annual Raw'!P8+'Annual Raw'!P9</f>
        <v>3.15</v>
      </c>
      <c r="P18" s="92">
        <f>'Annual Raw'!Q7+'Annual Raw'!Q8+'Annual Raw'!Q9</f>
        <v>4.09</v>
      </c>
      <c r="Q18" s="92">
        <f>'Annual Raw'!R7+'Annual Raw'!R8+'Annual Raw'!R9</f>
        <v>0</v>
      </c>
      <c r="R18" s="92">
        <f>'Annual Raw'!S7+'Annual Raw'!S8+'Annual Raw'!S9</f>
        <v>0</v>
      </c>
      <c r="S18" s="92">
        <f>'Annual Raw'!T7+'Annual Raw'!T8+'Annual Raw'!T9</f>
        <v>0</v>
      </c>
      <c r="T18" s="92">
        <f>'Annual Raw'!U7+'Annual Raw'!U8+'Annual Raw'!U9</f>
        <v>0</v>
      </c>
      <c r="U18" s="92">
        <f>'Annual Raw'!V7+'Annual Raw'!V8+'Annual Raw'!V9</f>
        <v>0</v>
      </c>
      <c r="V18" s="92">
        <f>'Annual Raw'!W7+'Annual Raw'!W8+'Annual Raw'!W9</f>
        <v>0</v>
      </c>
      <c r="W18" s="92">
        <f>'Annual Raw'!X7+'Annual Raw'!X8+'Annual Raw'!X9</f>
        <v>0</v>
      </c>
      <c r="X18" s="92">
        <f>'Annual Raw'!Y7+'Annual Raw'!Y8+'Annual Raw'!Y9</f>
        <v>0</v>
      </c>
      <c r="Y18" s="92">
        <f>'Annual Raw'!Z7+'Annual Raw'!Z8+'Annual Raw'!Z9</f>
        <v>0</v>
      </c>
      <c r="Z18" s="92">
        <f>'Annual Raw'!AA7+'Annual Raw'!AA8+'Annual Raw'!AA9</f>
        <v>0</v>
      </c>
      <c r="AA18" s="92">
        <f>'Annual Raw'!AB7+'Annual Raw'!AB8+'Annual Raw'!AB9</f>
        <v>0</v>
      </c>
      <c r="AB18" s="76">
        <f>+SUM(CM18:CP18)</f>
        <v>0</v>
      </c>
      <c r="AC18" s="76">
        <f>+SUM(CQ18:CT18)</f>
        <v>0</v>
      </c>
      <c r="AD18" s="76">
        <f>+SUM(CU18:CX18)</f>
        <v>0</v>
      </c>
      <c r="AE18" s="76">
        <f>+SUM(CY18:DB18)</f>
        <v>0</v>
      </c>
      <c r="AI18" s="92">
        <f>+'QTR Raw'!C20+'QTR Raw'!C19+'QTR Raw'!C13+'QTR Raw'!C7</f>
        <v>93.75</v>
      </c>
      <c r="AJ18" s="92">
        <f>+'QTR Raw'!D20+'QTR Raw'!D19+'QTR Raw'!D13+'QTR Raw'!D7</f>
        <v>0</v>
      </c>
      <c r="AK18" s="92">
        <f>+'QTR Raw'!E20+'QTR Raw'!E19+'QTR Raw'!E13+'QTR Raw'!E7</f>
        <v>73.430000000000007</v>
      </c>
      <c r="AL18" s="92">
        <f>+'QTR Raw'!F20+'QTR Raw'!F19+'QTR Raw'!F13+'QTR Raw'!F7</f>
        <v>0</v>
      </c>
      <c r="AM18" s="92">
        <f>+'QTR Raw'!G20+'QTR Raw'!G19+'QTR Raw'!G13+'QTR Raw'!G7</f>
        <v>104.41</v>
      </c>
      <c r="AN18" s="92">
        <f>+'QTR Raw'!H20+'QTR Raw'!H19+'QTR Raw'!H13+'QTR Raw'!H7</f>
        <v>377.34</v>
      </c>
      <c r="AO18" s="92">
        <f>+'QTR Raw'!I20+'QTR Raw'!I19+'QTR Raw'!I13+'QTR Raw'!I7</f>
        <v>0</v>
      </c>
      <c r="AP18" s="92">
        <f>+'QTR Raw'!J20+'QTR Raw'!J19+'QTR Raw'!J13+'QTR Raw'!J7</f>
        <v>0</v>
      </c>
      <c r="AQ18" s="92">
        <f>+'QTR Raw'!K20+'QTR Raw'!K19+'QTR Raw'!K13+'QTR Raw'!K7</f>
        <v>0</v>
      </c>
      <c r="AR18" s="92">
        <f>+'QTR Raw'!L20+'QTR Raw'!L19+'QTR Raw'!L13+'QTR Raw'!L7</f>
        <v>0</v>
      </c>
      <c r="AS18" s="92">
        <f>+'QTR Raw'!M20+'QTR Raw'!M19+'QTR Raw'!M13+'QTR Raw'!M7</f>
        <v>0</v>
      </c>
      <c r="AT18" s="92">
        <f>+'QTR Raw'!N20+'QTR Raw'!N19+'QTR Raw'!N13+'QTR Raw'!N7</f>
        <v>0</v>
      </c>
      <c r="AU18" s="92">
        <f>+'QTR Raw'!O20+'QTR Raw'!O19+'QTR Raw'!O13+'QTR Raw'!O7</f>
        <v>0</v>
      </c>
      <c r="AV18" s="92">
        <f>+'QTR Raw'!P20+'QTR Raw'!P19+'QTR Raw'!P13+'QTR Raw'!P7</f>
        <v>0</v>
      </c>
      <c r="AW18" s="92">
        <f>+'QTR Raw'!Q20+'QTR Raw'!Q19+'QTR Raw'!Q13+'QTR Raw'!Q7</f>
        <v>0</v>
      </c>
      <c r="AX18" s="92">
        <f>+'QTR Raw'!R20+'QTR Raw'!R19+'QTR Raw'!R13+'QTR Raw'!R7</f>
        <v>0</v>
      </c>
      <c r="AY18" s="92">
        <f>+'QTR Raw'!S20+'QTR Raw'!S19+'QTR Raw'!S13+'QTR Raw'!S7</f>
        <v>0</v>
      </c>
      <c r="AZ18" s="92">
        <f>+'QTR Raw'!T20+'QTR Raw'!T19+'QTR Raw'!T13+'QTR Raw'!T7</f>
        <v>0</v>
      </c>
      <c r="BA18" s="92">
        <f>+'QTR Raw'!U20+'QTR Raw'!U19+'QTR Raw'!U13+'QTR Raw'!U7</f>
        <v>0</v>
      </c>
      <c r="BB18" s="92">
        <f>+'QTR Raw'!V20+'QTR Raw'!V19+'QTR Raw'!V13+'QTR Raw'!V7</f>
        <v>0</v>
      </c>
      <c r="BC18" s="92">
        <f>+'QTR Raw'!W20+'QTR Raw'!W19+'QTR Raw'!W13+'QTR Raw'!W7</f>
        <v>0</v>
      </c>
      <c r="BD18" s="92">
        <f>+'QTR Raw'!X20+'QTR Raw'!X19+'QTR Raw'!X13+'QTR Raw'!X7</f>
        <v>0</v>
      </c>
      <c r="BE18" s="92">
        <f>+'QTR Raw'!Y20+'QTR Raw'!Y19+'QTR Raw'!Y13+'QTR Raw'!Y7</f>
        <v>0</v>
      </c>
      <c r="BF18" s="92">
        <f>+'QTR Raw'!Z20+'QTR Raw'!Z19+'QTR Raw'!Z13+'QTR Raw'!Z7</f>
        <v>0</v>
      </c>
      <c r="BG18" s="92">
        <f>+'QTR Raw'!AA20+'QTR Raw'!AA19+'QTR Raw'!AA13+'QTR Raw'!AA7</f>
        <v>0</v>
      </c>
      <c r="BH18" s="92">
        <f>+'QTR Raw'!AB20+'QTR Raw'!AB19+'QTR Raw'!AB13+'QTR Raw'!AB7</f>
        <v>0</v>
      </c>
      <c r="BI18" s="92">
        <f>+'QTR Raw'!AC20+'QTR Raw'!AC19+'QTR Raw'!AC13+'QTR Raw'!AC7</f>
        <v>0</v>
      </c>
      <c r="BJ18" s="92">
        <f>+'QTR Raw'!AD20+'QTR Raw'!AD19+'QTR Raw'!AD13+'QTR Raw'!AD7</f>
        <v>0</v>
      </c>
      <c r="BK18" s="92">
        <f>+'QTR Raw'!AE20+'QTR Raw'!AE19+'QTR Raw'!AE13+'QTR Raw'!AE7</f>
        <v>0</v>
      </c>
      <c r="BL18" s="92">
        <f>+'QTR Raw'!AF20+'QTR Raw'!AF19+'QTR Raw'!AF13+'QTR Raw'!AF7</f>
        <v>0</v>
      </c>
      <c r="BM18" s="92">
        <f>+'QTR Raw'!AG20+'QTR Raw'!AG19+'QTR Raw'!AG13+'QTR Raw'!AG7</f>
        <v>0</v>
      </c>
      <c r="BN18" s="92">
        <f>+'QTR Raw'!AH20+'QTR Raw'!AH19+'QTR Raw'!AH13+'QTR Raw'!AH7</f>
        <v>0</v>
      </c>
      <c r="BO18" s="92">
        <f>+'QTR Raw'!AI20+'QTR Raw'!AI19+'QTR Raw'!AI13+'QTR Raw'!AI7</f>
        <v>0</v>
      </c>
      <c r="BP18" s="92">
        <f>+'QTR Raw'!AJ20+'QTR Raw'!AJ19+'QTR Raw'!AJ13+'QTR Raw'!AJ7</f>
        <v>0</v>
      </c>
      <c r="BQ18" s="92">
        <f>+'QTR Raw'!AK20+'QTR Raw'!AK19+'QTR Raw'!AK13+'QTR Raw'!AK7</f>
        <v>0</v>
      </c>
      <c r="BR18" s="92">
        <f>+'QTR Raw'!AL20+'QTR Raw'!AL19+'QTR Raw'!AL13+'QTR Raw'!AL7</f>
        <v>0</v>
      </c>
      <c r="BS18" s="92">
        <f>+'QTR Raw'!AM20+'QTR Raw'!AM19+'QTR Raw'!AM13+'QTR Raw'!AM7</f>
        <v>0</v>
      </c>
      <c r="BT18" s="92">
        <f>+'QTR Raw'!AN20+'QTR Raw'!AN19+'QTR Raw'!AN13+'QTR Raw'!AN7</f>
        <v>0</v>
      </c>
      <c r="BU18" s="92">
        <f>+'QTR Raw'!AO20+'QTR Raw'!AO19+'QTR Raw'!AO13+'QTR Raw'!AO7</f>
        <v>0</v>
      </c>
      <c r="BV18" s="92">
        <f>+'QTR Raw'!AP20+'QTR Raw'!AP19+'QTR Raw'!AP13+'QTR Raw'!AP7</f>
        <v>0</v>
      </c>
      <c r="BW18" s="92">
        <f>+'QTR Raw'!AQ20+'QTR Raw'!AQ19+'QTR Raw'!AQ13+'QTR Raw'!AQ7</f>
        <v>0</v>
      </c>
      <c r="BX18" s="92">
        <f>+'QTR Raw'!AR20+'QTR Raw'!AR19+'QTR Raw'!AR13+'QTR Raw'!AR7</f>
        <v>0</v>
      </c>
      <c r="BY18" s="92">
        <f>+'QTR Raw'!AS20+'QTR Raw'!AS19+'QTR Raw'!AS13+'QTR Raw'!AS7</f>
        <v>0</v>
      </c>
      <c r="BZ18" s="92">
        <f>+'QTR Raw'!AT20+'QTR Raw'!AT19+'QTR Raw'!AT13+'QTR Raw'!AT7</f>
        <v>0</v>
      </c>
      <c r="CA18" s="92">
        <f>+'QTR Raw'!AU20+'QTR Raw'!AU19+'QTR Raw'!AU13+'QTR Raw'!AU7</f>
        <v>0</v>
      </c>
      <c r="CB18" s="92">
        <f>+'QTR Raw'!AV20+'QTR Raw'!AV19+'QTR Raw'!AV13+'QTR Raw'!AV7</f>
        <v>0</v>
      </c>
      <c r="CC18" s="92">
        <f>+'QTR Raw'!AW20+'QTR Raw'!AW19+'QTR Raw'!AW13+'QTR Raw'!AW7</f>
        <v>0</v>
      </c>
      <c r="CD18" s="92">
        <f>+'QTR Raw'!AX20+'QTR Raw'!AX19+'QTR Raw'!AX13+'QTR Raw'!AX7</f>
        <v>0</v>
      </c>
      <c r="CE18" s="92">
        <f>+'QTR Raw'!AY20+'QTR Raw'!AY19+'QTR Raw'!AY13+'QTR Raw'!AY7</f>
        <v>0</v>
      </c>
      <c r="CF18" s="92">
        <f>+'QTR Raw'!AZ20+'QTR Raw'!AZ19+'QTR Raw'!AZ13+'QTR Raw'!AZ7</f>
        <v>0</v>
      </c>
      <c r="CG18" s="92">
        <f>+'QTR Raw'!BA20+'QTR Raw'!BA19+'QTR Raw'!BA13+'QTR Raw'!BA7</f>
        <v>0</v>
      </c>
      <c r="CH18" s="92">
        <f>+'QTR Raw'!BB20+'QTR Raw'!BB19+'QTR Raw'!BB13+'QTR Raw'!BB7</f>
        <v>0</v>
      </c>
      <c r="CI18" s="92">
        <f>+'QTR Raw'!BC20+'QTR Raw'!BC19+'QTR Raw'!BC13+'QTR Raw'!BC7</f>
        <v>0</v>
      </c>
      <c r="CJ18" s="92">
        <f>+'QTR Raw'!BD20+'QTR Raw'!BD19+'QTR Raw'!BD13+'QTR Raw'!BD7</f>
        <v>0</v>
      </c>
      <c r="CK18" s="92">
        <f>+'QTR Raw'!BE20+'QTR Raw'!BE19+'QTR Raw'!BE13+'QTR Raw'!BE7</f>
        <v>0</v>
      </c>
      <c r="CL18" s="92">
        <f>+'QTR Raw'!BF20+'QTR Raw'!BF19+'QTR Raw'!BF13+'QTR Raw'!BF7</f>
        <v>0</v>
      </c>
      <c r="CM18" s="74"/>
      <c r="CN18" s="74"/>
      <c r="CO18" s="74"/>
      <c r="CP18" s="74"/>
      <c r="CQ18" s="74"/>
      <c r="CR18" s="74"/>
      <c r="CS18" s="74"/>
      <c r="CT18" s="74"/>
      <c r="CU18" s="74"/>
      <c r="CV18" s="74"/>
      <c r="CW18" s="74"/>
      <c r="CX18" s="74"/>
      <c r="CY18" s="74"/>
      <c r="CZ18" s="74"/>
      <c r="DA18" s="74"/>
      <c r="DB18" s="74"/>
      <c r="DE18" s="120"/>
      <c r="DF18" s="92">
        <v>0</v>
      </c>
    </row>
    <row r="19" spans="1:110" s="26" customFormat="1" x14ac:dyDescent="0.2">
      <c r="A19" s="26" t="s">
        <v>431</v>
      </c>
      <c r="B19" s="26">
        <f>+B17-B18</f>
        <v>0</v>
      </c>
      <c r="C19" s="26">
        <f>+C17-C18</f>
        <v>0</v>
      </c>
      <c r="D19" s="26">
        <f t="shared" ref="D19:U19" si="55">+D17-D18</f>
        <v>0</v>
      </c>
      <c r="E19" s="26">
        <f t="shared" si="55"/>
        <v>0</v>
      </c>
      <c r="F19" s="26">
        <f t="shared" si="55"/>
        <v>9748.4699999999993</v>
      </c>
      <c r="G19" s="26">
        <f t="shared" si="55"/>
        <v>13263.99</v>
      </c>
      <c r="H19" s="26">
        <f t="shared" si="55"/>
        <v>18685.210000000003</v>
      </c>
      <c r="I19" s="26">
        <f t="shared" si="55"/>
        <v>22619.519999999997</v>
      </c>
      <c r="J19" s="26">
        <f t="shared" si="55"/>
        <v>27812.879999999997</v>
      </c>
      <c r="K19" s="26">
        <f t="shared" si="55"/>
        <v>30028.920000000002</v>
      </c>
      <c r="L19" s="26">
        <f t="shared" si="55"/>
        <v>37324.51</v>
      </c>
      <c r="M19" s="26">
        <f t="shared" si="55"/>
        <v>48893.83</v>
      </c>
      <c r="N19" s="26">
        <f t="shared" si="55"/>
        <v>62989.48</v>
      </c>
      <c r="O19" s="26">
        <f t="shared" si="55"/>
        <v>81809.36</v>
      </c>
      <c r="P19" s="26">
        <f t="shared" si="55"/>
        <v>94648.41</v>
      </c>
      <c r="Q19" s="26">
        <f t="shared" si="55"/>
        <v>108646</v>
      </c>
      <c r="R19" s="26">
        <f t="shared" si="55"/>
        <v>117966</v>
      </c>
      <c r="S19" s="26">
        <f t="shared" si="55"/>
        <v>123104</v>
      </c>
      <c r="T19" s="26">
        <f t="shared" si="55"/>
        <v>146463</v>
      </c>
      <c r="U19" s="26">
        <f t="shared" si="55"/>
        <v>156949</v>
      </c>
      <c r="V19" s="26">
        <f>+V17-V18</f>
        <v>164177</v>
      </c>
      <c r="W19" s="26">
        <f>+W17-W18</f>
        <v>191754</v>
      </c>
      <c r="X19" s="26">
        <f>+X17-X18</f>
        <v>225458</v>
      </c>
      <c r="Y19" s="26">
        <f>+Y17-Y18</f>
        <v>240893</v>
      </c>
      <c r="Z19" s="26">
        <f>+Z17-Z18</f>
        <v>255324</v>
      </c>
      <c r="AA19" s="26">
        <f>+AA17-AA18</f>
        <v>267021</v>
      </c>
      <c r="AB19" s="27">
        <f t="shared" ref="AB19:AD19" si="56">+AB17-AB18</f>
        <v>286295.75629575975</v>
      </c>
      <c r="AC19" s="27">
        <f t="shared" si="56"/>
        <v>301070.83448721631</v>
      </c>
      <c r="AD19" s="27">
        <f t="shared" si="56"/>
        <v>316608.42113631876</v>
      </c>
      <c r="AE19" s="27">
        <f t="shared" ref="AE19" si="57">+AE17-AE18</f>
        <v>332947.8675845929</v>
      </c>
      <c r="AI19" s="26">
        <f t="shared" ref="AI19" si="58">+AI17-AI18</f>
        <v>14774.96</v>
      </c>
      <c r="AJ19" s="26">
        <f t="shared" ref="AJ19" si="59">+AJ17-AJ18</f>
        <v>15620.75</v>
      </c>
      <c r="AK19" s="26">
        <f t="shared" ref="AK19:AM19" si="60">+AK17-AK18</f>
        <v>15996.5</v>
      </c>
      <c r="AL19" s="26">
        <f t="shared" si="60"/>
        <v>16430.09</v>
      </c>
      <c r="AM19" s="26">
        <f t="shared" si="60"/>
        <v>17882.66</v>
      </c>
      <c r="AN19" s="26">
        <f t="shared" ref="AN19:AO19" si="61">+AN17-AN18</f>
        <v>20599.900000000001</v>
      </c>
      <c r="AO19" s="26">
        <f t="shared" si="61"/>
        <v>21293.96</v>
      </c>
      <c r="AP19" s="26">
        <f t="shared" ref="AP19:AW19" si="62">+AP17-AP18</f>
        <v>21551.09</v>
      </c>
      <c r="AQ19" s="26">
        <f t="shared" si="62"/>
        <v>22111.03</v>
      </c>
      <c r="AR19" s="26">
        <f t="shared" si="62"/>
        <v>23816.48</v>
      </c>
      <c r="AS19" s="26">
        <f t="shared" si="62"/>
        <v>24501.14</v>
      </c>
      <c r="AT19" s="26">
        <f t="shared" si="62"/>
        <v>24219.759999999998</v>
      </c>
      <c r="AU19" s="26">
        <f t="shared" si="62"/>
        <v>25668</v>
      </c>
      <c r="AV19" s="26">
        <f t="shared" si="62"/>
        <v>27165</v>
      </c>
      <c r="AW19" s="26">
        <f t="shared" si="62"/>
        <v>27364</v>
      </c>
      <c r="AX19" s="26">
        <f t="shared" ref="AX19:CF19" si="63">+AX17-AX18</f>
        <v>28449</v>
      </c>
      <c r="AY19" s="26">
        <f t="shared" si="63"/>
        <v>29305</v>
      </c>
      <c r="AZ19" s="26">
        <f t="shared" si="63"/>
        <v>29284</v>
      </c>
      <c r="BA19" s="26">
        <f t="shared" si="63"/>
        <v>29735</v>
      </c>
      <c r="BB19" s="26">
        <f t="shared" si="63"/>
        <v>29642</v>
      </c>
      <c r="BC19" s="26">
        <f t="shared" si="63"/>
        <v>29584</v>
      </c>
      <c r="BD19" s="26">
        <f t="shared" si="63"/>
        <v>30541</v>
      </c>
      <c r="BE19" s="26">
        <f t="shared" si="63"/>
        <v>30904</v>
      </c>
      <c r="BF19" s="26">
        <f t="shared" si="63"/>
        <v>32075</v>
      </c>
      <c r="BG19" s="26">
        <f t="shared" si="63"/>
        <v>34261</v>
      </c>
      <c r="BH19" s="26">
        <f t="shared" si="63"/>
        <v>36854</v>
      </c>
      <c r="BI19" s="26">
        <f t="shared" si="63"/>
        <v>37338</v>
      </c>
      <c r="BJ19" s="26">
        <f t="shared" si="63"/>
        <v>38010</v>
      </c>
      <c r="BK19" s="26">
        <f t="shared" si="63"/>
        <v>38172</v>
      </c>
      <c r="BL19" s="26">
        <f t="shared" si="63"/>
        <v>38977</v>
      </c>
      <c r="BM19" s="26">
        <f t="shared" si="63"/>
        <v>39854</v>
      </c>
      <c r="BN19" s="26">
        <f t="shared" si="63"/>
        <v>39946</v>
      </c>
      <c r="BO19" s="26">
        <f t="shared" si="63"/>
        <v>38322</v>
      </c>
      <c r="BP19" s="26">
        <f t="shared" si="63"/>
        <v>40135</v>
      </c>
      <c r="BQ19" s="26">
        <f t="shared" si="63"/>
        <v>42015</v>
      </c>
      <c r="BR19" s="26">
        <f t="shared" si="63"/>
        <v>43705</v>
      </c>
      <c r="BS19" s="26">
        <f t="shared" si="63"/>
        <v>45411</v>
      </c>
      <c r="BT19" s="26">
        <f t="shared" si="63"/>
        <v>46867</v>
      </c>
      <c r="BU19" s="26">
        <f t="shared" si="63"/>
        <v>48885</v>
      </c>
      <c r="BV19" s="26">
        <f t="shared" si="63"/>
        <v>50591</v>
      </c>
      <c r="BW19" s="26">
        <f t="shared" si="63"/>
        <v>52758</v>
      </c>
      <c r="BX19" s="26">
        <f t="shared" si="63"/>
        <v>55309</v>
      </c>
      <c r="BY19" s="26">
        <f t="shared" si="63"/>
        <v>58229</v>
      </c>
      <c r="BZ19" s="26">
        <f t="shared" si="63"/>
        <v>59162</v>
      </c>
      <c r="CA19" s="26">
        <f t="shared" si="63"/>
        <v>59381</v>
      </c>
      <c r="CB19" s="26">
        <f t="shared" si="63"/>
        <v>59692</v>
      </c>
      <c r="CC19" s="26">
        <f t="shared" si="63"/>
        <v>60583</v>
      </c>
      <c r="CD19" s="26">
        <f t="shared" si="63"/>
        <v>61237</v>
      </c>
      <c r="CE19" s="26">
        <f t="shared" si="63"/>
        <v>62613</v>
      </c>
      <c r="CF19" s="26">
        <f t="shared" si="63"/>
        <v>64259</v>
      </c>
      <c r="CG19" s="26">
        <f t="shared" ref="CG19:CH19" si="64">+CG17-CG18</f>
        <v>63973</v>
      </c>
      <c r="CH19" s="26">
        <f t="shared" si="64"/>
        <v>64479</v>
      </c>
      <c r="CI19" s="26">
        <f t="shared" ref="CI19:CJ19" si="65">+CI17-CI18</f>
        <v>63437</v>
      </c>
      <c r="CJ19" s="26">
        <f t="shared" si="65"/>
        <v>65799</v>
      </c>
      <c r="CK19" s="26">
        <f t="shared" ref="CK19:CL19" si="66">+CK17-CK18</f>
        <v>67087</v>
      </c>
      <c r="CL19" s="26">
        <f t="shared" si="66"/>
        <v>70698</v>
      </c>
      <c r="CM19" s="27">
        <f t="shared" ref="CM19:DB19" si="67">+CM17-CM18</f>
        <v>70229.050677887906</v>
      </c>
      <c r="CN19" s="27">
        <f t="shared" si="67"/>
        <v>71118.115777793704</v>
      </c>
      <c r="CO19" s="27">
        <f t="shared" si="67"/>
        <v>72018.436002811388</v>
      </c>
      <c r="CP19" s="27">
        <f t="shared" si="67"/>
        <v>72930.153837266742</v>
      </c>
      <c r="CQ19" s="27">
        <f t="shared" si="67"/>
        <v>73853.413569266631</v>
      </c>
      <c r="CR19" s="27">
        <f t="shared" si="67"/>
        <v>74788.361313534188</v>
      </c>
      <c r="CS19" s="27">
        <f t="shared" si="67"/>
        <v>75735.145034532747</v>
      </c>
      <c r="CT19" s="27">
        <f t="shared" si="67"/>
        <v>76693.914569882705</v>
      </c>
      <c r="CU19" s="27">
        <f t="shared" si="67"/>
        <v>77664.82165407468</v>
      </c>
      <c r="CV19" s="27">
        <f t="shared" si="67"/>
        <v>78648.019942483064</v>
      </c>
      <c r="CW19" s="27">
        <f t="shared" si="67"/>
        <v>79643.665035683385</v>
      </c>
      <c r="CX19" s="27">
        <f t="shared" si="67"/>
        <v>80651.91450407762</v>
      </c>
      <c r="CY19" s="27">
        <f t="shared" si="67"/>
        <v>81672.927912831234</v>
      </c>
      <c r="CZ19" s="27">
        <f t="shared" si="67"/>
        <v>82706.866847125872</v>
      </c>
      <c r="DA19" s="27">
        <f t="shared" si="67"/>
        <v>83753.894937731777</v>
      </c>
      <c r="DB19" s="27">
        <f t="shared" si="67"/>
        <v>84814.177886903955</v>
      </c>
      <c r="DE19" s="121"/>
      <c r="DF19" s="26">
        <v>68137.94131200001</v>
      </c>
    </row>
    <row r="20" spans="1:110" s="39" customFormat="1" x14ac:dyDescent="0.2">
      <c r="A20" s="39" t="s">
        <v>484</v>
      </c>
      <c r="C20" s="39" t="e">
        <f t="shared" ref="C20" si="68">C19/B19-1</f>
        <v>#DIV/0!</v>
      </c>
      <c r="D20" s="39" t="e">
        <f t="shared" ref="D20" si="69">D19/C19-1</f>
        <v>#DIV/0!</v>
      </c>
      <c r="E20" s="39" t="e">
        <f t="shared" ref="E20" si="70">E19/D19-1</f>
        <v>#DIV/0!</v>
      </c>
      <c r="F20" s="39" t="e">
        <f t="shared" ref="F20:R20" si="71">F19/E19-1</f>
        <v>#DIV/0!</v>
      </c>
      <c r="G20" s="39">
        <f t="shared" si="71"/>
        <v>0.36062274387673154</v>
      </c>
      <c r="H20" s="39">
        <f t="shared" si="71"/>
        <v>0.40871713564319667</v>
      </c>
      <c r="I20" s="39">
        <f t="shared" si="71"/>
        <v>0.21055744088506323</v>
      </c>
      <c r="J20" s="39">
        <f t="shared" si="71"/>
        <v>0.22959638400814875</v>
      </c>
      <c r="K20" s="39">
        <f>K19/J19-1</f>
        <v>7.9676754079404999E-2</v>
      </c>
      <c r="L20" s="39">
        <f t="shared" si="71"/>
        <v>0.24295212748244022</v>
      </c>
      <c r="M20" s="39">
        <f t="shared" si="71"/>
        <v>0.30996575708562557</v>
      </c>
      <c r="N20" s="39">
        <f t="shared" si="71"/>
        <v>0.28829097659152492</v>
      </c>
      <c r="O20" s="39">
        <f t="shared" si="71"/>
        <v>0.29877814517598811</v>
      </c>
      <c r="P20" s="39">
        <f t="shared" si="71"/>
        <v>0.156938643695538</v>
      </c>
      <c r="Q20" s="39">
        <f t="shared" si="71"/>
        <v>0.1478903871707935</v>
      </c>
      <c r="R20" s="39">
        <f t="shared" si="71"/>
        <v>8.578318575925481E-2</v>
      </c>
      <c r="S20" s="39">
        <f t="shared" ref="S20:AA20" si="72">S19/R19-1</f>
        <v>4.3554922604818413E-2</v>
      </c>
      <c r="T20" s="39">
        <f t="shared" si="72"/>
        <v>0.18975012997140639</v>
      </c>
      <c r="U20" s="39">
        <f t="shared" si="72"/>
        <v>7.1594873790650215E-2</v>
      </c>
      <c r="V20" s="39">
        <f t="shared" si="72"/>
        <v>4.6053176509566862E-2</v>
      </c>
      <c r="W20" s="39">
        <f t="shared" si="72"/>
        <v>0.1679711530847805</v>
      </c>
      <c r="X20" s="39">
        <f t="shared" si="72"/>
        <v>0.17576686796624852</v>
      </c>
      <c r="Y20" s="39">
        <f t="shared" si="72"/>
        <v>6.8460644554639849E-2</v>
      </c>
      <c r="Z20" s="39">
        <f t="shared" si="72"/>
        <v>5.9906265437351891E-2</v>
      </c>
      <c r="AA20" s="39">
        <f t="shared" si="72"/>
        <v>4.581237956478823E-2</v>
      </c>
      <c r="AB20" s="40">
        <f t="shared" ref="AB20" si="73">AB19/AA19-1</f>
        <v>7.2184421059616088E-2</v>
      </c>
      <c r="AC20" s="40">
        <f t="shared" ref="AC20" si="74">AC19/AB19-1</f>
        <v>5.1607744322249349E-2</v>
      </c>
      <c r="AD20" s="40">
        <f t="shared" ref="AD20" si="75">AD19/AC19-1</f>
        <v>5.1607744322249127E-2</v>
      </c>
      <c r="AE20" s="40">
        <f t="shared" ref="AE20" si="76">AE19/AD19-1</f>
        <v>5.1607744322249127E-2</v>
      </c>
      <c r="AM20" s="39">
        <f t="shared" ref="AM20:CI20" si="77">+IF(AI19&lt;0,1-AM19/AI19,AM19/AI19-1)</f>
        <v>0.21033559481717723</v>
      </c>
      <c r="AN20" s="39">
        <f t="shared" si="77"/>
        <v>0.3187523006257702</v>
      </c>
      <c r="AO20" s="39">
        <f t="shared" si="77"/>
        <v>0.33116369205763752</v>
      </c>
      <c r="AP20" s="39">
        <f t="shared" si="77"/>
        <v>0.31168423301393977</v>
      </c>
      <c r="AQ20" s="39">
        <f t="shared" si="77"/>
        <v>0.23645084120595028</v>
      </c>
      <c r="AR20" s="39">
        <f t="shared" si="77"/>
        <v>0.15614541818164152</v>
      </c>
      <c r="AS20" s="39">
        <f t="shared" si="77"/>
        <v>0.1506145404612389</v>
      </c>
      <c r="AT20" s="39">
        <f t="shared" si="77"/>
        <v>0.12382993157190647</v>
      </c>
      <c r="AU20" s="39">
        <f t="shared" si="77"/>
        <v>0.16086858007067062</v>
      </c>
      <c r="AV20" s="39">
        <f t="shared" si="77"/>
        <v>0.14059676324964898</v>
      </c>
      <c r="AW20" s="39">
        <f t="shared" si="77"/>
        <v>0.1168459916558986</v>
      </c>
      <c r="AX20" s="39">
        <f t="shared" si="77"/>
        <v>0.17461940167862933</v>
      </c>
      <c r="AY20" s="39">
        <f t="shared" si="77"/>
        <v>0.14169393797724794</v>
      </c>
      <c r="AZ20" s="39">
        <f t="shared" si="77"/>
        <v>7.8004785569666835E-2</v>
      </c>
      <c r="BA20" s="39">
        <f t="shared" si="77"/>
        <v>8.6646689080543737E-2</v>
      </c>
      <c r="BB20" s="39">
        <f t="shared" si="77"/>
        <v>4.1934690147281017E-2</v>
      </c>
      <c r="BC20" s="39">
        <f t="shared" si="77"/>
        <v>9.5205596314622554E-3</v>
      </c>
      <c r="BD20" s="39">
        <f t="shared" si="77"/>
        <v>4.2924463871055973E-2</v>
      </c>
      <c r="BE20" s="39">
        <f t="shared" si="77"/>
        <v>3.9313939801580711E-2</v>
      </c>
      <c r="BF20" s="39">
        <f t="shared" si="77"/>
        <v>8.2079481816341726E-2</v>
      </c>
      <c r="BG20" s="39">
        <f t="shared" si="77"/>
        <v>0.15809221200649004</v>
      </c>
      <c r="BH20" s="39">
        <f t="shared" si="77"/>
        <v>0.20670573982515306</v>
      </c>
      <c r="BI20" s="39">
        <f t="shared" si="77"/>
        <v>0.20819311415997932</v>
      </c>
      <c r="BJ20" s="39">
        <f t="shared" si="77"/>
        <v>0.18503507404520647</v>
      </c>
      <c r="BK20" s="39">
        <f t="shared" si="77"/>
        <v>0.11415311870640088</v>
      </c>
      <c r="BL20" s="39">
        <f t="shared" si="77"/>
        <v>5.7605687306669484E-2</v>
      </c>
      <c r="BM20" s="39">
        <f t="shared" si="77"/>
        <v>6.7384434088596068E-2</v>
      </c>
      <c r="BN20" s="39">
        <f t="shared" si="77"/>
        <v>5.0933964746119553E-2</v>
      </c>
      <c r="BO20" s="39">
        <f t="shared" si="77"/>
        <v>3.929581892486711E-3</v>
      </c>
      <c r="BP20" s="39">
        <f t="shared" si="77"/>
        <v>2.9709828873438093E-2</v>
      </c>
      <c r="BQ20" s="39">
        <f t="shared" si="77"/>
        <v>5.4222913634766945E-2</v>
      </c>
      <c r="BR20" s="39">
        <f t="shared" si="77"/>
        <v>9.4102037750963818E-2</v>
      </c>
      <c r="BS20" s="39">
        <f t="shared" si="77"/>
        <v>0.18498512603726325</v>
      </c>
      <c r="BT20" s="39">
        <f t="shared" si="77"/>
        <v>0.16773389809393291</v>
      </c>
      <c r="BU20" s="39">
        <f t="shared" si="77"/>
        <v>0.16351303106033566</v>
      </c>
      <c r="BV20" s="39">
        <f t="shared" si="77"/>
        <v>0.15755634366777249</v>
      </c>
      <c r="BW20" s="39">
        <f t="shared" si="77"/>
        <v>0.16178899385611412</v>
      </c>
      <c r="BX20" s="39">
        <f t="shared" si="77"/>
        <v>0.18012674163057163</v>
      </c>
      <c r="BY20" s="39">
        <f t="shared" si="77"/>
        <v>0.19114247724250788</v>
      </c>
      <c r="BZ20" s="39">
        <f t="shared" si="77"/>
        <v>0.16941748532347645</v>
      </c>
      <c r="CA20" s="39">
        <f t="shared" si="77"/>
        <v>0.12553546381591407</v>
      </c>
      <c r="CB20" s="39">
        <f t="shared" si="77"/>
        <v>7.9245692382794886E-2</v>
      </c>
      <c r="CC20" s="39">
        <f t="shared" si="77"/>
        <v>4.0426591560906111E-2</v>
      </c>
      <c r="CD20" s="39">
        <f t="shared" si="77"/>
        <v>3.5073188871235006E-2</v>
      </c>
      <c r="CE20" s="39">
        <f t="shared" si="77"/>
        <v>5.4428184099291066E-2</v>
      </c>
      <c r="CF20" s="39">
        <f t="shared" si="77"/>
        <v>7.6509414996984493E-2</v>
      </c>
      <c r="CG20" s="39">
        <f t="shared" si="77"/>
        <v>5.5956291368865818E-2</v>
      </c>
      <c r="CH20" s="39">
        <f t="shared" si="77"/>
        <v>5.2941848882211762E-2</v>
      </c>
      <c r="CI20" s="39">
        <f t="shared" si="77"/>
        <v>1.3160206346924719E-2</v>
      </c>
      <c r="CJ20" s="39">
        <f>+IF(CF19&lt;0,1-CJ19/CF19,CJ19/CF19-1)</f>
        <v>2.3965514558272005E-2</v>
      </c>
      <c r="CK20" s="39">
        <f>+IF(CG19&lt;0,1-CK19/CG19,CK19/CG19-1)</f>
        <v>4.8676785518890764E-2</v>
      </c>
      <c r="CL20" s="39">
        <f>+IF(CH19&lt;0,1-CL19/CH19,CL19/CH19-1)</f>
        <v>9.6450006979016401E-2</v>
      </c>
      <c r="CM20" s="40">
        <f t="shared" ref="CM20:DB20" si="78">+IF(CI19&lt;0,1-CM19/CI19,CM19/CI19-1)</f>
        <v>0.10706765259845064</v>
      </c>
      <c r="CN20" s="40">
        <f t="shared" si="78"/>
        <v>8.0838854356353407E-2</v>
      </c>
      <c r="CO20" s="40">
        <f t="shared" si="78"/>
        <v>7.3508071650414841E-2</v>
      </c>
      <c r="CP20" s="40">
        <f t="shared" si="78"/>
        <v>3.1573083216876574E-2</v>
      </c>
      <c r="CQ20" s="40">
        <f t="shared" si="78"/>
        <v>5.1607744322249349E-2</v>
      </c>
      <c r="CR20" s="40">
        <f t="shared" si="78"/>
        <v>5.1607744322249127E-2</v>
      </c>
      <c r="CS20" s="40">
        <f t="shared" si="78"/>
        <v>5.1607744322249127E-2</v>
      </c>
      <c r="CT20" s="40">
        <f t="shared" si="78"/>
        <v>5.1607744322249127E-2</v>
      </c>
      <c r="CU20" s="40">
        <f t="shared" si="78"/>
        <v>5.1607744322249349E-2</v>
      </c>
      <c r="CV20" s="40">
        <f t="shared" si="78"/>
        <v>5.1607744322249349E-2</v>
      </c>
      <c r="CW20" s="40">
        <f t="shared" si="78"/>
        <v>5.1607744322249349E-2</v>
      </c>
      <c r="CX20" s="40">
        <f t="shared" si="78"/>
        <v>5.1607744322248905E-2</v>
      </c>
      <c r="CY20" s="40">
        <f t="shared" si="78"/>
        <v>5.1607744322248905E-2</v>
      </c>
      <c r="CZ20" s="40">
        <f t="shared" si="78"/>
        <v>5.1607744322248905E-2</v>
      </c>
      <c r="DA20" s="40">
        <f t="shared" si="78"/>
        <v>5.1607744322248905E-2</v>
      </c>
      <c r="DB20" s="40">
        <f t="shared" si="78"/>
        <v>5.1607744322249127E-2</v>
      </c>
      <c r="DE20" s="122"/>
      <c r="DF20" s="39">
        <v>5.6746247801610084E-2</v>
      </c>
    </row>
    <row r="21" spans="1:110" s="39" customFormat="1" x14ac:dyDescent="0.2">
      <c r="A21" s="39" t="s">
        <v>446</v>
      </c>
      <c r="AB21" s="40"/>
      <c r="AC21" s="40"/>
      <c r="AD21" s="40"/>
      <c r="AE21" s="40"/>
      <c r="AJ21" s="39">
        <f t="shared" ref="AJ21:AL21" si="79">+IF(AI19&lt;0,1-AJ19/AI19,AJ19/AI19-1)</f>
        <v>5.7244825028291091E-2</v>
      </c>
      <c r="AK21" s="39">
        <f t="shared" si="79"/>
        <v>2.4054542835651338E-2</v>
      </c>
      <c r="AL21" s="39">
        <f t="shared" si="79"/>
        <v>2.7105304285312437E-2</v>
      </c>
      <c r="AM21" s="39">
        <f t="shared" ref="AM21:CI21" si="80">+IF(AL19&lt;0,1-AM19/AL19,AM19/AL19-1)</f>
        <v>8.8409132268904234E-2</v>
      </c>
      <c r="AN21" s="39">
        <f t="shared" si="80"/>
        <v>0.15194831194017011</v>
      </c>
      <c r="AO21" s="39">
        <f t="shared" si="80"/>
        <v>3.3692396565031757E-2</v>
      </c>
      <c r="AP21" s="39">
        <f t="shared" si="80"/>
        <v>1.2075255142772967E-2</v>
      </c>
      <c r="AQ21" s="39">
        <f t="shared" si="80"/>
        <v>2.5981980493793966E-2</v>
      </c>
      <c r="AR21" s="39">
        <f t="shared" si="80"/>
        <v>7.7131187466165096E-2</v>
      </c>
      <c r="AS21" s="39">
        <f t="shared" si="80"/>
        <v>2.8747321182643226E-2</v>
      </c>
      <c r="AT21" s="39">
        <f t="shared" si="80"/>
        <v>-1.148436358471483E-2</v>
      </c>
      <c r="AU21" s="39">
        <f t="shared" si="80"/>
        <v>5.9795803096314826E-2</v>
      </c>
      <c r="AV21" s="39">
        <f t="shared" si="80"/>
        <v>5.8321645628798491E-2</v>
      </c>
      <c r="AW21" s="39">
        <f t="shared" si="80"/>
        <v>7.3256027977175453E-3</v>
      </c>
      <c r="AX21" s="39">
        <f t="shared" si="80"/>
        <v>3.9650635871948614E-2</v>
      </c>
      <c r="AY21" s="39">
        <f t="shared" si="80"/>
        <v>3.0088931069633285E-2</v>
      </c>
      <c r="AZ21" s="39">
        <f t="shared" si="80"/>
        <v>-7.1660126258321633E-4</v>
      </c>
      <c r="BA21" s="39">
        <f t="shared" si="80"/>
        <v>1.5400901516186227E-2</v>
      </c>
      <c r="BB21" s="39">
        <f t="shared" si="80"/>
        <v>-3.1276273751471573E-3</v>
      </c>
      <c r="BC21" s="39">
        <f t="shared" si="80"/>
        <v>-1.9566830848121164E-3</v>
      </c>
      <c r="BD21" s="39">
        <f t="shared" si="80"/>
        <v>3.2348566792860911E-2</v>
      </c>
      <c r="BE21" s="39">
        <f t="shared" si="80"/>
        <v>1.1885661897121924E-2</v>
      </c>
      <c r="BF21" s="39">
        <f t="shared" si="80"/>
        <v>3.7891535076365557E-2</v>
      </c>
      <c r="BG21" s="39">
        <f t="shared" si="80"/>
        <v>6.8152766952455091E-2</v>
      </c>
      <c r="BH21" s="39">
        <f t="shared" si="80"/>
        <v>7.5683722016286703E-2</v>
      </c>
      <c r="BI21" s="39">
        <f t="shared" si="80"/>
        <v>1.3132902805665703E-2</v>
      </c>
      <c r="BJ21" s="39">
        <f t="shared" si="80"/>
        <v>1.7997750281214753E-2</v>
      </c>
      <c r="BK21" s="39">
        <f t="shared" si="80"/>
        <v>4.2620363062351174E-3</v>
      </c>
      <c r="BL21" s="39">
        <f t="shared" si="80"/>
        <v>2.1088756156344868E-2</v>
      </c>
      <c r="BM21" s="39">
        <f t="shared" si="80"/>
        <v>2.2500448982733401E-2</v>
      </c>
      <c r="BN21" s="39">
        <f t="shared" si="80"/>
        <v>2.3084257540020303E-3</v>
      </c>
      <c r="BO21" s="39">
        <f t="shared" si="80"/>
        <v>-4.0654884093526245E-2</v>
      </c>
      <c r="BP21" s="39">
        <f t="shared" si="80"/>
        <v>4.7309639371640344E-2</v>
      </c>
      <c r="BQ21" s="39">
        <f t="shared" si="80"/>
        <v>4.6841908558614698E-2</v>
      </c>
      <c r="BR21" s="39">
        <f t="shared" si="80"/>
        <v>4.0223729620373572E-2</v>
      </c>
      <c r="BS21" s="39">
        <f t="shared" si="80"/>
        <v>3.9034435419288416E-2</v>
      </c>
      <c r="BT21" s="39">
        <f t="shared" si="80"/>
        <v>3.2062716082006615E-2</v>
      </c>
      <c r="BU21" s="39">
        <f t="shared" si="80"/>
        <v>4.3058015234600067E-2</v>
      </c>
      <c r="BV21" s="39">
        <f t="shared" si="80"/>
        <v>3.4898230541065667E-2</v>
      </c>
      <c r="BW21" s="39">
        <f t="shared" si="80"/>
        <v>4.2833705599810257E-2</v>
      </c>
      <c r="BX21" s="39">
        <f t="shared" si="80"/>
        <v>4.8352856438834024E-2</v>
      </c>
      <c r="BY21" s="39">
        <f t="shared" si="80"/>
        <v>5.2794301108318731E-2</v>
      </c>
      <c r="BZ21" s="39">
        <f t="shared" si="80"/>
        <v>1.6022943893936104E-2</v>
      </c>
      <c r="CA21" s="39">
        <f t="shared" si="80"/>
        <v>3.7017004158075295E-3</v>
      </c>
      <c r="CB21" s="39">
        <f t="shared" si="80"/>
        <v>5.2373654872770459E-3</v>
      </c>
      <c r="CC21" s="39">
        <f t="shared" si="80"/>
        <v>1.4926623333110012E-2</v>
      </c>
      <c r="CD21" s="39">
        <f t="shared" si="80"/>
        <v>1.079510753841828E-2</v>
      </c>
      <c r="CE21" s="39">
        <f t="shared" si="80"/>
        <v>2.2470075281284085E-2</v>
      </c>
      <c r="CF21" s="39">
        <f t="shared" si="80"/>
        <v>2.6288470445434697E-2</v>
      </c>
      <c r="CG21" s="39">
        <f t="shared" si="80"/>
        <v>-4.450738417964839E-3</v>
      </c>
      <c r="CH21" s="39">
        <f t="shared" si="80"/>
        <v>7.9095868569551975E-3</v>
      </c>
      <c r="CI21" s="39">
        <f t="shared" si="80"/>
        <v>-1.6160300252795468E-2</v>
      </c>
      <c r="CJ21" s="39">
        <f>+IF(CI19&lt;0,1-CJ19/CI19,CJ19/CI19-1)</f>
        <v>3.7233791005249373E-2</v>
      </c>
      <c r="CK21" s="39">
        <f>+IF(CJ19&lt;0,1-CK19/CJ19,CK19/CJ19-1)</f>
        <v>1.9574765573944886E-2</v>
      </c>
      <c r="CL21" s="39">
        <f>+IF(CK19&lt;0,1-CL19/CK19,CL19/CK19-1)</f>
        <v>5.3825629406591524E-2</v>
      </c>
      <c r="CM21" s="40">
        <f t="shared" ref="CM21:DB21" si="81">+IF(CL19&lt;0,1-CM19/CL19,CM19/CL19-1)</f>
        <v>-6.6331342062306842E-3</v>
      </c>
      <c r="CN21" s="40">
        <f t="shared" si="81"/>
        <v>1.2659506163390732E-2</v>
      </c>
      <c r="CO21" s="40">
        <f t="shared" si="81"/>
        <v>1.2659506163390288E-2</v>
      </c>
      <c r="CP21" s="40">
        <f t="shared" si="81"/>
        <v>1.2659506163390732E-2</v>
      </c>
      <c r="CQ21" s="40">
        <f t="shared" si="81"/>
        <v>1.265950616339051E-2</v>
      </c>
      <c r="CR21" s="40">
        <f t="shared" si="81"/>
        <v>1.265950616339051E-2</v>
      </c>
      <c r="CS21" s="40">
        <f t="shared" si="81"/>
        <v>1.265950616339051E-2</v>
      </c>
      <c r="CT21" s="40">
        <f t="shared" si="81"/>
        <v>1.2659506163390732E-2</v>
      </c>
      <c r="CU21" s="40">
        <f t="shared" si="81"/>
        <v>1.265950616339051E-2</v>
      </c>
      <c r="CV21" s="40">
        <f t="shared" si="81"/>
        <v>1.265950616339051E-2</v>
      </c>
      <c r="CW21" s="40">
        <f t="shared" si="81"/>
        <v>1.265950616339051E-2</v>
      </c>
      <c r="CX21" s="40">
        <f t="shared" si="81"/>
        <v>1.265950616339051E-2</v>
      </c>
      <c r="CY21" s="40">
        <f t="shared" si="81"/>
        <v>1.265950616339051E-2</v>
      </c>
      <c r="CZ21" s="40">
        <f t="shared" si="81"/>
        <v>1.265950616339051E-2</v>
      </c>
      <c r="DA21" s="40">
        <f t="shared" si="81"/>
        <v>1.265950616339051E-2</v>
      </c>
      <c r="DB21" s="40">
        <f t="shared" si="81"/>
        <v>1.265950616339051E-2</v>
      </c>
      <c r="DE21" s="122"/>
      <c r="DF21" s="39">
        <v>1.5665349650453964E-2</v>
      </c>
    </row>
    <row r="22" spans="1:110" s="23" customFormat="1" outlineLevel="1" x14ac:dyDescent="0.2">
      <c r="A22" s="23" t="s">
        <v>2</v>
      </c>
      <c r="B22" s="23">
        <f>'Annual Raw'!C11</f>
        <v>0</v>
      </c>
      <c r="C22" s="23">
        <f>'Annual Raw'!D11</f>
        <v>0</v>
      </c>
      <c r="D22" s="23">
        <f>'Annual Raw'!E11</f>
        <v>0</v>
      </c>
      <c r="E22" s="23">
        <f>'Annual Raw'!F11</f>
        <v>0</v>
      </c>
      <c r="F22" s="23">
        <f>'Annual Raw'!G11</f>
        <v>0</v>
      </c>
      <c r="G22" s="23">
        <f>'Annual Raw'!H11</f>
        <v>0</v>
      </c>
      <c r="H22" s="23">
        <f>'Annual Raw'!I11</f>
        <v>0</v>
      </c>
      <c r="I22" s="23">
        <f>'Annual Raw'!J11</f>
        <v>0</v>
      </c>
      <c r="J22" s="23">
        <f>'Annual Raw'!K11</f>
        <v>0</v>
      </c>
      <c r="K22" s="23">
        <f>'Annual Raw'!L11</f>
        <v>0</v>
      </c>
      <c r="L22" s="23">
        <f>'Annual Raw'!M11</f>
        <v>0</v>
      </c>
      <c r="M22" s="23">
        <f>'Annual Raw'!N11</f>
        <v>0</v>
      </c>
      <c r="N22" s="23">
        <f>'Annual Raw'!O11</f>
        <v>0</v>
      </c>
      <c r="O22" s="23">
        <f>'Annual Raw'!P11</f>
        <v>0</v>
      </c>
      <c r="P22" s="23">
        <f>'Annual Raw'!Q11</f>
        <v>0</v>
      </c>
      <c r="Q22" s="23">
        <f>'Annual Raw'!R11</f>
        <v>0</v>
      </c>
      <c r="R22" s="23">
        <f>'Annual Raw'!S11</f>
        <v>-1</v>
      </c>
      <c r="S22" s="23">
        <f>'Annual Raw'!T11</f>
        <v>1</v>
      </c>
      <c r="T22" s="23">
        <f>'Annual Raw'!U11</f>
        <v>0</v>
      </c>
      <c r="U22" s="23">
        <f>'Annual Raw'!V11</f>
        <v>-1</v>
      </c>
      <c r="V22" s="23">
        <f>'Annual Raw'!W11</f>
        <v>0</v>
      </c>
      <c r="W22" s="23">
        <f>'Annual Raw'!X11</f>
        <v>0</v>
      </c>
      <c r="X22" s="23">
        <f>'Annual Raw'!Y11</f>
        <v>-2</v>
      </c>
      <c r="Y22" s="23">
        <f>'Annual Raw'!Z11</f>
        <v>5</v>
      </c>
      <c r="Z22" s="23">
        <f>'Annual Raw'!AA11</f>
        <v>-1</v>
      </c>
      <c r="AA22" s="23">
        <f>'Annual Raw'!AB11</f>
        <v>-2</v>
      </c>
      <c r="AB22" s="76">
        <f>+SUM(CM22:CP22)</f>
        <v>0</v>
      </c>
      <c r="AC22" s="76">
        <f>+SUM(CQ22:CT22)</f>
        <v>0</v>
      </c>
      <c r="AD22" s="76">
        <f>+SUM(CU22:CX22)</f>
        <v>0</v>
      </c>
      <c r="AE22" s="76">
        <f>+SUM(CY22:DB22)</f>
        <v>0</v>
      </c>
      <c r="AI22" s="23">
        <f>'QTR Raw'!C10</f>
        <v>0</v>
      </c>
      <c r="AJ22" s="23">
        <f>'QTR Raw'!D10</f>
        <v>0</v>
      </c>
      <c r="AK22" s="23">
        <f>'QTR Raw'!E10</f>
        <v>0</v>
      </c>
      <c r="AL22" s="23">
        <f>'QTR Raw'!F10</f>
        <v>0</v>
      </c>
      <c r="AM22" s="23">
        <f>'QTR Raw'!G10</f>
        <v>0</v>
      </c>
      <c r="AN22" s="23">
        <f>'QTR Raw'!H10</f>
        <v>0</v>
      </c>
      <c r="AO22" s="23">
        <f>'QTR Raw'!I10</f>
        <v>0</v>
      </c>
      <c r="AP22" s="23">
        <f>'QTR Raw'!J10</f>
        <v>0</v>
      </c>
      <c r="AQ22" s="23">
        <f>'QTR Raw'!K10</f>
        <v>0</v>
      </c>
      <c r="AR22" s="23">
        <f>'QTR Raw'!L10</f>
        <v>0</v>
      </c>
      <c r="AS22" s="23">
        <f>'QTR Raw'!M10</f>
        <v>0</v>
      </c>
      <c r="AT22" s="23">
        <f>'QTR Raw'!N10</f>
        <v>0</v>
      </c>
      <c r="AU22" s="23">
        <f>'QTR Raw'!O10</f>
        <v>0</v>
      </c>
      <c r="AV22" s="23">
        <f>'QTR Raw'!P10</f>
        <v>0</v>
      </c>
      <c r="AW22" s="23">
        <f>'QTR Raw'!Q10</f>
        <v>0</v>
      </c>
      <c r="AX22" s="23">
        <f>'QTR Raw'!R10</f>
        <v>0</v>
      </c>
      <c r="AY22" s="23">
        <f>'QTR Raw'!S10</f>
        <v>0</v>
      </c>
      <c r="AZ22" s="23">
        <f>'QTR Raw'!T10</f>
        <v>0</v>
      </c>
      <c r="BA22" s="23">
        <f>'QTR Raw'!U10</f>
        <v>0</v>
      </c>
      <c r="BB22" s="23">
        <f>'QTR Raw'!V10</f>
        <v>0</v>
      </c>
      <c r="BC22" s="23">
        <f>'QTR Raw'!W10</f>
        <v>0</v>
      </c>
      <c r="BD22" s="23">
        <f>'QTR Raw'!X10</f>
        <v>0</v>
      </c>
      <c r="BE22" s="23">
        <f>'QTR Raw'!Y10</f>
        <v>0</v>
      </c>
      <c r="BF22" s="23">
        <f>'QTR Raw'!Z10</f>
        <v>0</v>
      </c>
      <c r="BG22" s="23">
        <f>'QTR Raw'!AA10</f>
        <v>0</v>
      </c>
      <c r="BH22" s="23">
        <f>'QTR Raw'!AB10</f>
        <v>0</v>
      </c>
      <c r="BI22" s="23">
        <f>'QTR Raw'!AC10</f>
        <v>0</v>
      </c>
      <c r="BJ22" s="23">
        <f>'QTR Raw'!AD10</f>
        <v>0</v>
      </c>
      <c r="BK22" s="23">
        <f>'QTR Raw'!AE10</f>
        <v>0</v>
      </c>
      <c r="BL22" s="23">
        <f>'QTR Raw'!AF10</f>
        <v>0</v>
      </c>
      <c r="BM22" s="23">
        <f>'QTR Raw'!AG10</f>
        <v>0</v>
      </c>
      <c r="BN22" s="23">
        <f>'QTR Raw'!AH10</f>
        <v>0</v>
      </c>
      <c r="BO22" s="23">
        <f>'QTR Raw'!AI10</f>
        <v>0</v>
      </c>
      <c r="BP22" s="23">
        <f>'QTR Raw'!AJ10</f>
        <v>0</v>
      </c>
      <c r="BQ22" s="23">
        <f>'QTR Raw'!AK10</f>
        <v>0</v>
      </c>
      <c r="BR22" s="23">
        <f>'QTR Raw'!AL10</f>
        <v>0</v>
      </c>
      <c r="BS22" s="23">
        <f>'QTR Raw'!AM10</f>
        <v>0</v>
      </c>
      <c r="BT22" s="23">
        <f>'QTR Raw'!AN10</f>
        <v>0</v>
      </c>
      <c r="BU22" s="23">
        <f>'QTR Raw'!AO10</f>
        <v>0</v>
      </c>
      <c r="BV22" s="23">
        <f>'QTR Raw'!AP10</f>
        <v>0</v>
      </c>
      <c r="BW22" s="23">
        <f>'QTR Raw'!AQ10</f>
        <v>0</v>
      </c>
      <c r="BX22" s="23">
        <f>'QTR Raw'!AR10</f>
        <v>0</v>
      </c>
      <c r="BY22" s="23">
        <f>'QTR Raw'!AS10</f>
        <v>0</v>
      </c>
      <c r="BZ22" s="23">
        <f>'QTR Raw'!AT10</f>
        <v>0</v>
      </c>
      <c r="CA22" s="23">
        <f>'QTR Raw'!AU10</f>
        <v>0</v>
      </c>
      <c r="CB22" s="23">
        <f>'QTR Raw'!AV10</f>
        <v>0</v>
      </c>
      <c r="CC22" s="23">
        <f>'QTR Raw'!AW10</f>
        <v>0</v>
      </c>
      <c r="CD22" s="23">
        <f>'QTR Raw'!AX10</f>
        <v>0</v>
      </c>
      <c r="CE22" s="23">
        <f>'QTR Raw'!AY10</f>
        <v>0</v>
      </c>
      <c r="CF22" s="23">
        <f>'QTR Raw'!AZ10</f>
        <v>0</v>
      </c>
      <c r="CG22" s="23">
        <f>'QTR Raw'!BA10</f>
        <v>0</v>
      </c>
      <c r="CH22" s="23">
        <f>'QTR Raw'!BB10</f>
        <v>0</v>
      </c>
      <c r="CI22" s="23">
        <f>'QTR Raw'!BC10</f>
        <v>0</v>
      </c>
      <c r="CJ22" s="23">
        <f>'QTR Raw'!BD10</f>
        <v>0</v>
      </c>
      <c r="CK22" s="23">
        <f>'QTR Raw'!BE10</f>
        <v>0</v>
      </c>
      <c r="CL22" s="23">
        <f>'QTR Raw'!BF10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3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76">
        <f>+SUM(CM23:CP23)</f>
        <v>0</v>
      </c>
      <c r="AC23" s="76">
        <f>+SUM(CQ23:CT23)</f>
        <v>0</v>
      </c>
      <c r="AD23" s="76">
        <f>+SUM(CU23:CX23)</f>
        <v>0</v>
      </c>
      <c r="AE23" s="76">
        <f>+SUM(CY23:DB23)</f>
        <v>0</v>
      </c>
      <c r="AI23" s="23">
        <f>'QTR Raw'!C12</f>
        <v>0</v>
      </c>
      <c r="AJ23" s="23">
        <f>'QTR Raw'!D12</f>
        <v>0</v>
      </c>
      <c r="AK23" s="23">
        <f>'QTR Raw'!E12</f>
        <v>0</v>
      </c>
      <c r="AL23" s="23">
        <f>'QTR Raw'!F12</f>
        <v>0</v>
      </c>
      <c r="AM23" s="23">
        <f>'QTR Raw'!G12</f>
        <v>0</v>
      </c>
      <c r="AN23" s="23">
        <f>'QTR Raw'!H12</f>
        <v>0</v>
      </c>
      <c r="AO23" s="23">
        <f>'QTR Raw'!I12</f>
        <v>0</v>
      </c>
      <c r="AP23" s="23">
        <f>'QTR Raw'!J12</f>
        <v>0</v>
      </c>
      <c r="AQ23" s="23">
        <f>'QTR Raw'!K12</f>
        <v>0</v>
      </c>
      <c r="AR23" s="23">
        <f>'QTR Raw'!L12</f>
        <v>0</v>
      </c>
      <c r="AS23" s="23">
        <f>'QTR Raw'!M12</f>
        <v>0</v>
      </c>
      <c r="AT23" s="23">
        <f>'QTR Raw'!N12</f>
        <v>0</v>
      </c>
      <c r="AU23" s="23">
        <f>'QTR Raw'!O12</f>
        <v>0</v>
      </c>
      <c r="AV23" s="23">
        <f>'QTR Raw'!P12</f>
        <v>0</v>
      </c>
      <c r="AW23" s="23">
        <f>'QTR Raw'!Q12</f>
        <v>0</v>
      </c>
      <c r="AX23" s="23">
        <f>'QTR Raw'!R12</f>
        <v>0</v>
      </c>
      <c r="AY23" s="23">
        <f>'QTR Raw'!S12</f>
        <v>0</v>
      </c>
      <c r="AZ23" s="23">
        <f>'QTR Raw'!T12</f>
        <v>0</v>
      </c>
      <c r="BA23" s="23">
        <f>'QTR Raw'!U12</f>
        <v>0</v>
      </c>
      <c r="BB23" s="23">
        <f>'QTR Raw'!V12</f>
        <v>0</v>
      </c>
      <c r="BC23" s="23">
        <f>'QTR Raw'!W12</f>
        <v>0</v>
      </c>
      <c r="BD23" s="23">
        <f>'QTR Raw'!X12</f>
        <v>0</v>
      </c>
      <c r="BE23" s="23">
        <f>'QTR Raw'!Y12</f>
        <v>0</v>
      </c>
      <c r="BF23" s="23">
        <f>'QTR Raw'!Z12</f>
        <v>0</v>
      </c>
      <c r="BG23" s="23">
        <f>'QTR Raw'!AA12</f>
        <v>0</v>
      </c>
      <c r="BH23" s="23">
        <f>'QTR Raw'!AB12</f>
        <v>0</v>
      </c>
      <c r="BI23" s="23">
        <f>'QTR Raw'!AC12</f>
        <v>0</v>
      </c>
      <c r="BJ23" s="23">
        <f>'QTR Raw'!AD12</f>
        <v>0</v>
      </c>
      <c r="BK23" s="23">
        <f>'QTR Raw'!AE12</f>
        <v>0</v>
      </c>
      <c r="BL23" s="23">
        <f>'QTR Raw'!AF12</f>
        <v>0</v>
      </c>
      <c r="BM23" s="23">
        <f>'QTR Raw'!AG12</f>
        <v>0</v>
      </c>
      <c r="BN23" s="23">
        <f>'QTR Raw'!AH12</f>
        <v>0</v>
      </c>
      <c r="BO23" s="23">
        <f>'QTR Raw'!AI12</f>
        <v>0</v>
      </c>
      <c r="BP23" s="23">
        <f>'QTR Raw'!AJ12</f>
        <v>0</v>
      </c>
      <c r="BQ23" s="23">
        <f>'QTR Raw'!AK12</f>
        <v>0</v>
      </c>
      <c r="BR23" s="23">
        <f>'QTR Raw'!AL12</f>
        <v>0</v>
      </c>
      <c r="BS23" s="23">
        <f>'QTR Raw'!AM12</f>
        <v>0</v>
      </c>
      <c r="BT23" s="23">
        <f>'QTR Raw'!AN12</f>
        <v>0</v>
      </c>
      <c r="BU23" s="23">
        <f>'QTR Raw'!AO12</f>
        <v>0</v>
      </c>
      <c r="BV23" s="23">
        <f>'QTR Raw'!AP12</f>
        <v>0</v>
      </c>
      <c r="BW23" s="23">
        <f>'QTR Raw'!AQ12</f>
        <v>0</v>
      </c>
      <c r="BX23" s="23">
        <f>'QTR Raw'!AR12</f>
        <v>0</v>
      </c>
      <c r="BY23" s="23">
        <f>'QTR Raw'!AS12</f>
        <v>0</v>
      </c>
      <c r="BZ23" s="23">
        <f>'QTR Raw'!AT12</f>
        <v>0</v>
      </c>
      <c r="CA23" s="23">
        <f>'QTR Raw'!AU12</f>
        <v>0</v>
      </c>
      <c r="CB23" s="23">
        <f>'QTR Raw'!AV12</f>
        <v>0</v>
      </c>
      <c r="CC23" s="23">
        <f>'QTR Raw'!AW12</f>
        <v>0</v>
      </c>
      <c r="CD23" s="23">
        <f>'QTR Raw'!AX12</f>
        <v>0</v>
      </c>
      <c r="CE23" s="23">
        <f>'QTR Raw'!AY12</f>
        <v>0</v>
      </c>
      <c r="CF23" s="23">
        <f>'QTR Raw'!AZ12</f>
        <v>0</v>
      </c>
      <c r="CG23" s="23">
        <f>'QTR Raw'!BA12</f>
        <v>0</v>
      </c>
      <c r="CH23" s="23">
        <f>'QTR Raw'!BB12</f>
        <v>0</v>
      </c>
      <c r="CI23" s="23">
        <f>'QTR Raw'!BC12</f>
        <v>0</v>
      </c>
      <c r="CJ23" s="23">
        <f>'QTR Raw'!BD12</f>
        <v>0</v>
      </c>
      <c r="CK23" s="23">
        <f>'QTR Raw'!BE12</f>
        <v>0</v>
      </c>
      <c r="CL23" s="23">
        <f>'QTR Raw'!BF12</f>
        <v>0</v>
      </c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E23" s="123"/>
      <c r="DF23" s="23">
        <v>0</v>
      </c>
    </row>
    <row r="24" spans="1:110" s="23" customFormat="1" outlineLevel="1" x14ac:dyDescent="0.2">
      <c r="A24" s="23" t="s">
        <v>4</v>
      </c>
      <c r="B24" s="23">
        <f>'Annual Raw'!C12</f>
        <v>0</v>
      </c>
      <c r="C24" s="23">
        <f>'Annual Raw'!D12</f>
        <v>0</v>
      </c>
      <c r="D24" s="23">
        <f>'Annual Raw'!E12</f>
        <v>0</v>
      </c>
      <c r="E24" s="23">
        <f>'Annual Raw'!F12</f>
        <v>0</v>
      </c>
      <c r="F24" s="23">
        <f>'Annual Raw'!G12</f>
        <v>0</v>
      </c>
      <c r="G24" s="23">
        <f>'Annual Raw'!H12</f>
        <v>0</v>
      </c>
      <c r="H24" s="23">
        <f>'Annual Raw'!I12</f>
        <v>0</v>
      </c>
      <c r="I24" s="23">
        <f>'Annual Raw'!J12</f>
        <v>0</v>
      </c>
      <c r="J24" s="23">
        <f>'Annual Raw'!K12</f>
        <v>0</v>
      </c>
      <c r="K24" s="23">
        <f>'Annual Raw'!L12</f>
        <v>0</v>
      </c>
      <c r="L24" s="23">
        <f>'Annual Raw'!M12</f>
        <v>0</v>
      </c>
      <c r="M24" s="23">
        <f>'Annual Raw'!N12</f>
        <v>0</v>
      </c>
      <c r="N24" s="23">
        <f>'Annual Raw'!O12</f>
        <v>0</v>
      </c>
      <c r="O24" s="23">
        <f>'Annual Raw'!P12</f>
        <v>0</v>
      </c>
      <c r="P24" s="23">
        <f>'Annual Raw'!Q12</f>
        <v>0</v>
      </c>
      <c r="Q24" s="23">
        <f>'Annual Raw'!R12</f>
        <v>0</v>
      </c>
      <c r="R24" s="23">
        <f>'Annual Raw'!S12</f>
        <v>94</v>
      </c>
      <c r="S24" s="23">
        <f>'Annual Raw'!T12</f>
        <v>85</v>
      </c>
      <c r="T24" s="23">
        <f>'Annual Raw'!U12</f>
        <v>40</v>
      </c>
      <c r="U24" s="23">
        <f>'Annual Raw'!V12</f>
        <v>18</v>
      </c>
      <c r="V24" s="23">
        <f>'Annual Raw'!W12</f>
        <v>15</v>
      </c>
      <c r="W24" s="23">
        <f>'Annual Raw'!X12</f>
        <v>26</v>
      </c>
      <c r="X24" s="23">
        <f>'Annual Raw'!Y12</f>
        <v>37</v>
      </c>
      <c r="Y24" s="23">
        <f>'Annual Raw'!Z12</f>
        <v>42</v>
      </c>
      <c r="Z24" s="23">
        <f>'Annual Raw'!AA12</f>
        <v>49</v>
      </c>
      <c r="AA24" s="23">
        <f>'Annual Raw'!AB12</f>
        <v>43</v>
      </c>
      <c r="AB24" s="24">
        <f>+SUM(CM24:CP24)</f>
        <v>5038.5153050297668</v>
      </c>
      <c r="AC24" s="24">
        <f>+SUM(CQ24:CT24)</f>
        <v>5373.1627977879398</v>
      </c>
      <c r="AD24" s="24">
        <f>+SUM(CU24:CX24)</f>
        <v>5664.1203627210343</v>
      </c>
      <c r="AE24" s="24">
        <f>+SUM(CY24:DB24)</f>
        <v>5958.5400652608078</v>
      </c>
      <c r="AI24" s="23">
        <f>'QTR Raw'!C11</f>
        <v>2890.44</v>
      </c>
      <c r="AJ24" s="23">
        <f>'QTR Raw'!D11</f>
        <v>3123.25</v>
      </c>
      <c r="AK24" s="23">
        <f>'QTR Raw'!E11</f>
        <v>3211.3</v>
      </c>
      <c r="AL24" s="23">
        <f>'QTR Raw'!F11</f>
        <v>3240.69</v>
      </c>
      <c r="AM24" s="23">
        <f>'QTR Raw'!G11</f>
        <v>3560.48</v>
      </c>
      <c r="AN24" s="23">
        <f>'QTR Raw'!H11</f>
        <v>4214.3599999999997</v>
      </c>
      <c r="AO24" s="23">
        <f>'QTR Raw'!I11</f>
        <v>4318.6899999999996</v>
      </c>
      <c r="AP24" s="23">
        <f>'QTR Raw'!J11</f>
        <v>4481.26</v>
      </c>
      <c r="AQ24" s="23">
        <f>'QTR Raw'!K11</f>
        <v>4614.53</v>
      </c>
      <c r="AR24" s="23">
        <f>'QTR Raw'!L11</f>
        <v>5029.8599999999997</v>
      </c>
      <c r="AS24" s="23">
        <f>'QTR Raw'!M11</f>
        <v>5029.3999999999996</v>
      </c>
      <c r="AT24" s="23">
        <f>'QTR Raw'!N11</f>
        <v>4910.37</v>
      </c>
      <c r="AU24" s="23">
        <f>'QTR Raw'!O11</f>
        <v>0</v>
      </c>
      <c r="AV24" s="23">
        <f>'QTR Raw'!P11</f>
        <v>0</v>
      </c>
      <c r="AW24" s="23">
        <f>'QTR Raw'!Q11</f>
        <v>0</v>
      </c>
      <c r="AX24" s="23">
        <f>'QTR Raw'!R11</f>
        <v>0</v>
      </c>
      <c r="AY24" s="23">
        <f>'QTR Raw'!S11</f>
        <v>0</v>
      </c>
      <c r="AZ24" s="23">
        <f>'QTR Raw'!T11</f>
        <v>0</v>
      </c>
      <c r="BA24" s="23">
        <f>'QTR Raw'!U11</f>
        <v>0</v>
      </c>
      <c r="BB24" s="23">
        <f>'QTR Raw'!V11</f>
        <v>705</v>
      </c>
      <c r="BC24" s="23">
        <f>'QTR Raw'!W11</f>
        <v>725</v>
      </c>
      <c r="BD24" s="23">
        <f>'QTR Raw'!X11</f>
        <v>693</v>
      </c>
      <c r="BE24" s="23">
        <f>'QTR Raw'!Y11</f>
        <v>749</v>
      </c>
      <c r="BF24" s="23">
        <f>'QTR Raw'!Z11</f>
        <v>533</v>
      </c>
      <c r="BG24" s="23">
        <f>'QTR Raw'!AA11</f>
        <v>613</v>
      </c>
      <c r="BH24" s="23">
        <f>'QTR Raw'!AB11</f>
        <v>522</v>
      </c>
      <c r="BI24" s="23">
        <f>'QTR Raw'!AC11</f>
        <v>540</v>
      </c>
      <c r="BJ24" s="23">
        <f>'QTR Raw'!AD11</f>
        <v>595</v>
      </c>
      <c r="BK24" s="23">
        <f>'QTR Raw'!AE11</f>
        <v>511</v>
      </c>
      <c r="BL24" s="23">
        <f>'QTR Raw'!AF11</f>
        <v>465</v>
      </c>
      <c r="BM24" s="23">
        <f>'QTR Raw'!AG11</f>
        <v>460</v>
      </c>
      <c r="BN24" s="23">
        <f>'QTR Raw'!AH11</f>
        <v>469</v>
      </c>
      <c r="BO24" s="23">
        <f>'QTR Raw'!AI11</f>
        <v>346</v>
      </c>
      <c r="BP24" s="23">
        <f>'QTR Raw'!AJ11</f>
        <v>266</v>
      </c>
      <c r="BQ24" s="23">
        <f>'QTR Raw'!AK11</f>
        <v>396</v>
      </c>
      <c r="BR24" s="23">
        <f>'QTR Raw'!AL11</f>
        <v>454</v>
      </c>
      <c r="BS24" s="23">
        <f>'QTR Raw'!AM11</f>
        <v>258</v>
      </c>
      <c r="BT24" s="23">
        <f>'QTR Raw'!AN11</f>
        <v>213</v>
      </c>
      <c r="BU24" s="23">
        <f>'QTR Raw'!AO11</f>
        <v>432</v>
      </c>
      <c r="BV24" s="23">
        <f>'QTR Raw'!AP11</f>
        <v>260</v>
      </c>
      <c r="BW24" s="23">
        <f>'QTR Raw'!AQ11</f>
        <v>217</v>
      </c>
      <c r="BX24" s="23">
        <f>'QTR Raw'!AR11</f>
        <v>401</v>
      </c>
      <c r="BY24" s="23">
        <f>'QTR Raw'!AS11</f>
        <v>643</v>
      </c>
      <c r="BZ24" s="23">
        <f>'QTR Raw'!AT11</f>
        <v>620</v>
      </c>
      <c r="CA24" s="23">
        <f>'QTR Raw'!AU11</f>
        <v>506</v>
      </c>
      <c r="CB24" s="23">
        <f>'QTR Raw'!AV11</f>
        <v>462</v>
      </c>
      <c r="CC24" s="23">
        <f>'QTR Raw'!AW11</f>
        <v>1173</v>
      </c>
      <c r="CD24" s="23">
        <f>'QTR Raw'!AX11</f>
        <v>1561</v>
      </c>
      <c r="CE24" s="23">
        <f>'QTR Raw'!AY11</f>
        <v>2151</v>
      </c>
      <c r="CF24" s="23">
        <f>'QTR Raw'!AZ11</f>
        <v>3230</v>
      </c>
      <c r="CG24" s="23">
        <f>'QTR Raw'!BA11</f>
        <v>3519</v>
      </c>
      <c r="CH24" s="23">
        <f>'QTR Raw'!BB11</f>
        <v>2748</v>
      </c>
      <c r="CI24" s="23">
        <f>'QTR Raw'!BC11</f>
        <v>726</v>
      </c>
      <c r="CJ24" s="23">
        <f>'QTR Raw'!BD11</f>
        <v>967</v>
      </c>
      <c r="CK24" s="23">
        <f>'QTR Raw'!BE11</f>
        <v>1262</v>
      </c>
      <c r="CL24" s="23">
        <f>'QTR Raw'!BF11</f>
        <v>1444</v>
      </c>
      <c r="CM24" s="24">
        <f t="shared" ref="CM24:DB24" si="82">+CM19-CM25</f>
        <v>1147.8411133527989</v>
      </c>
      <c r="CN24" s="24">
        <f t="shared" si="82"/>
        <v>1249.4887800522265</v>
      </c>
      <c r="CO24" s="24">
        <f t="shared" si="82"/>
        <v>1317.0327329408901</v>
      </c>
      <c r="CP24" s="24">
        <f t="shared" si="82"/>
        <v>1324.1526786838513</v>
      </c>
      <c r="CQ24" s="24">
        <f t="shared" si="82"/>
        <v>1299.0324907642644</v>
      </c>
      <c r="CR24" s="24">
        <f t="shared" si="82"/>
        <v>1338.7570949641668</v>
      </c>
      <c r="CS24" s="24">
        <f t="shared" si="82"/>
        <v>1361.9797945337195</v>
      </c>
      <c r="CT24" s="24">
        <f t="shared" si="82"/>
        <v>1373.3934175257891</v>
      </c>
      <c r="CU24" s="24">
        <f t="shared" si="82"/>
        <v>1385.9455156183249</v>
      </c>
      <c r="CV24" s="24">
        <f t="shared" si="82"/>
        <v>1408.5220187042141</v>
      </c>
      <c r="CW24" s="24">
        <f t="shared" si="82"/>
        <v>1426.5240196597879</v>
      </c>
      <c r="CX24" s="24">
        <f t="shared" si="82"/>
        <v>1443.1288087387074</v>
      </c>
      <c r="CY24" s="24">
        <f t="shared" si="82"/>
        <v>1461.108905123052</v>
      </c>
      <c r="CZ24" s="24">
        <f t="shared" si="82"/>
        <v>1480.5268026374688</v>
      </c>
      <c r="DA24" s="24">
        <f t="shared" si="82"/>
        <v>1499.0959050873498</v>
      </c>
      <c r="DB24" s="24">
        <f t="shared" si="82"/>
        <v>1517.8084524129372</v>
      </c>
      <c r="DE24" s="123"/>
      <c r="DF24" s="23">
        <v>1491.7204122484545</v>
      </c>
    </row>
    <row r="25" spans="1:110" s="31" customFormat="1" x14ac:dyDescent="0.2">
      <c r="A25" s="31" t="s">
        <v>5</v>
      </c>
      <c r="B25" s="31">
        <f t="shared" ref="B25:T25" si="83">B19-B22-B24-B23</f>
        <v>0</v>
      </c>
      <c r="C25" s="31">
        <f t="shared" si="83"/>
        <v>0</v>
      </c>
      <c r="D25" s="31">
        <f t="shared" si="83"/>
        <v>0</v>
      </c>
      <c r="E25" s="31">
        <f t="shared" si="83"/>
        <v>0</v>
      </c>
      <c r="F25" s="31">
        <f t="shared" si="83"/>
        <v>9748.4699999999993</v>
      </c>
      <c r="G25" s="31">
        <f t="shared" si="83"/>
        <v>13263.99</v>
      </c>
      <c r="H25" s="31">
        <f t="shared" si="83"/>
        <v>18685.210000000003</v>
      </c>
      <c r="I25" s="31">
        <f t="shared" si="83"/>
        <v>22619.519999999997</v>
      </c>
      <c r="J25" s="31">
        <f t="shared" si="83"/>
        <v>27812.879999999997</v>
      </c>
      <c r="K25" s="31">
        <f t="shared" si="83"/>
        <v>30028.920000000002</v>
      </c>
      <c r="L25" s="31">
        <f t="shared" si="83"/>
        <v>37324.51</v>
      </c>
      <c r="M25" s="31">
        <f t="shared" si="83"/>
        <v>48893.83</v>
      </c>
      <c r="N25" s="31">
        <f t="shared" si="83"/>
        <v>62989.48</v>
      </c>
      <c r="O25" s="31">
        <f t="shared" si="83"/>
        <v>81809.36</v>
      </c>
      <c r="P25" s="31">
        <f t="shared" si="83"/>
        <v>94648.41</v>
      </c>
      <c r="Q25" s="31">
        <f t="shared" si="83"/>
        <v>108646</v>
      </c>
      <c r="R25" s="31">
        <f t="shared" si="83"/>
        <v>117873</v>
      </c>
      <c r="S25" s="31">
        <f t="shared" si="83"/>
        <v>123018</v>
      </c>
      <c r="T25" s="31">
        <f t="shared" si="83"/>
        <v>146423</v>
      </c>
      <c r="U25" s="31">
        <f t="shared" ref="U25:Z25" si="84">U19-U22-U24-U23</f>
        <v>156932</v>
      </c>
      <c r="V25" s="31">
        <f t="shared" si="84"/>
        <v>164162</v>
      </c>
      <c r="W25" s="31">
        <f t="shared" si="84"/>
        <v>191728</v>
      </c>
      <c r="X25" s="31">
        <f t="shared" si="84"/>
        <v>225423</v>
      </c>
      <c r="Y25" s="31">
        <f t="shared" si="84"/>
        <v>240846</v>
      </c>
      <c r="Z25" s="31">
        <f t="shared" si="84"/>
        <v>255276</v>
      </c>
      <c r="AA25" s="31">
        <f t="shared" ref="AA25" si="85">AA19-AA22-AA24-AA23</f>
        <v>266980</v>
      </c>
      <c r="AB25" s="32">
        <f t="shared" ref="AA25:AD25" si="86">AB19-AB22-AB24-AB23</f>
        <v>281257.24099073</v>
      </c>
      <c r="AC25" s="32">
        <f t="shared" si="86"/>
        <v>295697.67168942839</v>
      </c>
      <c r="AD25" s="32">
        <f t="shared" si="86"/>
        <v>310944.30077359773</v>
      </c>
      <c r="AE25" s="32">
        <f t="shared" ref="AE25" si="87">AE19-AE22-AE24-AE23</f>
        <v>326989.32751933206</v>
      </c>
      <c r="AI25" s="31">
        <f t="shared" ref="AI25" si="88">AI19-AI22-AI24-AI23</f>
        <v>11884.519999999999</v>
      </c>
      <c r="AJ25" s="31">
        <f t="shared" ref="AJ25" si="89">AJ19-AJ22-AJ24-AJ23</f>
        <v>12497.5</v>
      </c>
      <c r="AK25" s="31">
        <f t="shared" ref="AK25:AM25" si="90">AK19-AK22-AK24-AK23</f>
        <v>12785.2</v>
      </c>
      <c r="AL25" s="31">
        <f t="shared" si="90"/>
        <v>13189.4</v>
      </c>
      <c r="AM25" s="31">
        <f t="shared" si="90"/>
        <v>14322.18</v>
      </c>
      <c r="AN25" s="31">
        <f t="shared" ref="AN25:AO25" si="91">AN19-AN22-AN24-AN23</f>
        <v>16385.54</v>
      </c>
      <c r="AO25" s="31">
        <f t="shared" si="91"/>
        <v>16975.27</v>
      </c>
      <c r="AP25" s="31">
        <f t="shared" ref="AP25:CD25" si="92">AP19-AP22-AP24-AP23</f>
        <v>17069.830000000002</v>
      </c>
      <c r="AQ25" s="31">
        <f t="shared" si="92"/>
        <v>17496.5</v>
      </c>
      <c r="AR25" s="31">
        <f t="shared" si="92"/>
        <v>18786.62</v>
      </c>
      <c r="AS25" s="31">
        <f t="shared" si="92"/>
        <v>19471.739999999998</v>
      </c>
      <c r="AT25" s="31">
        <f t="shared" si="92"/>
        <v>19309.39</v>
      </c>
      <c r="AU25" s="31">
        <f t="shared" si="92"/>
        <v>25668</v>
      </c>
      <c r="AV25" s="31">
        <f t="shared" si="92"/>
        <v>27165</v>
      </c>
      <c r="AW25" s="31">
        <f t="shared" si="92"/>
        <v>27364</v>
      </c>
      <c r="AX25" s="31">
        <f t="shared" si="92"/>
        <v>28449</v>
      </c>
      <c r="AY25" s="31">
        <f t="shared" si="92"/>
        <v>29305</v>
      </c>
      <c r="AZ25" s="31">
        <f t="shared" si="92"/>
        <v>29284</v>
      </c>
      <c r="BA25" s="31">
        <f t="shared" si="92"/>
        <v>29735</v>
      </c>
      <c r="BB25" s="31">
        <f t="shared" si="92"/>
        <v>28937</v>
      </c>
      <c r="BC25" s="31">
        <f t="shared" si="92"/>
        <v>28859</v>
      </c>
      <c r="BD25" s="31">
        <f t="shared" si="92"/>
        <v>29848</v>
      </c>
      <c r="BE25" s="31">
        <f t="shared" si="92"/>
        <v>30155</v>
      </c>
      <c r="BF25" s="31">
        <f t="shared" si="92"/>
        <v>31542</v>
      </c>
      <c r="BG25" s="31">
        <f t="shared" si="92"/>
        <v>33648</v>
      </c>
      <c r="BH25" s="31">
        <f t="shared" si="92"/>
        <v>36332</v>
      </c>
      <c r="BI25" s="31">
        <f t="shared" si="92"/>
        <v>36798</v>
      </c>
      <c r="BJ25" s="31">
        <f t="shared" si="92"/>
        <v>37415</v>
      </c>
      <c r="BK25" s="31">
        <f t="shared" si="92"/>
        <v>37661</v>
      </c>
      <c r="BL25" s="31">
        <f t="shared" si="92"/>
        <v>38512</v>
      </c>
      <c r="BM25" s="31">
        <f t="shared" si="92"/>
        <v>39394</v>
      </c>
      <c r="BN25" s="31">
        <f t="shared" si="92"/>
        <v>39477</v>
      </c>
      <c r="BO25" s="31">
        <f t="shared" si="92"/>
        <v>37976</v>
      </c>
      <c r="BP25" s="31">
        <f t="shared" si="92"/>
        <v>39869</v>
      </c>
      <c r="BQ25" s="31">
        <f t="shared" si="92"/>
        <v>41619</v>
      </c>
      <c r="BR25" s="31">
        <f t="shared" si="92"/>
        <v>43251</v>
      </c>
      <c r="BS25" s="31">
        <f t="shared" si="92"/>
        <v>45153</v>
      </c>
      <c r="BT25" s="31">
        <f t="shared" si="92"/>
        <v>46654</v>
      </c>
      <c r="BU25" s="31">
        <f t="shared" si="92"/>
        <v>48453</v>
      </c>
      <c r="BV25" s="31">
        <f t="shared" si="92"/>
        <v>50331</v>
      </c>
      <c r="BW25" s="31">
        <f t="shared" si="92"/>
        <v>52541</v>
      </c>
      <c r="BX25" s="31">
        <f t="shared" si="92"/>
        <v>54908</v>
      </c>
      <c r="BY25" s="31">
        <f t="shared" si="92"/>
        <v>57586</v>
      </c>
      <c r="BZ25" s="31">
        <f t="shared" si="92"/>
        <v>58542</v>
      </c>
      <c r="CA25" s="31">
        <f t="shared" si="92"/>
        <v>58875</v>
      </c>
      <c r="CB25" s="31">
        <f t="shared" si="92"/>
        <v>59230</v>
      </c>
      <c r="CC25" s="31">
        <f t="shared" si="92"/>
        <v>59410</v>
      </c>
      <c r="CD25" s="31">
        <f t="shared" si="92"/>
        <v>59676</v>
      </c>
      <c r="CE25" s="31">
        <f t="shared" ref="CE25:CF25" si="93">CE19-CE22-CE24-CE23</f>
        <v>60462</v>
      </c>
      <c r="CF25" s="31">
        <f t="shared" si="93"/>
        <v>61029</v>
      </c>
      <c r="CG25" s="31">
        <f t="shared" ref="CG25:CH25" si="94">CG19-CG22-CG24-CG23</f>
        <v>60454</v>
      </c>
      <c r="CH25" s="31">
        <f t="shared" si="94"/>
        <v>61731</v>
      </c>
      <c r="CI25" s="31">
        <f t="shared" ref="CI25:CJ25" si="95">CI19-CI22-CI24-CI23</f>
        <v>62711</v>
      </c>
      <c r="CJ25" s="31">
        <f t="shared" si="95"/>
        <v>64832</v>
      </c>
      <c r="CK25" s="31">
        <f t="shared" ref="CK25:CL25" si="96">CK19-CK22-CK24-CK23</f>
        <v>65825</v>
      </c>
      <c r="CL25" s="31">
        <f t="shared" si="96"/>
        <v>69254</v>
      </c>
      <c r="CM25" s="32">
        <f t="shared" ref="CM25:DB25" si="97">+CM26*CM19</f>
        <v>69081.209564535107</v>
      </c>
      <c r="CN25" s="32">
        <f t="shared" si="97"/>
        <v>69868.626997741478</v>
      </c>
      <c r="CO25" s="32">
        <f t="shared" si="97"/>
        <v>70701.403269870498</v>
      </c>
      <c r="CP25" s="32">
        <f t="shared" si="97"/>
        <v>71606.001158582891</v>
      </c>
      <c r="CQ25" s="32">
        <f t="shared" si="97"/>
        <v>72554.381078502367</v>
      </c>
      <c r="CR25" s="32">
        <f t="shared" si="97"/>
        <v>73449.604218570021</v>
      </c>
      <c r="CS25" s="32">
        <f t="shared" si="97"/>
        <v>74373.165239999027</v>
      </c>
      <c r="CT25" s="32">
        <f t="shared" si="97"/>
        <v>75320.521152356916</v>
      </c>
      <c r="CU25" s="32">
        <f t="shared" si="97"/>
        <v>76278.876138456355</v>
      </c>
      <c r="CV25" s="32">
        <f t="shared" si="97"/>
        <v>77239.49792377885</v>
      </c>
      <c r="CW25" s="32">
        <f t="shared" si="97"/>
        <v>78217.141016023597</v>
      </c>
      <c r="CX25" s="32">
        <f t="shared" si="97"/>
        <v>79208.785695338913</v>
      </c>
      <c r="CY25" s="32">
        <f t="shared" si="97"/>
        <v>80211.819007708182</v>
      </c>
      <c r="CZ25" s="32">
        <f t="shared" si="97"/>
        <v>81226.340044488403</v>
      </c>
      <c r="DA25" s="32">
        <f t="shared" si="97"/>
        <v>82254.799032644427</v>
      </c>
      <c r="DB25" s="32">
        <f t="shared" si="97"/>
        <v>83296.369434491018</v>
      </c>
      <c r="DE25" s="124"/>
      <c r="DF25" s="31">
        <v>66646.220899751555</v>
      </c>
    </row>
    <row r="26" spans="1:110" s="41" customFormat="1" x14ac:dyDescent="0.2">
      <c r="A26" s="41" t="s">
        <v>6</v>
      </c>
      <c r="B26" s="41" t="e">
        <f>B25/B19</f>
        <v>#DIV/0!</v>
      </c>
      <c r="C26" s="41" t="e">
        <f t="shared" ref="C26:U26" si="98">C25/C19</f>
        <v>#DIV/0!</v>
      </c>
      <c r="D26" s="41" t="e">
        <f t="shared" si="98"/>
        <v>#DIV/0!</v>
      </c>
      <c r="E26" s="41" t="e">
        <f t="shared" si="98"/>
        <v>#DIV/0!</v>
      </c>
      <c r="F26" s="41">
        <f t="shared" si="98"/>
        <v>1</v>
      </c>
      <c r="G26" s="41">
        <f t="shared" si="98"/>
        <v>1</v>
      </c>
      <c r="H26" s="41">
        <f t="shared" si="98"/>
        <v>1</v>
      </c>
      <c r="I26" s="41">
        <f t="shared" si="98"/>
        <v>1</v>
      </c>
      <c r="J26" s="41">
        <f t="shared" si="98"/>
        <v>1</v>
      </c>
      <c r="K26" s="41">
        <f t="shared" si="98"/>
        <v>1</v>
      </c>
      <c r="L26" s="41">
        <f t="shared" si="98"/>
        <v>1</v>
      </c>
      <c r="M26" s="41">
        <f t="shared" si="98"/>
        <v>1</v>
      </c>
      <c r="N26" s="41">
        <f t="shared" si="98"/>
        <v>1</v>
      </c>
      <c r="O26" s="41">
        <f t="shared" si="98"/>
        <v>1</v>
      </c>
      <c r="P26" s="41">
        <f t="shared" si="98"/>
        <v>1</v>
      </c>
      <c r="Q26" s="41">
        <f t="shared" si="98"/>
        <v>1</v>
      </c>
      <c r="R26" s="41">
        <f t="shared" si="98"/>
        <v>0.99921163725141138</v>
      </c>
      <c r="S26" s="41">
        <f t="shared" si="98"/>
        <v>0.99930140369118792</v>
      </c>
      <c r="T26" s="41">
        <f t="shared" si="98"/>
        <v>0.99972689348163013</v>
      </c>
      <c r="U26" s="41">
        <f t="shared" si="98"/>
        <v>0.99989168455995259</v>
      </c>
      <c r="V26" s="41">
        <f>V25/V19</f>
        <v>0.99990863519250561</v>
      </c>
      <c r="W26" s="41">
        <f>W25/W19</f>
        <v>0.99986440960814382</v>
      </c>
      <c r="X26" s="41">
        <f>X25/X19</f>
        <v>0.99984476044318671</v>
      </c>
      <c r="Y26" s="41">
        <f>Y25/Y19</f>
        <v>0.99980489262867744</v>
      </c>
      <c r="Z26" s="41">
        <f>Z25/Z19</f>
        <v>0.99981200357193212</v>
      </c>
      <c r="AA26" s="41">
        <f>AA25/AA19</f>
        <v>0.99984645402421535</v>
      </c>
      <c r="AB26" s="42">
        <f t="shared" ref="AA26:AD26" si="99">AB25/AB19</f>
        <v>0.98240101295869475</v>
      </c>
      <c r="AC26" s="42">
        <f t="shared" si="99"/>
        <v>0.98215316071070291</v>
      </c>
      <c r="AD26" s="42">
        <f t="shared" si="99"/>
        <v>0.98211001355430694</v>
      </c>
      <c r="AE26" s="42">
        <f t="shared" ref="AE26" si="100">AE25/AE19</f>
        <v>0.98210368455431862</v>
      </c>
      <c r="AI26" s="41">
        <f t="shared" ref="AI26" si="101">AI25/AI19</f>
        <v>0.80436901352017187</v>
      </c>
      <c r="AJ26" s="41">
        <f t="shared" ref="AJ26" si="102">AJ25/AJ19</f>
        <v>0.80005761567146261</v>
      </c>
      <c r="AK26" s="41">
        <f t="shared" ref="AK26:AM26" si="103">AK25/AK19</f>
        <v>0.79924983590160348</v>
      </c>
      <c r="AL26" s="41">
        <f t="shared" si="103"/>
        <v>0.80275884063933911</v>
      </c>
      <c r="AM26" s="41">
        <f t="shared" si="103"/>
        <v>0.80089762932360176</v>
      </c>
      <c r="AN26" s="41">
        <f t="shared" ref="AN26:AO26" si="104">AN25/AN19</f>
        <v>0.79541842436128329</v>
      </c>
      <c r="AO26" s="41">
        <f t="shared" si="104"/>
        <v>0.79718708967237661</v>
      </c>
      <c r="AP26" s="41">
        <f t="shared" ref="AP26:CD26" si="105">AP25/AP19</f>
        <v>0.79206341767400168</v>
      </c>
      <c r="AQ26" s="41">
        <f t="shared" si="105"/>
        <v>0.79130189774062998</v>
      </c>
      <c r="AR26" s="41">
        <f t="shared" si="105"/>
        <v>0.78880758197684964</v>
      </c>
      <c r="AS26" s="41">
        <f t="shared" si="105"/>
        <v>0.79472791878255455</v>
      </c>
      <c r="AT26" s="41">
        <f t="shared" si="105"/>
        <v>0.79725769371785682</v>
      </c>
      <c r="AU26" s="41">
        <f t="shared" si="105"/>
        <v>1</v>
      </c>
      <c r="AV26" s="41">
        <f t="shared" si="105"/>
        <v>1</v>
      </c>
      <c r="AW26" s="41">
        <f t="shared" si="105"/>
        <v>1</v>
      </c>
      <c r="AX26" s="41">
        <f t="shared" si="105"/>
        <v>1</v>
      </c>
      <c r="AY26" s="41">
        <f t="shared" si="105"/>
        <v>1</v>
      </c>
      <c r="AZ26" s="41">
        <f t="shared" si="105"/>
        <v>1</v>
      </c>
      <c r="BA26" s="41">
        <f t="shared" si="105"/>
        <v>1</v>
      </c>
      <c r="BB26" s="41">
        <f t="shared" si="105"/>
        <v>0.97621617974495645</v>
      </c>
      <c r="BC26" s="41">
        <f t="shared" si="105"/>
        <v>0.97549351000540829</v>
      </c>
      <c r="BD26" s="41">
        <f t="shared" si="105"/>
        <v>0.97730919092367641</v>
      </c>
      <c r="BE26" s="41">
        <f t="shared" si="105"/>
        <v>0.97576365519026664</v>
      </c>
      <c r="BF26" s="41">
        <f t="shared" si="105"/>
        <v>0.98338269680436474</v>
      </c>
      <c r="BG26" s="41">
        <f t="shared" si="105"/>
        <v>0.98210793613729896</v>
      </c>
      <c r="BH26" s="41">
        <f t="shared" si="105"/>
        <v>0.98583600151950945</v>
      </c>
      <c r="BI26" s="41">
        <f t="shared" si="105"/>
        <v>0.98553752209545231</v>
      </c>
      <c r="BJ26" s="41">
        <f t="shared" si="105"/>
        <v>0.98434622467771637</v>
      </c>
      <c r="BK26" s="41">
        <f t="shared" si="105"/>
        <v>0.98661322435292886</v>
      </c>
      <c r="BL26" s="41">
        <f t="shared" si="105"/>
        <v>0.98806988736947432</v>
      </c>
      <c r="BM26" s="41">
        <f t="shared" si="105"/>
        <v>0.98845787122998952</v>
      </c>
      <c r="BN26" s="41">
        <f t="shared" si="105"/>
        <v>0.98825914985230057</v>
      </c>
      <c r="BO26" s="41">
        <f t="shared" si="105"/>
        <v>0.99097124367204215</v>
      </c>
      <c r="BP26" s="41">
        <f t="shared" si="105"/>
        <v>0.99337236825713215</v>
      </c>
      <c r="BQ26" s="41">
        <f t="shared" si="105"/>
        <v>0.99057479471617282</v>
      </c>
      <c r="BR26" s="41">
        <f t="shared" si="105"/>
        <v>0.98961217252030664</v>
      </c>
      <c r="BS26" s="41">
        <f t="shared" si="105"/>
        <v>0.99431855717777629</v>
      </c>
      <c r="BT26" s="41">
        <f t="shared" si="105"/>
        <v>0.99545522435829048</v>
      </c>
      <c r="BU26" s="41">
        <f t="shared" si="105"/>
        <v>0.99116293341515804</v>
      </c>
      <c r="BV26" s="41">
        <f t="shared" si="105"/>
        <v>0.99486074598248697</v>
      </c>
      <c r="BW26" s="41">
        <f t="shared" si="105"/>
        <v>0.99588687971492473</v>
      </c>
      <c r="BX26" s="41">
        <f t="shared" si="105"/>
        <v>0.99274982371765896</v>
      </c>
      <c r="BY26" s="41">
        <f t="shared" si="105"/>
        <v>0.98895739236462932</v>
      </c>
      <c r="BZ26" s="41">
        <f t="shared" si="105"/>
        <v>0.98952030019269122</v>
      </c>
      <c r="CA26" s="41">
        <f t="shared" si="105"/>
        <v>0.99147875583098966</v>
      </c>
      <c r="CB26" s="41">
        <f t="shared" si="105"/>
        <v>0.99226026938283185</v>
      </c>
      <c r="CC26" s="41">
        <f t="shared" si="105"/>
        <v>0.98063813280953405</v>
      </c>
      <c r="CD26" s="41">
        <f t="shared" si="105"/>
        <v>0.97450887535313613</v>
      </c>
      <c r="CE26" s="41">
        <f t="shared" ref="CE26:CF26" si="106">CE25/CE19</f>
        <v>0.96564611182981175</v>
      </c>
      <c r="CF26" s="41">
        <f t="shared" si="106"/>
        <v>0.94973466751739055</v>
      </c>
      <c r="CG26" s="41">
        <f t="shared" ref="CG26:CH26" si="107">CG25/CG19</f>
        <v>0.9449924186766292</v>
      </c>
      <c r="CH26" s="41">
        <f t="shared" si="107"/>
        <v>0.95738147303773324</v>
      </c>
      <c r="CI26" s="41">
        <f t="shared" ref="CI26:CJ26" si="108">CI25/CI19</f>
        <v>0.98855557482226464</v>
      </c>
      <c r="CJ26" s="41">
        <f t="shared" si="108"/>
        <v>0.98530372802018262</v>
      </c>
      <c r="CK26" s="41">
        <f t="shared" ref="CK26:CL26" si="109">CK25/CK19</f>
        <v>0.98118860584017764</v>
      </c>
      <c r="CL26" s="41">
        <f t="shared" si="109"/>
        <v>0.97957509406206678</v>
      </c>
      <c r="CM26" s="42">
        <f t="shared" ref="CM26:DB26" si="110">AVERAGE(CI26:CL26)</f>
        <v>0.98365575068617284</v>
      </c>
      <c r="CN26" s="42">
        <f t="shared" si="110"/>
        <v>0.98243079465215</v>
      </c>
      <c r="CO26" s="42">
        <f t="shared" si="110"/>
        <v>0.98171256131014184</v>
      </c>
      <c r="CP26" s="42">
        <f t="shared" si="110"/>
        <v>0.98184355017763292</v>
      </c>
      <c r="CQ26" s="42">
        <f t="shared" si="110"/>
        <v>0.98241066420652434</v>
      </c>
      <c r="CR26" s="42">
        <f t="shared" si="110"/>
        <v>0.98209939258661227</v>
      </c>
      <c r="CS26" s="42">
        <f t="shared" si="110"/>
        <v>0.98201654207022782</v>
      </c>
      <c r="CT26" s="42">
        <f t="shared" si="110"/>
        <v>0.98209253726024937</v>
      </c>
      <c r="CU26" s="42">
        <f t="shared" si="110"/>
        <v>0.9821547840309035</v>
      </c>
      <c r="CV26" s="42">
        <f t="shared" si="110"/>
        <v>0.98209081398699816</v>
      </c>
      <c r="CW26" s="42">
        <f t="shared" si="110"/>
        <v>0.98208866933709471</v>
      </c>
      <c r="CX26" s="42">
        <f t="shared" si="110"/>
        <v>0.98210670115381149</v>
      </c>
      <c r="CY26" s="42">
        <f t="shared" si="110"/>
        <v>0.98211024212720188</v>
      </c>
      <c r="CZ26" s="42">
        <f t="shared" si="110"/>
        <v>0.98209910665127653</v>
      </c>
      <c r="DA26" s="42">
        <f t="shared" si="110"/>
        <v>0.98210117981734613</v>
      </c>
      <c r="DB26" s="42">
        <f t="shared" si="110"/>
        <v>0.98210430743740895</v>
      </c>
      <c r="DE26" s="125"/>
      <c r="DF26" s="41">
        <v>0.97810734543008948</v>
      </c>
    </row>
    <row r="27" spans="1:110" s="39" customFormat="1" x14ac:dyDescent="0.2">
      <c r="A27" s="39" t="s">
        <v>447</v>
      </c>
      <c r="C27" s="39" t="e">
        <f t="shared" ref="C27:AE27" si="111">+IF(B25&lt;0,1-C25/B25,C25/B25-1)</f>
        <v>#DIV/0!</v>
      </c>
      <c r="D27" s="39" t="e">
        <f t="shared" si="111"/>
        <v>#DIV/0!</v>
      </c>
      <c r="E27" s="39" t="e">
        <f t="shared" si="111"/>
        <v>#DIV/0!</v>
      </c>
      <c r="F27" s="39" t="e">
        <f t="shared" si="111"/>
        <v>#DIV/0!</v>
      </c>
      <c r="G27" s="39">
        <f t="shared" si="111"/>
        <v>0.36062274387673154</v>
      </c>
      <c r="H27" s="39">
        <f t="shared" si="111"/>
        <v>0.40871713564319667</v>
      </c>
      <c r="I27" s="39">
        <f t="shared" si="111"/>
        <v>0.21055744088506323</v>
      </c>
      <c r="J27" s="39">
        <f t="shared" si="111"/>
        <v>0.22959638400814875</v>
      </c>
      <c r="K27" s="39">
        <f t="shared" si="111"/>
        <v>7.9676754079404999E-2</v>
      </c>
      <c r="L27" s="39">
        <f t="shared" si="111"/>
        <v>0.24295212748244022</v>
      </c>
      <c r="M27" s="39">
        <f t="shared" si="111"/>
        <v>0.30996575708562557</v>
      </c>
      <c r="N27" s="39">
        <f t="shared" si="111"/>
        <v>0.28829097659152492</v>
      </c>
      <c r="O27" s="39">
        <f t="shared" si="111"/>
        <v>0.29877814517598811</v>
      </c>
      <c r="P27" s="39">
        <f t="shared" si="111"/>
        <v>0.156938643695538</v>
      </c>
      <c r="Q27" s="39">
        <f t="shared" si="111"/>
        <v>0.1478903871707935</v>
      </c>
      <c r="R27" s="39">
        <f t="shared" si="111"/>
        <v>8.4927194742558498E-2</v>
      </c>
      <c r="S27" s="39">
        <f t="shared" si="111"/>
        <v>4.3648672724033499E-2</v>
      </c>
      <c r="T27" s="39">
        <f t="shared" si="111"/>
        <v>0.19025671040010406</v>
      </c>
      <c r="U27" s="39">
        <f t="shared" si="111"/>
        <v>7.1771511306283786E-2</v>
      </c>
      <c r="V27" s="39">
        <f t="shared" si="111"/>
        <v>4.6070909693370465E-2</v>
      </c>
      <c r="W27" s="39">
        <f t="shared" si="111"/>
        <v>0.16791949415820961</v>
      </c>
      <c r="X27" s="39">
        <f t="shared" si="111"/>
        <v>0.17574376199616126</v>
      </c>
      <c r="Y27" s="39">
        <f t="shared" si="111"/>
        <v>6.841804075005653E-2</v>
      </c>
      <c r="Z27" s="39">
        <f t="shared" si="111"/>
        <v>5.9913803841458835E-2</v>
      </c>
      <c r="AA27" s="39">
        <f t="shared" si="111"/>
        <v>4.5848415048809876E-2</v>
      </c>
      <c r="AB27" s="40">
        <f t="shared" si="111"/>
        <v>5.3476818453554564E-2</v>
      </c>
      <c r="AC27" s="40">
        <f t="shared" si="111"/>
        <v>5.1342431746225881E-2</v>
      </c>
      <c r="AD27" s="40">
        <f t="shared" si="111"/>
        <v>5.1561545943394904E-2</v>
      </c>
      <c r="AE27" s="40">
        <f t="shared" si="111"/>
        <v>5.1600967458853342E-2</v>
      </c>
      <c r="AM27" s="39">
        <f>+IF(AI25&lt;0,1-AM25/AI25,AM25/AI25-1)</f>
        <v>0.20511219636973155</v>
      </c>
      <c r="AN27" s="39">
        <f t="shared" ref="AN27" si="112">+IF(AJ25&lt;0,1-AN25/AJ25,AN25/AJ25-1)</f>
        <v>0.31110542108421702</v>
      </c>
      <c r="AO27" s="39">
        <f t="shared" ref="AO27" si="113">+IF(AK25&lt;0,1-AO25/AK25,AO25/AK25-1)</f>
        <v>0.32772815442855796</v>
      </c>
      <c r="AP27" s="39">
        <f t="shared" ref="AP27" si="114">+IF(AL25&lt;0,1-AP25/AL25,AP25/AL25-1)</f>
        <v>0.29420822781930966</v>
      </c>
      <c r="AQ27" s="39">
        <f t="shared" ref="AQ27" si="115">+IF(AM25&lt;0,1-AQ25/AM25,AQ25/AM25-1)</f>
        <v>0.22163665028647861</v>
      </c>
      <c r="AR27" s="39">
        <f t="shared" ref="AR27" si="116">+IF(AN25&lt;0,1-AR25/AN25,AR25/AN25-1)</f>
        <v>0.14653651939453916</v>
      </c>
      <c r="AS27" s="39">
        <f t="shared" ref="AS27" si="117">+IF(AO25&lt;0,1-AS25/AO25,AS25/AO25-1)</f>
        <v>0.1470651129554934</v>
      </c>
      <c r="AT27" s="39">
        <f t="shared" ref="AT27" si="118">+IF(AP25&lt;0,1-AT25/AP25,AT25/AP25-1)</f>
        <v>0.13119990064341569</v>
      </c>
      <c r="AU27" s="39">
        <f t="shared" ref="AU27" si="119">+IF(AQ25&lt;0,1-AU25/AQ25,AU25/AQ25-1)</f>
        <v>0.4670362643957362</v>
      </c>
      <c r="AV27" s="39">
        <f t="shared" ref="AV27" si="120">+IF(AR25&lt;0,1-AV25/AR25,AV25/AR25-1)</f>
        <v>0.44597591264421177</v>
      </c>
      <c r="AW27" s="39">
        <f t="shared" ref="AW27" si="121">+IF(AS25&lt;0,1-AW25/AS25,AW25/AS25-1)</f>
        <v>0.40531868235709823</v>
      </c>
      <c r="AX27" s="39">
        <f t="shared" ref="AX27" si="122">+IF(AT25&lt;0,1-AX25/AT25,AX25/AT25-1)</f>
        <v>0.47332463635567978</v>
      </c>
      <c r="AY27" s="39">
        <f t="shared" ref="AY27" si="123">+IF(AU25&lt;0,1-AY25/AU25,AY25/AU25-1)</f>
        <v>0.14169393797724794</v>
      </c>
      <c r="AZ27" s="39">
        <f t="shared" ref="AZ27" si="124">+IF(AV25&lt;0,1-AZ25/AV25,AZ25/AV25-1)</f>
        <v>7.8004785569666835E-2</v>
      </c>
      <c r="BA27" s="39">
        <f t="shared" ref="BA27" si="125">+IF(AW25&lt;0,1-BA25/AW25,BA25/AW25-1)</f>
        <v>8.6646689080543737E-2</v>
      </c>
      <c r="BB27" s="39">
        <f t="shared" ref="BB27" si="126">+IF(AX25&lt;0,1-BB25/AX25,BB25/AX25-1)</f>
        <v>1.7153502759323702E-2</v>
      </c>
      <c r="BC27" s="39">
        <f t="shared" ref="BC27" si="127">+IF(AY25&lt;0,1-BC25/AY25,BC25/AY25-1)</f>
        <v>-1.5219245862480801E-2</v>
      </c>
      <c r="BD27" s="39">
        <f t="shared" ref="BD27" si="128">+IF(AZ25&lt;0,1-BD25/AZ25,BD25/AZ25-1)</f>
        <v>1.9259663980330632E-2</v>
      </c>
      <c r="BE27" s="39">
        <f t="shared" ref="BE27" si="129">+IF(BA25&lt;0,1-BE25/BA25,BE25/BA25-1)</f>
        <v>1.4124768790987119E-2</v>
      </c>
      <c r="BF27" s="39">
        <f t="shared" ref="BF27" si="130">+IF(BB25&lt;0,1-BF25/BB25,BF25/BB25-1)</f>
        <v>9.0023153747796902E-2</v>
      </c>
      <c r="BG27" s="39">
        <f t="shared" ref="BG27" si="131">+IF(BC25&lt;0,1-BG25/BC25,BG25/BC25-1)</f>
        <v>0.16594476593090546</v>
      </c>
      <c r="BH27" s="39">
        <f t="shared" ref="BH27" si="132">+IF(BD25&lt;0,1-BH25/BD25,BH25/BD25-1)</f>
        <v>0.2172339855266685</v>
      </c>
      <c r="BI27" s="39">
        <f t="shared" ref="BI27" si="133">+IF(BE25&lt;0,1-BI25/BE25,BI25/BE25-1)</f>
        <v>0.22029514176753451</v>
      </c>
      <c r="BJ27" s="39">
        <f t="shared" ref="BJ27" si="134">+IF(BF25&lt;0,1-BJ25/BF25,BJ25/BF25-1)</f>
        <v>0.18619618286728801</v>
      </c>
      <c r="BK27" s="39">
        <f t="shared" ref="BK27" si="135">+IF(BG25&lt;0,1-BK25/BG25,BK25/BG25-1)</f>
        <v>0.11926414645744177</v>
      </c>
      <c r="BL27" s="39">
        <f t="shared" ref="BL27" si="136">+IF(BH25&lt;0,1-BL25/BH25,BL25/BH25-1)</f>
        <v>6.000220191566652E-2</v>
      </c>
      <c r="BM27" s="39">
        <f t="shared" ref="BM27" si="137">+IF(BI25&lt;0,1-BM25/BI25,BM25/BI25-1)</f>
        <v>7.054731235393219E-2</v>
      </c>
      <c r="BN27" s="39">
        <f t="shared" ref="BN27" si="138">+IF(BJ25&lt;0,1-BN25/BJ25,BN25/BJ25-1)</f>
        <v>5.5111586262194256E-2</v>
      </c>
      <c r="BO27" s="39">
        <f t="shared" ref="BO27" si="139">+IF(BK25&lt;0,1-BO25/BK25,BO25/BK25-1)</f>
        <v>8.3640901728578854E-3</v>
      </c>
      <c r="BP27" s="39">
        <f t="shared" ref="BP27" si="140">+IF(BL25&lt;0,1-BP25/BL25,BP25/BL25-1)</f>
        <v>3.5235770668882394E-2</v>
      </c>
      <c r="BQ27" s="39">
        <f t="shared" ref="BQ27" si="141">+IF(BM25&lt;0,1-BQ25/BM25,BQ25/BM25-1)</f>
        <v>5.6480682337411769E-2</v>
      </c>
      <c r="BR27" s="39">
        <f t="shared" ref="BR27" si="142">+IF(BN25&lt;0,1-BR25/BN25,BR25/BN25-1)</f>
        <v>9.5599969602553347E-2</v>
      </c>
      <c r="BS27" s="39">
        <f t="shared" ref="BS27" si="143">+IF(BO25&lt;0,1-BS25/BO25,BS25/BO25-1)</f>
        <v>0.18898778175689901</v>
      </c>
      <c r="BT27" s="39">
        <f t="shared" ref="BT27" si="144">+IF(BP25&lt;0,1-BT25/BP25,BT25/BP25-1)</f>
        <v>0.17018234718703762</v>
      </c>
      <c r="BU27" s="39">
        <f t="shared" ref="BU27" si="145">+IF(BQ25&lt;0,1-BU25/BQ25,BU25/BQ25-1)</f>
        <v>0.16420384920348874</v>
      </c>
      <c r="BV27" s="39">
        <f t="shared" ref="BV27" si="146">+IF(BR25&lt;0,1-BV25/BR25,BV25/BR25-1)</f>
        <v>0.16369563709509616</v>
      </c>
      <c r="BW27" s="39">
        <f t="shared" ref="BW27" si="147">+IF(BS25&lt;0,1-BW25/BS25,BW25/BS25-1)</f>
        <v>0.16362146479746631</v>
      </c>
      <c r="BX27" s="39">
        <f t="shared" ref="BX27" si="148">+IF(BT25&lt;0,1-BX25/BT25,BX25/BT25-1)</f>
        <v>0.17691944956488181</v>
      </c>
      <c r="BY27" s="39">
        <f t="shared" ref="BY27" si="149">+IF(BU25&lt;0,1-BY25/BU25,BY25/BU25-1)</f>
        <v>0.18849194064351016</v>
      </c>
      <c r="BZ27" s="39">
        <f t="shared" ref="BZ27" si="150">+IF(BV25&lt;0,1-BZ25/BV25,BZ25/BV25-1)</f>
        <v>0.1631400131131906</v>
      </c>
      <c r="CA27" s="39">
        <f t="shared" ref="CA27" si="151">+IF(BW25&lt;0,1-CA25/BW25,CA25/BW25-1)</f>
        <v>0.12055347252621762</v>
      </c>
      <c r="CB27" s="39">
        <f t="shared" ref="CB27" si="152">+IF(BX25&lt;0,1-CB25/BX25,CB25/BX25-1)</f>
        <v>7.871348437386172E-2</v>
      </c>
      <c r="CC27" s="39">
        <f t="shared" ref="CC27" si="153">+IF(BY25&lt;0,1-CC25/BY25,CC25/BY25-1)</f>
        <v>3.1674365297120755E-2</v>
      </c>
      <c r="CD27" s="39">
        <f t="shared" ref="CD27" si="154">+IF(BZ25&lt;0,1-CD25/BZ25,CD25/BZ25-1)</f>
        <v>1.9370708209490717E-2</v>
      </c>
      <c r="CE27" s="39">
        <f t="shared" ref="CE27" si="155">+IF(CA25&lt;0,1-CE25/CA25,CE25/CA25-1)</f>
        <v>2.6955414012738821E-2</v>
      </c>
      <c r="CF27" s="39">
        <f t="shared" ref="CF27" si="156">+IF(CB25&lt;0,1-CF25/CB25,CF25/CB25-1)</f>
        <v>3.0373121728853647E-2</v>
      </c>
      <c r="CG27" s="39">
        <f t="shared" ref="CG27" si="157">+IF(CC25&lt;0,1-CG25/CC25,CG25/CC25-1)</f>
        <v>1.7572799192055122E-2</v>
      </c>
      <c r="CH27" s="39">
        <f t="shared" ref="CH27:CL27" si="158">+IF(CD25&lt;0,1-CH25/CD25,CH25/CD25-1)</f>
        <v>3.4435954152423065E-2</v>
      </c>
      <c r="CI27" s="39">
        <f t="shared" si="158"/>
        <v>3.7196917071879776E-2</v>
      </c>
      <c r="CJ27" s="39">
        <f t="shared" si="158"/>
        <v>6.2314637303577003E-2</v>
      </c>
      <c r="CK27" s="39">
        <f t="shared" si="158"/>
        <v>8.8844410626261361E-2</v>
      </c>
      <c r="CL27" s="39">
        <f t="shared" si="158"/>
        <v>0.12186745719330649</v>
      </c>
      <c r="CM27" s="40">
        <f t="shared" ref="CM27" si="159">+CM25/CI25-1</f>
        <v>0.10158041754293667</v>
      </c>
      <c r="CN27" s="40">
        <f t="shared" ref="CN27" si="160">+CN25/CJ25-1</f>
        <v>7.7687361144827882E-2</v>
      </c>
      <c r="CO27" s="40">
        <f t="shared" ref="CO27" si="161">+CO25/CK25-1</f>
        <v>7.4081325786107044E-2</v>
      </c>
      <c r="CP27" s="40">
        <f t="shared" ref="CP27" si="162">+CP25/CL25-1</f>
        <v>3.3961953946095358E-2</v>
      </c>
      <c r="CQ27" s="40">
        <f t="shared" ref="CQ27" si="163">+CQ25/CM25-1</f>
        <v>5.0276645933980735E-2</v>
      </c>
      <c r="CR27" s="40">
        <f t="shared" ref="CR27" si="164">+CR25/CN25-1</f>
        <v>5.1253006888832831E-2</v>
      </c>
      <c r="CS27" s="40">
        <f t="shared" ref="CS27" si="165">+CS25/CO25-1</f>
        <v>5.1933367660515151E-2</v>
      </c>
      <c r="CT27" s="40">
        <f t="shared" ref="CT27" si="166">+CT25/CP25-1</f>
        <v>5.1874423004681258E-2</v>
      </c>
      <c r="CU27" s="40">
        <f t="shared" ref="CU27" si="167">+CU25/CQ25-1</f>
        <v>5.1333840969908673E-2</v>
      </c>
      <c r="CV27" s="40">
        <f t="shared" ref="CV27" si="168">+CV25/CR25-1</f>
        <v>5.1598558569913244E-2</v>
      </c>
      <c r="CW27" s="40">
        <f t="shared" ref="CW27" si="169">+CW25/CS25-1</f>
        <v>5.1684982931951673E-2</v>
      </c>
      <c r="CX27" s="40">
        <f t="shared" ref="CX27" si="170">+CX25/CT25-1</f>
        <v>5.1622910775097841E-2</v>
      </c>
      <c r="CY27" s="40">
        <f t="shared" ref="CY27" si="171">+CY25/CU25-1</f>
        <v>5.1560052643054188E-2</v>
      </c>
      <c r="CZ27" s="40">
        <f t="shared" ref="CZ27" si="172">+CZ25/CV25-1</f>
        <v>5.1616623979661602E-2</v>
      </c>
      <c r="DA27" s="40">
        <f t="shared" ref="DA27" si="173">+DA25/CW25-1</f>
        <v>5.1621140381411745E-2</v>
      </c>
      <c r="DB27" s="40">
        <f t="shared" ref="DB27" si="174">+DB25/CX25-1</f>
        <v>5.1605181208991047E-2</v>
      </c>
      <c r="DE27" s="122"/>
      <c r="DF27" s="39">
        <v>7.9623218476155611E-2</v>
      </c>
    </row>
    <row r="28" spans="1:110" s="39" customFormat="1" x14ac:dyDescent="0.2">
      <c r="A28" s="39" t="s">
        <v>448</v>
      </c>
      <c r="AB28" s="40"/>
      <c r="AC28" s="40"/>
      <c r="AD28" s="40"/>
      <c r="AE28" s="40"/>
      <c r="AJ28" s="39">
        <f>+IF(AI25&lt;0,1-AJ25/AI25,AJ25/AI25-1)</f>
        <v>5.1578019137499931E-2</v>
      </c>
      <c r="AK28" s="39">
        <f t="shared" ref="AK28" si="175">+IF(AJ25&lt;0,1-AK25/AJ25,AK25/AJ25-1)</f>
        <v>2.3020604120824295E-2</v>
      </c>
      <c r="AL28" s="39">
        <f t="shared" ref="AL28" si="176">+IF(AK25&lt;0,1-AL25/AK25,AL25/AK25-1)</f>
        <v>3.1614679473140672E-2</v>
      </c>
      <c r="AM28" s="39">
        <f t="shared" ref="AM28" si="177">+IF(AL25&lt;0,1-AM25/AL25,AM25/AL25-1)</f>
        <v>8.5885635434515661E-2</v>
      </c>
      <c r="AN28" s="39">
        <f t="shared" ref="AN28" si="178">+IF(AM25&lt;0,1-AN25/AM25,AN25/AM25-1)</f>
        <v>0.14406745341840432</v>
      </c>
      <c r="AO28" s="39">
        <f t="shared" ref="AO28" si="179">+IF(AN25&lt;0,1-AO25/AN25,AO25/AN25-1)</f>
        <v>3.5990879763498684E-2</v>
      </c>
      <c r="AP28" s="39">
        <f t="shared" ref="AP28" si="180">+IF(AO25&lt;0,1-AP25/AO25,AP25/AO25-1)</f>
        <v>5.5704563167480181E-3</v>
      </c>
      <c r="AQ28" s="39">
        <f t="shared" ref="AQ28" si="181">+IF(AP25&lt;0,1-AQ25/AP25,AQ25/AP25-1)</f>
        <v>2.4995562345963451E-2</v>
      </c>
      <c r="AR28" s="39">
        <f t="shared" ref="AR28" si="182">+IF(AQ25&lt;0,1-AR25/AQ25,AR25/AQ25-1)</f>
        <v>7.3735890035149909E-2</v>
      </c>
      <c r="AS28" s="39">
        <f t="shared" ref="AS28" si="183">+IF(AR25&lt;0,1-AS25/AR25,AS25/AR25-1)</f>
        <v>3.6468507906158631E-2</v>
      </c>
      <c r="AT28" s="39">
        <f t="shared" ref="AT28" si="184">+IF(AS25&lt;0,1-AT25/AS25,AT25/AS25-1)</f>
        <v>-8.3377243122596534E-3</v>
      </c>
      <c r="AU28" s="39">
        <f t="shared" ref="AU28" si="185">+IF(AT25&lt;0,1-AU25/AT25,AU25/AT25-1)</f>
        <v>0.32930144349459001</v>
      </c>
      <c r="AV28" s="39">
        <f t="shared" ref="AV28" si="186">+IF(AU25&lt;0,1-AV25/AU25,AV25/AU25-1)</f>
        <v>5.8321645628798491E-2</v>
      </c>
      <c r="AW28" s="39">
        <f t="shared" ref="AW28" si="187">+IF(AV25&lt;0,1-AW25/AV25,AW25/AV25-1)</f>
        <v>7.3256027977175453E-3</v>
      </c>
      <c r="AX28" s="39">
        <f t="shared" ref="AX28" si="188">+IF(AW25&lt;0,1-AX25/AW25,AX25/AW25-1)</f>
        <v>3.9650635871948614E-2</v>
      </c>
      <c r="AY28" s="39">
        <f t="shared" ref="AY28" si="189">+IF(AX25&lt;0,1-AY25/AX25,AY25/AX25-1)</f>
        <v>3.0088931069633285E-2</v>
      </c>
      <c r="AZ28" s="39">
        <f t="shared" ref="AZ28" si="190">+IF(AY25&lt;0,1-AZ25/AY25,AZ25/AY25-1)</f>
        <v>-7.1660126258321633E-4</v>
      </c>
      <c r="BA28" s="39">
        <f t="shared" ref="BA28" si="191">+IF(AZ25&lt;0,1-BA25/AZ25,BA25/AZ25-1)</f>
        <v>1.5400901516186227E-2</v>
      </c>
      <c r="BB28" s="39">
        <f t="shared" ref="BB28" si="192">+IF(BA25&lt;0,1-BB25/BA25,BB25/BA25-1)</f>
        <v>-2.6837060702875393E-2</v>
      </c>
      <c r="BC28" s="39">
        <f t="shared" ref="BC28" si="193">+IF(BB25&lt;0,1-BC25/BB25,BC25/BB25-1)</f>
        <v>-2.6955109375540465E-3</v>
      </c>
      <c r="BD28" s="39">
        <f t="shared" ref="BD28" si="194">+IF(BC25&lt;0,1-BD25/BC25,BD25/BC25-1)</f>
        <v>3.4270071728057072E-2</v>
      </c>
      <c r="BE28" s="39">
        <f t="shared" ref="BE28" si="195">+IF(BD25&lt;0,1-BE25/BD25,BE25/BD25-1)</f>
        <v>1.0285446261055986E-2</v>
      </c>
      <c r="BF28" s="39">
        <f t="shared" ref="BF28" si="196">+IF(BE25&lt;0,1-BF25/BE25,BF25/BE25-1)</f>
        <v>4.5995688940474233E-2</v>
      </c>
      <c r="BG28" s="39">
        <f t="shared" ref="BG28" si="197">+IF(BF25&lt;0,1-BG25/BF25,BG25/BF25-1)</f>
        <v>6.6768118698877776E-2</v>
      </c>
      <c r="BH28" s="39">
        <f t="shared" ref="BH28" si="198">+IF(BG25&lt;0,1-BH25/BG25,BH25/BG25-1)</f>
        <v>7.9766999524488735E-2</v>
      </c>
      <c r="BI28" s="39">
        <f t="shared" ref="BI28" si="199">+IF(BH25&lt;0,1-BI25/BH25,BI25/BH25-1)</f>
        <v>1.2826158758119544E-2</v>
      </c>
      <c r="BJ28" s="39">
        <f t="shared" ref="BJ28" si="200">+IF(BI25&lt;0,1-BJ25/BI25,BJ25/BI25-1)</f>
        <v>1.6767215609543973E-2</v>
      </c>
      <c r="BK28" s="39">
        <f t="shared" ref="BK28" si="201">+IF(BJ25&lt;0,1-BK25/BJ25,BK25/BJ25-1)</f>
        <v>6.5749031137245506E-3</v>
      </c>
      <c r="BL28" s="39">
        <f t="shared" ref="BL28" si="202">+IF(BK25&lt;0,1-BL25/BK25,BL25/BK25-1)</f>
        <v>2.2596319800323839E-2</v>
      </c>
      <c r="BM28" s="39">
        <f t="shared" ref="BM28" si="203">+IF(BL25&lt;0,1-BM25/BL25,BM25/BL25-1)</f>
        <v>2.2901952638138656E-2</v>
      </c>
      <c r="BN28" s="39">
        <f t="shared" ref="BN28" si="204">+IF(BM25&lt;0,1-BN25/BM25,BN25/BM25-1)</f>
        <v>2.1069198355079255E-3</v>
      </c>
      <c r="BO28" s="39">
        <f t="shared" ref="BO28" si="205">+IF(BN25&lt;0,1-BO25/BN25,BO25/BN25-1)</f>
        <v>-3.8022139473617544E-2</v>
      </c>
      <c r="BP28" s="39">
        <f t="shared" ref="BP28" si="206">+IF(BO25&lt;0,1-BP25/BO25,BP25/BO25-1)</f>
        <v>4.9847271961238615E-2</v>
      </c>
      <c r="BQ28" s="39">
        <f t="shared" ref="BQ28" si="207">+IF(BP25&lt;0,1-BQ25/BP25,BQ25/BP25-1)</f>
        <v>4.3893752037924116E-2</v>
      </c>
      <c r="BR28" s="39">
        <f t="shared" ref="BR28" si="208">+IF(BQ25&lt;0,1-BR25/BQ25,BR25/BQ25-1)</f>
        <v>3.921285951128084E-2</v>
      </c>
      <c r="BS28" s="39">
        <f t="shared" ref="BS28" si="209">+IF(BR25&lt;0,1-BS25/BR25,BS25/BR25-1)</f>
        <v>4.3975861829784302E-2</v>
      </c>
      <c r="BT28" s="39">
        <f t="shared" ref="BT28" si="210">+IF(BS25&lt;0,1-BT25/BS25,BT25/BS25-1)</f>
        <v>3.3242530950324367E-2</v>
      </c>
      <c r="BU28" s="39">
        <f t="shared" ref="BU28" si="211">+IF(BT25&lt;0,1-BU25/BT25,BU25/BT25-1)</f>
        <v>3.8560466412311811E-2</v>
      </c>
      <c r="BV28" s="39">
        <f t="shared" ref="BV28" si="212">+IF(BU25&lt;0,1-BV25/BU25,BV25/BU25-1)</f>
        <v>3.8759209956039875E-2</v>
      </c>
      <c r="BW28" s="39">
        <f t="shared" ref="BW28" si="213">+IF(BV25&lt;0,1-BW25/BV25,BW25/BV25-1)</f>
        <v>4.3909320299616583E-2</v>
      </c>
      <c r="BX28" s="39">
        <f t="shared" ref="BX28" si="214">+IF(BW25&lt;0,1-BX25/BW25,BX25/BW25-1)</f>
        <v>4.5050531965512564E-2</v>
      </c>
      <c r="BY28" s="39">
        <f t="shared" ref="BY28" si="215">+IF(BX25&lt;0,1-BY25/BX25,BY25/BX25-1)</f>
        <v>4.8772492168718484E-2</v>
      </c>
      <c r="BZ28" s="39">
        <f t="shared" ref="BZ28" si="216">+IF(BY25&lt;0,1-BZ25/BY25,BZ25/BY25-1)</f>
        <v>1.6601257250026036E-2</v>
      </c>
      <c r="CA28" s="39">
        <f t="shared" ref="CA28" si="217">+IF(BZ25&lt;0,1-CA25/BZ25,CA25/BZ25-1)</f>
        <v>5.6882238392947926E-3</v>
      </c>
      <c r="CB28" s="39">
        <f t="shared" ref="CB28" si="218">+IF(CA25&lt;0,1-CB25/CA25,CB25/CA25-1)</f>
        <v>6.0297239915074741E-3</v>
      </c>
      <c r="CC28" s="39">
        <f t="shared" ref="CC28" si="219">+IF(CB25&lt;0,1-CC25/CB25,CC25/CB25-1)</f>
        <v>3.039000506500189E-3</v>
      </c>
      <c r="CD28" s="39">
        <f t="shared" ref="CD28" si="220">+IF(CC25&lt;0,1-CD25/CC25,CD25/CC25-1)</f>
        <v>4.4773607136845417E-3</v>
      </c>
      <c r="CE28" s="39">
        <f t="shared" ref="CE28" si="221">+IF(CD25&lt;0,1-CE25/CD25,CE25/CD25-1)</f>
        <v>1.3171124069977891E-2</v>
      </c>
      <c r="CF28" s="39">
        <f t="shared" ref="CF28" si="222">+IF(CE25&lt;0,1-CF25/CE25,CF25/CE25-1)</f>
        <v>9.3777910092289751E-3</v>
      </c>
      <c r="CG28" s="39">
        <f t="shared" ref="CG28" si="223">+IF(CF25&lt;0,1-CG25/CF25,CG25/CF25-1)</f>
        <v>-9.4217503154238047E-3</v>
      </c>
      <c r="CH28" s="39">
        <f t="shared" ref="CH28:CL28" si="224">+IF(CG25&lt;0,1-CH25/CG25,CH25/CG25-1)</f>
        <v>2.1123498858636403E-2</v>
      </c>
      <c r="CI28" s="39">
        <f t="shared" si="224"/>
        <v>1.5875330061071447E-2</v>
      </c>
      <c r="CJ28" s="39">
        <f t="shared" si="224"/>
        <v>3.3821817543971511E-2</v>
      </c>
      <c r="CK28" s="39">
        <f t="shared" si="224"/>
        <v>1.5316510365251723E-2</v>
      </c>
      <c r="CL28" s="39">
        <f t="shared" si="224"/>
        <v>5.2092669958222482E-2</v>
      </c>
      <c r="CM28" s="40">
        <f t="shared" ref="CM28" si="225">+CM25/CL25-1</f>
        <v>-2.495024626229414E-3</v>
      </c>
      <c r="CN28" s="40">
        <f t="shared" ref="CN28" si="226">+CN25/CM25-1</f>
        <v>1.1398431471741466E-2</v>
      </c>
      <c r="CO28" s="40">
        <f t="shared" ref="CO28" si="227">+CO25/CN25-1</f>
        <v>1.1919173281535134E-2</v>
      </c>
      <c r="CP28" s="40">
        <f t="shared" ref="CP28" si="228">+CP25/CO25-1</f>
        <v>1.2794624248962938E-2</v>
      </c>
      <c r="CQ28" s="40">
        <f t="shared" ref="CQ28" si="229">+CQ25/CP25-1</f>
        <v>1.3244419525943574E-2</v>
      </c>
      <c r="CR28" s="40">
        <f t="shared" ref="CR28" si="230">+CR25/CQ25-1</f>
        <v>1.2338650357985204E-2</v>
      </c>
      <c r="CS28" s="40">
        <f t="shared" ref="CS28" si="231">+CS25/CR25-1</f>
        <v>1.2574077576792408E-2</v>
      </c>
      <c r="CT28" s="40">
        <f t="shared" ref="CT28" si="232">+CT25/CS25-1</f>
        <v>1.273787271660165E-2</v>
      </c>
      <c r="CU28" s="40">
        <f t="shared" ref="CU28" si="233">+CU25/CT25-1</f>
        <v>1.2723690322865577E-2</v>
      </c>
      <c r="CV28" s="40">
        <f t="shared" ref="CV28" si="234">+CV25/CU25-1</f>
        <v>1.2593549275409233E-2</v>
      </c>
      <c r="CW28" s="40">
        <f t="shared" ref="CW28" si="235">+CW25/CV25-1</f>
        <v>1.2657294758822824E-2</v>
      </c>
      <c r="CX28" s="40">
        <f t="shared" ref="CX28" si="236">+CX25/CW25-1</f>
        <v>1.2678099281488331E-2</v>
      </c>
      <c r="CY28" s="40">
        <f t="shared" ref="CY28" si="237">+CY25/CX25-1</f>
        <v>1.2663157294535932E-2</v>
      </c>
      <c r="CZ28" s="40">
        <f t="shared" ref="CZ28" si="238">+CZ25/CY25-1</f>
        <v>1.2648024310266903E-2</v>
      </c>
      <c r="DA28" s="40">
        <f t="shared" ref="DA28" si="239">+DA25/CZ25-1</f>
        <v>1.2661643841058501E-2</v>
      </c>
      <c r="DB28" s="40">
        <f t="shared" ref="DB28" si="240">+DB25/DA25-1</f>
        <v>1.2662731100141933E-2</v>
      </c>
      <c r="DE28" s="122"/>
      <c r="DF28" s="39">
        <v>1.2475820733027776E-2</v>
      </c>
    </row>
    <row r="29" spans="1:110" s="23" customFormat="1" outlineLevel="1" x14ac:dyDescent="0.2">
      <c r="A29" s="23" t="s">
        <v>8</v>
      </c>
      <c r="B29" s="23">
        <f>'Annual Raw'!C14</f>
        <v>0</v>
      </c>
      <c r="C29" s="23">
        <f>'Annual Raw'!D14</f>
        <v>0</v>
      </c>
      <c r="D29" s="23">
        <f>'Annual Raw'!E14</f>
        <v>0</v>
      </c>
      <c r="E29" s="23">
        <f>'Annual Raw'!F14</f>
        <v>0</v>
      </c>
      <c r="F29" s="23">
        <f>'Annual Raw'!G14</f>
        <v>2382.86</v>
      </c>
      <c r="G29" s="23">
        <f>'Annual Raw'!H14</f>
        <v>4715.1000000000004</v>
      </c>
      <c r="H29" s="23">
        <f>'Annual Raw'!I14</f>
        <v>8995.98</v>
      </c>
      <c r="I29" s="23">
        <f>'Annual Raw'!J14</f>
        <v>11399.97</v>
      </c>
      <c r="J29" s="23">
        <f>'Annual Raw'!K14</f>
        <v>14470.4</v>
      </c>
      <c r="K29" s="23">
        <f>'Annual Raw'!L14</f>
        <v>15065.75</v>
      </c>
      <c r="L29" s="23">
        <f>'Annual Raw'!M14</f>
        <v>18805.7</v>
      </c>
      <c r="M29" s="23">
        <f>'Annual Raw'!N14</f>
        <v>24683.35</v>
      </c>
      <c r="N29" s="23">
        <f>'Annual Raw'!O14</f>
        <v>31921.86</v>
      </c>
      <c r="O29" s="23">
        <f>'Annual Raw'!P14</f>
        <v>40486.300000000003</v>
      </c>
      <c r="P29" s="23">
        <f>'Annual Raw'!Q14</f>
        <v>50924.35</v>
      </c>
      <c r="Q29" s="23">
        <f>'Annual Raw'!R14</f>
        <v>55348</v>
      </c>
      <c r="R29" s="23">
        <f>'Annual Raw'!S14</f>
        <v>61621</v>
      </c>
      <c r="S29" s="23">
        <f>'Annual Raw'!T14</f>
        <v>66383</v>
      </c>
      <c r="T29" s="23">
        <f>'Annual Raw'!U14</f>
        <v>78246</v>
      </c>
      <c r="U29" s="23">
        <f>'Annual Raw'!V14</f>
        <v>85952</v>
      </c>
      <c r="V29" s="23">
        <f>'Annual Raw'!W14</f>
        <v>91804</v>
      </c>
      <c r="W29" s="23">
        <f>'Annual Raw'!X14</f>
        <v>107542</v>
      </c>
      <c r="X29" s="23">
        <f>'Annual Raw'!Y14</f>
        <v>127509</v>
      </c>
      <c r="Y29" s="23">
        <f>'Annual Raw'!Z14</f>
        <v>140116</v>
      </c>
      <c r="Z29" s="23">
        <f>'Annual Raw'!AA14</f>
        <v>145776</v>
      </c>
      <c r="AA29" s="23">
        <f>'Annual Raw'!AB14</f>
        <v>154979</v>
      </c>
      <c r="AB29" s="76">
        <f t="shared" ref="AB29:AB34" si="241">+SUM(CM29:CP29)</f>
        <v>165843.58000000002</v>
      </c>
      <c r="AC29" s="76">
        <f t="shared" ref="AC29:AC34" si="242">+SUM(CQ29:CT29)</f>
        <v>177452.63060000003</v>
      </c>
      <c r="AD29" s="76">
        <f t="shared" ref="AD29:AD34" si="243">+SUM(CU29:CX29)</f>
        <v>189874.31474200005</v>
      </c>
      <c r="AE29" s="76">
        <f t="shared" ref="AE29:AE34" si="244">+SUM(CY29:DB29)</f>
        <v>203165.51677394006</v>
      </c>
      <c r="AI29" s="23">
        <f>'QTR Raw'!C16</f>
        <v>5706.61</v>
      </c>
      <c r="AJ29" s="23">
        <f>'QTR Raw'!D16</f>
        <v>5946.59</v>
      </c>
      <c r="AK29" s="23">
        <f>'QTR Raw'!E16</f>
        <v>6141.89</v>
      </c>
      <c r="AL29" s="23">
        <f>'QTR Raw'!F16</f>
        <v>6244.86</v>
      </c>
      <c r="AM29" s="23">
        <f>'QTR Raw'!G16</f>
        <v>6965.25</v>
      </c>
      <c r="AN29" s="23">
        <f>'QTR Raw'!H16</f>
        <v>7609.56</v>
      </c>
      <c r="AO29" s="23">
        <f>'QTR Raw'!I16</f>
        <v>7703.72</v>
      </c>
      <c r="AP29" s="23">
        <f>'QTR Raw'!J16</f>
        <v>7581.48</v>
      </c>
      <c r="AQ29" s="23">
        <f>'QTR Raw'!K16</f>
        <v>8532.11</v>
      </c>
      <c r="AR29" s="23">
        <f>'QTR Raw'!L16</f>
        <v>9056.1200000000008</v>
      </c>
      <c r="AS29" s="23">
        <f>'QTR Raw'!M16</f>
        <v>9335.98</v>
      </c>
      <c r="AT29" s="23">
        <f>'QTR Raw'!N16</f>
        <v>11776.94</v>
      </c>
      <c r="AU29" s="23">
        <f>'QTR Raw'!O16</f>
        <v>13291</v>
      </c>
      <c r="AV29" s="23">
        <f>'QTR Raw'!P16</f>
        <v>13623</v>
      </c>
      <c r="AW29" s="23">
        <f>'QTR Raw'!Q16</f>
        <v>14011</v>
      </c>
      <c r="AX29" s="23">
        <f>'QTR Raw'!R16</f>
        <v>14423</v>
      </c>
      <c r="AY29" s="23">
        <f>'QTR Raw'!S16</f>
        <v>15374</v>
      </c>
      <c r="AZ29" s="23">
        <f>'QTR Raw'!T16</f>
        <v>15280</v>
      </c>
      <c r="BA29" s="23">
        <f>'QTR Raw'!U16</f>
        <v>15275</v>
      </c>
      <c r="BB29" s="23">
        <f>'QTR Raw'!V16</f>
        <v>15692</v>
      </c>
      <c r="BC29" s="23">
        <f>'QTR Raw'!W16</f>
        <v>16183</v>
      </c>
      <c r="BD29" s="23">
        <f>'QTR Raw'!X16</f>
        <v>16572</v>
      </c>
      <c r="BE29" s="23">
        <f>'QTR Raw'!Y16</f>
        <v>16458</v>
      </c>
      <c r="BF29" s="23">
        <f>'QTR Raw'!Z16</f>
        <v>17183</v>
      </c>
      <c r="BG29" s="23">
        <f>'QTR Raw'!AA16</f>
        <v>18548</v>
      </c>
      <c r="BH29" s="23">
        <f>'QTR Raw'!AB16</f>
        <v>19525</v>
      </c>
      <c r="BI29" s="23">
        <f>'QTR Raw'!AC16</f>
        <v>19994</v>
      </c>
      <c r="BJ29" s="23">
        <f>'QTR Raw'!AD16</f>
        <v>20179</v>
      </c>
      <c r="BK29" s="23">
        <f>'QTR Raw'!AE16</f>
        <v>20809</v>
      </c>
      <c r="BL29" s="23">
        <f>'QTR Raw'!AF16</f>
        <v>21470</v>
      </c>
      <c r="BM29" s="23">
        <f>'QTR Raw'!AG16</f>
        <v>21622</v>
      </c>
      <c r="BN29" s="23">
        <f>'QTR Raw'!AH16</f>
        <v>22051</v>
      </c>
      <c r="BO29" s="23">
        <f>'QTR Raw'!AI16</f>
        <v>22093</v>
      </c>
      <c r="BP29" s="23">
        <f>'QTR Raw'!AJ16</f>
        <v>22665</v>
      </c>
      <c r="BQ29" s="23">
        <f>'QTR Raw'!AK16</f>
        <v>23431</v>
      </c>
      <c r="BR29" s="23">
        <f>'QTR Raw'!AL16</f>
        <v>23625</v>
      </c>
      <c r="BS29" s="23">
        <f>'QTR Raw'!AM16</f>
        <v>25649</v>
      </c>
      <c r="BT29" s="23">
        <f>'QTR Raw'!AN16</f>
        <v>26384</v>
      </c>
      <c r="BU29" s="23">
        <f>'QTR Raw'!AO16</f>
        <v>27168</v>
      </c>
      <c r="BV29" s="23">
        <f>'QTR Raw'!AP16</f>
        <v>28353</v>
      </c>
      <c r="BW29" s="23">
        <f>'QTR Raw'!AQ16</f>
        <v>30327</v>
      </c>
      <c r="BX29" s="23">
        <f>'QTR Raw'!AR16</f>
        <v>31041</v>
      </c>
      <c r="BY29" s="23">
        <f>'QTR Raw'!AS16</f>
        <v>32467</v>
      </c>
      <c r="BZ29" s="23">
        <f>'QTR Raw'!AT16</f>
        <v>33687</v>
      </c>
      <c r="CA29" s="23">
        <f>'QTR Raw'!AU16</f>
        <v>35148</v>
      </c>
      <c r="CB29" s="23">
        <f>'QTR Raw'!AV16</f>
        <v>35123</v>
      </c>
      <c r="CC29" s="23">
        <f>'QTR Raw'!AW16</f>
        <v>34722</v>
      </c>
      <c r="CD29" s="23">
        <f>'QTR Raw'!AX16</f>
        <v>35138</v>
      </c>
      <c r="CE29" s="23">
        <f>'QTR Raw'!AY16</f>
        <v>36416</v>
      </c>
      <c r="CF29" s="23">
        <f>'QTR Raw'!AZ16</f>
        <v>36654</v>
      </c>
      <c r="CG29" s="23">
        <f>'QTR Raw'!BA16</f>
        <v>35956</v>
      </c>
      <c r="CH29" s="23">
        <f>'QTR Raw'!BB16</f>
        <v>36762</v>
      </c>
      <c r="CI29" s="23">
        <f>'QTR Raw'!BC16</f>
        <v>37715</v>
      </c>
      <c r="CJ29" s="23">
        <f>'QTR Raw'!BD16</f>
        <v>38606</v>
      </c>
      <c r="CK29" s="23">
        <f>'QTR Raw'!BE16</f>
        <v>38530</v>
      </c>
      <c r="CL29" s="23">
        <f>'QTR Raw'!BF16</f>
        <v>40143</v>
      </c>
      <c r="CM29" s="24">
        <f t="shared" ref="CM29:DB29" si="245">CI29*107%</f>
        <v>40355.050000000003</v>
      </c>
      <c r="CN29" s="24">
        <f t="shared" si="245"/>
        <v>41308.420000000006</v>
      </c>
      <c r="CO29" s="24">
        <f t="shared" si="245"/>
        <v>41227.100000000006</v>
      </c>
      <c r="CP29" s="24">
        <f t="shared" si="245"/>
        <v>42953.01</v>
      </c>
      <c r="CQ29" s="24">
        <f t="shared" si="245"/>
        <v>43179.903500000008</v>
      </c>
      <c r="CR29" s="24">
        <f t="shared" si="245"/>
        <v>44200.00940000001</v>
      </c>
      <c r="CS29" s="24">
        <f t="shared" si="245"/>
        <v>44112.99700000001</v>
      </c>
      <c r="CT29" s="24">
        <f t="shared" si="245"/>
        <v>45959.720700000005</v>
      </c>
      <c r="CU29" s="24">
        <f t="shared" si="245"/>
        <v>46202.496745000011</v>
      </c>
      <c r="CV29" s="24">
        <f t="shared" si="245"/>
        <v>47294.010058000014</v>
      </c>
      <c r="CW29" s="24">
        <f t="shared" si="245"/>
        <v>47200.906790000015</v>
      </c>
      <c r="CX29" s="24">
        <f t="shared" si="245"/>
        <v>49176.901149000012</v>
      </c>
      <c r="CY29" s="24">
        <f t="shared" si="245"/>
        <v>49436.671517150018</v>
      </c>
      <c r="CZ29" s="24">
        <f t="shared" si="245"/>
        <v>50604.590762060019</v>
      </c>
      <c r="DA29" s="24">
        <f t="shared" si="245"/>
        <v>50504.97026530002</v>
      </c>
      <c r="DB29" s="24">
        <f t="shared" si="245"/>
        <v>52619.284229430014</v>
      </c>
      <c r="DE29" s="123"/>
      <c r="DF29" s="23">
        <v>39335.340000000004</v>
      </c>
    </row>
    <row r="30" spans="1:110" s="23" customFormat="1" outlineLevel="1" x14ac:dyDescent="0.2">
      <c r="A30" s="23" t="s">
        <v>10</v>
      </c>
      <c r="B30" s="23">
        <f>'Annual Raw'!C17</f>
        <v>0</v>
      </c>
      <c r="C30" s="23">
        <f>'Annual Raw'!D17</f>
        <v>0</v>
      </c>
      <c r="D30" s="23">
        <f>'Annual Raw'!E17</f>
        <v>0</v>
      </c>
      <c r="E30" s="23">
        <f>'Annual Raw'!F17</f>
        <v>0.01</v>
      </c>
      <c r="F30" s="23">
        <f>'Annual Raw'!G17</f>
        <v>626.04</v>
      </c>
      <c r="G30" s="23">
        <f>'Annual Raw'!H17</f>
        <v>849.24</v>
      </c>
      <c r="H30" s="23">
        <f>'Annual Raw'!I17</f>
        <v>1235.3699999999999</v>
      </c>
      <c r="I30" s="23">
        <f>'Annual Raw'!J17</f>
        <v>1532.66</v>
      </c>
      <c r="J30" s="23">
        <f>'Annual Raw'!K17</f>
        <v>1945.4</v>
      </c>
      <c r="K30" s="23">
        <f>'Annual Raw'!L17</f>
        <v>1852.96</v>
      </c>
      <c r="L30" s="23">
        <f>'Annual Raw'!M17</f>
        <v>2162.29</v>
      </c>
      <c r="M30" s="23">
        <f>'Annual Raw'!N17</f>
        <v>2831.48</v>
      </c>
      <c r="N30" s="23">
        <f>'Annual Raw'!O17</f>
        <v>3477.14</v>
      </c>
      <c r="O30" s="23">
        <f>'Annual Raw'!P17</f>
        <v>4278.5200000000004</v>
      </c>
      <c r="P30" s="23">
        <f>'Annual Raw'!Q17</f>
        <v>4842.25</v>
      </c>
      <c r="Q30" s="23">
        <f>'Annual Raw'!R17</f>
        <v>16509</v>
      </c>
      <c r="R30" s="23">
        <f>'Annual Raw'!S17</f>
        <v>17416</v>
      </c>
      <c r="S30" s="23">
        <f>'Annual Raw'!T17</f>
        <v>17361</v>
      </c>
      <c r="T30" s="23">
        <f>'Annual Raw'!U17</f>
        <v>21772</v>
      </c>
      <c r="U30" s="23">
        <f>'Annual Raw'!V17</f>
        <v>24137</v>
      </c>
      <c r="V30" s="23">
        <f>'Annual Raw'!W17</f>
        <v>22033</v>
      </c>
      <c r="W30" s="23">
        <f>'Annual Raw'!X17</f>
        <v>27718</v>
      </c>
      <c r="X30" s="23">
        <f>'Annual Raw'!Y17</f>
        <v>30526</v>
      </c>
      <c r="Y30" s="23">
        <f>'Annual Raw'!Z17</f>
        <v>25548</v>
      </c>
      <c r="Z30" s="23">
        <f>'Annual Raw'!AA17</f>
        <v>22572</v>
      </c>
      <c r="AA30" s="23">
        <f>'Annual Raw'!AB17</f>
        <v>26572</v>
      </c>
      <c r="AB30" s="76">
        <f t="shared" si="241"/>
        <v>0</v>
      </c>
      <c r="AC30" s="76">
        <f t="shared" si="242"/>
        <v>0</v>
      </c>
      <c r="AD30" s="76">
        <f t="shared" si="243"/>
        <v>0</v>
      </c>
      <c r="AE30" s="76">
        <f t="shared" si="244"/>
        <v>0</v>
      </c>
      <c r="AI30" s="23">
        <f>'QTR Raw'!C17</f>
        <v>0</v>
      </c>
      <c r="AJ30" s="23">
        <f>'QTR Raw'!D17</f>
        <v>0</v>
      </c>
      <c r="AK30" s="23">
        <f>'QTR Raw'!E17</f>
        <v>0</v>
      </c>
      <c r="AL30" s="23">
        <f>'QTR Raw'!F17</f>
        <v>0</v>
      </c>
      <c r="AM30" s="23">
        <f>'QTR Raw'!G17</f>
        <v>0</v>
      </c>
      <c r="AN30" s="23">
        <f>'QTR Raw'!H17</f>
        <v>0</v>
      </c>
      <c r="AO30" s="23">
        <f>'QTR Raw'!I17</f>
        <v>0</v>
      </c>
      <c r="AP30" s="23">
        <f>'QTR Raw'!J17</f>
        <v>0</v>
      </c>
      <c r="AQ30" s="23">
        <f>'QTR Raw'!K17</f>
        <v>0</v>
      </c>
      <c r="AR30" s="23">
        <f>'QTR Raw'!L17</f>
        <v>0</v>
      </c>
      <c r="AS30" s="23">
        <f>'QTR Raw'!M17</f>
        <v>0</v>
      </c>
      <c r="AT30" s="23">
        <f>'QTR Raw'!N17</f>
        <v>0</v>
      </c>
      <c r="AU30" s="23">
        <f>'QTR Raw'!O17</f>
        <v>0</v>
      </c>
      <c r="AV30" s="23">
        <f>'QTR Raw'!P17</f>
        <v>0</v>
      </c>
      <c r="AW30" s="23">
        <f>'QTR Raw'!Q17</f>
        <v>0</v>
      </c>
      <c r="AX30" s="23">
        <f>'QTR Raw'!R17</f>
        <v>0</v>
      </c>
      <c r="AY30" s="23">
        <f>'QTR Raw'!S17</f>
        <v>0</v>
      </c>
      <c r="AZ30" s="23">
        <f>'QTR Raw'!T17</f>
        <v>0</v>
      </c>
      <c r="BA30" s="23">
        <f>'QTR Raw'!U17</f>
        <v>0</v>
      </c>
      <c r="BB30" s="23">
        <f>'QTR Raw'!V17</f>
        <v>0</v>
      </c>
      <c r="BC30" s="23">
        <f>'QTR Raw'!W17</f>
        <v>0</v>
      </c>
      <c r="BD30" s="23">
        <f>'QTR Raw'!X17</f>
        <v>0</v>
      </c>
      <c r="BE30" s="23">
        <f>'QTR Raw'!Y17</f>
        <v>0</v>
      </c>
      <c r="BF30" s="23">
        <f>'QTR Raw'!Z17</f>
        <v>0</v>
      </c>
      <c r="BG30" s="23">
        <f>'QTR Raw'!AA17</f>
        <v>0</v>
      </c>
      <c r="BH30" s="23">
        <f>'QTR Raw'!AB17</f>
        <v>0</v>
      </c>
      <c r="BI30" s="23">
        <f>'QTR Raw'!AC17</f>
        <v>0</v>
      </c>
      <c r="BJ30" s="23">
        <f>'QTR Raw'!AD17</f>
        <v>0</v>
      </c>
      <c r="BK30" s="23">
        <f>'QTR Raw'!AE17</f>
        <v>0</v>
      </c>
      <c r="BL30" s="23">
        <f>'QTR Raw'!AF17</f>
        <v>0</v>
      </c>
      <c r="BM30" s="23">
        <f>'QTR Raw'!AG17</f>
        <v>0</v>
      </c>
      <c r="BN30" s="23">
        <f>'QTR Raw'!AH17</f>
        <v>0</v>
      </c>
      <c r="BO30" s="23">
        <f>'QTR Raw'!AI17</f>
        <v>0</v>
      </c>
      <c r="BP30" s="23">
        <f>'QTR Raw'!AJ17</f>
        <v>0</v>
      </c>
      <c r="BQ30" s="23">
        <f>'QTR Raw'!AK17</f>
        <v>0</v>
      </c>
      <c r="BR30" s="23">
        <f>'QTR Raw'!AL17</f>
        <v>0</v>
      </c>
      <c r="BS30" s="23">
        <f>'QTR Raw'!AM17</f>
        <v>0</v>
      </c>
      <c r="BT30" s="23">
        <f>'QTR Raw'!AN17</f>
        <v>0</v>
      </c>
      <c r="BU30" s="23">
        <f>'QTR Raw'!AO17</f>
        <v>0</v>
      </c>
      <c r="BV30" s="23">
        <f>'QTR Raw'!AP17</f>
        <v>0</v>
      </c>
      <c r="BW30" s="23">
        <f>'QTR Raw'!AQ17</f>
        <v>0</v>
      </c>
      <c r="BX30" s="23">
        <f>'QTR Raw'!AR17</f>
        <v>0</v>
      </c>
      <c r="BY30" s="23">
        <f>'QTR Raw'!AS17</f>
        <v>0</v>
      </c>
      <c r="BZ30" s="23">
        <f>'QTR Raw'!AT17</f>
        <v>0</v>
      </c>
      <c r="CA30" s="23">
        <f>'QTR Raw'!AU17</f>
        <v>0</v>
      </c>
      <c r="CB30" s="23">
        <f>'QTR Raw'!AV17</f>
        <v>0</v>
      </c>
      <c r="CC30" s="23">
        <f>'QTR Raw'!AW17</f>
        <v>0</v>
      </c>
      <c r="CD30" s="23">
        <f>'QTR Raw'!AX17</f>
        <v>0</v>
      </c>
      <c r="CE30" s="23">
        <f>'QTR Raw'!AY17</f>
        <v>0</v>
      </c>
      <c r="CF30" s="23">
        <f>'QTR Raw'!AZ17</f>
        <v>0</v>
      </c>
      <c r="CG30" s="23">
        <f>'QTR Raw'!BA17</f>
        <v>0</v>
      </c>
      <c r="CH30" s="23">
        <f>'QTR Raw'!BB17</f>
        <v>0</v>
      </c>
      <c r="CI30" s="23">
        <f>'QTR Raw'!BC17</f>
        <v>0</v>
      </c>
      <c r="CJ30" s="23">
        <f>'QTR Raw'!BD17</f>
        <v>0</v>
      </c>
      <c r="CK30" s="23">
        <f>'QTR Raw'!BE17</f>
        <v>0</v>
      </c>
      <c r="CL30" s="23">
        <f>'QTR Raw'!BF17</f>
        <v>0</v>
      </c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E30" s="123"/>
      <c r="DF30" s="23">
        <v>0</v>
      </c>
    </row>
    <row r="31" spans="1:110" s="23" customFormat="1" outlineLevel="1" x14ac:dyDescent="0.2">
      <c r="A31" s="23" t="s">
        <v>12</v>
      </c>
      <c r="B31" s="23">
        <f>'Annual Raw'!C19-'Annual Raw'!C20</f>
        <v>0</v>
      </c>
      <c r="C31" s="23">
        <f>'Annual Raw'!D19-'Annual Raw'!D20</f>
        <v>0</v>
      </c>
      <c r="D31" s="23">
        <f>'Annual Raw'!E19-'Annual Raw'!E20</f>
        <v>0</v>
      </c>
      <c r="E31" s="23">
        <f>'Annual Raw'!F19-'Annual Raw'!F20</f>
        <v>0</v>
      </c>
      <c r="F31" s="23">
        <f>'Annual Raw'!G19-'Annual Raw'!G20</f>
        <v>78.87</v>
      </c>
      <c r="G31" s="23">
        <f>'Annual Raw'!H19-'Annual Raw'!H20</f>
        <v>123.73</v>
      </c>
      <c r="H31" s="23">
        <f>'Annual Raw'!I19-'Annual Raw'!I20</f>
        <v>38.6</v>
      </c>
      <c r="I31" s="23">
        <f>'Annual Raw'!J19-'Annual Raw'!J20</f>
        <v>48.74</v>
      </c>
      <c r="J31" s="23">
        <f>'Annual Raw'!K19-'Annual Raw'!K20</f>
        <v>889.62</v>
      </c>
      <c r="K31" s="23">
        <f>'Annual Raw'!L19-'Annual Raw'!L20</f>
        <v>414.89</v>
      </c>
      <c r="L31" s="23">
        <f>'Annual Raw'!M19-'Annual Raw'!M20</f>
        <v>68.739999999999995</v>
      </c>
      <c r="M31" s="23">
        <f>'Annual Raw'!N19-'Annual Raw'!N20</f>
        <v>499.16</v>
      </c>
      <c r="N31" s="23">
        <f>'Annual Raw'!O19-'Annual Raw'!O20</f>
        <v>55.88</v>
      </c>
      <c r="O31" s="23">
        <f>'Annual Raw'!P19-'Annual Raw'!P20</f>
        <v>101.13</v>
      </c>
      <c r="P31" s="23">
        <f>'Annual Raw'!Q19-'Annual Raw'!Q20</f>
        <v>179.13</v>
      </c>
      <c r="Q31" s="23">
        <f>'Annual Raw'!R19-'Annual Raw'!R20</f>
        <v>135</v>
      </c>
      <c r="R31" s="23">
        <f>'Annual Raw'!S19-'Annual Raw'!S20</f>
        <v>125</v>
      </c>
      <c r="S31" s="23">
        <f>'Annual Raw'!T19-'Annual Raw'!T20</f>
        <v>206</v>
      </c>
      <c r="T31" s="23">
        <f>'Annual Raw'!U19-'Annual Raw'!U20</f>
        <v>407</v>
      </c>
      <c r="U31" s="23">
        <f>'Annual Raw'!V19-'Annual Raw'!V20</f>
        <v>144</v>
      </c>
      <c r="V31" s="23">
        <f>'Annual Raw'!W19-'Annual Raw'!W20</f>
        <v>201</v>
      </c>
      <c r="W31" s="23">
        <f>'Annual Raw'!X19-'Annual Raw'!X20</f>
        <v>144</v>
      </c>
      <c r="X31" s="23">
        <f>'Annual Raw'!Y19-'Annual Raw'!Y20</f>
        <v>301</v>
      </c>
      <c r="Y31" s="23">
        <f>'Annual Raw'!Z19-'Annual Raw'!Z20</f>
        <v>114</v>
      </c>
      <c r="Z31" s="23">
        <f>'Annual Raw'!AA19-'Annual Raw'!AA20</f>
        <v>128</v>
      </c>
      <c r="AA31" s="23">
        <f>'Annual Raw'!AB19-'Annual Raw'!AB20</f>
        <v>795</v>
      </c>
      <c r="AB31" s="76">
        <f t="shared" si="241"/>
        <v>0</v>
      </c>
      <c r="AC31" s="76">
        <f t="shared" si="242"/>
        <v>0</v>
      </c>
      <c r="AD31" s="76">
        <f t="shared" si="243"/>
        <v>0</v>
      </c>
      <c r="AE31" s="76">
        <f t="shared" si="244"/>
        <v>0</v>
      </c>
      <c r="AI31" s="23">
        <f>+'QTR Raw'!C21</f>
        <v>0</v>
      </c>
      <c r="AJ31" s="23">
        <f>+'QTR Raw'!D21</f>
        <v>0</v>
      </c>
      <c r="AK31" s="23">
        <f>+'QTR Raw'!E21</f>
        <v>0</v>
      </c>
      <c r="AL31" s="23">
        <f>+'QTR Raw'!F21</f>
        <v>0</v>
      </c>
      <c r="AM31" s="23">
        <f>+'QTR Raw'!G21</f>
        <v>0</v>
      </c>
      <c r="AN31" s="23">
        <f>+'QTR Raw'!H21</f>
        <v>0</v>
      </c>
      <c r="AO31" s="23">
        <f>+'QTR Raw'!I21</f>
        <v>0</v>
      </c>
      <c r="AP31" s="23">
        <f>+'QTR Raw'!J21</f>
        <v>0</v>
      </c>
      <c r="AQ31" s="23">
        <f>+'QTR Raw'!K21</f>
        <v>0</v>
      </c>
      <c r="AR31" s="23">
        <f>+'QTR Raw'!L21</f>
        <v>0</v>
      </c>
      <c r="AS31" s="23">
        <f>+'QTR Raw'!M21</f>
        <v>0</v>
      </c>
      <c r="AT31" s="23">
        <f>+'QTR Raw'!N21</f>
        <v>0</v>
      </c>
      <c r="AU31" s="23">
        <f>+'QTR Raw'!O21</f>
        <v>0</v>
      </c>
      <c r="AV31" s="23">
        <f>+'QTR Raw'!P21</f>
        <v>0</v>
      </c>
      <c r="AW31" s="23">
        <f>+'QTR Raw'!Q21</f>
        <v>0</v>
      </c>
      <c r="AX31" s="23">
        <f>+'QTR Raw'!R21</f>
        <v>0</v>
      </c>
      <c r="AY31" s="23">
        <f>+'QTR Raw'!S21</f>
        <v>0</v>
      </c>
      <c r="AZ31" s="23">
        <f>+'QTR Raw'!T21</f>
        <v>0</v>
      </c>
      <c r="BA31" s="23">
        <f>+'QTR Raw'!U21</f>
        <v>0</v>
      </c>
      <c r="BB31" s="23">
        <f>+'QTR Raw'!V21</f>
        <v>0</v>
      </c>
      <c r="BC31" s="23">
        <f>+'QTR Raw'!W21</f>
        <v>0</v>
      </c>
      <c r="BD31" s="23">
        <f>+'QTR Raw'!X21</f>
        <v>0</v>
      </c>
      <c r="BE31" s="23">
        <f>+'QTR Raw'!Y21</f>
        <v>0</v>
      </c>
      <c r="BF31" s="23">
        <f>+'QTR Raw'!Z21</f>
        <v>0</v>
      </c>
      <c r="BG31" s="23">
        <f>+'QTR Raw'!AA21</f>
        <v>0</v>
      </c>
      <c r="BH31" s="23">
        <f>+'QTR Raw'!AB21</f>
        <v>0</v>
      </c>
      <c r="BI31" s="23">
        <f>+'QTR Raw'!AC21</f>
        <v>0</v>
      </c>
      <c r="BJ31" s="23">
        <f>+'QTR Raw'!AD21</f>
        <v>0</v>
      </c>
      <c r="BK31" s="23">
        <f>+'QTR Raw'!AE21</f>
        <v>0</v>
      </c>
      <c r="BL31" s="23">
        <f>+'QTR Raw'!AF21</f>
        <v>0</v>
      </c>
      <c r="BM31" s="23">
        <f>+'QTR Raw'!AG21</f>
        <v>0</v>
      </c>
      <c r="BN31" s="23">
        <f>+'QTR Raw'!AH21</f>
        <v>0</v>
      </c>
      <c r="BO31" s="23">
        <f>+'QTR Raw'!AI21</f>
        <v>0</v>
      </c>
      <c r="BP31" s="23">
        <f>+'QTR Raw'!AJ21</f>
        <v>0</v>
      </c>
      <c r="BQ31" s="23">
        <f>+'QTR Raw'!AK21</f>
        <v>0</v>
      </c>
      <c r="BR31" s="23">
        <f>+'QTR Raw'!AL21</f>
        <v>0</v>
      </c>
      <c r="BS31" s="23">
        <f>+'QTR Raw'!AM21</f>
        <v>0</v>
      </c>
      <c r="BT31" s="23">
        <f>+'QTR Raw'!AN21</f>
        <v>0</v>
      </c>
      <c r="BU31" s="23">
        <f>+'QTR Raw'!AO21</f>
        <v>0</v>
      </c>
      <c r="BV31" s="23">
        <f>+'QTR Raw'!AP21</f>
        <v>0</v>
      </c>
      <c r="BW31" s="23">
        <f>+'QTR Raw'!AQ21</f>
        <v>0</v>
      </c>
      <c r="BX31" s="23">
        <f>+'QTR Raw'!AR21</f>
        <v>0</v>
      </c>
      <c r="BY31" s="23">
        <f>+'QTR Raw'!AS21</f>
        <v>0</v>
      </c>
      <c r="BZ31" s="23">
        <f>+'QTR Raw'!AT21</f>
        <v>0</v>
      </c>
      <c r="CA31" s="23">
        <f>+'QTR Raw'!AU21</f>
        <v>0</v>
      </c>
      <c r="CB31" s="23">
        <f>+'QTR Raw'!AV21</f>
        <v>0</v>
      </c>
      <c r="CC31" s="23">
        <f>+'QTR Raw'!AW21</f>
        <v>0</v>
      </c>
      <c r="CD31" s="23">
        <f>+'QTR Raw'!AX21</f>
        <v>0</v>
      </c>
      <c r="CE31" s="23">
        <f>+'QTR Raw'!AY21</f>
        <v>0</v>
      </c>
      <c r="CF31" s="23">
        <f>+'QTR Raw'!AZ21</f>
        <v>0</v>
      </c>
      <c r="CG31" s="23">
        <f>+'QTR Raw'!BA21</f>
        <v>0</v>
      </c>
      <c r="CH31" s="23">
        <f>+'QTR Raw'!BB21</f>
        <v>0</v>
      </c>
      <c r="CI31" s="23">
        <f>+'QTR Raw'!BC21</f>
        <v>0</v>
      </c>
      <c r="CJ31" s="23">
        <f>+'QTR Raw'!BD21</f>
        <v>0</v>
      </c>
      <c r="CK31" s="23">
        <f>+'QTR Raw'!BE21</f>
        <v>0</v>
      </c>
      <c r="CL31" s="23">
        <f>+'QTR Raw'!BF21</f>
        <v>0</v>
      </c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E31" s="123"/>
      <c r="DF31" s="23">
        <v>0</v>
      </c>
    </row>
    <row r="32" spans="1:110" s="23" customFormat="1" outlineLevel="1" x14ac:dyDescent="0.2">
      <c r="A32" s="23" t="s">
        <v>9</v>
      </c>
      <c r="B32" s="23">
        <f>'Annual Raw'!C15+'Annual Raw'!C16</f>
        <v>0</v>
      </c>
      <c r="C32" s="23">
        <f>'Annual Raw'!D15+'Annual Raw'!D16</f>
        <v>0</v>
      </c>
      <c r="D32" s="23">
        <f>'Annual Raw'!E15+'Annual Raw'!E16</f>
        <v>0</v>
      </c>
      <c r="E32" s="23">
        <f>'Annual Raw'!F15+'Annual Raw'!F16</f>
        <v>0.02</v>
      </c>
      <c r="F32" s="23">
        <f>'Annual Raw'!G15+'Annual Raw'!G16</f>
        <v>3877.91</v>
      </c>
      <c r="G32" s="23">
        <f>'Annual Raw'!H15+'Annual Raw'!H16</f>
        <v>3778.54</v>
      </c>
      <c r="H32" s="23">
        <f>'Annual Raw'!I15+'Annual Raw'!I16</f>
        <v>3127.9700000000003</v>
      </c>
      <c r="I32" s="23">
        <f>'Annual Raw'!J15+'Annual Raw'!J16</f>
        <v>3734.29</v>
      </c>
      <c r="J32" s="23">
        <f>'Annual Raw'!K15+'Annual Raw'!K16</f>
        <v>3892.27</v>
      </c>
      <c r="K32" s="23">
        <f>'Annual Raw'!L15+'Annual Raw'!L16</f>
        <v>3938.37</v>
      </c>
      <c r="L32" s="23">
        <f>'Annual Raw'!M15+'Annual Raw'!M16</f>
        <v>4927.32</v>
      </c>
      <c r="M32" s="23">
        <f>'Annual Raw'!N15+'Annual Raw'!N16</f>
        <v>6490.99</v>
      </c>
      <c r="N32" s="23">
        <f>'Annual Raw'!O15+'Annual Raw'!O16</f>
        <v>8964.2900000000009</v>
      </c>
      <c r="O32" s="23">
        <f>'Annual Raw'!P15+'Annual Raw'!P16</f>
        <v>11269.35</v>
      </c>
      <c r="P32" s="23">
        <f>'Annual Raw'!Q15+'Annual Raw'!Q16</f>
        <v>13647.1</v>
      </c>
      <c r="Q32" s="23">
        <f>'Annual Raw'!R15+'Annual Raw'!R16</f>
        <v>5977</v>
      </c>
      <c r="R32" s="23">
        <f>'Annual Raw'!S15+'Annual Raw'!S16</f>
        <v>6400</v>
      </c>
      <c r="S32" s="23">
        <f>'Annual Raw'!T15+'Annual Raw'!T16</f>
        <v>6552</v>
      </c>
      <c r="T32" s="23">
        <f>'Annual Raw'!U15+'Annual Raw'!U16</f>
        <v>6492</v>
      </c>
      <c r="U32" s="23">
        <f>'Annual Raw'!V15+'Annual Raw'!V16</f>
        <v>4590</v>
      </c>
      <c r="V32" s="23">
        <f>'Annual Raw'!W15+'Annual Raw'!W16</f>
        <v>3578</v>
      </c>
      <c r="W32" s="23">
        <f>'Annual Raw'!X15+'Annual Raw'!X16</f>
        <v>3276</v>
      </c>
      <c r="X32" s="23">
        <f>'Annual Raw'!Y15+'Annual Raw'!Y16</f>
        <v>7989</v>
      </c>
      <c r="Y32" s="23">
        <f>'Annual Raw'!Z15+'Annual Raw'!Z16</f>
        <v>10772</v>
      </c>
      <c r="Z32" s="23">
        <f>'Annual Raw'!AA15+'Annual Raw'!AA16</f>
        <v>19393</v>
      </c>
      <c r="AA32" s="23">
        <f>'Annual Raw'!AB15+'Annual Raw'!AB16</f>
        <v>12847</v>
      </c>
      <c r="AB32" s="76">
        <f t="shared" si="241"/>
        <v>37577.700775140176</v>
      </c>
      <c r="AC32" s="76">
        <f t="shared" si="242"/>
        <v>36357.553497402798</v>
      </c>
      <c r="AD32" s="76">
        <f t="shared" si="243"/>
        <v>34951.976473895622</v>
      </c>
      <c r="AE32" s="76">
        <f t="shared" si="244"/>
        <v>33261.020456750295</v>
      </c>
      <c r="AI32" s="23">
        <f>'QTR Raw'!C14</f>
        <v>1947.77</v>
      </c>
      <c r="AJ32" s="23">
        <f>'QTR Raw'!D14</f>
        <v>2112.8000000000002</v>
      </c>
      <c r="AK32" s="23">
        <f>'QTR Raw'!E14</f>
        <v>2056.25</v>
      </c>
      <c r="AL32" s="23">
        <f>'QTR Raw'!F14</f>
        <v>2327.12</v>
      </c>
      <c r="AM32" s="23">
        <f>'QTR Raw'!G14</f>
        <v>2317.2199999999998</v>
      </c>
      <c r="AN32" s="23">
        <f>'QTR Raw'!H14</f>
        <v>2520.37</v>
      </c>
      <c r="AO32" s="23">
        <f>'QTR Raw'!I14</f>
        <v>2584.79</v>
      </c>
      <c r="AP32" s="23">
        <f>'QTR Raw'!J14</f>
        <v>2799.39</v>
      </c>
      <c r="AQ32" s="23">
        <f>'QTR Raw'!K14</f>
        <v>2611.84</v>
      </c>
      <c r="AR32" s="23">
        <f>'QTR Raw'!L14</f>
        <v>2930.1</v>
      </c>
      <c r="AS32" s="23">
        <f>'QTR Raw'!M14</f>
        <v>3087.75</v>
      </c>
      <c r="AT32" s="23">
        <f>'QTR Raw'!N14</f>
        <v>3251.7</v>
      </c>
      <c r="AU32" s="23">
        <f>'QTR Raw'!O14</f>
        <v>5176</v>
      </c>
      <c r="AV32" s="23">
        <f>'QTR Raw'!P14</f>
        <v>5720</v>
      </c>
      <c r="AW32" s="23">
        <f>'QTR Raw'!Q14</f>
        <v>5606</v>
      </c>
      <c r="AX32" s="23">
        <f>'QTR Raw'!R14</f>
        <v>6119</v>
      </c>
      <c r="AY32" s="23">
        <f>'QTR Raw'!S14</f>
        <v>6094</v>
      </c>
      <c r="AZ32" s="23">
        <f>'QTR Raw'!T14</f>
        <v>5891</v>
      </c>
      <c r="BA32" s="23">
        <f>'QTR Raw'!U14</f>
        <v>6231</v>
      </c>
      <c r="BB32" s="23">
        <f>'QTR Raw'!V14</f>
        <v>5113</v>
      </c>
      <c r="BC32" s="23">
        <f>'QTR Raw'!W14</f>
        <v>5263</v>
      </c>
      <c r="BD32" s="23">
        <f>'QTR Raw'!X14</f>
        <v>5112</v>
      </c>
      <c r="BE32" s="23">
        <f>'QTR Raw'!Y14</f>
        <v>5410</v>
      </c>
      <c r="BF32" s="23">
        <f>'QTR Raw'!Z14</f>
        <v>5707</v>
      </c>
      <c r="BG32" s="23">
        <f>'QTR Raw'!AA14</f>
        <v>6029</v>
      </c>
      <c r="BH32" s="23">
        <f>'QTR Raw'!AB14</f>
        <v>6529</v>
      </c>
      <c r="BI32" s="23">
        <f>'QTR Raw'!AC14</f>
        <v>6721</v>
      </c>
      <c r="BJ32" s="23">
        <f>'QTR Raw'!AD14</f>
        <v>7162</v>
      </c>
      <c r="BK32" s="23">
        <f>'QTR Raw'!AE14</f>
        <v>6815</v>
      </c>
      <c r="BL32" s="23">
        <f>'QTR Raw'!AF14</f>
        <v>6817</v>
      </c>
      <c r="BM32" s="23">
        <f>'QTR Raw'!AG14</f>
        <v>6901</v>
      </c>
      <c r="BN32" s="23">
        <f>'QTR Raw'!AH14</f>
        <v>6450</v>
      </c>
      <c r="BO32" s="23">
        <f>'QTR Raw'!AI14</f>
        <v>5859</v>
      </c>
      <c r="BP32" s="23">
        <f>'QTR Raw'!AJ14</f>
        <v>5691</v>
      </c>
      <c r="BQ32" s="23">
        <f>'QTR Raw'!AK14</f>
        <v>5980</v>
      </c>
      <c r="BR32" s="23">
        <f>'QTR Raw'!AL14</f>
        <v>6825</v>
      </c>
      <c r="BS32" s="23">
        <f>'QTR Raw'!AM14</f>
        <v>6841</v>
      </c>
      <c r="BT32" s="23">
        <f>'QTR Raw'!AN14</f>
        <v>7154</v>
      </c>
      <c r="BU32" s="23">
        <f>'QTR Raw'!AO14</f>
        <v>7852</v>
      </c>
      <c r="BV32" s="23">
        <f>'QTR Raw'!AP14</f>
        <v>8133</v>
      </c>
      <c r="BW32" s="23">
        <f>'QTR Raw'!AQ14</f>
        <v>8798</v>
      </c>
      <c r="BX32" s="23">
        <f>'QTR Raw'!AR14</f>
        <v>9351</v>
      </c>
      <c r="BY32" s="23">
        <f>'QTR Raw'!AS14</f>
        <v>9566</v>
      </c>
      <c r="BZ32" s="23">
        <f>'QTR Raw'!AT14</f>
        <v>9081</v>
      </c>
      <c r="CA32" s="23">
        <f>'QTR Raw'!AU14</f>
        <v>8729</v>
      </c>
      <c r="CB32" s="23">
        <f>'QTR Raw'!AV14</f>
        <v>8361</v>
      </c>
      <c r="CC32" s="23">
        <f>'QTR Raw'!AW14</f>
        <v>8300</v>
      </c>
      <c r="CD32" s="23">
        <f>'QTR Raw'!AX14</f>
        <v>7374</v>
      </c>
      <c r="CE32" s="23">
        <f>'QTR Raw'!AY14</f>
        <v>7384</v>
      </c>
      <c r="CF32" s="23">
        <f>'QTR Raw'!AZ14</f>
        <v>7644</v>
      </c>
      <c r="CG32" s="23">
        <f>'QTR Raw'!BA14</f>
        <v>7464</v>
      </c>
      <c r="CH32" s="23">
        <f>'QTR Raw'!BB14</f>
        <v>7989</v>
      </c>
      <c r="CI32" s="23">
        <f>'QTR Raw'!BC14</f>
        <v>8121</v>
      </c>
      <c r="CJ32" s="23">
        <f>'QTR Raw'!BD14</f>
        <v>8248</v>
      </c>
      <c r="CK32" s="23">
        <f>'QTR Raw'!BE14</f>
        <v>9026</v>
      </c>
      <c r="CL32" s="23">
        <f>'QTR Raw'!BF14</f>
        <v>9835</v>
      </c>
      <c r="CM32" s="24">
        <f t="shared" ref="CM32:DB32" si="246">CM35-CM29-CM30-CM31-CM33-CM34</f>
        <v>9690.4224149584697</v>
      </c>
      <c r="CN32" s="24">
        <f t="shared" si="246"/>
        <v>9193.8739154311188</v>
      </c>
      <c r="CO32" s="24">
        <f t="shared" si="246"/>
        <v>9879.2546133638098</v>
      </c>
      <c r="CP32" s="24">
        <f t="shared" si="246"/>
        <v>8814.1498313867778</v>
      </c>
      <c r="CQ32" s="24">
        <f t="shared" si="246"/>
        <v>9296.071502733299</v>
      </c>
      <c r="CR32" s="24">
        <f t="shared" si="246"/>
        <v>8901.7458989838269</v>
      </c>
      <c r="CS32" s="24">
        <f t="shared" si="246"/>
        <v>9659.2666019929675</v>
      </c>
      <c r="CT32" s="24">
        <f t="shared" si="246"/>
        <v>8500.4694936927044</v>
      </c>
      <c r="CU32" s="24">
        <f t="shared" si="246"/>
        <v>8952.5614331239267</v>
      </c>
      <c r="CV32" s="24">
        <f t="shared" si="246"/>
        <v>8551.9209919013156</v>
      </c>
      <c r="CW32" s="24">
        <f t="shared" si="246"/>
        <v>9352.9464074868374</v>
      </c>
      <c r="CX32" s="24">
        <f t="shared" si="246"/>
        <v>8094.5476413835422</v>
      </c>
      <c r="CY32" s="24">
        <f t="shared" si="246"/>
        <v>8559.9804755503137</v>
      </c>
      <c r="CZ32" s="24">
        <f t="shared" si="246"/>
        <v>8125.0463224633495</v>
      </c>
      <c r="DA32" s="24">
        <f t="shared" si="246"/>
        <v>8968.5660359470785</v>
      </c>
      <c r="DB32" s="24">
        <f t="shared" si="246"/>
        <v>7607.4276227895534</v>
      </c>
      <c r="DE32" s="123"/>
      <c r="DF32" s="23">
        <v>11417.348651051027</v>
      </c>
    </row>
    <row r="33" spans="1:110" s="23" customFormat="1" outlineLevel="1" x14ac:dyDescent="0.2">
      <c r="A33" s="23" t="s">
        <v>7</v>
      </c>
      <c r="B33" s="23">
        <f>'Annual Raw'!C13</f>
        <v>0</v>
      </c>
      <c r="C33" s="23">
        <f>'Annual Raw'!D13</f>
        <v>0</v>
      </c>
      <c r="D33" s="23">
        <f>'Annual Raw'!E13</f>
        <v>0</v>
      </c>
      <c r="E33" s="23">
        <f>'Annual Raw'!F13</f>
        <v>0</v>
      </c>
      <c r="F33" s="23">
        <f>'Annual Raw'!G13</f>
        <v>52.93</v>
      </c>
      <c r="G33" s="23">
        <f>'Annual Raw'!H13</f>
        <v>75.989999999999995</v>
      </c>
      <c r="H33" s="23">
        <f>'Annual Raw'!I13</f>
        <v>115.86</v>
      </c>
      <c r="I33" s="23">
        <f>'Annual Raw'!J13</f>
        <v>158.22</v>
      </c>
      <c r="J33" s="23">
        <f>'Annual Raw'!K13</f>
        <v>196.23</v>
      </c>
      <c r="K33" s="23">
        <f>'Annual Raw'!L13</f>
        <v>250.59</v>
      </c>
      <c r="L33" s="23">
        <f>'Annual Raw'!M13</f>
        <v>302.08</v>
      </c>
      <c r="M33" s="23">
        <f>'Annual Raw'!N13</f>
        <v>366.32</v>
      </c>
      <c r="N33" s="23">
        <f>'Annual Raw'!O13</f>
        <v>475.76</v>
      </c>
      <c r="O33" s="23">
        <f>'Annual Raw'!P13</f>
        <v>527.1</v>
      </c>
      <c r="P33" s="23">
        <f>'Annual Raw'!Q13</f>
        <v>573.87</v>
      </c>
      <c r="Q33" s="23">
        <f>'Annual Raw'!R13</f>
        <v>0</v>
      </c>
      <c r="R33" s="23">
        <f>'Annual Raw'!S13</f>
        <v>0</v>
      </c>
      <c r="S33" s="23">
        <f>'Annual Raw'!T13</f>
        <v>0</v>
      </c>
      <c r="T33" s="23">
        <f>'Annual Raw'!U13</f>
        <v>0</v>
      </c>
      <c r="U33" s="23">
        <f>'Annual Raw'!V13</f>
        <v>0</v>
      </c>
      <c r="V33" s="23">
        <f>'Annual Raw'!W13</f>
        <v>0</v>
      </c>
      <c r="W33" s="23">
        <f>'Annual Raw'!X13</f>
        <v>0</v>
      </c>
      <c r="X33" s="23">
        <f>'Annual Raw'!Y13</f>
        <v>0</v>
      </c>
      <c r="Y33" s="23">
        <f>'Annual Raw'!Z13</f>
        <v>0</v>
      </c>
      <c r="Z33" s="23">
        <f>'Annual Raw'!AA13</f>
        <v>0</v>
      </c>
      <c r="AA33" s="23">
        <f>'Annual Raw'!AB13</f>
        <v>0</v>
      </c>
      <c r="AB33" s="76">
        <f t="shared" si="241"/>
        <v>0</v>
      </c>
      <c r="AC33" s="76">
        <f t="shared" si="242"/>
        <v>0</v>
      </c>
      <c r="AD33" s="76">
        <f t="shared" si="243"/>
        <v>0</v>
      </c>
      <c r="AE33" s="76">
        <f t="shared" si="244"/>
        <v>0</v>
      </c>
      <c r="AI33" s="23">
        <f>'QTR Raw'!C15</f>
        <v>0</v>
      </c>
      <c r="AJ33" s="23">
        <f>'QTR Raw'!D15</f>
        <v>0</v>
      </c>
      <c r="AK33" s="23">
        <f>'QTR Raw'!E15</f>
        <v>0</v>
      </c>
      <c r="AL33" s="23">
        <f>'QTR Raw'!F15</f>
        <v>0</v>
      </c>
      <c r="AM33" s="23">
        <f>'QTR Raw'!G15</f>
        <v>0</v>
      </c>
      <c r="AN33" s="23">
        <f>'QTR Raw'!H15</f>
        <v>0</v>
      </c>
      <c r="AO33" s="23">
        <f>'QTR Raw'!I15</f>
        <v>0</v>
      </c>
      <c r="AP33" s="23">
        <f>'QTR Raw'!J15</f>
        <v>0</v>
      </c>
      <c r="AQ33" s="23">
        <f>'QTR Raw'!K15</f>
        <v>0</v>
      </c>
      <c r="AR33" s="23">
        <f>'QTR Raw'!L15</f>
        <v>0</v>
      </c>
      <c r="AS33" s="23">
        <f>'QTR Raw'!M15</f>
        <v>0</v>
      </c>
      <c r="AT33" s="23">
        <f>'QTR Raw'!N15</f>
        <v>0</v>
      </c>
      <c r="AU33" s="23">
        <f>'QTR Raw'!O15</f>
        <v>0</v>
      </c>
      <c r="AV33" s="23">
        <f>'QTR Raw'!P15</f>
        <v>0</v>
      </c>
      <c r="AW33" s="23">
        <f>'QTR Raw'!Q15</f>
        <v>0</v>
      </c>
      <c r="AX33" s="23">
        <f>'QTR Raw'!R15</f>
        <v>0</v>
      </c>
      <c r="AY33" s="23">
        <f>'QTR Raw'!S15</f>
        <v>0</v>
      </c>
      <c r="AZ33" s="23">
        <f>'QTR Raw'!T15</f>
        <v>0</v>
      </c>
      <c r="BA33" s="23">
        <f>'QTR Raw'!U15</f>
        <v>0</v>
      </c>
      <c r="BB33" s="23">
        <f>'QTR Raw'!V15</f>
        <v>0</v>
      </c>
      <c r="BC33" s="23">
        <f>'QTR Raw'!W15</f>
        <v>0</v>
      </c>
      <c r="BD33" s="23">
        <f>'QTR Raw'!X15</f>
        <v>0</v>
      </c>
      <c r="BE33" s="23">
        <f>'QTR Raw'!Y15</f>
        <v>0</v>
      </c>
      <c r="BF33" s="23">
        <f>'QTR Raw'!Z15</f>
        <v>0</v>
      </c>
      <c r="BG33" s="23">
        <f>'QTR Raw'!AA15</f>
        <v>0</v>
      </c>
      <c r="BH33" s="23">
        <f>'QTR Raw'!AB15</f>
        <v>0</v>
      </c>
      <c r="BI33" s="23">
        <f>'QTR Raw'!AC15</f>
        <v>0</v>
      </c>
      <c r="BJ33" s="23">
        <f>'QTR Raw'!AD15</f>
        <v>0</v>
      </c>
      <c r="BK33" s="23">
        <f>'QTR Raw'!AE15</f>
        <v>0</v>
      </c>
      <c r="BL33" s="23">
        <f>'QTR Raw'!AF15</f>
        <v>0</v>
      </c>
      <c r="BM33" s="23">
        <f>'QTR Raw'!AG15</f>
        <v>0</v>
      </c>
      <c r="BN33" s="23">
        <f>'QTR Raw'!AH15</f>
        <v>0</v>
      </c>
      <c r="BO33" s="23">
        <f>'QTR Raw'!AI15</f>
        <v>0</v>
      </c>
      <c r="BP33" s="23">
        <f>'QTR Raw'!AJ15</f>
        <v>0</v>
      </c>
      <c r="BQ33" s="23">
        <f>'QTR Raw'!AK15</f>
        <v>0</v>
      </c>
      <c r="BR33" s="23">
        <f>'QTR Raw'!AL15</f>
        <v>0</v>
      </c>
      <c r="BS33" s="23">
        <f>'QTR Raw'!AM15</f>
        <v>0</v>
      </c>
      <c r="BT33" s="23">
        <f>'QTR Raw'!AN15</f>
        <v>0</v>
      </c>
      <c r="BU33" s="23">
        <f>'QTR Raw'!AO15</f>
        <v>0</v>
      </c>
      <c r="BV33" s="23">
        <f>'QTR Raw'!AP15</f>
        <v>0</v>
      </c>
      <c r="BW33" s="23">
        <f>'QTR Raw'!AQ15</f>
        <v>0</v>
      </c>
      <c r="BX33" s="23">
        <f>'QTR Raw'!AR15</f>
        <v>0</v>
      </c>
      <c r="BY33" s="23">
        <f>'QTR Raw'!AS15</f>
        <v>0</v>
      </c>
      <c r="BZ33" s="23">
        <f>'QTR Raw'!AT15</f>
        <v>0</v>
      </c>
      <c r="CA33" s="23">
        <f>'QTR Raw'!AU15</f>
        <v>0</v>
      </c>
      <c r="CB33" s="23">
        <f>'QTR Raw'!AV15</f>
        <v>0</v>
      </c>
      <c r="CC33" s="23">
        <f>'QTR Raw'!AW15</f>
        <v>0</v>
      </c>
      <c r="CD33" s="23">
        <f>'QTR Raw'!AX15</f>
        <v>0</v>
      </c>
      <c r="CE33" s="23">
        <f>'QTR Raw'!AY15</f>
        <v>0</v>
      </c>
      <c r="CF33" s="23">
        <f>'QTR Raw'!AZ15</f>
        <v>0</v>
      </c>
      <c r="CG33" s="23">
        <f>'QTR Raw'!BA15</f>
        <v>0</v>
      </c>
      <c r="CH33" s="23">
        <f>'QTR Raw'!BB15</f>
        <v>0</v>
      </c>
      <c r="CI33" s="23">
        <f>'QTR Raw'!BC15</f>
        <v>0</v>
      </c>
      <c r="CJ33" s="23">
        <f>'QTR Raw'!BD15</f>
        <v>0</v>
      </c>
      <c r="CK33" s="23">
        <f>'QTR Raw'!BE15</f>
        <v>0</v>
      </c>
      <c r="CL33" s="23">
        <f>'QTR Raw'!BF15</f>
        <v>0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0</v>
      </c>
    </row>
    <row r="34" spans="1:110" s="23" customFormat="1" outlineLevel="1" x14ac:dyDescent="0.2">
      <c r="A34" s="23" t="s">
        <v>11</v>
      </c>
      <c r="B34" s="23">
        <f>'Annual Raw'!C18</f>
        <v>0</v>
      </c>
      <c r="C34" s="23">
        <f>'Annual Raw'!D18</f>
        <v>0</v>
      </c>
      <c r="D34" s="23">
        <f>'Annual Raw'!E18</f>
        <v>0</v>
      </c>
      <c r="E34" s="23">
        <f>'Annual Raw'!F18</f>
        <v>0</v>
      </c>
      <c r="F34" s="23">
        <f>'Annual Raw'!G18</f>
        <v>18.03</v>
      </c>
      <c r="G34" s="23">
        <f>'Annual Raw'!H18</f>
        <v>37.090000000000003</v>
      </c>
      <c r="H34" s="23">
        <f>'Annual Raw'!I18</f>
        <v>32.58</v>
      </c>
      <c r="I34" s="23">
        <f>'Annual Raw'!J18</f>
        <v>35.71</v>
      </c>
      <c r="J34" s="23">
        <f>'Annual Raw'!K18</f>
        <v>30.52</v>
      </c>
      <c r="K34" s="23">
        <f>'Annual Raw'!L18</f>
        <v>6.59</v>
      </c>
      <c r="L34" s="23">
        <f>'Annual Raw'!M18</f>
        <v>20.37</v>
      </c>
      <c r="M34" s="23">
        <f>'Annual Raw'!N18</f>
        <v>40.33</v>
      </c>
      <c r="N34" s="23">
        <f>'Annual Raw'!O18</f>
        <v>54.86</v>
      </c>
      <c r="O34" s="23">
        <f>'Annual Raw'!P18</f>
        <v>0</v>
      </c>
      <c r="P34" s="23">
        <f>'Annual Raw'!Q18</f>
        <v>0</v>
      </c>
      <c r="Q34" s="23">
        <f>'Annual Raw'!R18</f>
        <v>0</v>
      </c>
      <c r="R34" s="23">
        <f>'Annual Raw'!S18</f>
        <v>0</v>
      </c>
      <c r="S34" s="23">
        <f>'Annual Raw'!T18</f>
        <v>0</v>
      </c>
      <c r="T34" s="23">
        <f>'Annual Raw'!U18</f>
        <v>0</v>
      </c>
      <c r="U34" s="23">
        <f>'Annual Raw'!V18</f>
        <v>0</v>
      </c>
      <c r="V34" s="23">
        <f>'Annual Raw'!W18</f>
        <v>0</v>
      </c>
      <c r="W34" s="23">
        <f>'Annual Raw'!X18</f>
        <v>0</v>
      </c>
      <c r="X34" s="23">
        <f>'Annual Raw'!Y18</f>
        <v>0</v>
      </c>
      <c r="Y34" s="23">
        <f>'Annual Raw'!Z18</f>
        <v>0</v>
      </c>
      <c r="Z34" s="23">
        <f>'Annual Raw'!AA18</f>
        <v>0</v>
      </c>
      <c r="AA34" s="23">
        <f>'Annual Raw'!AB18</f>
        <v>0</v>
      </c>
      <c r="AB34" s="76">
        <f t="shared" si="241"/>
        <v>0</v>
      </c>
      <c r="AC34" s="76">
        <f t="shared" si="242"/>
        <v>0</v>
      </c>
      <c r="AD34" s="76">
        <f t="shared" si="243"/>
        <v>0</v>
      </c>
      <c r="AE34" s="76">
        <f t="shared" si="244"/>
        <v>0</v>
      </c>
      <c r="AI34" s="23">
        <f>'QTR Raw'!C18</f>
        <v>0</v>
      </c>
      <c r="AJ34" s="23">
        <f>'QTR Raw'!D18</f>
        <v>0</v>
      </c>
      <c r="AK34" s="23">
        <f>'QTR Raw'!E18</f>
        <v>0</v>
      </c>
      <c r="AL34" s="23">
        <f>'QTR Raw'!F18</f>
        <v>0</v>
      </c>
      <c r="AM34" s="23">
        <f>'QTR Raw'!G18</f>
        <v>0</v>
      </c>
      <c r="AN34" s="23">
        <f>'QTR Raw'!H18</f>
        <v>0</v>
      </c>
      <c r="AO34" s="23">
        <f>'QTR Raw'!I18</f>
        <v>0</v>
      </c>
      <c r="AP34" s="23">
        <f>'QTR Raw'!J18</f>
        <v>0</v>
      </c>
      <c r="AQ34" s="23">
        <f>'QTR Raw'!K18</f>
        <v>0</v>
      </c>
      <c r="AR34" s="23">
        <f>'QTR Raw'!L18</f>
        <v>0</v>
      </c>
      <c r="AS34" s="23">
        <f>'QTR Raw'!M18</f>
        <v>0</v>
      </c>
      <c r="AT34" s="23">
        <f>'QTR Raw'!N18</f>
        <v>0</v>
      </c>
      <c r="AU34" s="23">
        <f>'QTR Raw'!O18</f>
        <v>0</v>
      </c>
      <c r="AV34" s="23">
        <f>'QTR Raw'!P18</f>
        <v>0</v>
      </c>
      <c r="AW34" s="23">
        <f>'QTR Raw'!Q18</f>
        <v>0</v>
      </c>
      <c r="AX34" s="23">
        <f>'QTR Raw'!R18</f>
        <v>0</v>
      </c>
      <c r="AY34" s="23">
        <f>'QTR Raw'!S18</f>
        <v>0</v>
      </c>
      <c r="AZ34" s="23">
        <f>'QTR Raw'!T18</f>
        <v>0</v>
      </c>
      <c r="BA34" s="23">
        <f>'QTR Raw'!U18</f>
        <v>0</v>
      </c>
      <c r="BB34" s="23">
        <f>'QTR Raw'!V18</f>
        <v>0</v>
      </c>
      <c r="BC34" s="23">
        <f>'QTR Raw'!W18</f>
        <v>0</v>
      </c>
      <c r="BD34" s="23">
        <f>'QTR Raw'!X18</f>
        <v>0</v>
      </c>
      <c r="BE34" s="23">
        <f>'QTR Raw'!Y18</f>
        <v>0</v>
      </c>
      <c r="BF34" s="23">
        <f>'QTR Raw'!Z18</f>
        <v>0</v>
      </c>
      <c r="BG34" s="23">
        <f>'QTR Raw'!AA18</f>
        <v>0</v>
      </c>
      <c r="BH34" s="23">
        <f>'QTR Raw'!AB18</f>
        <v>0</v>
      </c>
      <c r="BI34" s="23">
        <f>'QTR Raw'!AC18</f>
        <v>0</v>
      </c>
      <c r="BJ34" s="23">
        <f>'QTR Raw'!AD18</f>
        <v>0</v>
      </c>
      <c r="BK34" s="23">
        <f>'QTR Raw'!AE18</f>
        <v>0</v>
      </c>
      <c r="BL34" s="23">
        <f>'QTR Raw'!AF18</f>
        <v>0</v>
      </c>
      <c r="BM34" s="23">
        <f>'QTR Raw'!AG18</f>
        <v>0</v>
      </c>
      <c r="BN34" s="23">
        <f>'QTR Raw'!AH18</f>
        <v>0</v>
      </c>
      <c r="BO34" s="23">
        <f>'QTR Raw'!AI18</f>
        <v>0</v>
      </c>
      <c r="BP34" s="23">
        <f>'QTR Raw'!AJ18</f>
        <v>0</v>
      </c>
      <c r="BQ34" s="23">
        <f>'QTR Raw'!AK18</f>
        <v>0</v>
      </c>
      <c r="BR34" s="23">
        <f>'QTR Raw'!AL18</f>
        <v>0</v>
      </c>
      <c r="BS34" s="23">
        <f>'QTR Raw'!AM18</f>
        <v>0</v>
      </c>
      <c r="BT34" s="23">
        <f>'QTR Raw'!AN18</f>
        <v>0</v>
      </c>
      <c r="BU34" s="23">
        <f>'QTR Raw'!AO18</f>
        <v>0</v>
      </c>
      <c r="BV34" s="23">
        <f>'QTR Raw'!AP18</f>
        <v>0</v>
      </c>
      <c r="BW34" s="23">
        <f>'QTR Raw'!AQ18</f>
        <v>0</v>
      </c>
      <c r="BX34" s="23">
        <f>'QTR Raw'!AR18</f>
        <v>0</v>
      </c>
      <c r="BY34" s="23">
        <f>'QTR Raw'!AS18</f>
        <v>0</v>
      </c>
      <c r="BZ34" s="23">
        <f>'QTR Raw'!AT18</f>
        <v>0</v>
      </c>
      <c r="CA34" s="23">
        <f>'QTR Raw'!AU18</f>
        <v>0</v>
      </c>
      <c r="CB34" s="23">
        <f>'QTR Raw'!AV18</f>
        <v>0</v>
      </c>
      <c r="CC34" s="23">
        <f>'QTR Raw'!AW18</f>
        <v>0</v>
      </c>
      <c r="CD34" s="23">
        <f>'QTR Raw'!AX18</f>
        <v>0</v>
      </c>
      <c r="CE34" s="23">
        <f>'QTR Raw'!AY18</f>
        <v>0</v>
      </c>
      <c r="CF34" s="23">
        <f>'QTR Raw'!AZ18</f>
        <v>0</v>
      </c>
      <c r="CG34" s="23">
        <f>'QTR Raw'!BA18</f>
        <v>0</v>
      </c>
      <c r="CH34" s="23">
        <f>'QTR Raw'!BB18</f>
        <v>0</v>
      </c>
      <c r="CI34" s="23">
        <f>'QTR Raw'!BC18</f>
        <v>0</v>
      </c>
      <c r="CJ34" s="23">
        <f>'QTR Raw'!BD18</f>
        <v>0</v>
      </c>
      <c r="CK34" s="23">
        <f>'QTR Raw'!BE18</f>
        <v>0</v>
      </c>
      <c r="CL34" s="23">
        <f>'QTR Raw'!BF18</f>
        <v>0</v>
      </c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E34" s="123"/>
      <c r="DF34" s="23">
        <v>0</v>
      </c>
    </row>
    <row r="35" spans="1:110" s="22" customFormat="1" x14ac:dyDescent="0.2">
      <c r="A35" s="33" t="s">
        <v>348</v>
      </c>
      <c r="B35" s="22">
        <f t="shared" ref="B35:E35" si="247">+SUM(B29:B34)</f>
        <v>0</v>
      </c>
      <c r="C35" s="22">
        <f t="shared" si="247"/>
        <v>0</v>
      </c>
      <c r="D35" s="22">
        <f t="shared" si="247"/>
        <v>0</v>
      </c>
      <c r="E35" s="22">
        <f t="shared" si="247"/>
        <v>0.03</v>
      </c>
      <c r="F35" s="22">
        <f t="shared" ref="F35:AE35" si="248">+SUM(F29:F34)</f>
        <v>7036.64</v>
      </c>
      <c r="G35" s="22">
        <f t="shared" si="248"/>
        <v>9579.69</v>
      </c>
      <c r="H35" s="22">
        <f t="shared" si="248"/>
        <v>13546.359999999999</v>
      </c>
      <c r="I35" s="22">
        <f t="shared" si="248"/>
        <v>16909.59</v>
      </c>
      <c r="J35" s="22">
        <f t="shared" si="248"/>
        <v>21424.44</v>
      </c>
      <c r="K35" s="22">
        <f t="shared" si="248"/>
        <v>21529.149999999998</v>
      </c>
      <c r="L35" s="22">
        <f t="shared" si="248"/>
        <v>26286.500000000004</v>
      </c>
      <c r="M35" s="22">
        <f t="shared" si="248"/>
        <v>34911.629999999997</v>
      </c>
      <c r="N35" s="22">
        <f t="shared" si="248"/>
        <v>44949.79</v>
      </c>
      <c r="O35" s="22">
        <f t="shared" si="248"/>
        <v>56662.400000000001</v>
      </c>
      <c r="P35" s="22">
        <f t="shared" si="248"/>
        <v>70166.7</v>
      </c>
      <c r="Q35" s="22">
        <f t="shared" si="248"/>
        <v>77969</v>
      </c>
      <c r="R35" s="22">
        <f t="shared" si="248"/>
        <v>85562</v>
      </c>
      <c r="S35" s="22">
        <f t="shared" si="248"/>
        <v>90502</v>
      </c>
      <c r="T35" s="22">
        <f t="shared" si="248"/>
        <v>106917</v>
      </c>
      <c r="U35" s="22">
        <f t="shared" si="248"/>
        <v>114823</v>
      </c>
      <c r="V35" s="22">
        <f t="shared" si="248"/>
        <v>117616</v>
      </c>
      <c r="W35" s="22">
        <f t="shared" si="248"/>
        <v>138680</v>
      </c>
      <c r="X35" s="22">
        <f t="shared" si="248"/>
        <v>166325</v>
      </c>
      <c r="Y35" s="22">
        <f t="shared" si="248"/>
        <v>176550</v>
      </c>
      <c r="Z35" s="22">
        <f t="shared" ref="Z35:AA35" si="249">+SUM(Z29:Z34)</f>
        <v>187869</v>
      </c>
      <c r="AA35" s="22">
        <f t="shared" si="249"/>
        <v>195193</v>
      </c>
      <c r="AB35" s="21">
        <f t="shared" si="248"/>
        <v>203421.28077514019</v>
      </c>
      <c r="AC35" s="21">
        <f t="shared" si="248"/>
        <v>213810.18409740285</v>
      </c>
      <c r="AD35" s="21">
        <f t="shared" si="248"/>
        <v>224826.29121589568</v>
      </c>
      <c r="AE35" s="21">
        <f t="shared" si="248"/>
        <v>236426.53723069036</v>
      </c>
      <c r="AI35" s="22">
        <f t="shared" ref="AI35:BN35" si="250">+SUM(AI29:AI34)</f>
        <v>7654.3799999999992</v>
      </c>
      <c r="AJ35" s="22">
        <f t="shared" si="250"/>
        <v>8059.39</v>
      </c>
      <c r="AK35" s="22">
        <f t="shared" si="250"/>
        <v>8198.14</v>
      </c>
      <c r="AL35" s="22">
        <f t="shared" si="250"/>
        <v>8571.98</v>
      </c>
      <c r="AM35" s="22">
        <f t="shared" si="250"/>
        <v>9282.4699999999993</v>
      </c>
      <c r="AN35" s="22">
        <f t="shared" si="250"/>
        <v>10129.93</v>
      </c>
      <c r="AO35" s="22">
        <f t="shared" si="250"/>
        <v>10288.51</v>
      </c>
      <c r="AP35" s="22">
        <f t="shared" si="250"/>
        <v>10380.869999999999</v>
      </c>
      <c r="AQ35" s="22">
        <f t="shared" si="250"/>
        <v>11143.95</v>
      </c>
      <c r="AR35" s="22">
        <f t="shared" si="250"/>
        <v>11986.220000000001</v>
      </c>
      <c r="AS35" s="22">
        <f t="shared" si="250"/>
        <v>12423.73</v>
      </c>
      <c r="AT35" s="22">
        <f t="shared" si="250"/>
        <v>15028.64</v>
      </c>
      <c r="AU35" s="22">
        <f t="shared" si="250"/>
        <v>18467</v>
      </c>
      <c r="AV35" s="22">
        <f t="shared" si="250"/>
        <v>19343</v>
      </c>
      <c r="AW35" s="22">
        <f t="shared" si="250"/>
        <v>19617</v>
      </c>
      <c r="AX35" s="22">
        <f t="shared" si="250"/>
        <v>20542</v>
      </c>
      <c r="AY35" s="22">
        <f t="shared" si="250"/>
        <v>21468</v>
      </c>
      <c r="AZ35" s="22">
        <f t="shared" si="250"/>
        <v>21171</v>
      </c>
      <c r="BA35" s="22">
        <f t="shared" si="250"/>
        <v>21506</v>
      </c>
      <c r="BB35" s="22">
        <f t="shared" si="250"/>
        <v>20805</v>
      </c>
      <c r="BC35" s="22">
        <f t="shared" si="250"/>
        <v>21446</v>
      </c>
      <c r="BD35" s="22">
        <f t="shared" si="250"/>
        <v>21684</v>
      </c>
      <c r="BE35" s="22">
        <f t="shared" si="250"/>
        <v>21868</v>
      </c>
      <c r="BF35" s="22">
        <f t="shared" si="250"/>
        <v>22890</v>
      </c>
      <c r="BG35" s="22">
        <f t="shared" si="250"/>
        <v>24577</v>
      </c>
      <c r="BH35" s="22">
        <f t="shared" si="250"/>
        <v>26054</v>
      </c>
      <c r="BI35" s="22">
        <f t="shared" si="250"/>
        <v>26715</v>
      </c>
      <c r="BJ35" s="22">
        <f t="shared" si="250"/>
        <v>27341</v>
      </c>
      <c r="BK35" s="22">
        <f t="shared" si="250"/>
        <v>27624</v>
      </c>
      <c r="BL35" s="22">
        <f t="shared" si="250"/>
        <v>28287</v>
      </c>
      <c r="BM35" s="22">
        <f t="shared" si="250"/>
        <v>28523</v>
      </c>
      <c r="BN35" s="22">
        <f t="shared" si="250"/>
        <v>28501</v>
      </c>
      <c r="BO35" s="22">
        <f t="shared" ref="BO35:CH35" si="251">+SUM(BO29:BO34)</f>
        <v>27952</v>
      </c>
      <c r="BP35" s="22">
        <f t="shared" si="251"/>
        <v>28356</v>
      </c>
      <c r="BQ35" s="22">
        <f t="shared" si="251"/>
        <v>29411</v>
      </c>
      <c r="BR35" s="22">
        <f t="shared" si="251"/>
        <v>30450</v>
      </c>
      <c r="BS35" s="22">
        <f t="shared" si="251"/>
        <v>32490</v>
      </c>
      <c r="BT35" s="22">
        <f t="shared" si="251"/>
        <v>33538</v>
      </c>
      <c r="BU35" s="22">
        <f t="shared" si="251"/>
        <v>35020</v>
      </c>
      <c r="BV35" s="22">
        <f t="shared" si="251"/>
        <v>36486</v>
      </c>
      <c r="BW35" s="22">
        <f t="shared" si="251"/>
        <v>39125</v>
      </c>
      <c r="BX35" s="22">
        <f t="shared" si="251"/>
        <v>40392</v>
      </c>
      <c r="BY35" s="22">
        <f t="shared" si="251"/>
        <v>42033</v>
      </c>
      <c r="BZ35" s="22">
        <f t="shared" si="251"/>
        <v>42768</v>
      </c>
      <c r="CA35" s="22">
        <f t="shared" si="251"/>
        <v>43877</v>
      </c>
      <c r="CB35" s="22">
        <f t="shared" si="251"/>
        <v>43484</v>
      </c>
      <c r="CC35" s="22">
        <f t="shared" si="251"/>
        <v>43022</v>
      </c>
      <c r="CD35" s="22">
        <f t="shared" si="251"/>
        <v>42512</v>
      </c>
      <c r="CE35" s="22">
        <f t="shared" si="251"/>
        <v>43800</v>
      </c>
      <c r="CF35" s="22">
        <f t="shared" si="251"/>
        <v>44298</v>
      </c>
      <c r="CG35" s="22">
        <f t="shared" si="251"/>
        <v>43420</v>
      </c>
      <c r="CH35" s="22">
        <f t="shared" si="251"/>
        <v>44751</v>
      </c>
      <c r="CI35" s="22">
        <f t="shared" ref="CI35:CJ35" si="252">+SUM(CI29:CI34)</f>
        <v>45836</v>
      </c>
      <c r="CJ35" s="22">
        <f t="shared" si="252"/>
        <v>46854</v>
      </c>
      <c r="CK35" s="22">
        <f t="shared" ref="CK35:CL35" si="253">+SUM(CK29:CK34)</f>
        <v>47556</v>
      </c>
      <c r="CL35" s="22">
        <f t="shared" si="253"/>
        <v>49978</v>
      </c>
      <c r="CM35" s="21">
        <f t="shared" ref="CM35:DB35" si="254">CM36*CM19</f>
        <v>50045.472414958473</v>
      </c>
      <c r="CN35" s="21">
        <f t="shared" si="254"/>
        <v>50502.293915431124</v>
      </c>
      <c r="CO35" s="21">
        <f t="shared" si="254"/>
        <v>51106.354613363816</v>
      </c>
      <c r="CP35" s="21">
        <f t="shared" si="254"/>
        <v>51767.15983138678</v>
      </c>
      <c r="CQ35" s="21">
        <f t="shared" si="254"/>
        <v>52475.975002733307</v>
      </c>
      <c r="CR35" s="21">
        <f t="shared" si="254"/>
        <v>53101.755298983837</v>
      </c>
      <c r="CS35" s="21">
        <f t="shared" si="254"/>
        <v>53772.263601992978</v>
      </c>
      <c r="CT35" s="21">
        <f t="shared" si="254"/>
        <v>54460.19019369271</v>
      </c>
      <c r="CU35" s="21">
        <f t="shared" si="254"/>
        <v>55155.058178123938</v>
      </c>
      <c r="CV35" s="21">
        <f t="shared" si="254"/>
        <v>55845.93104990133</v>
      </c>
      <c r="CW35" s="21">
        <f t="shared" si="254"/>
        <v>56553.853197486853</v>
      </c>
      <c r="CX35" s="21">
        <f t="shared" si="254"/>
        <v>57271.448790383554</v>
      </c>
      <c r="CY35" s="21">
        <f t="shared" si="254"/>
        <v>57996.651992700332</v>
      </c>
      <c r="CZ35" s="21">
        <f t="shared" si="254"/>
        <v>58729.637084523369</v>
      </c>
      <c r="DA35" s="21">
        <f t="shared" si="254"/>
        <v>59473.536301247099</v>
      </c>
      <c r="DB35" s="21">
        <f t="shared" si="254"/>
        <v>60226.711852219567</v>
      </c>
      <c r="DE35" s="126"/>
      <c r="DF35" s="22">
        <v>50752.68865105103</v>
      </c>
    </row>
    <row r="36" spans="1:110" s="44" customFormat="1" x14ac:dyDescent="0.2">
      <c r="A36" s="43" t="s">
        <v>349</v>
      </c>
      <c r="B36" s="44" t="e">
        <f t="shared" ref="B36:E36" si="255">B35/B19</f>
        <v>#DIV/0!</v>
      </c>
      <c r="C36" s="44" t="e">
        <f t="shared" si="255"/>
        <v>#DIV/0!</v>
      </c>
      <c r="D36" s="44" t="e">
        <f t="shared" si="255"/>
        <v>#DIV/0!</v>
      </c>
      <c r="E36" s="44" t="e">
        <f t="shared" si="255"/>
        <v>#DIV/0!</v>
      </c>
      <c r="F36" s="44">
        <f t="shared" ref="F36:AE36" si="256">F35/F19</f>
        <v>0.72181993687214518</v>
      </c>
      <c r="G36" s="44">
        <f t="shared" si="256"/>
        <v>0.72223290276907637</v>
      </c>
      <c r="H36" s="44">
        <f t="shared" si="256"/>
        <v>0.72497766950438325</v>
      </c>
      <c r="I36" s="44">
        <f t="shared" si="256"/>
        <v>0.74756626135302617</v>
      </c>
      <c r="J36" s="44">
        <f t="shared" si="256"/>
        <v>0.77030641918420528</v>
      </c>
      <c r="K36" s="44">
        <f t="shared" si="256"/>
        <v>0.71694719623616154</v>
      </c>
      <c r="L36" s="44">
        <f t="shared" si="256"/>
        <v>0.70426912503338968</v>
      </c>
      <c r="M36" s="44">
        <f t="shared" si="256"/>
        <v>0.71402935707838788</v>
      </c>
      <c r="N36" s="44">
        <f t="shared" si="256"/>
        <v>0.71360789134947611</v>
      </c>
      <c r="O36" s="44">
        <f t="shared" si="256"/>
        <v>0.69261512374623146</v>
      </c>
      <c r="P36" s="44">
        <f t="shared" si="256"/>
        <v>0.74134050429373288</v>
      </c>
      <c r="Q36" s="44">
        <f t="shared" si="256"/>
        <v>0.71764261914842697</v>
      </c>
      <c r="R36" s="44">
        <f t="shared" si="256"/>
        <v>0.72531068273909427</v>
      </c>
      <c r="S36" s="44">
        <f t="shared" si="256"/>
        <v>0.73516701325708345</v>
      </c>
      <c r="T36" s="44">
        <f t="shared" si="256"/>
        <v>0.72999324061367032</v>
      </c>
      <c r="U36" s="44">
        <f t="shared" si="256"/>
        <v>0.73159433956253306</v>
      </c>
      <c r="V36" s="44">
        <f t="shared" si="256"/>
        <v>0.71639754655036947</v>
      </c>
      <c r="W36" s="44">
        <f t="shared" si="256"/>
        <v>0.72321829010085836</v>
      </c>
      <c r="X36" s="44">
        <f t="shared" si="256"/>
        <v>0.73772055105607248</v>
      </c>
      <c r="Y36" s="44">
        <f t="shared" si="256"/>
        <v>0.73289800865944632</v>
      </c>
      <c r="Z36" s="44">
        <f t="shared" ref="Z36:AA36" si="257">Z35/Z19</f>
        <v>0.73580626968087604</v>
      </c>
      <c r="AA36" s="44">
        <f t="shared" si="257"/>
        <v>0.731002430520446</v>
      </c>
      <c r="AB36" s="52">
        <f t="shared" si="256"/>
        <v>0.71052845283879951</v>
      </c>
      <c r="AC36" s="52">
        <f t="shared" si="256"/>
        <v>0.71016571386452709</v>
      </c>
      <c r="AD36" s="52">
        <f t="shared" si="256"/>
        <v>0.71010837427818951</v>
      </c>
      <c r="AE36" s="52">
        <f t="shared" si="256"/>
        <v>0.71010077026734786</v>
      </c>
      <c r="AI36" s="44">
        <f t="shared" ref="AI36:BN36" si="258">AI35/AI19</f>
        <v>0.51806434670550716</v>
      </c>
      <c r="AJ36" s="44">
        <f t="shared" si="258"/>
        <v>0.51594129603252081</v>
      </c>
      <c r="AK36" s="44">
        <f t="shared" si="258"/>
        <v>0.51249585846904011</v>
      </c>
      <c r="AL36" s="44">
        <f t="shared" si="258"/>
        <v>0.52172447016419266</v>
      </c>
      <c r="AM36" s="44">
        <f t="shared" si="258"/>
        <v>0.51907658032977189</v>
      </c>
      <c r="AN36" s="44">
        <f t="shared" si="258"/>
        <v>0.49174656187651394</v>
      </c>
      <c r="AO36" s="44">
        <f t="shared" si="258"/>
        <v>0.48316564885066005</v>
      </c>
      <c r="AP36" s="44">
        <f t="shared" si="258"/>
        <v>0.4816865411447866</v>
      </c>
      <c r="AQ36" s="44">
        <f t="shared" si="258"/>
        <v>0.50399958753617546</v>
      </c>
      <c r="AR36" s="44">
        <f t="shared" si="258"/>
        <v>0.50327420340873219</v>
      </c>
      <c r="AS36" s="44">
        <f t="shared" si="258"/>
        <v>0.50706742625037038</v>
      </c>
      <c r="AT36" s="44">
        <f t="shared" si="258"/>
        <v>0.62051151621651079</v>
      </c>
      <c r="AU36" s="44">
        <f t="shared" si="258"/>
        <v>0.7194561321489793</v>
      </c>
      <c r="AV36" s="44">
        <f t="shared" si="258"/>
        <v>0.71205595435302782</v>
      </c>
      <c r="AW36" s="44">
        <f t="shared" si="258"/>
        <v>0.71689080543780148</v>
      </c>
      <c r="AX36" s="44">
        <f t="shared" si="258"/>
        <v>0.72206404443038419</v>
      </c>
      <c r="AY36" s="44">
        <f t="shared" si="258"/>
        <v>0.73257123357788778</v>
      </c>
      <c r="AZ36" s="44">
        <f t="shared" si="258"/>
        <v>0.72295451441059966</v>
      </c>
      <c r="BA36" s="44">
        <f t="shared" si="258"/>
        <v>0.72325542290230371</v>
      </c>
      <c r="BB36" s="44">
        <f t="shared" si="258"/>
        <v>0.70187571688819916</v>
      </c>
      <c r="BC36" s="44">
        <f t="shared" si="258"/>
        <v>0.72491887506760411</v>
      </c>
      <c r="BD36" s="44">
        <f t="shared" si="258"/>
        <v>0.70999639828427363</v>
      </c>
      <c r="BE36" s="44">
        <f t="shared" si="258"/>
        <v>0.7076106652860471</v>
      </c>
      <c r="BF36" s="44">
        <f t="shared" si="258"/>
        <v>0.71363990646921283</v>
      </c>
      <c r="BG36" s="44">
        <f t="shared" si="258"/>
        <v>0.71734625375791716</v>
      </c>
      <c r="BH36" s="44">
        <f t="shared" si="258"/>
        <v>0.70695175557605683</v>
      </c>
      <c r="BI36" s="44">
        <f t="shared" si="258"/>
        <v>0.71549092077775989</v>
      </c>
      <c r="BJ36" s="44">
        <f t="shared" si="258"/>
        <v>0.71931070770849781</v>
      </c>
      <c r="BK36" s="44">
        <f t="shared" si="258"/>
        <v>0.72367180132033948</v>
      </c>
      <c r="BL36" s="44">
        <f t="shared" si="258"/>
        <v>0.72573569027888241</v>
      </c>
      <c r="BM36" s="44">
        <f t="shared" si="258"/>
        <v>0.71568725849350123</v>
      </c>
      <c r="BN36" s="44">
        <f t="shared" si="258"/>
        <v>0.71348820908226107</v>
      </c>
      <c r="BO36" s="44">
        <f t="shared" ref="BO36:CH36" si="259">BO35/BO19</f>
        <v>0.72939825687594595</v>
      </c>
      <c r="BP36" s="44">
        <f t="shared" si="259"/>
        <v>0.70651551015323288</v>
      </c>
      <c r="BQ36" s="44">
        <f t="shared" si="259"/>
        <v>0.70001190051172202</v>
      </c>
      <c r="BR36" s="44">
        <f t="shared" si="259"/>
        <v>0.69671662281203528</v>
      </c>
      <c r="BS36" s="44">
        <f t="shared" si="259"/>
        <v>0.71546541586840195</v>
      </c>
      <c r="BT36" s="44">
        <f t="shared" si="259"/>
        <v>0.7155994623082339</v>
      </c>
      <c r="BU36" s="44">
        <f t="shared" si="259"/>
        <v>0.71637516620640274</v>
      </c>
      <c r="BV36" s="44">
        <f t="shared" si="259"/>
        <v>0.72119546954991998</v>
      </c>
      <c r="BW36" s="44">
        <f t="shared" si="259"/>
        <v>0.74159369195193148</v>
      </c>
      <c r="BX36" s="44">
        <f t="shared" si="259"/>
        <v>0.73029705834493486</v>
      </c>
      <c r="BY36" s="44">
        <f t="shared" si="259"/>
        <v>0.72185680674577957</v>
      </c>
      <c r="BZ36" s="44">
        <f t="shared" si="259"/>
        <v>0.72289645380480716</v>
      </c>
      <c r="CA36" s="44">
        <f t="shared" si="259"/>
        <v>0.7389063841969653</v>
      </c>
      <c r="CB36" s="44">
        <f t="shared" si="259"/>
        <v>0.72847282717952155</v>
      </c>
      <c r="CC36" s="44">
        <f t="shared" si="259"/>
        <v>0.71013320568476301</v>
      </c>
      <c r="CD36" s="44">
        <f t="shared" si="259"/>
        <v>0.69422081421362902</v>
      </c>
      <c r="CE36" s="44">
        <f t="shared" si="259"/>
        <v>0.69953524028556369</v>
      </c>
      <c r="CF36" s="44">
        <f t="shared" si="259"/>
        <v>0.6893664700664498</v>
      </c>
      <c r="CG36" s="44">
        <f t="shared" si="259"/>
        <v>0.6787238366185735</v>
      </c>
      <c r="CH36" s="44">
        <f t="shared" si="259"/>
        <v>0.69403991997394499</v>
      </c>
      <c r="CI36" s="44">
        <f t="shared" ref="CI36:CJ36" si="260">CI35/CI19</f>
        <v>0.72254362595961352</v>
      </c>
      <c r="CJ36" s="44">
        <f t="shared" si="260"/>
        <v>0.71207769115032138</v>
      </c>
      <c r="CK36" s="44">
        <f t="shared" ref="CK36:CL36" si="261">CK35/CK19</f>
        <v>0.70887057104953266</v>
      </c>
      <c r="CL36" s="44">
        <f t="shared" si="261"/>
        <v>0.70692240233104187</v>
      </c>
      <c r="CM36" s="52">
        <f t="shared" ref="CM36:DB36" si="262">AVERAGE(CI36:CL36)</f>
        <v>0.71260357262262741</v>
      </c>
      <c r="CN36" s="52">
        <f t="shared" si="262"/>
        <v>0.71011855928838075</v>
      </c>
      <c r="CO36" s="52">
        <f t="shared" si="262"/>
        <v>0.70962877632289567</v>
      </c>
      <c r="CP36" s="52">
        <f t="shared" si="262"/>
        <v>0.70981832764123642</v>
      </c>
      <c r="CQ36" s="52">
        <f>AVERAGE(CM36:CP36)</f>
        <v>0.71054230896878501</v>
      </c>
      <c r="CR36" s="52">
        <f t="shared" ref="CR36:CT36" si="263">AVERAGE(CN36:CQ36)</f>
        <v>0.71002699305532446</v>
      </c>
      <c r="CS36" s="52">
        <f t="shared" si="263"/>
        <v>0.71000410149706039</v>
      </c>
      <c r="CT36" s="52">
        <f t="shared" si="263"/>
        <v>0.71009793279060163</v>
      </c>
      <c r="CU36" s="52">
        <f t="shared" si="262"/>
        <v>0.71016783407794293</v>
      </c>
      <c r="CV36" s="52">
        <f t="shared" si="262"/>
        <v>0.71007421535523241</v>
      </c>
      <c r="CW36" s="52">
        <f t="shared" si="262"/>
        <v>0.71008602093020934</v>
      </c>
      <c r="CX36" s="52">
        <f t="shared" si="262"/>
        <v>0.71010650078849658</v>
      </c>
      <c r="CY36" s="52">
        <f t="shared" si="262"/>
        <v>0.71010864278797037</v>
      </c>
      <c r="CZ36" s="52">
        <f t="shared" si="262"/>
        <v>0.71009384496547723</v>
      </c>
      <c r="DA36" s="52">
        <f t="shared" si="262"/>
        <v>0.71009875236803832</v>
      </c>
      <c r="DB36" s="52">
        <f t="shared" si="262"/>
        <v>0.71010193522749565</v>
      </c>
      <c r="DE36" s="128"/>
      <c r="DF36" s="44">
        <v>0.74485209963502075</v>
      </c>
    </row>
    <row r="37" spans="1:110" s="26" customFormat="1" x14ac:dyDescent="0.2">
      <c r="A37" s="34" t="s">
        <v>13</v>
      </c>
      <c r="B37" s="26">
        <f t="shared" ref="B37:E37" si="264">B25-B35</f>
        <v>0</v>
      </c>
      <c r="C37" s="26">
        <f t="shared" si="264"/>
        <v>0</v>
      </c>
      <c r="D37" s="26">
        <f t="shared" si="264"/>
        <v>0</v>
      </c>
      <c r="E37" s="26">
        <f t="shared" si="264"/>
        <v>-0.03</v>
      </c>
      <c r="F37" s="26">
        <f t="shared" ref="F37:AE37" si="265">F25-F35</f>
        <v>2711.829999999999</v>
      </c>
      <c r="G37" s="26">
        <f t="shared" si="265"/>
        <v>3684.2999999999993</v>
      </c>
      <c r="H37" s="26">
        <f t="shared" si="265"/>
        <v>5138.850000000004</v>
      </c>
      <c r="I37" s="26">
        <f t="shared" si="265"/>
        <v>5709.9299999999967</v>
      </c>
      <c r="J37" s="26">
        <f t="shared" si="265"/>
        <v>6388.4399999999987</v>
      </c>
      <c r="K37" s="26">
        <f t="shared" si="265"/>
        <v>8499.7700000000041</v>
      </c>
      <c r="L37" s="26">
        <f t="shared" si="265"/>
        <v>11038.009999999998</v>
      </c>
      <c r="M37" s="26">
        <f t="shared" si="265"/>
        <v>13982.200000000004</v>
      </c>
      <c r="N37" s="26">
        <f t="shared" si="265"/>
        <v>18039.690000000002</v>
      </c>
      <c r="O37" s="26">
        <f t="shared" si="265"/>
        <v>25146.959999999999</v>
      </c>
      <c r="P37" s="26">
        <f t="shared" si="265"/>
        <v>24481.710000000006</v>
      </c>
      <c r="Q37" s="26">
        <f t="shared" si="265"/>
        <v>30677</v>
      </c>
      <c r="R37" s="26">
        <f t="shared" si="265"/>
        <v>32311</v>
      </c>
      <c r="S37" s="26">
        <f t="shared" si="265"/>
        <v>32516</v>
      </c>
      <c r="T37" s="26">
        <f t="shared" si="265"/>
        <v>39506</v>
      </c>
      <c r="U37" s="26">
        <f t="shared" si="265"/>
        <v>42109</v>
      </c>
      <c r="V37" s="26">
        <f t="shared" si="265"/>
        <v>46546</v>
      </c>
      <c r="W37" s="26">
        <f t="shared" si="265"/>
        <v>53048</v>
      </c>
      <c r="X37" s="26">
        <f t="shared" si="265"/>
        <v>59098</v>
      </c>
      <c r="Y37" s="26">
        <f t="shared" si="265"/>
        <v>64296</v>
      </c>
      <c r="Z37" s="26">
        <f t="shared" ref="Z37:AA37" si="266">Z25-Z35</f>
        <v>67407</v>
      </c>
      <c r="AA37" s="26">
        <f t="shared" si="266"/>
        <v>71787</v>
      </c>
      <c r="AB37" s="27">
        <f t="shared" si="265"/>
        <v>77835.960215589817</v>
      </c>
      <c r="AC37" s="27">
        <f t="shared" si="265"/>
        <v>81887.487592025544</v>
      </c>
      <c r="AD37" s="27">
        <f t="shared" si="265"/>
        <v>86118.009557702055</v>
      </c>
      <c r="AE37" s="27">
        <f t="shared" si="265"/>
        <v>90562.7902886417</v>
      </c>
      <c r="AI37" s="26">
        <f t="shared" ref="AI37:BN37" si="267">AI25-AI35</f>
        <v>4230.1399999999994</v>
      </c>
      <c r="AJ37" s="26">
        <f t="shared" si="267"/>
        <v>4438.1099999999997</v>
      </c>
      <c r="AK37" s="26">
        <f t="shared" si="267"/>
        <v>4587.0600000000013</v>
      </c>
      <c r="AL37" s="26">
        <f t="shared" si="267"/>
        <v>4617.42</v>
      </c>
      <c r="AM37" s="26">
        <f t="shared" si="267"/>
        <v>5039.7100000000009</v>
      </c>
      <c r="AN37" s="26">
        <f t="shared" si="267"/>
        <v>6255.6100000000006</v>
      </c>
      <c r="AO37" s="26">
        <f t="shared" si="267"/>
        <v>6686.76</v>
      </c>
      <c r="AP37" s="26">
        <f t="shared" si="267"/>
        <v>6688.9600000000028</v>
      </c>
      <c r="AQ37" s="26">
        <f t="shared" si="267"/>
        <v>6352.5499999999993</v>
      </c>
      <c r="AR37" s="26">
        <f t="shared" si="267"/>
        <v>6800.3999999999978</v>
      </c>
      <c r="AS37" s="26">
        <f t="shared" si="267"/>
        <v>7048.0099999999984</v>
      </c>
      <c r="AT37" s="26">
        <f t="shared" si="267"/>
        <v>4280.75</v>
      </c>
      <c r="AU37" s="26">
        <f t="shared" si="267"/>
        <v>7201</v>
      </c>
      <c r="AV37" s="26">
        <f t="shared" si="267"/>
        <v>7822</v>
      </c>
      <c r="AW37" s="26">
        <f t="shared" si="267"/>
        <v>7747</v>
      </c>
      <c r="AX37" s="26">
        <f t="shared" si="267"/>
        <v>7907</v>
      </c>
      <c r="AY37" s="26">
        <f t="shared" si="267"/>
        <v>7837</v>
      </c>
      <c r="AZ37" s="26">
        <f t="shared" si="267"/>
        <v>8113</v>
      </c>
      <c r="BA37" s="26">
        <f t="shared" si="267"/>
        <v>8229</v>
      </c>
      <c r="BB37" s="26">
        <f t="shared" si="267"/>
        <v>8132</v>
      </c>
      <c r="BC37" s="26">
        <f t="shared" si="267"/>
        <v>7413</v>
      </c>
      <c r="BD37" s="26">
        <f t="shared" si="267"/>
        <v>8164</v>
      </c>
      <c r="BE37" s="26">
        <f t="shared" si="267"/>
        <v>8287</v>
      </c>
      <c r="BF37" s="26">
        <f t="shared" si="267"/>
        <v>8652</v>
      </c>
      <c r="BG37" s="26">
        <f t="shared" si="267"/>
        <v>9071</v>
      </c>
      <c r="BH37" s="26">
        <f t="shared" si="267"/>
        <v>10278</v>
      </c>
      <c r="BI37" s="26">
        <f t="shared" si="267"/>
        <v>10083</v>
      </c>
      <c r="BJ37" s="26">
        <f t="shared" si="267"/>
        <v>10074</v>
      </c>
      <c r="BK37" s="26">
        <f t="shared" si="267"/>
        <v>10037</v>
      </c>
      <c r="BL37" s="26">
        <f t="shared" si="267"/>
        <v>10225</v>
      </c>
      <c r="BM37" s="26">
        <f t="shared" si="267"/>
        <v>10871</v>
      </c>
      <c r="BN37" s="26">
        <f t="shared" si="267"/>
        <v>10976</v>
      </c>
      <c r="BO37" s="26">
        <f t="shared" ref="BO37:CT37" si="268">BO25-BO35</f>
        <v>10024</v>
      </c>
      <c r="BP37" s="26">
        <f t="shared" si="268"/>
        <v>11513</v>
      </c>
      <c r="BQ37" s="26">
        <f t="shared" si="268"/>
        <v>12208</v>
      </c>
      <c r="BR37" s="26">
        <f t="shared" si="268"/>
        <v>12801</v>
      </c>
      <c r="BS37" s="26">
        <f t="shared" si="268"/>
        <v>12663</v>
      </c>
      <c r="BT37" s="26">
        <f t="shared" si="268"/>
        <v>13116</v>
      </c>
      <c r="BU37" s="26">
        <f t="shared" si="268"/>
        <v>13433</v>
      </c>
      <c r="BV37" s="26">
        <f t="shared" si="268"/>
        <v>13845</v>
      </c>
      <c r="BW37" s="26">
        <f t="shared" si="268"/>
        <v>13416</v>
      </c>
      <c r="BX37" s="26">
        <f t="shared" si="268"/>
        <v>14516</v>
      </c>
      <c r="BY37" s="26">
        <f t="shared" si="268"/>
        <v>15553</v>
      </c>
      <c r="BZ37" s="26">
        <f t="shared" si="268"/>
        <v>15774</v>
      </c>
      <c r="CA37" s="26">
        <f t="shared" si="268"/>
        <v>14998</v>
      </c>
      <c r="CB37" s="26">
        <f t="shared" si="268"/>
        <v>15746</v>
      </c>
      <c r="CC37" s="26">
        <f t="shared" si="268"/>
        <v>16388</v>
      </c>
      <c r="CD37" s="26">
        <f t="shared" si="268"/>
        <v>17164</v>
      </c>
      <c r="CE37" s="26">
        <f t="shared" si="268"/>
        <v>16662</v>
      </c>
      <c r="CF37" s="26">
        <f t="shared" si="268"/>
        <v>16731</v>
      </c>
      <c r="CG37" s="26">
        <f t="shared" si="268"/>
        <v>17034</v>
      </c>
      <c r="CH37" s="26">
        <f t="shared" si="268"/>
        <v>16980</v>
      </c>
      <c r="CI37" s="26">
        <f t="shared" ref="CI37:CJ37" si="269">CI25-CI35</f>
        <v>16875</v>
      </c>
      <c r="CJ37" s="26">
        <f t="shared" si="269"/>
        <v>17978</v>
      </c>
      <c r="CK37" s="26">
        <f t="shared" ref="CK37:CL37" si="270">CK25-CK35</f>
        <v>18269</v>
      </c>
      <c r="CL37" s="26">
        <f t="shared" si="270"/>
        <v>19276</v>
      </c>
      <c r="CM37" s="27">
        <f t="shared" si="268"/>
        <v>19035.737149576635</v>
      </c>
      <c r="CN37" s="27">
        <f t="shared" si="268"/>
        <v>19366.333082310353</v>
      </c>
      <c r="CO37" s="27">
        <f t="shared" si="268"/>
        <v>19595.048656506682</v>
      </c>
      <c r="CP37" s="27">
        <f t="shared" si="268"/>
        <v>19838.841327196111</v>
      </c>
      <c r="CQ37" s="27">
        <f t="shared" si="268"/>
        <v>20078.40607576906</v>
      </c>
      <c r="CR37" s="27">
        <f t="shared" si="268"/>
        <v>20347.848919586184</v>
      </c>
      <c r="CS37" s="27">
        <f t="shared" si="268"/>
        <v>20600.901638006049</v>
      </c>
      <c r="CT37" s="27">
        <f t="shared" si="268"/>
        <v>20860.330958664206</v>
      </c>
      <c r="CU37" s="27">
        <f t="shared" ref="CU37:DB37" si="271">CU25-CU35</f>
        <v>21123.817960332417</v>
      </c>
      <c r="CV37" s="27">
        <f t="shared" si="271"/>
        <v>21393.56687387752</v>
      </c>
      <c r="CW37" s="27">
        <f t="shared" si="271"/>
        <v>21663.287818536744</v>
      </c>
      <c r="CX37" s="27">
        <f t="shared" si="271"/>
        <v>21937.336904955358</v>
      </c>
      <c r="CY37" s="27">
        <f t="shared" si="271"/>
        <v>22215.16701500785</v>
      </c>
      <c r="CZ37" s="27">
        <f t="shared" si="271"/>
        <v>22496.702959965034</v>
      </c>
      <c r="DA37" s="27">
        <f t="shared" si="271"/>
        <v>22781.262731397328</v>
      </c>
      <c r="DB37" s="27">
        <f t="shared" si="271"/>
        <v>23069.657582271451</v>
      </c>
      <c r="DE37" s="121"/>
      <c r="DF37" s="26">
        <v>15893.532248700525</v>
      </c>
    </row>
    <row r="38" spans="1:110" s="168" customFormat="1" x14ac:dyDescent="0.2">
      <c r="A38" s="165" t="s">
        <v>14</v>
      </c>
      <c r="B38" s="166" t="e">
        <f t="shared" ref="B38:E38" si="272">B37/B19</f>
        <v>#DIV/0!</v>
      </c>
      <c r="C38" s="166" t="e">
        <f t="shared" si="272"/>
        <v>#DIV/0!</v>
      </c>
      <c r="D38" s="166" t="e">
        <f t="shared" si="272"/>
        <v>#DIV/0!</v>
      </c>
      <c r="E38" s="166" t="e">
        <f t="shared" si="272"/>
        <v>#DIV/0!</v>
      </c>
      <c r="F38" s="166">
        <f t="shared" ref="F38:AE38" si="273">F37/F19</f>
        <v>0.27818006312785487</v>
      </c>
      <c r="G38" s="166">
        <f t="shared" si="273"/>
        <v>0.27776709723092369</v>
      </c>
      <c r="H38" s="166">
        <f t="shared" si="273"/>
        <v>0.27502233049561675</v>
      </c>
      <c r="I38" s="166">
        <f t="shared" si="273"/>
        <v>0.25243373864697383</v>
      </c>
      <c r="J38" s="166">
        <f t="shared" si="273"/>
        <v>0.22969358081579466</v>
      </c>
      <c r="K38" s="166">
        <f t="shared" si="273"/>
        <v>0.28305280376383846</v>
      </c>
      <c r="L38" s="166">
        <f t="shared" si="273"/>
        <v>0.29573087496661038</v>
      </c>
      <c r="M38" s="166">
        <f t="shared" si="273"/>
        <v>0.28597064292161206</v>
      </c>
      <c r="N38" s="166">
        <f t="shared" si="273"/>
        <v>0.28639210865052389</v>
      </c>
      <c r="O38" s="166">
        <f t="shared" si="273"/>
        <v>0.30738487625376848</v>
      </c>
      <c r="P38" s="166">
        <f t="shared" si="273"/>
        <v>0.25865949570626706</v>
      </c>
      <c r="Q38" s="166">
        <f t="shared" si="273"/>
        <v>0.28235738085157303</v>
      </c>
      <c r="R38" s="166">
        <f t="shared" si="273"/>
        <v>0.27390095451231711</v>
      </c>
      <c r="S38" s="166">
        <f t="shared" si="273"/>
        <v>0.26413439043410447</v>
      </c>
      <c r="T38" s="166">
        <f t="shared" si="273"/>
        <v>0.26973365286795981</v>
      </c>
      <c r="U38" s="166">
        <f t="shared" si="273"/>
        <v>0.26829734499741953</v>
      </c>
      <c r="V38" s="166">
        <f t="shared" si="273"/>
        <v>0.28351108864213626</v>
      </c>
      <c r="W38" s="166">
        <f t="shared" si="273"/>
        <v>0.27664611950728535</v>
      </c>
      <c r="X38" s="166">
        <f t="shared" si="273"/>
        <v>0.26212420938711423</v>
      </c>
      <c r="Y38" s="166">
        <f t="shared" si="273"/>
        <v>0.26690688396923118</v>
      </c>
      <c r="Z38" s="166">
        <f t="shared" ref="Z38:AA38" si="274">Z37/Z19</f>
        <v>0.26400573389105608</v>
      </c>
      <c r="AA38" s="166">
        <f t="shared" si="274"/>
        <v>0.26884402350376935</v>
      </c>
      <c r="AB38" s="167">
        <f t="shared" si="273"/>
        <v>0.27187256011989525</v>
      </c>
      <c r="AC38" s="167">
        <f t="shared" si="273"/>
        <v>0.27198744684617582</v>
      </c>
      <c r="AD38" s="167">
        <f t="shared" si="273"/>
        <v>0.27200163927611742</v>
      </c>
      <c r="AE38" s="167">
        <f t="shared" si="273"/>
        <v>0.27200291428697071</v>
      </c>
      <c r="AI38" s="166">
        <f t="shared" ref="AI38:BN38" si="275">AI37/AI19</f>
        <v>0.28630466681466477</v>
      </c>
      <c r="AJ38" s="166">
        <f t="shared" si="275"/>
        <v>0.28411631963894179</v>
      </c>
      <c r="AK38" s="166">
        <f t="shared" si="275"/>
        <v>0.28675397743256348</v>
      </c>
      <c r="AL38" s="166">
        <f t="shared" si="275"/>
        <v>0.28103437047514651</v>
      </c>
      <c r="AM38" s="166">
        <f t="shared" si="275"/>
        <v>0.28182104899382981</v>
      </c>
      <c r="AN38" s="166">
        <f t="shared" si="275"/>
        <v>0.30367186248476935</v>
      </c>
      <c r="AO38" s="166">
        <f t="shared" si="275"/>
        <v>0.31402144082171662</v>
      </c>
      <c r="AP38" s="166">
        <f t="shared" si="275"/>
        <v>0.31037687652921514</v>
      </c>
      <c r="AQ38" s="166">
        <f t="shared" si="275"/>
        <v>0.28730231020445451</v>
      </c>
      <c r="AR38" s="166">
        <f t="shared" si="275"/>
        <v>0.28553337856811745</v>
      </c>
      <c r="AS38" s="166">
        <f t="shared" si="275"/>
        <v>0.28766049253218418</v>
      </c>
      <c r="AT38" s="166">
        <f t="shared" si="275"/>
        <v>0.17674617750134602</v>
      </c>
      <c r="AU38" s="166">
        <f t="shared" si="275"/>
        <v>0.2805438678510207</v>
      </c>
      <c r="AV38" s="166">
        <f t="shared" si="275"/>
        <v>0.28794404564697218</v>
      </c>
      <c r="AW38" s="166">
        <f t="shared" si="275"/>
        <v>0.28310919456219852</v>
      </c>
      <c r="AX38" s="166">
        <f t="shared" si="275"/>
        <v>0.27793595556961581</v>
      </c>
      <c r="AY38" s="166">
        <f t="shared" si="275"/>
        <v>0.26742876642211227</v>
      </c>
      <c r="AZ38" s="166">
        <f t="shared" si="275"/>
        <v>0.27704548558940034</v>
      </c>
      <c r="BA38" s="166">
        <f t="shared" si="275"/>
        <v>0.27674457709769634</v>
      </c>
      <c r="BB38" s="166">
        <f t="shared" si="275"/>
        <v>0.27434046285675728</v>
      </c>
      <c r="BC38" s="166">
        <f t="shared" si="275"/>
        <v>0.25057463493780424</v>
      </c>
      <c r="BD38" s="166">
        <f t="shared" si="275"/>
        <v>0.26731279263940277</v>
      </c>
      <c r="BE38" s="166">
        <f t="shared" si="275"/>
        <v>0.26815298990421954</v>
      </c>
      <c r="BF38" s="166">
        <f t="shared" si="275"/>
        <v>0.26974279033515197</v>
      </c>
      <c r="BG38" s="166">
        <f t="shared" si="275"/>
        <v>0.2647616823793818</v>
      </c>
      <c r="BH38" s="166">
        <f t="shared" si="275"/>
        <v>0.27888424594345257</v>
      </c>
      <c r="BI38" s="166">
        <f t="shared" si="275"/>
        <v>0.27004660131769243</v>
      </c>
      <c r="BJ38" s="166">
        <f t="shared" si="275"/>
        <v>0.26503551696921862</v>
      </c>
      <c r="BK38" s="166">
        <f t="shared" si="275"/>
        <v>0.26294142303258933</v>
      </c>
      <c r="BL38" s="166">
        <f t="shared" si="275"/>
        <v>0.26233419709059191</v>
      </c>
      <c r="BM38" s="166">
        <f t="shared" si="275"/>
        <v>0.27277061273648817</v>
      </c>
      <c r="BN38" s="166">
        <f t="shared" si="275"/>
        <v>0.27477094077003955</v>
      </c>
      <c r="BO38" s="166">
        <f t="shared" ref="BO38:CT38" si="276">BO37/BO19</f>
        <v>0.26157298679609625</v>
      </c>
      <c r="BP38" s="166">
        <f t="shared" si="276"/>
        <v>0.28685685810389933</v>
      </c>
      <c r="BQ38" s="166">
        <f t="shared" si="276"/>
        <v>0.29056289420445081</v>
      </c>
      <c r="BR38" s="166">
        <f t="shared" si="276"/>
        <v>0.29289554970827136</v>
      </c>
      <c r="BS38" s="166">
        <f t="shared" si="276"/>
        <v>0.27885314130937439</v>
      </c>
      <c r="BT38" s="166">
        <f t="shared" si="276"/>
        <v>0.27985576205005652</v>
      </c>
      <c r="BU38" s="166">
        <f t="shared" si="276"/>
        <v>0.27478776720875525</v>
      </c>
      <c r="BV38" s="166">
        <f t="shared" si="276"/>
        <v>0.27366527643256705</v>
      </c>
      <c r="BW38" s="166">
        <f t="shared" si="276"/>
        <v>0.25429318776299331</v>
      </c>
      <c r="BX38" s="166">
        <f t="shared" si="276"/>
        <v>0.26245276537272416</v>
      </c>
      <c r="BY38" s="166">
        <f t="shared" si="276"/>
        <v>0.2671005856188497</v>
      </c>
      <c r="BZ38" s="166">
        <f t="shared" si="276"/>
        <v>0.26662384638788411</v>
      </c>
      <c r="CA38" s="166">
        <f t="shared" si="276"/>
        <v>0.25257237163402435</v>
      </c>
      <c r="CB38" s="166">
        <f t="shared" si="276"/>
        <v>0.26378744220331035</v>
      </c>
      <c r="CC38" s="166">
        <f t="shared" si="276"/>
        <v>0.27050492712477098</v>
      </c>
      <c r="CD38" s="166">
        <f t="shared" si="276"/>
        <v>0.28028806113950716</v>
      </c>
      <c r="CE38" s="166">
        <f t="shared" si="276"/>
        <v>0.26611087154424801</v>
      </c>
      <c r="CF38" s="166">
        <f t="shared" si="276"/>
        <v>0.2603681974509407</v>
      </c>
      <c r="CG38" s="166">
        <f t="shared" si="276"/>
        <v>0.26626858205805576</v>
      </c>
      <c r="CH38" s="166">
        <f t="shared" si="276"/>
        <v>0.2633415530637882</v>
      </c>
      <c r="CI38" s="166">
        <f t="shared" ref="CI38:CJ38" si="277">CI37/CI19</f>
        <v>0.26601194886265112</v>
      </c>
      <c r="CJ38" s="166">
        <f t="shared" si="277"/>
        <v>0.27322603686986124</v>
      </c>
      <c r="CK38" s="166">
        <f t="shared" ref="CK38:CL38" si="278">CK37/CK19</f>
        <v>0.27231803479064498</v>
      </c>
      <c r="CL38" s="166">
        <f t="shared" si="278"/>
        <v>0.27265269173102491</v>
      </c>
      <c r="CM38" s="167">
        <f t="shared" si="276"/>
        <v>0.27105217806354553</v>
      </c>
      <c r="CN38" s="167">
        <f t="shared" si="276"/>
        <v>0.27231223536376931</v>
      </c>
      <c r="CO38" s="167">
        <f t="shared" si="276"/>
        <v>0.27208378498724617</v>
      </c>
      <c r="CP38" s="167">
        <f t="shared" si="276"/>
        <v>0.27202522253639644</v>
      </c>
      <c r="CQ38" s="167">
        <f t="shared" si="276"/>
        <v>0.27186835523773933</v>
      </c>
      <c r="CR38" s="167">
        <f t="shared" si="276"/>
        <v>0.27207239953128781</v>
      </c>
      <c r="CS38" s="167">
        <f t="shared" si="276"/>
        <v>0.27201244057316737</v>
      </c>
      <c r="CT38" s="167">
        <f t="shared" si="276"/>
        <v>0.27199460446964779</v>
      </c>
      <c r="CU38" s="167">
        <f t="shared" ref="CU38:DB38" si="279">CU37/CU19</f>
        <v>0.27198694995296058</v>
      </c>
      <c r="CV38" s="167">
        <f t="shared" si="279"/>
        <v>0.27201659863176569</v>
      </c>
      <c r="CW38" s="167">
        <f t="shared" si="279"/>
        <v>0.27200264840688548</v>
      </c>
      <c r="CX38" s="167">
        <f t="shared" si="279"/>
        <v>0.27200020036531486</v>
      </c>
      <c r="CY38" s="167">
        <f t="shared" si="279"/>
        <v>0.2720015993392314</v>
      </c>
      <c r="CZ38" s="167">
        <f t="shared" si="279"/>
        <v>0.27200526168579936</v>
      </c>
      <c r="DA38" s="167">
        <f t="shared" si="279"/>
        <v>0.27200242744930769</v>
      </c>
      <c r="DB38" s="167">
        <f t="shared" si="279"/>
        <v>0.27200237220991336</v>
      </c>
      <c r="DE38" s="169"/>
      <c r="DF38" s="168">
        <v>0.23325524579506865</v>
      </c>
    </row>
    <row r="39" spans="1:110" s="38" customFormat="1" x14ac:dyDescent="0.2">
      <c r="A39" s="39" t="s">
        <v>449</v>
      </c>
      <c r="B39" s="39"/>
      <c r="C39" s="39" t="e">
        <f t="shared" ref="C39:E39" si="280">+IF(B37&lt;0,1-C37/B37,C37/B37-1)</f>
        <v>#DIV/0!</v>
      </c>
      <c r="D39" s="39" t="e">
        <f t="shared" si="280"/>
        <v>#DIV/0!</v>
      </c>
      <c r="E39" s="39" t="e">
        <f t="shared" si="280"/>
        <v>#DIV/0!</v>
      </c>
      <c r="F39" s="39">
        <f t="shared" ref="F39:Y39" si="281">+IF(E37&lt;0,1-F37/E37,F37/E37-1)</f>
        <v>90395.333333333299</v>
      </c>
      <c r="G39" s="39">
        <f t="shared" si="281"/>
        <v>0.35860286227381533</v>
      </c>
      <c r="H39" s="39">
        <f t="shared" si="281"/>
        <v>0.39479684064815701</v>
      </c>
      <c r="I39" s="39">
        <f t="shared" si="281"/>
        <v>0.11112992206427363</v>
      </c>
      <c r="J39" s="39">
        <f t="shared" si="281"/>
        <v>0.11882982803642128</v>
      </c>
      <c r="K39" s="39">
        <f t="shared" si="281"/>
        <v>0.33049226415212574</v>
      </c>
      <c r="L39" s="39">
        <f t="shared" si="281"/>
        <v>0.29862455101726204</v>
      </c>
      <c r="M39" s="39">
        <f t="shared" si="281"/>
        <v>0.26673195621312229</v>
      </c>
      <c r="N39" s="39">
        <f t="shared" si="281"/>
        <v>0.29018966972293314</v>
      </c>
      <c r="O39" s="39">
        <f t="shared" si="281"/>
        <v>0.39397960829703815</v>
      </c>
      <c r="P39" s="39">
        <f t="shared" si="281"/>
        <v>-2.6454489926416302E-2</v>
      </c>
      <c r="Q39" s="39">
        <f t="shared" si="281"/>
        <v>0.25305789505716692</v>
      </c>
      <c r="R39" s="39">
        <f t="shared" si="281"/>
        <v>5.3264660820810272E-2</v>
      </c>
      <c r="S39" s="39">
        <f t="shared" si="281"/>
        <v>6.3445885302217953E-3</v>
      </c>
      <c r="T39" s="39">
        <f t="shared" si="281"/>
        <v>0.21497109115512369</v>
      </c>
      <c r="U39" s="39">
        <f t="shared" si="281"/>
        <v>6.5888725763175282E-2</v>
      </c>
      <c r="V39" s="39">
        <f t="shared" si="281"/>
        <v>0.10536939846588611</v>
      </c>
      <c r="W39" s="39">
        <f t="shared" si="281"/>
        <v>0.13968976926051657</v>
      </c>
      <c r="X39" s="39">
        <f t="shared" si="281"/>
        <v>0.11404765495400393</v>
      </c>
      <c r="Y39" s="39">
        <f t="shared" si="281"/>
        <v>8.7955599174252885E-2</v>
      </c>
      <c r="Z39" s="39">
        <f t="shared" ref="Z39:AE39" si="282">+IF(Y37&lt;0,1-Z37/Y37,Z37/Y37-1)</f>
        <v>4.8385591638671066E-2</v>
      </c>
      <c r="AA39" s="39">
        <f t="shared" si="282"/>
        <v>6.4978414704704335E-2</v>
      </c>
      <c r="AB39" s="40">
        <f t="shared" si="282"/>
        <v>8.4262613225093874E-2</v>
      </c>
      <c r="AC39" s="40">
        <f t="shared" si="282"/>
        <v>5.2052128157908273E-2</v>
      </c>
      <c r="AD39" s="40">
        <f t="shared" si="282"/>
        <v>5.1662617697511237E-2</v>
      </c>
      <c r="AE39" s="40">
        <f t="shared" si="282"/>
        <v>5.1612673745803361E-2</v>
      </c>
      <c r="AI39" s="39"/>
      <c r="AJ39" s="39"/>
      <c r="AK39" s="39"/>
      <c r="AL39" s="39"/>
      <c r="AM39" s="39">
        <f>+IF(AI37&lt;0,1-AM37/AI37,AM37/AI37-1)</f>
        <v>0.19138137272052491</v>
      </c>
      <c r="AN39" s="39">
        <f t="shared" ref="AN39" si="283">+IF(AJ37&lt;0,1-AN37/AJ37,AN37/AJ37-1)</f>
        <v>0.40952117004761068</v>
      </c>
      <c r="AO39" s="39">
        <f t="shared" ref="AO39" si="284">+IF(AK37&lt;0,1-AO37/AK37,AO37/AK37-1)</f>
        <v>0.45774417600816175</v>
      </c>
      <c r="AP39" s="39">
        <f t="shared" ref="AP39" si="285">+IF(AL37&lt;0,1-AP37/AL37,AP37/AL37-1)</f>
        <v>0.44863581827080989</v>
      </c>
      <c r="AQ39" s="39">
        <f t="shared" ref="AQ39" si="286">+IF(AM37&lt;0,1-AQ37/AM37,AQ37/AM37-1)</f>
        <v>0.2604991160205643</v>
      </c>
      <c r="AR39" s="39">
        <f t="shared" ref="AR39" si="287">+IF(AN37&lt;0,1-AR37/AN37,AR37/AN37-1)</f>
        <v>8.7088229605106093E-2</v>
      </c>
      <c r="AS39" s="39">
        <f t="shared" ref="AS39" si="288">+IF(AO37&lt;0,1-AS37/AO37,AS37/AO37-1)</f>
        <v>5.402466964568764E-2</v>
      </c>
      <c r="AT39" s="39">
        <f t="shared" ref="AT39" si="289">+IF(AP37&lt;0,1-AT37/AP37,AT37/AP37-1)</f>
        <v>-0.36002756781323286</v>
      </c>
      <c r="AU39" s="39">
        <f t="shared" ref="AU39" si="290">+IF(AQ37&lt;0,1-AU37/AQ37,AU37/AQ37-1)</f>
        <v>0.13356053868131701</v>
      </c>
      <c r="AV39" s="39">
        <f t="shared" ref="AV39" si="291">+IF(AR37&lt;0,1-AV37/AR37,AV37/AR37-1)</f>
        <v>0.15022645726721984</v>
      </c>
      <c r="AW39" s="39">
        <f t="shared" ref="AW39" si="292">+IF(AS37&lt;0,1-AW37/AS37,AW37/AS37-1)</f>
        <v>9.9175511953019546E-2</v>
      </c>
      <c r="AX39" s="39">
        <f t="shared" ref="AX39" si="293">+IF(AT37&lt;0,1-AX37/AT37,AX37/AT37-1)</f>
        <v>0.84710623138468732</v>
      </c>
      <c r="AY39" s="39">
        <f t="shared" ref="AY39" si="294">+IF(AU37&lt;0,1-AY37/AU37,AY37/AU37-1)</f>
        <v>8.8321066518538993E-2</v>
      </c>
      <c r="AZ39" s="39">
        <f t="shared" ref="AZ39" si="295">+IF(AV37&lt;0,1-AZ37/AV37,AZ37/AV37-1)</f>
        <v>3.7202761442086452E-2</v>
      </c>
      <c r="BA39" s="39">
        <f t="shared" ref="BA39" si="296">+IF(AW37&lt;0,1-BA37/AW37,BA37/AW37-1)</f>
        <v>6.2217632631986541E-2</v>
      </c>
      <c r="BB39" s="39">
        <f t="shared" ref="BB39" si="297">+IF(AX37&lt;0,1-BB37/AX37,BB37/AX37-1)</f>
        <v>2.845579865941561E-2</v>
      </c>
      <c r="BC39" s="39">
        <f t="shared" ref="BC39" si="298">+IF(AY37&lt;0,1-BC37/AY37,BC37/AY37-1)</f>
        <v>-5.4102335077197861E-2</v>
      </c>
      <c r="BD39" s="39">
        <f t="shared" ref="BD39" si="299">+IF(AZ37&lt;0,1-BD37/AZ37,BD37/AZ37-1)</f>
        <v>6.286207321582582E-3</v>
      </c>
      <c r="BE39" s="39">
        <f t="shared" ref="BE39" si="300">+IF(BA37&lt;0,1-BE37/BA37,BE37/BA37-1)</f>
        <v>7.0482440150687609E-3</v>
      </c>
      <c r="BF39" s="39">
        <f t="shared" ref="BF39" si="301">+IF(BB37&lt;0,1-BF37/BB37,BF37/BB37-1)</f>
        <v>6.3944909001475647E-2</v>
      </c>
      <c r="BG39" s="39">
        <f t="shared" ref="BG39" si="302">+IF(BC37&lt;0,1-BG37/BC37,BG37/BC37-1)</f>
        <v>0.22366113584243896</v>
      </c>
      <c r="BH39" s="39">
        <f t="shared" ref="BH39" si="303">+IF(BD37&lt;0,1-BH37/BD37,BH37/BD37-1)</f>
        <v>0.25894169524742772</v>
      </c>
      <c r="BI39" s="39">
        <f t="shared" ref="BI39" si="304">+IF(BE37&lt;0,1-BI37/BE37,BI37/BE37-1)</f>
        <v>0.21672499094968023</v>
      </c>
      <c r="BJ39" s="39">
        <f t="shared" ref="BJ39" si="305">+IF(BF37&lt;0,1-BJ37/BF37,BJ37/BF37-1)</f>
        <v>0.16435506241331477</v>
      </c>
      <c r="BK39" s="39">
        <f t="shared" ref="BK39" si="306">+IF(BG37&lt;0,1-BK37/BG37,BK37/BG37-1)</f>
        <v>0.10649322015213314</v>
      </c>
      <c r="BL39" s="39">
        <f t="shared" ref="BL39" si="307">+IF(BH37&lt;0,1-BL37/BH37,BL37/BH37-1)</f>
        <v>-5.1566452617241021E-3</v>
      </c>
      <c r="BM39" s="39">
        <f t="shared" ref="BM39" si="308">+IF(BI37&lt;0,1-BM37/BI37,BM37/BI37-1)</f>
        <v>7.815134384607747E-2</v>
      </c>
      <c r="BN39" s="39">
        <f t="shared" ref="BN39" si="309">+IF(BJ37&lt;0,1-BN37/BJ37,BN37/BJ37-1)</f>
        <v>8.9537423069287359E-2</v>
      </c>
      <c r="BO39" s="39">
        <f t="shared" ref="BO39" si="310">+IF(BK37&lt;0,1-BO37/BK37,BO37/BK37-1)</f>
        <v>-1.2952077313937993E-3</v>
      </c>
      <c r="BP39" s="39">
        <f t="shared" ref="BP39" si="311">+IF(BL37&lt;0,1-BP37/BL37,BP37/BL37-1)</f>
        <v>0.12596577017114918</v>
      </c>
      <c r="BQ39" s="39">
        <f t="shared" ref="BQ39" si="312">+IF(BM37&lt;0,1-BQ37/BM37,BQ37/BM37-1)</f>
        <v>0.12298776561493874</v>
      </c>
      <c r="BR39" s="39">
        <f t="shared" ref="BR39" si="313">+IF(BN37&lt;0,1-BR37/BN37,BR37/BN37-1)</f>
        <v>0.16627186588921283</v>
      </c>
      <c r="BS39" s="39">
        <f t="shared" ref="BS39" si="314">+IF(BO37&lt;0,1-BS37/BO37,BS37/BO37-1)</f>
        <v>0.2632681564245809</v>
      </c>
      <c r="BT39" s="39">
        <f t="shared" ref="BT39" si="315">+IF(BP37&lt;0,1-BT37/BP37,BT37/BP37-1)</f>
        <v>0.13923390949361591</v>
      </c>
      <c r="BU39" s="39">
        <f t="shared" ref="BU39" si="316">+IF(BQ37&lt;0,1-BU37/BQ37,BU37/BQ37-1)</f>
        <v>0.10034403669724767</v>
      </c>
      <c r="BV39" s="39">
        <f t="shared" ref="BV39" si="317">+IF(BR37&lt;0,1-BV37/BR37,BV37/BR37-1)</f>
        <v>8.1556128427466623E-2</v>
      </c>
      <c r="BW39" s="39">
        <f t="shared" ref="BW39" si="318">+IF(BS37&lt;0,1-BW37/BS37,BW37/BS37-1)</f>
        <v>5.9464581852641585E-2</v>
      </c>
      <c r="BX39" s="39">
        <f t="shared" ref="BX39" si="319">+IF(BT37&lt;0,1-BX37/BT37,BX37/BT37-1)</f>
        <v>0.10673985971332733</v>
      </c>
      <c r="BY39" s="39">
        <f t="shared" ref="BY39" si="320">+IF(BU37&lt;0,1-BY37/BU37,BY37/BU37-1)</f>
        <v>0.15782029330752634</v>
      </c>
      <c r="BZ39" s="39">
        <f t="shared" ref="BZ39" si="321">+IF(BV37&lt;0,1-BZ37/BV37,BZ37/BV37-1)</f>
        <v>0.13932827735644637</v>
      </c>
      <c r="CA39" s="39">
        <f t="shared" ref="CA39" si="322">+IF(BW37&lt;0,1-CA37/BW37,CA37/BW37-1)</f>
        <v>0.11791890280262374</v>
      </c>
      <c r="CB39" s="39">
        <f t="shared" ref="CB39" si="323">+IF(BX37&lt;0,1-CB37/BX37,CB37/BX37-1)</f>
        <v>8.4734086525213526E-2</v>
      </c>
      <c r="CC39" s="39">
        <f t="shared" ref="CC39" si="324">+IF(BY37&lt;0,1-CC37/BY37,CC37/BY37-1)</f>
        <v>5.3687391500032211E-2</v>
      </c>
      <c r="CD39" s="39">
        <f t="shared" ref="CD39" si="325">+IF(BZ37&lt;0,1-CD37/BZ37,CD37/BZ37-1)</f>
        <v>8.8119690630150904E-2</v>
      </c>
      <c r="CE39" s="39">
        <f t="shared" ref="CE39" si="326">+IF(CA37&lt;0,1-CE37/CA37,CE37/CA37-1)</f>
        <v>0.11094812641685547</v>
      </c>
      <c r="CF39" s="39">
        <f t="shared" ref="CF39" si="327">+IF(CB37&lt;0,1-CF37/CB37,CF37/CB37-1)</f>
        <v>6.2555569668487188E-2</v>
      </c>
      <c r="CG39" s="39">
        <f t="shared" ref="CG39" si="328">+IF(CC37&lt;0,1-CG37/CC37,CG37/CC37-1)</f>
        <v>3.9419087136929543E-2</v>
      </c>
      <c r="CH39" s="39">
        <f t="shared" ref="CH39:CL39" si="329">+IF(CD37&lt;0,1-CH37/CD37,CH37/CD37-1)</f>
        <v>-1.0720111862036807E-2</v>
      </c>
      <c r="CI39" s="39">
        <f t="shared" si="329"/>
        <v>1.2783579402232625E-2</v>
      </c>
      <c r="CJ39" s="39">
        <f t="shared" si="329"/>
        <v>7.4532305301536095E-2</v>
      </c>
      <c r="CK39" s="39">
        <f t="shared" si="329"/>
        <v>7.2502054714101316E-2</v>
      </c>
      <c r="CL39" s="39">
        <f t="shared" si="329"/>
        <v>0.13521790341578321</v>
      </c>
      <c r="CM39" s="40">
        <f t="shared" ref="CM39" si="330">+CM37/CI37-1</f>
        <v>0.1280436829378746</v>
      </c>
      <c r="CN39" s="40">
        <f t="shared" ref="CN39" si="331">+CN37/CJ37-1</f>
        <v>7.7224000573498319E-2</v>
      </c>
      <c r="CO39" s="40">
        <f t="shared" ref="CO39" si="332">+CO37/CK37-1</f>
        <v>7.258463279362215E-2</v>
      </c>
      <c r="CP39" s="40">
        <f t="shared" ref="CP39" si="333">+CP37/CL37-1</f>
        <v>2.9199072794984016E-2</v>
      </c>
      <c r="CQ39" s="40">
        <f t="shared" ref="CQ39" si="334">+CQ37/CM37-1</f>
        <v>5.4774286805888917E-2</v>
      </c>
      <c r="CR39" s="40">
        <f t="shared" ref="CR39" si="335">+CR37/CN37-1</f>
        <v>5.0681553038678828E-2</v>
      </c>
      <c r="CS39" s="40">
        <f t="shared" ref="CS39" si="336">+CS37/CO37-1</f>
        <v>5.1331997135172447E-2</v>
      </c>
      <c r="CT39" s="40">
        <f t="shared" ref="CT39" si="337">+CT37/CP37-1</f>
        <v>5.1489379577212668E-2</v>
      </c>
      <c r="CU39" s="40">
        <f t="shared" ref="CU39" si="338">+CU37/CQ37-1</f>
        <v>5.2066477817926726E-2</v>
      </c>
      <c r="CV39" s="40">
        <f t="shared" ref="CV39" si="339">+CV37/CR37-1</f>
        <v>5.139206401737928E-2</v>
      </c>
      <c r="CW39" s="40">
        <f t="shared" ref="CW39" si="340">+CW37/CS37-1</f>
        <v>5.1569887532045167E-2</v>
      </c>
      <c r="CX39" s="40">
        <f t="shared" ref="CX39" si="341">+CX37/CT37-1</f>
        <v>5.1629379630902861E-2</v>
      </c>
      <c r="CY39" s="40">
        <f t="shared" ref="CY39" si="342">+CY37/CU37-1</f>
        <v>5.166438456934408E-2</v>
      </c>
      <c r="CZ39" s="40">
        <f t="shared" ref="CZ39" si="343">+CZ37/CV37-1</f>
        <v>5.1563916040316293E-2</v>
      </c>
      <c r="DA39" s="40">
        <f t="shared" ref="DA39" si="344">+DA37/CW37-1</f>
        <v>5.1606890063287558E-2</v>
      </c>
      <c r="DB39" s="40">
        <f t="shared" ref="DB39" si="345">+DB37/CX37-1</f>
        <v>5.1616141112384328E-2</v>
      </c>
      <c r="DE39" s="122"/>
      <c r="DF39" s="38">
        <v>-6.398514436392666E-2</v>
      </c>
    </row>
    <row r="40" spans="1:110" s="38" customFormat="1" x14ac:dyDescent="0.2">
      <c r="A40" s="39" t="s">
        <v>450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40"/>
      <c r="AC40" s="40"/>
      <c r="AD40" s="40"/>
      <c r="AE40" s="40"/>
      <c r="AI40" s="39"/>
      <c r="AJ40" s="39">
        <f>+IF(AI37&lt;0,1-AJ37/AI37,AJ37/AI37-1)</f>
        <v>4.9163857460982507E-2</v>
      </c>
      <c r="AK40" s="39">
        <f t="shared" ref="AK40:AM40" si="346">+IF(AJ37&lt;0,1-AK37/AJ37,AK37/AJ37-1)</f>
        <v>3.3561583647093496E-2</v>
      </c>
      <c r="AL40" s="39">
        <f t="shared" si="346"/>
        <v>6.618618461498027E-3</v>
      </c>
      <c r="AM40" s="39">
        <f t="shared" si="346"/>
        <v>9.1455834643588974E-2</v>
      </c>
      <c r="AN40" s="39">
        <f t="shared" ref="AN40" si="347">+IF(AM37&lt;0,1-AN37/AM37,AN37/AM37-1)</f>
        <v>0.24126388224719264</v>
      </c>
      <c r="AO40" s="39">
        <f t="shared" ref="AO40" si="348">+IF(AN37&lt;0,1-AO37/AN37,AO37/AN37-1)</f>
        <v>6.892213549118309E-2</v>
      </c>
      <c r="AP40" s="39">
        <f t="shared" ref="AP40" si="349">+IF(AO37&lt;0,1-AP37/AO37,AP37/AO37-1)</f>
        <v>3.2900836877680639E-4</v>
      </c>
      <c r="AQ40" s="39">
        <f t="shared" ref="AQ40" si="350">+IF(AP37&lt;0,1-AQ37/AP37,AQ37/AP37-1)</f>
        <v>-5.0293319140793713E-2</v>
      </c>
      <c r="AR40" s="39">
        <f t="shared" ref="AR40" si="351">+IF(AQ37&lt;0,1-AR37/AQ37,AR37/AQ37-1)</f>
        <v>7.0499248333346198E-2</v>
      </c>
      <c r="AS40" s="39">
        <f t="shared" ref="AS40" si="352">+IF(AR37&lt;0,1-AS37/AR37,AS37/AR37-1)</f>
        <v>3.6411093465090305E-2</v>
      </c>
      <c r="AT40" s="39">
        <f t="shared" ref="AT40" si="353">+IF(AS37&lt;0,1-AT37/AS37,AT37/AS37-1)</f>
        <v>-0.39262997640468711</v>
      </c>
      <c r="AU40" s="39">
        <f t="shared" ref="AU40" si="354">+IF(AT37&lt;0,1-AU37/AT37,AU37/AT37-1)</f>
        <v>0.68218186065525899</v>
      </c>
      <c r="AV40" s="39">
        <f t="shared" ref="AV40" si="355">+IF(AU37&lt;0,1-AV37/AU37,AV37/AU37-1)</f>
        <v>8.623802249687551E-2</v>
      </c>
      <c r="AW40" s="39">
        <f t="shared" ref="AW40" si="356">+IF(AV37&lt;0,1-AW37/AV37,AW37/AV37-1)</f>
        <v>-9.5883405778572905E-3</v>
      </c>
      <c r="AX40" s="39">
        <f t="shared" ref="AX40" si="357">+IF(AW37&lt;0,1-AX37/AW37,AX37/AW37-1)</f>
        <v>2.0653156060410405E-2</v>
      </c>
      <c r="AY40" s="39">
        <f t="shared" ref="AY40" si="358">+IF(AX37&lt;0,1-AY37/AX37,AY37/AX37-1)</f>
        <v>-8.8529151384848515E-3</v>
      </c>
      <c r="AZ40" s="39">
        <f t="shared" ref="AZ40" si="359">+IF(AY37&lt;0,1-AZ37/AY37,AZ37/AY37-1)</f>
        <v>3.5217557738930649E-2</v>
      </c>
      <c r="BA40" s="39">
        <f t="shared" ref="BA40" si="360">+IF(AZ37&lt;0,1-BA37/AZ37,BA37/AZ37-1)</f>
        <v>1.4298040182423311E-2</v>
      </c>
      <c r="BB40" s="39">
        <f t="shared" ref="BB40" si="361">+IF(BA37&lt;0,1-BB37/BA37,BB37/BA37-1)</f>
        <v>-1.1787580507959694E-2</v>
      </c>
      <c r="BC40" s="39">
        <f t="shared" ref="BC40" si="362">+IF(BB37&lt;0,1-BC37/BB37,BC37/BB37-1)</f>
        <v>-8.8416133792424967E-2</v>
      </c>
      <c r="BD40" s="39">
        <f t="shared" ref="BD40" si="363">+IF(BC37&lt;0,1-BD37/BC37,BD37/BC37-1)</f>
        <v>0.10130851207338454</v>
      </c>
      <c r="BE40" s="39">
        <f t="shared" ref="BE40" si="364">+IF(BD37&lt;0,1-BE37/BD37,BE37/BD37-1)</f>
        <v>1.5066144047035657E-2</v>
      </c>
      <c r="BF40" s="39">
        <f t="shared" ref="BF40" si="365">+IF(BE37&lt;0,1-BF37/BE37,BF37/BE37-1)</f>
        <v>4.4044889586098757E-2</v>
      </c>
      <c r="BG40" s="39">
        <f t="shared" ref="BG40" si="366">+IF(BF37&lt;0,1-BG37/BF37,BG37/BF37-1)</f>
        <v>4.8428109107720774E-2</v>
      </c>
      <c r="BH40" s="39">
        <f t="shared" ref="BH40" si="367">+IF(BG37&lt;0,1-BH37/BG37,BH37/BG37-1)</f>
        <v>0.13306140447580206</v>
      </c>
      <c r="BI40" s="39">
        <f t="shared" ref="BI40" si="368">+IF(BH37&lt;0,1-BI37/BH37,BI37/BH37-1)</f>
        <v>-1.8972562755399935E-2</v>
      </c>
      <c r="BJ40" s="39">
        <f t="shared" ref="BJ40" si="369">+IF(BI37&lt;0,1-BJ37/BI37,BJ37/BI37-1)</f>
        <v>-8.9259149062781429E-4</v>
      </c>
      <c r="BK40" s="39">
        <f t="shared" ref="BK40" si="370">+IF(BJ37&lt;0,1-BK37/BJ37,BK37/BJ37-1)</f>
        <v>-3.6728211236847219E-3</v>
      </c>
      <c r="BL40" s="39">
        <f t="shared" ref="BL40" si="371">+IF(BK37&lt;0,1-BL37/BK37,BL37/BK37-1)</f>
        <v>1.8730696423234106E-2</v>
      </c>
      <c r="BM40" s="39">
        <f t="shared" ref="BM40" si="372">+IF(BL37&lt;0,1-BM37/BL37,BM37/BL37-1)</f>
        <v>6.3178484107579536E-2</v>
      </c>
      <c r="BN40" s="39">
        <f t="shared" ref="BN40" si="373">+IF(BM37&lt;0,1-BN37/BM37,BN37/BM37-1)</f>
        <v>9.6587250482935705E-3</v>
      </c>
      <c r="BO40" s="39">
        <f t="shared" ref="BO40" si="374">+IF(BN37&lt;0,1-BO37/BN37,BO37/BN37-1)</f>
        <v>-8.6734693877551061E-2</v>
      </c>
      <c r="BP40" s="39">
        <f t="shared" ref="BP40" si="375">+IF(BO37&lt;0,1-BP37/BO37,BP37/BO37-1)</f>
        <v>0.1485434956105347</v>
      </c>
      <c r="BQ40" s="39">
        <f t="shared" ref="BQ40" si="376">+IF(BP37&lt;0,1-BQ37/BP37,BQ37/BP37-1)</f>
        <v>6.036654216972126E-2</v>
      </c>
      <c r="BR40" s="39">
        <f t="shared" ref="BR40" si="377">+IF(BQ37&lt;0,1-BR37/BQ37,BR37/BQ37-1)</f>
        <v>4.8574705111402272E-2</v>
      </c>
      <c r="BS40" s="39">
        <f t="shared" ref="BS40" si="378">+IF(BR37&lt;0,1-BS37/BR37,BS37/BR37-1)</f>
        <v>-1.0780407780642154E-2</v>
      </c>
      <c r="BT40" s="39">
        <f t="shared" ref="BT40" si="379">+IF(BS37&lt;0,1-BT37/BS37,BT37/BS37-1)</f>
        <v>3.5773513385453759E-2</v>
      </c>
      <c r="BU40" s="39">
        <f t="shared" ref="BU40" si="380">+IF(BT37&lt;0,1-BU37/BT37,BU37/BT37-1)</f>
        <v>2.4168953949374794E-2</v>
      </c>
      <c r="BV40" s="39">
        <f t="shared" ref="BV40" si="381">+IF(BU37&lt;0,1-BV37/BU37,BV37/BU37-1)</f>
        <v>3.0670736246557029E-2</v>
      </c>
      <c r="BW40" s="39">
        <f t="shared" ref="BW40" si="382">+IF(BV37&lt;0,1-BW37/BV37,BW37/BV37-1)</f>
        <v>-3.0985915492957705E-2</v>
      </c>
      <c r="BX40" s="39">
        <f t="shared" ref="BX40" si="383">+IF(BW37&lt;0,1-BX37/BW37,BX37/BW37-1)</f>
        <v>8.1991651759093509E-2</v>
      </c>
      <c r="BY40" s="39">
        <f t="shared" ref="BY40" si="384">+IF(BX37&lt;0,1-BY37/BX37,BY37/BX37-1)</f>
        <v>7.1438412785891359E-2</v>
      </c>
      <c r="BZ40" s="39">
        <f t="shared" ref="BZ40" si="385">+IF(BY37&lt;0,1-BZ37/BY37,BZ37/BY37-1)</f>
        <v>1.420947727126598E-2</v>
      </c>
      <c r="CA40" s="39">
        <f t="shared" ref="CA40" si="386">+IF(BZ37&lt;0,1-CA37/BZ37,CA37/BZ37-1)</f>
        <v>-4.9194877646760449E-2</v>
      </c>
      <c r="CB40" s="39">
        <f t="shared" ref="CB40" si="387">+IF(CA37&lt;0,1-CB37/CA37,CB37/CA37-1)</f>
        <v>4.9873316442192284E-2</v>
      </c>
      <c r="CC40" s="39">
        <f t="shared" ref="CC40" si="388">+IF(CB37&lt;0,1-CC37/CB37,CC37/CB37-1)</f>
        <v>4.0772259621491225E-2</v>
      </c>
      <c r="CD40" s="39">
        <f t="shared" ref="CD40" si="389">+IF(CC37&lt;0,1-CD37/CC37,CD37/CC37-1)</f>
        <v>4.7351720771296124E-2</v>
      </c>
      <c r="CE40" s="39">
        <f t="shared" ref="CE40" si="390">+IF(CD37&lt;0,1-CE37/CD37,CE37/CD37-1)</f>
        <v>-2.9247261710557027E-2</v>
      </c>
      <c r="CF40" s="39">
        <f t="shared" ref="CF40" si="391">+IF(CE37&lt;0,1-CF37/CE37,CF37/CE37-1)</f>
        <v>4.1411595246669819E-3</v>
      </c>
      <c r="CG40" s="39">
        <f t="shared" ref="CG40" si="392">+IF(CF37&lt;0,1-CG37/CF37,CG37/CF37-1)</f>
        <v>1.8110095033171847E-2</v>
      </c>
      <c r="CH40" s="39">
        <f t="shared" ref="CH40:CI40" si="393">+IF(CG37&lt;0,1-CH37/CG37,CH37/CG37-1)</f>
        <v>-3.1701303275801784E-3</v>
      </c>
      <c r="CI40" s="39">
        <f t="shared" si="393"/>
        <v>-6.1837455830389132E-3</v>
      </c>
      <c r="CJ40" s="39">
        <f>+IF(CI37&gt;1,CJ37/CI37-1,1-CJ37/CI37)</f>
        <v>6.5362962962963067E-2</v>
      </c>
      <c r="CK40" s="39">
        <f>+IF(CJ37&gt;1,CK37/CJ37-1,1-CK37/CJ37)</f>
        <v>1.6186450105684758E-2</v>
      </c>
      <c r="CL40" s="39">
        <f>+IF(CK37&gt;1,CL37/CK37-1,1-CL37/CK37)</f>
        <v>5.512069626142635E-2</v>
      </c>
      <c r="CM40" s="40">
        <f t="shared" ref="CM40" si="394">+CM37/CL37-1</f>
        <v>-1.2464352065955864E-2</v>
      </c>
      <c r="CN40" s="40">
        <f t="shared" ref="CN40" si="395">+CN37/CM37-1</f>
        <v>1.7367120071894337E-2</v>
      </c>
      <c r="CO40" s="40">
        <f t="shared" ref="CO40" si="396">+CO37/CN37-1</f>
        <v>1.1809957683999617E-2</v>
      </c>
      <c r="CP40" s="40">
        <f t="shared" ref="CP40" si="397">+CP37/CO37-1</f>
        <v>1.2441544543369876E-2</v>
      </c>
      <c r="CQ40" s="40">
        <f t="shared" ref="CQ40" si="398">+CQ37/CP37-1</f>
        <v>1.2075541339430007E-2</v>
      </c>
      <c r="CR40" s="40">
        <f t="shared" ref="CR40" si="399">+CR37/CQ37-1</f>
        <v>1.341953354266967E-2</v>
      </c>
      <c r="CS40" s="40">
        <f t="shared" ref="CS40" si="400">+CS37/CR37-1</f>
        <v>1.2436337591256841E-2</v>
      </c>
      <c r="CT40" s="40">
        <f t="shared" ref="CT40" si="401">+CT37/CS37-1</f>
        <v>1.2593105157084228E-2</v>
      </c>
      <c r="CU40" s="40">
        <f t="shared" ref="CU40" si="402">+CU37/CT37-1</f>
        <v>1.2631007733785449E-2</v>
      </c>
      <c r="CV40" s="40">
        <f t="shared" ref="CV40" si="403">+CV37/CU37-1</f>
        <v>1.2769893872956795E-2</v>
      </c>
      <c r="CW40" s="40">
        <f t="shared" ref="CW40" si="404">+CW37/CV37-1</f>
        <v>1.2607572465560546E-2</v>
      </c>
      <c r="CX40" s="40">
        <f t="shared" ref="CX40" si="405">+CX37/CW37-1</f>
        <v>1.2650392161808188E-2</v>
      </c>
      <c r="CY40" s="40">
        <f t="shared" ref="CY40" si="406">+CY37/CX37-1</f>
        <v>1.2664714557478085E-2</v>
      </c>
      <c r="CZ40" s="40">
        <f t="shared" ref="CZ40" si="407">+CZ37/CY37-1</f>
        <v>1.2673141046699588E-2</v>
      </c>
      <c r="DA40" s="40">
        <f t="shared" ref="DA40" si="408">+DA37/CZ37-1</f>
        <v>1.2648954468514439E-2</v>
      </c>
      <c r="DB40" s="40">
        <f t="shared" ref="DB40" si="409">+DB37/DA37-1</f>
        <v>1.2659300508248705E-2</v>
      </c>
      <c r="DE40" s="122"/>
      <c r="DF40" s="38">
        <v>-0.13002724567844304</v>
      </c>
    </row>
    <row r="41" spans="1:110" s="23" customFormat="1" x14ac:dyDescent="0.2">
      <c r="A41" s="23" t="s">
        <v>15</v>
      </c>
      <c r="B41" s="23">
        <f>'Annual Raw'!C27</f>
        <v>0</v>
      </c>
      <c r="C41" s="23">
        <f>'Annual Raw'!D27</f>
        <v>0</v>
      </c>
      <c r="D41" s="23">
        <f>'Annual Raw'!E27</f>
        <v>0</v>
      </c>
      <c r="E41" s="23">
        <f>'Annual Raw'!F27</f>
        <v>0.84</v>
      </c>
      <c r="F41" s="23">
        <f>'Annual Raw'!G27</f>
        <v>158.82</v>
      </c>
      <c r="G41" s="23">
        <f>'Annual Raw'!H27</f>
        <v>282.43</v>
      </c>
      <c r="H41" s="23">
        <f>'Annual Raw'!I27</f>
        <v>440.17</v>
      </c>
      <c r="I41" s="23">
        <f>'Annual Raw'!J27</f>
        <v>563.71</v>
      </c>
      <c r="J41" s="23">
        <f>'Annual Raw'!K27</f>
        <v>564.08000000000004</v>
      </c>
      <c r="K41" s="23">
        <f>'Annual Raw'!L27</f>
        <v>660.89</v>
      </c>
      <c r="L41" s="23">
        <f>'Annual Raw'!M27</f>
        <v>735.26</v>
      </c>
      <c r="M41" s="23">
        <f>'Annual Raw'!N27</f>
        <v>917.94</v>
      </c>
      <c r="N41" s="23">
        <f>'Annual Raw'!O27</f>
        <v>1079.92</v>
      </c>
      <c r="O41" s="23">
        <f>'Annual Raw'!P27</f>
        <v>1349.15</v>
      </c>
      <c r="P41" s="23">
        <f>'Annual Raw'!Q27</f>
        <v>1798.69</v>
      </c>
      <c r="Q41" s="23">
        <f>'Annual Raw'!R27</f>
        <v>1888</v>
      </c>
      <c r="R41" s="23">
        <f>'Annual Raw'!S27</f>
        <v>1987</v>
      </c>
      <c r="S41" s="23">
        <f>'Annual Raw'!T27</f>
        <v>2014</v>
      </c>
      <c r="T41" s="23">
        <f>'Annual Raw'!U27</f>
        <v>2056</v>
      </c>
      <c r="U41" s="23">
        <f>'Annual Raw'!V27</f>
        <v>3529</v>
      </c>
      <c r="V41" s="23">
        <f>'Annual Raw'!W27</f>
        <v>4065</v>
      </c>
      <c r="W41" s="23">
        <f>'Annual Raw'!X27</f>
        <v>4604</v>
      </c>
      <c r="X41" s="23">
        <f>'Annual Raw'!Y27</f>
        <v>5022</v>
      </c>
      <c r="Y41" s="23">
        <f>'Annual Raw'!Z27</f>
        <v>4985</v>
      </c>
      <c r="Z41" s="23">
        <f>'Annual Raw'!AA27</f>
        <v>5242</v>
      </c>
      <c r="AA41" s="23">
        <f>'Annual Raw'!AB27</f>
        <v>5560</v>
      </c>
      <c r="AB41" s="76">
        <f>+SUM(CM41:CP41)</f>
        <v>5840.4773574051032</v>
      </c>
      <c r="AC41" s="76">
        <f>+SUM(CQ41:CT41)</f>
        <v>5006.8959883635107</v>
      </c>
      <c r="AD41" s="76">
        <f>+SUM(CU41:CX41)</f>
        <v>4550.8568346702978</v>
      </c>
      <c r="AE41" s="76">
        <f>+SUM(CY41:DB41)</f>
        <v>4301.3650424768912</v>
      </c>
      <c r="AI41" s="23">
        <f>'QTR Raw'!C28</f>
        <v>247.04</v>
      </c>
      <c r="AJ41" s="23">
        <f>'QTR Raw'!D28</f>
        <v>265.58</v>
      </c>
      <c r="AK41" s="23">
        <f>'QTR Raw'!E28</f>
        <v>277.42</v>
      </c>
      <c r="AL41" s="23">
        <f>'QTR Raw'!F28</f>
        <v>289.88</v>
      </c>
      <c r="AM41" s="23">
        <f>'QTR Raw'!G28</f>
        <v>297.14999999999998</v>
      </c>
      <c r="AN41" s="23">
        <f>'QTR Raw'!H28</f>
        <v>327.87</v>
      </c>
      <c r="AO41" s="23">
        <f>'QTR Raw'!I28</f>
        <v>349.27</v>
      </c>
      <c r="AP41" s="23">
        <f>'QTR Raw'!J28</f>
        <v>374.86</v>
      </c>
      <c r="AQ41" s="23">
        <f>'QTR Raw'!K28</f>
        <v>417.49</v>
      </c>
      <c r="AR41" s="23">
        <f>'QTR Raw'!L28</f>
        <v>449.21</v>
      </c>
      <c r="AS41" s="23">
        <f>'QTR Raw'!M28</f>
        <v>461.86</v>
      </c>
      <c r="AT41" s="23">
        <f>'QTR Raw'!N28</f>
        <v>470.13</v>
      </c>
      <c r="AU41" s="23">
        <f>'QTR Raw'!O28</f>
        <v>453</v>
      </c>
      <c r="AV41" s="23">
        <f>'QTR Raw'!P28</f>
        <v>469</v>
      </c>
      <c r="AW41" s="23">
        <f>'QTR Raw'!Q28</f>
        <v>471</v>
      </c>
      <c r="AX41" s="23">
        <f>'QTR Raw'!R28</f>
        <v>495</v>
      </c>
      <c r="AY41" s="23">
        <f>'QTR Raw'!S28</f>
        <v>490</v>
      </c>
      <c r="AZ41" s="23">
        <f>'QTR Raw'!T28</f>
        <v>496</v>
      </c>
      <c r="BA41" s="23">
        <f>'QTR Raw'!U28</f>
        <v>496</v>
      </c>
      <c r="BB41" s="23">
        <f>'QTR Raw'!V28</f>
        <v>505</v>
      </c>
      <c r="BC41" s="23">
        <f>'QTR Raw'!W28</f>
        <v>499</v>
      </c>
      <c r="BD41" s="23">
        <f>'QTR Raw'!X28</f>
        <v>504</v>
      </c>
      <c r="BE41" s="23">
        <f>'QTR Raw'!Y28</f>
        <v>506</v>
      </c>
      <c r="BF41" s="23">
        <f>'QTR Raw'!Z28</f>
        <v>505</v>
      </c>
      <c r="BG41" s="23">
        <f>'QTR Raw'!AA28</f>
        <v>493</v>
      </c>
      <c r="BH41" s="23">
        <f>'QTR Raw'!AB28</f>
        <v>507</v>
      </c>
      <c r="BI41" s="23">
        <f>'QTR Raw'!AC28</f>
        <v>519</v>
      </c>
      <c r="BJ41" s="23">
        <f>'QTR Raw'!AD28</f>
        <v>537</v>
      </c>
      <c r="BK41" s="23">
        <f>'QTR Raw'!AE28</f>
        <v>817</v>
      </c>
      <c r="BL41" s="23">
        <f>'QTR Raw'!AF28</f>
        <v>864</v>
      </c>
      <c r="BM41" s="23">
        <f>'QTR Raw'!AG28</f>
        <v>897</v>
      </c>
      <c r="BN41" s="23">
        <f>'QTR Raw'!AH28</f>
        <v>951</v>
      </c>
      <c r="BO41" s="23">
        <f>'QTR Raw'!AI28</f>
        <v>976</v>
      </c>
      <c r="BP41" s="23">
        <f>'QTR Raw'!AJ28</f>
        <v>998</v>
      </c>
      <c r="BQ41" s="23">
        <f>'QTR Raw'!AK28</f>
        <v>1024</v>
      </c>
      <c r="BR41" s="23">
        <f>'QTR Raw'!AL28</f>
        <v>1067</v>
      </c>
      <c r="BS41" s="23">
        <f>'QTR Raw'!AM28</f>
        <v>1075</v>
      </c>
      <c r="BT41" s="23">
        <f>'QTR Raw'!AN28</f>
        <v>1116</v>
      </c>
      <c r="BU41" s="23">
        <f>'QTR Raw'!AO28</f>
        <v>1196</v>
      </c>
      <c r="BV41" s="23">
        <f>'QTR Raw'!AP28</f>
        <v>1217</v>
      </c>
      <c r="BW41" s="23">
        <f>'QTR Raw'!AQ28</f>
        <v>1230</v>
      </c>
      <c r="BX41" s="23">
        <f>'QTR Raw'!AR28</f>
        <v>1237</v>
      </c>
      <c r="BY41" s="23">
        <f>'QTR Raw'!AS28</f>
        <v>1269</v>
      </c>
      <c r="BZ41" s="23">
        <f>'QTR Raw'!AT28</f>
        <v>1286</v>
      </c>
      <c r="CA41" s="23">
        <f>'QTR Raw'!AU28</f>
        <v>1243</v>
      </c>
      <c r="CB41" s="23">
        <f>'QTR Raw'!AV28</f>
        <v>1263</v>
      </c>
      <c r="CC41" s="23">
        <f>'QTR Raw'!AW28</f>
        <v>1233</v>
      </c>
      <c r="CD41" s="23">
        <f>'QTR Raw'!AX28</f>
        <v>1246</v>
      </c>
      <c r="CE41" s="23">
        <f>'QTR Raw'!AY28</f>
        <v>1220</v>
      </c>
      <c r="CF41" s="23">
        <f>'QTR Raw'!AZ28</f>
        <v>1266</v>
      </c>
      <c r="CG41" s="23">
        <f>'QTR Raw'!BA28</f>
        <v>1377</v>
      </c>
      <c r="CH41" s="23">
        <f>'QTR Raw'!BB28</f>
        <v>1379</v>
      </c>
      <c r="CI41" s="23">
        <f>'QTR Raw'!BC28</f>
        <v>1361</v>
      </c>
      <c r="CJ41" s="23">
        <f>'QTR Raw'!BD28</f>
        <v>1413</v>
      </c>
      <c r="CK41" s="23">
        <f>'QTR Raw'!BE28</f>
        <v>1380</v>
      </c>
      <c r="CL41" s="23">
        <f>'QTR Raw'!BF28</f>
        <v>1406</v>
      </c>
      <c r="CM41" s="24">
        <f t="shared" ref="CM41:DB41" si="410">CM42*CL143</f>
        <v>1568.7852663016424</v>
      </c>
      <c r="CN41" s="24">
        <f t="shared" si="410"/>
        <v>1489.1723161353793</v>
      </c>
      <c r="CO41" s="24">
        <f t="shared" si="410"/>
        <v>1420.7028013034883</v>
      </c>
      <c r="CP41" s="24">
        <f t="shared" si="410"/>
        <v>1361.8169736645932</v>
      </c>
      <c r="CQ41" s="24">
        <f t="shared" si="410"/>
        <v>1311.1734032342877</v>
      </c>
      <c r="CR41" s="24">
        <f t="shared" si="410"/>
        <v>1267.618420163366</v>
      </c>
      <c r="CS41" s="24">
        <f t="shared" si="410"/>
        <v>1230.1598339264629</v>
      </c>
      <c r="CT41" s="24">
        <f t="shared" si="410"/>
        <v>1197.9443310393945</v>
      </c>
      <c r="CU41" s="24">
        <f t="shared" si="410"/>
        <v>1170.2380364210376</v>
      </c>
      <c r="CV41" s="24">
        <f t="shared" si="410"/>
        <v>1146.4097955840059</v>
      </c>
      <c r="CW41" s="24">
        <f t="shared" si="410"/>
        <v>1125.916796819336</v>
      </c>
      <c r="CX41" s="24">
        <f t="shared" si="410"/>
        <v>1108.2922058459178</v>
      </c>
      <c r="CY41" s="24">
        <f t="shared" si="410"/>
        <v>1093.13453123971</v>
      </c>
      <c r="CZ41" s="24">
        <f t="shared" si="410"/>
        <v>1080.0984783852518</v>
      </c>
      <c r="DA41" s="24">
        <f t="shared" si="410"/>
        <v>1068.887083600815</v>
      </c>
      <c r="DB41" s="24">
        <f t="shared" si="410"/>
        <v>1059.2449492511143</v>
      </c>
      <c r="DE41" s="123"/>
      <c r="DF41" s="23">
        <v>1334.1006564551421</v>
      </c>
    </row>
    <row r="42" spans="1:110" s="46" customFormat="1" x14ac:dyDescent="0.2">
      <c r="A42" s="46" t="s">
        <v>483</v>
      </c>
      <c r="B42" s="46" t="e">
        <f t="shared" ref="B42:D42" si="411">+B41/B143</f>
        <v>#DIV/0!</v>
      </c>
      <c r="C42" s="46" t="e">
        <f t="shared" si="411"/>
        <v>#DIV/0!</v>
      </c>
      <c r="D42" s="46" t="e">
        <f t="shared" si="411"/>
        <v>#DIV/0!</v>
      </c>
      <c r="E42" s="46">
        <f t="shared" ref="E42:AE42" si="412">+E41/E143</f>
        <v>2.9888983774551663E-3</v>
      </c>
      <c r="F42" s="46">
        <f t="shared" si="412"/>
        <v>0.15651608325449384</v>
      </c>
      <c r="G42" s="46">
        <f t="shared" si="412"/>
        <v>0.21908573999519054</v>
      </c>
      <c r="H42" s="46">
        <f t="shared" si="412"/>
        <v>0.23629482499463175</v>
      </c>
      <c r="I42" s="46">
        <f t="shared" si="412"/>
        <v>0.22983336663010814</v>
      </c>
      <c r="J42" s="46">
        <f t="shared" si="412"/>
        <v>8.5901118079011726E-2</v>
      </c>
      <c r="K42" s="46">
        <f t="shared" si="412"/>
        <v>0.19590865165142018</v>
      </c>
      <c r="L42" s="46">
        <f t="shared" si="412"/>
        <v>0.17889233030094379</v>
      </c>
      <c r="M42" s="46">
        <f t="shared" si="412"/>
        <v>0.18412527755991981</v>
      </c>
      <c r="N42" s="46">
        <f t="shared" si="412"/>
        <v>0.17604272286540537</v>
      </c>
      <c r="O42" s="46">
        <f t="shared" si="412"/>
        <v>0.1882478847141294</v>
      </c>
      <c r="P42" s="46">
        <f t="shared" si="412"/>
        <v>0.18994441135596588</v>
      </c>
      <c r="Q42" s="46">
        <f t="shared" si="412"/>
        <v>0.18698623353471328</v>
      </c>
      <c r="R42" s="46">
        <f t="shared" si="412"/>
        <v>0.1966547901821061</v>
      </c>
      <c r="S42" s="46">
        <f t="shared" si="412"/>
        <v>0.19691044192412985</v>
      </c>
      <c r="T42" s="46">
        <f t="shared" si="412"/>
        <v>0.19460482725982017</v>
      </c>
      <c r="U42" s="46">
        <f t="shared" si="412"/>
        <v>0.18377336874446701</v>
      </c>
      <c r="V42" s="46">
        <f t="shared" si="412"/>
        <v>0.21152044957852015</v>
      </c>
      <c r="W42" s="46">
        <f t="shared" si="412"/>
        <v>0.23596945312900416</v>
      </c>
      <c r="X42" s="46">
        <f t="shared" si="412"/>
        <v>0.26917510853835019</v>
      </c>
      <c r="Y42" s="46">
        <f t="shared" si="412"/>
        <v>0.28049741165878911</v>
      </c>
      <c r="Z42" s="46">
        <f t="shared" si="412"/>
        <v>0.24734582173359129</v>
      </c>
      <c r="AA42" s="46">
        <f t="shared" ref="AA42" si="413">+AA41/AA143</f>
        <v>0.25101580135440182</v>
      </c>
      <c r="AB42" s="110">
        <f t="shared" si="412"/>
        <v>0.62348153084231406</v>
      </c>
      <c r="AC42" s="110">
        <f t="shared" si="412"/>
        <v>0.59886611320330629</v>
      </c>
      <c r="AD42" s="110">
        <f t="shared" si="412"/>
        <v>0.58271331163586826</v>
      </c>
      <c r="AE42" s="110">
        <f t="shared" si="412"/>
        <v>0.57287335594968802</v>
      </c>
      <c r="AI42" s="46" t="e">
        <f t="shared" ref="AI42:BN42" si="414">+AI41/AH143</f>
        <v>#DIV/0!</v>
      </c>
      <c r="AJ42" s="46" t="e">
        <f t="shared" si="414"/>
        <v>#DIV/0!</v>
      </c>
      <c r="AK42" s="46">
        <f t="shared" si="414"/>
        <v>3.8793272215727627E-2</v>
      </c>
      <c r="AL42" s="46">
        <f t="shared" si="414"/>
        <v>4.0535627387697795E-2</v>
      </c>
      <c r="AM42" s="46">
        <f t="shared" si="414"/>
        <v>3.6496529667017524E-2</v>
      </c>
      <c r="AN42" s="46">
        <f t="shared" si="414"/>
        <v>4.0269618650260935E-2</v>
      </c>
      <c r="AO42" s="46">
        <f t="shared" si="414"/>
        <v>3.7874138189042117E-2</v>
      </c>
      <c r="AP42" s="46">
        <f t="shared" si="414"/>
        <v>4.0649066457309042E-2</v>
      </c>
      <c r="AQ42" s="46">
        <f t="shared" si="414"/>
        <v>3.9974033012161014E-2</v>
      </c>
      <c r="AR42" s="46">
        <f t="shared" si="414"/>
        <v>4.3011174805127901E-2</v>
      </c>
      <c r="AS42" s="46">
        <f t="shared" si="414"/>
        <v>3.8884206963729906E-2</v>
      </c>
      <c r="AT42" s="46">
        <f t="shared" si="414"/>
        <v>3.9580462087771925E-2</v>
      </c>
      <c r="AU42" s="46">
        <f t="shared" si="414"/>
        <v>3.6795404554507562E-2</v>
      </c>
      <c r="AV42" s="46">
        <f t="shared" si="414"/>
        <v>3.8095021492415108E-2</v>
      </c>
      <c r="AW42" s="46">
        <f t="shared" si="414"/>
        <v>3.8113117466893776E-2</v>
      </c>
      <c r="AX42" s="46">
        <f t="shared" si="414"/>
        <v>4.0055187146735498E-2</v>
      </c>
      <c r="AY42" s="46">
        <f t="shared" si="414"/>
        <v>4.8490846115784268E-2</v>
      </c>
      <c r="AZ42" s="46">
        <f t="shared" si="414"/>
        <v>4.9084611578426522E-2</v>
      </c>
      <c r="BA42" s="46">
        <f t="shared" si="414"/>
        <v>4.813664596273292E-2</v>
      </c>
      <c r="BB42" s="46">
        <f t="shared" si="414"/>
        <v>4.9010093167701864E-2</v>
      </c>
      <c r="BC42" s="46">
        <f t="shared" si="414"/>
        <v>4.9386381631037216E-2</v>
      </c>
      <c r="BD42" s="46">
        <f t="shared" si="414"/>
        <v>4.9881235154394299E-2</v>
      </c>
      <c r="BE42" s="46">
        <f t="shared" si="414"/>
        <v>4.8785190898573083E-2</v>
      </c>
      <c r="BF42" s="46">
        <f t="shared" si="414"/>
        <v>4.8688777477824914E-2</v>
      </c>
      <c r="BG42" s="46">
        <f t="shared" si="414"/>
        <v>4.8201016816581933E-2</v>
      </c>
      <c r="BH42" s="46">
        <f t="shared" si="414"/>
        <v>4.9569808369182636E-2</v>
      </c>
      <c r="BI42" s="46">
        <f t="shared" si="414"/>
        <v>4.9456832475700402E-2</v>
      </c>
      <c r="BJ42" s="46">
        <f t="shared" si="414"/>
        <v>5.117209834190966E-2</v>
      </c>
      <c r="BK42" s="46">
        <f t="shared" si="414"/>
        <v>7.7148253068932957E-2</v>
      </c>
      <c r="BL42" s="46">
        <f t="shared" si="414"/>
        <v>8.1586402266288952E-2</v>
      </c>
      <c r="BM42" s="46">
        <f t="shared" si="414"/>
        <v>8.4806655951593077E-2</v>
      </c>
      <c r="BN42" s="46">
        <f t="shared" si="414"/>
        <v>8.9912073366739148E-2</v>
      </c>
      <c r="BO42" s="46">
        <f t="shared" ref="BO42:CL42" si="415">+BO41/BN143</f>
        <v>8.6956521739130432E-2</v>
      </c>
      <c r="BP42" s="46">
        <f t="shared" si="415"/>
        <v>8.8916607270135423E-2</v>
      </c>
      <c r="BQ42" s="46">
        <f t="shared" si="415"/>
        <v>9.218581202736767E-2</v>
      </c>
      <c r="BR42" s="46">
        <f t="shared" si="415"/>
        <v>9.6056895930860642E-2</v>
      </c>
      <c r="BS42" s="46">
        <f t="shared" si="415"/>
        <v>9.2752372735116481E-2</v>
      </c>
      <c r="BT42" s="46">
        <f t="shared" si="415"/>
        <v>9.6289905090595346E-2</v>
      </c>
      <c r="BU42" s="46">
        <f t="shared" si="415"/>
        <v>0.10631111111111111</v>
      </c>
      <c r="BV42" s="46">
        <f t="shared" si="415"/>
        <v>0.10817777777777778</v>
      </c>
      <c r="BW42" s="46">
        <f t="shared" si="415"/>
        <v>0.10357894736842105</v>
      </c>
      <c r="BX42" s="46">
        <f t="shared" si="415"/>
        <v>0.10416842105263158</v>
      </c>
      <c r="BY42" s="46">
        <f t="shared" si="415"/>
        <v>0.11235059760956176</v>
      </c>
      <c r="BZ42" s="46">
        <f t="shared" si="415"/>
        <v>0.1138556883576804</v>
      </c>
      <c r="CA42" s="46">
        <f t="shared" si="415"/>
        <v>0.112012255564567</v>
      </c>
      <c r="CB42" s="46">
        <f t="shared" si="415"/>
        <v>0.11381454447147878</v>
      </c>
      <c r="CC42" s="46">
        <f t="shared" si="415"/>
        <v>0.12189817103311913</v>
      </c>
      <c r="CD42" s="46">
        <f t="shared" si="415"/>
        <v>0.12318339100346021</v>
      </c>
      <c r="CE42" s="46">
        <f t="shared" si="415"/>
        <v>0.12340683795266033</v>
      </c>
      <c r="CF42" s="46">
        <f t="shared" si="415"/>
        <v>0.1280598826623508</v>
      </c>
      <c r="CG42" s="46">
        <f t="shared" si="415"/>
        <v>0.13978276317125166</v>
      </c>
      <c r="CH42" s="46">
        <f t="shared" si="415"/>
        <v>0.13998578824484822</v>
      </c>
      <c r="CI42" s="46">
        <f t="shared" si="415"/>
        <v>6.4219317699240316E-2</v>
      </c>
      <c r="CJ42" s="46">
        <f t="shared" si="415"/>
        <v>7.1248487293263413E-2</v>
      </c>
      <c r="CK42" s="46">
        <f t="shared" si="415"/>
        <v>0.12078774617067833</v>
      </c>
      <c r="CL42" s="46">
        <f t="shared" si="415"/>
        <v>0.13997013439522149</v>
      </c>
      <c r="CM42" s="47">
        <f t="shared" ref="CM42" si="416">CL42</f>
        <v>0.13997013439522149</v>
      </c>
      <c r="CN42" s="47">
        <f t="shared" ref="CN42" si="417">CM42</f>
        <v>0.13997013439522149</v>
      </c>
      <c r="CO42" s="47">
        <f>CN42</f>
        <v>0.13997013439522149</v>
      </c>
      <c r="CP42" s="47">
        <f t="shared" ref="CP42:DB42" si="418">CO42</f>
        <v>0.13997013439522149</v>
      </c>
      <c r="CQ42" s="47">
        <f t="shared" si="418"/>
        <v>0.13997013439522149</v>
      </c>
      <c r="CR42" s="47">
        <f t="shared" si="418"/>
        <v>0.13997013439522149</v>
      </c>
      <c r="CS42" s="47">
        <f t="shared" si="418"/>
        <v>0.13997013439522149</v>
      </c>
      <c r="CT42" s="47">
        <f t="shared" si="418"/>
        <v>0.13997013439522149</v>
      </c>
      <c r="CU42" s="47">
        <f t="shared" si="418"/>
        <v>0.13997013439522149</v>
      </c>
      <c r="CV42" s="47">
        <f t="shared" si="418"/>
        <v>0.13997013439522149</v>
      </c>
      <c r="CW42" s="47">
        <f t="shared" si="418"/>
        <v>0.13997013439522149</v>
      </c>
      <c r="CX42" s="47">
        <f t="shared" si="418"/>
        <v>0.13997013439522149</v>
      </c>
      <c r="CY42" s="47">
        <f t="shared" si="418"/>
        <v>0.13997013439522149</v>
      </c>
      <c r="CZ42" s="47">
        <f t="shared" si="418"/>
        <v>0.13997013439522149</v>
      </c>
      <c r="DA42" s="47">
        <f t="shared" si="418"/>
        <v>0.13997013439522149</v>
      </c>
      <c r="DB42" s="47">
        <f t="shared" si="418"/>
        <v>0.13997013439522149</v>
      </c>
      <c r="DE42" s="130"/>
      <c r="DF42" s="46">
        <v>0.12078774617067833</v>
      </c>
    </row>
    <row r="43" spans="1:110" s="26" customFormat="1" x14ac:dyDescent="0.2">
      <c r="A43" s="34" t="s">
        <v>16</v>
      </c>
      <c r="B43" s="26">
        <f>B37-B41</f>
        <v>0</v>
      </c>
      <c r="C43" s="26">
        <f t="shared" ref="C43:T43" si="419">C37-C41</f>
        <v>0</v>
      </c>
      <c r="D43" s="26">
        <f>D37-D41</f>
        <v>0</v>
      </c>
      <c r="E43" s="26">
        <f t="shared" si="419"/>
        <v>-0.87</v>
      </c>
      <c r="F43" s="26">
        <f t="shared" si="419"/>
        <v>2553.0099999999989</v>
      </c>
      <c r="G43" s="26">
        <f t="shared" si="419"/>
        <v>3401.8699999999994</v>
      </c>
      <c r="H43" s="26">
        <f t="shared" si="419"/>
        <v>4698.6800000000039</v>
      </c>
      <c r="I43" s="26">
        <f t="shared" si="419"/>
        <v>5146.2199999999966</v>
      </c>
      <c r="J43" s="26">
        <f t="shared" si="419"/>
        <v>5824.3599999999988</v>
      </c>
      <c r="K43" s="26">
        <f t="shared" si="419"/>
        <v>7838.8800000000037</v>
      </c>
      <c r="L43" s="26">
        <f t="shared" si="419"/>
        <v>10302.749999999998</v>
      </c>
      <c r="M43" s="26">
        <f t="shared" si="419"/>
        <v>13064.260000000004</v>
      </c>
      <c r="N43" s="26">
        <f t="shared" si="419"/>
        <v>16959.770000000004</v>
      </c>
      <c r="O43" s="26">
        <f t="shared" si="419"/>
        <v>23797.809999999998</v>
      </c>
      <c r="P43" s="26">
        <f t="shared" si="419"/>
        <v>22683.020000000008</v>
      </c>
      <c r="Q43" s="26">
        <f t="shared" si="419"/>
        <v>28789</v>
      </c>
      <c r="R43" s="26">
        <f t="shared" si="419"/>
        <v>30324</v>
      </c>
      <c r="S43" s="26">
        <f t="shared" si="419"/>
        <v>30502</v>
      </c>
      <c r="T43" s="26">
        <f t="shared" si="419"/>
        <v>37450</v>
      </c>
      <c r="U43" s="26">
        <f t="shared" ref="U43:Z43" si="420">U37-U41</f>
        <v>38580</v>
      </c>
      <c r="V43" s="26">
        <f t="shared" si="420"/>
        <v>42481</v>
      </c>
      <c r="W43" s="26">
        <f t="shared" si="420"/>
        <v>48444</v>
      </c>
      <c r="X43" s="26">
        <f t="shared" si="420"/>
        <v>54076</v>
      </c>
      <c r="Y43" s="26">
        <f t="shared" si="420"/>
        <v>59311</v>
      </c>
      <c r="Z43" s="26">
        <f t="shared" si="420"/>
        <v>62165</v>
      </c>
      <c r="AA43" s="26">
        <f t="shared" ref="AA43" si="421">AA37-AA41</f>
        <v>66227</v>
      </c>
      <c r="AB43" s="27">
        <f t="shared" ref="AA43:AD43" si="422">AB37-AB41</f>
        <v>71995.48285818471</v>
      </c>
      <c r="AC43" s="27">
        <f t="shared" si="422"/>
        <v>76880.591603662033</v>
      </c>
      <c r="AD43" s="27">
        <f t="shared" si="422"/>
        <v>81567.152723031759</v>
      </c>
      <c r="AE43" s="27">
        <f t="shared" ref="AE43" si="423">AE37-AE41</f>
        <v>86261.425246164814</v>
      </c>
      <c r="AI43" s="26">
        <f t="shared" ref="AI43" si="424">AI37-AI41</f>
        <v>3983.0999999999995</v>
      </c>
      <c r="AJ43" s="26">
        <f t="shared" ref="AJ43" si="425">AJ37-AJ41</f>
        <v>4172.53</v>
      </c>
      <c r="AK43" s="26">
        <f t="shared" ref="AK43:AM43" si="426">AK37-AK41</f>
        <v>4309.6400000000012</v>
      </c>
      <c r="AL43" s="26">
        <f t="shared" si="426"/>
        <v>4327.54</v>
      </c>
      <c r="AM43" s="26">
        <f t="shared" si="426"/>
        <v>4742.5600000000013</v>
      </c>
      <c r="AN43" s="26">
        <f t="shared" ref="AN43:AO43" si="427">AN37-AN41</f>
        <v>5927.7400000000007</v>
      </c>
      <c r="AO43" s="26">
        <f t="shared" si="427"/>
        <v>6337.49</v>
      </c>
      <c r="AP43" s="26">
        <f t="shared" ref="AP43:CD43" si="428">AP37-AP41</f>
        <v>6314.1000000000031</v>
      </c>
      <c r="AQ43" s="26">
        <f t="shared" si="428"/>
        <v>5935.0599999999995</v>
      </c>
      <c r="AR43" s="26">
        <f t="shared" si="428"/>
        <v>6351.1899999999978</v>
      </c>
      <c r="AS43" s="26">
        <f t="shared" si="428"/>
        <v>6586.1499999999987</v>
      </c>
      <c r="AT43" s="26">
        <f t="shared" si="428"/>
        <v>3810.62</v>
      </c>
      <c r="AU43" s="26">
        <f t="shared" si="428"/>
        <v>6748</v>
      </c>
      <c r="AV43" s="26">
        <f t="shared" si="428"/>
        <v>7353</v>
      </c>
      <c r="AW43" s="26">
        <f t="shared" si="428"/>
        <v>7276</v>
      </c>
      <c r="AX43" s="26">
        <f t="shared" si="428"/>
        <v>7412</v>
      </c>
      <c r="AY43" s="26">
        <f t="shared" si="428"/>
        <v>7347</v>
      </c>
      <c r="AZ43" s="26">
        <f t="shared" si="428"/>
        <v>7617</v>
      </c>
      <c r="BA43" s="26">
        <f t="shared" si="428"/>
        <v>7733</v>
      </c>
      <c r="BB43" s="26">
        <f t="shared" si="428"/>
        <v>7627</v>
      </c>
      <c r="BC43" s="26">
        <f t="shared" si="428"/>
        <v>6914</v>
      </c>
      <c r="BD43" s="26">
        <f t="shared" si="428"/>
        <v>7660</v>
      </c>
      <c r="BE43" s="26">
        <f t="shared" si="428"/>
        <v>7781</v>
      </c>
      <c r="BF43" s="26">
        <f t="shared" si="428"/>
        <v>8147</v>
      </c>
      <c r="BG43" s="26">
        <f t="shared" si="428"/>
        <v>8578</v>
      </c>
      <c r="BH43" s="26">
        <f t="shared" si="428"/>
        <v>9771</v>
      </c>
      <c r="BI43" s="26">
        <f t="shared" si="428"/>
        <v>9564</v>
      </c>
      <c r="BJ43" s="26">
        <f t="shared" si="428"/>
        <v>9537</v>
      </c>
      <c r="BK43" s="26">
        <f t="shared" si="428"/>
        <v>9220</v>
      </c>
      <c r="BL43" s="26">
        <f t="shared" si="428"/>
        <v>9361</v>
      </c>
      <c r="BM43" s="26">
        <f t="shared" si="428"/>
        <v>9974</v>
      </c>
      <c r="BN43" s="26">
        <f t="shared" si="428"/>
        <v>10025</v>
      </c>
      <c r="BO43" s="26">
        <f t="shared" si="428"/>
        <v>9048</v>
      </c>
      <c r="BP43" s="26">
        <f t="shared" si="428"/>
        <v>10515</v>
      </c>
      <c r="BQ43" s="26">
        <f t="shared" si="428"/>
        <v>11184</v>
      </c>
      <c r="BR43" s="26">
        <f t="shared" si="428"/>
        <v>11734</v>
      </c>
      <c r="BS43" s="26">
        <f t="shared" si="428"/>
        <v>11588</v>
      </c>
      <c r="BT43" s="26">
        <f t="shared" si="428"/>
        <v>12000</v>
      </c>
      <c r="BU43" s="26">
        <f t="shared" si="428"/>
        <v>12237</v>
      </c>
      <c r="BV43" s="26">
        <f t="shared" si="428"/>
        <v>12628</v>
      </c>
      <c r="BW43" s="26">
        <f t="shared" si="428"/>
        <v>12186</v>
      </c>
      <c r="BX43" s="26">
        <f t="shared" si="428"/>
        <v>13279</v>
      </c>
      <c r="BY43" s="26">
        <f t="shared" si="428"/>
        <v>14284</v>
      </c>
      <c r="BZ43" s="26">
        <f t="shared" si="428"/>
        <v>14488</v>
      </c>
      <c r="CA43" s="26">
        <f t="shared" si="428"/>
        <v>13755</v>
      </c>
      <c r="CB43" s="26">
        <f t="shared" si="428"/>
        <v>14483</v>
      </c>
      <c r="CC43" s="26">
        <f t="shared" si="428"/>
        <v>15155</v>
      </c>
      <c r="CD43" s="26">
        <f t="shared" si="428"/>
        <v>15918</v>
      </c>
      <c r="CE43" s="26">
        <f t="shared" ref="CE43:CF43" si="429">CE37-CE41</f>
        <v>15442</v>
      </c>
      <c r="CF43" s="26">
        <f t="shared" si="429"/>
        <v>15465</v>
      </c>
      <c r="CG43" s="26">
        <f t="shared" ref="CG43:CH43" si="430">CG37-CG41</f>
        <v>15657</v>
      </c>
      <c r="CH43" s="26">
        <f t="shared" si="430"/>
        <v>15601</v>
      </c>
      <c r="CI43" s="26">
        <f t="shared" ref="CI43:CJ43" si="431">CI37-CI41</f>
        <v>15514</v>
      </c>
      <c r="CJ43" s="26">
        <f t="shared" si="431"/>
        <v>16565</v>
      </c>
      <c r="CK43" s="26">
        <f t="shared" ref="CK43:CL43" si="432">CK37-CK41</f>
        <v>16889</v>
      </c>
      <c r="CL43" s="26">
        <f t="shared" si="432"/>
        <v>17870</v>
      </c>
      <c r="CM43" s="27">
        <f t="shared" ref="CM43:DB43" si="433">CM37-CM41</f>
        <v>17466.951883274993</v>
      </c>
      <c r="CN43" s="27">
        <f t="shared" si="433"/>
        <v>17877.160766174973</v>
      </c>
      <c r="CO43" s="27">
        <f t="shared" si="433"/>
        <v>18174.345855203195</v>
      </c>
      <c r="CP43" s="27">
        <f t="shared" si="433"/>
        <v>18477.024353531517</v>
      </c>
      <c r="CQ43" s="27">
        <f t="shared" si="433"/>
        <v>18767.232672534774</v>
      </c>
      <c r="CR43" s="27">
        <f t="shared" si="433"/>
        <v>19080.230499422818</v>
      </c>
      <c r="CS43" s="27">
        <f t="shared" si="433"/>
        <v>19370.741804079586</v>
      </c>
      <c r="CT43" s="27">
        <f t="shared" si="433"/>
        <v>19662.386627624812</v>
      </c>
      <c r="CU43" s="27">
        <f t="shared" si="433"/>
        <v>19953.57992391138</v>
      </c>
      <c r="CV43" s="27">
        <f t="shared" si="433"/>
        <v>20247.157078293516</v>
      </c>
      <c r="CW43" s="27">
        <f t="shared" si="433"/>
        <v>20537.371021717408</v>
      </c>
      <c r="CX43" s="27">
        <f t="shared" si="433"/>
        <v>20829.04469910944</v>
      </c>
      <c r="CY43" s="27">
        <f t="shared" si="433"/>
        <v>21122.03248376814</v>
      </c>
      <c r="CZ43" s="27">
        <f t="shared" si="433"/>
        <v>21416.604481579783</v>
      </c>
      <c r="DA43" s="27">
        <f t="shared" si="433"/>
        <v>21712.375647796514</v>
      </c>
      <c r="DB43" s="27">
        <f t="shared" si="433"/>
        <v>22010.412633020336</v>
      </c>
      <c r="DE43" s="121"/>
      <c r="DF43" s="26">
        <v>14559.431592245382</v>
      </c>
    </row>
    <row r="44" spans="1:110" s="23" customFormat="1" x14ac:dyDescent="0.2">
      <c r="A44" s="23" t="s">
        <v>17</v>
      </c>
      <c r="B44" s="23">
        <f>'Annual Raw'!C23</f>
        <v>0</v>
      </c>
      <c r="C44" s="23">
        <f>'Annual Raw'!D23</f>
        <v>0</v>
      </c>
      <c r="D44" s="23">
        <f>'Annual Raw'!E23</f>
        <v>0</v>
      </c>
      <c r="E44" s="23">
        <f>'Annual Raw'!F23</f>
        <v>4.3</v>
      </c>
      <c r="F44" s="23">
        <f>'Annual Raw'!G23</f>
        <v>96.13</v>
      </c>
      <c r="G44" s="23">
        <f>'Annual Raw'!H23</f>
        <v>113.89</v>
      </c>
      <c r="H44" s="23">
        <f>'Annual Raw'!I23</f>
        <v>229.05</v>
      </c>
      <c r="I44" s="23">
        <f>'Annual Raw'!J23</f>
        <v>729.74</v>
      </c>
      <c r="J44" s="23">
        <f>'Annual Raw'!K23</f>
        <v>354.37</v>
      </c>
      <c r="K44" s="23">
        <f>'Annual Raw'!L23</f>
        <v>466.85</v>
      </c>
      <c r="L44" s="23">
        <f>'Annual Raw'!M23</f>
        <v>744.35</v>
      </c>
      <c r="M44" s="23">
        <f>'Annual Raw'!N23</f>
        <v>881.28</v>
      </c>
      <c r="N44" s="23">
        <f>'Annual Raw'!O23</f>
        <v>1178.45</v>
      </c>
      <c r="O44" s="23">
        <f>'Annual Raw'!P23</f>
        <v>1642.57</v>
      </c>
      <c r="P44" s="23">
        <f>'Annual Raw'!Q23</f>
        <v>3229.91</v>
      </c>
      <c r="Q44" s="23">
        <f>'Annual Raw'!R23</f>
        <v>3084</v>
      </c>
      <c r="R44" s="23">
        <f>'Annual Raw'!S23</f>
        <v>4221</v>
      </c>
      <c r="S44" s="23">
        <f>'Annual Raw'!T23</f>
        <v>3642</v>
      </c>
      <c r="T44" s="23">
        <f>'Annual Raw'!U23</f>
        <v>4311</v>
      </c>
      <c r="U44" s="23">
        <f>'Annual Raw'!V23</f>
        <v>4592</v>
      </c>
      <c r="V44" s="23">
        <f>'Annual Raw'!W23</f>
        <v>3134</v>
      </c>
      <c r="W44" s="23">
        <f>'Annual Raw'!X23</f>
        <v>4027</v>
      </c>
      <c r="X44" s="23">
        <f>'Annual Raw'!Y23</f>
        <v>3610</v>
      </c>
      <c r="Y44" s="23">
        <f>'Annual Raw'!Z23</f>
        <v>4422</v>
      </c>
      <c r="Z44" s="23">
        <f>'Annual Raw'!AA23</f>
        <v>3962</v>
      </c>
      <c r="AA44" s="23">
        <f>'Annual Raw'!AB23</f>
        <v>5013</v>
      </c>
      <c r="AB44" s="76">
        <f t="shared" ref="AB44:AB45" si="434">+SUM(CM44:CP44)</f>
        <v>0</v>
      </c>
      <c r="AC44" s="76">
        <f t="shared" ref="AC44:AC45" si="435">+SUM(CQ44:CT44)</f>
        <v>0</v>
      </c>
      <c r="AD44" s="76">
        <f t="shared" ref="AD44:AD45" si="436">+SUM(CU44:CX44)</f>
        <v>0</v>
      </c>
      <c r="AE44" s="76">
        <f t="shared" ref="AE44:AE45" si="437">+SUM(CY44:DB44)</f>
        <v>0</v>
      </c>
      <c r="AI44" s="23">
        <f>'QTR Raw'!C23</f>
        <v>280.01</v>
      </c>
      <c r="AJ44" s="23">
        <f>'QTR Raw'!D23</f>
        <v>328.33</v>
      </c>
      <c r="AK44" s="23">
        <f>'QTR Raw'!E23</f>
        <v>294.62</v>
      </c>
      <c r="AL44" s="23">
        <f>'QTR Raw'!F23</f>
        <v>442.45</v>
      </c>
      <c r="AM44" s="23">
        <f>'QTR Raw'!G23</f>
        <v>362.9</v>
      </c>
      <c r="AN44" s="23">
        <f>'QTR Raw'!H23</f>
        <v>351.63</v>
      </c>
      <c r="AO44" s="23">
        <f>'QTR Raw'!I23</f>
        <v>683.07</v>
      </c>
      <c r="AP44" s="23">
        <f>'QTR Raw'!J23</f>
        <v>720.89</v>
      </c>
      <c r="AQ44" s="23">
        <f>'QTR Raw'!K23</f>
        <v>787.15</v>
      </c>
      <c r="AR44" s="23">
        <f>'QTR Raw'!L23</f>
        <v>662.63</v>
      </c>
      <c r="AS44" s="23">
        <f>'QTR Raw'!M23</f>
        <v>643.91</v>
      </c>
      <c r="AT44" s="23">
        <f>'QTR Raw'!N23</f>
        <v>1136.22</v>
      </c>
      <c r="AU44" s="23">
        <f>'QTR Raw'!O23</f>
        <v>779</v>
      </c>
      <c r="AV44" s="23">
        <f>'QTR Raw'!P23</f>
        <v>683</v>
      </c>
      <c r="AW44" s="23">
        <f>'QTR Raw'!Q23</f>
        <v>707</v>
      </c>
      <c r="AX44" s="23">
        <f>'QTR Raw'!R23</f>
        <v>915</v>
      </c>
      <c r="AY44" s="23">
        <f>'QTR Raw'!S23</f>
        <v>975</v>
      </c>
      <c r="AZ44" s="23">
        <f>'QTR Raw'!T23</f>
        <v>1057</v>
      </c>
      <c r="BA44" s="23">
        <f>'QTR Raw'!U23</f>
        <v>1192</v>
      </c>
      <c r="BB44" s="23">
        <f>'QTR Raw'!V23</f>
        <v>997</v>
      </c>
      <c r="BC44" s="23">
        <f>'QTR Raw'!W23</f>
        <v>959</v>
      </c>
      <c r="BD44" s="23">
        <f>'QTR Raw'!X23</f>
        <v>819</v>
      </c>
      <c r="BE44" s="23">
        <f>'QTR Raw'!Y23</f>
        <v>870</v>
      </c>
      <c r="BF44" s="23">
        <f>'QTR Raw'!Z23</f>
        <v>994</v>
      </c>
      <c r="BG44" s="23">
        <f>'QTR Raw'!AA23</f>
        <v>1225</v>
      </c>
      <c r="BH44" s="23">
        <f>'QTR Raw'!AB23</f>
        <v>730</v>
      </c>
      <c r="BI44" s="23">
        <f>'QTR Raw'!AC23</f>
        <v>1163</v>
      </c>
      <c r="BJ44" s="23">
        <f>'QTR Raw'!AD23</f>
        <v>1193</v>
      </c>
      <c r="BK44" s="23">
        <f>'QTR Raw'!AE23</f>
        <v>1675</v>
      </c>
      <c r="BL44" s="23">
        <f>'QTR Raw'!AF23</f>
        <v>1361</v>
      </c>
      <c r="BM44" s="23">
        <f>'QTR Raw'!AG23</f>
        <v>818</v>
      </c>
      <c r="BN44" s="23">
        <f>'QTR Raw'!AH23</f>
        <v>738</v>
      </c>
      <c r="BO44" s="23">
        <f>'QTR Raw'!AI23</f>
        <v>598</v>
      </c>
      <c r="BP44" s="23">
        <f>'QTR Raw'!AJ23</f>
        <v>914</v>
      </c>
      <c r="BQ44" s="23">
        <f>'QTR Raw'!AK23</f>
        <v>691</v>
      </c>
      <c r="BR44" s="23">
        <f>'QTR Raw'!AL23</f>
        <v>931</v>
      </c>
      <c r="BS44" s="23">
        <f>'QTR Raw'!AM23</f>
        <v>721</v>
      </c>
      <c r="BT44" s="23">
        <f>'QTR Raw'!AN23</f>
        <v>1111</v>
      </c>
      <c r="BU44" s="23">
        <f>'QTR Raw'!AO23</f>
        <v>1205</v>
      </c>
      <c r="BV44" s="23">
        <f>'QTR Raw'!AP23</f>
        <v>981</v>
      </c>
      <c r="BW44" s="23">
        <f>'QTR Raw'!AQ23</f>
        <v>789</v>
      </c>
      <c r="BX44" s="23">
        <f>'QTR Raw'!AR23</f>
        <v>965</v>
      </c>
      <c r="BY44" s="23">
        <f>'QTR Raw'!AS23</f>
        <v>520</v>
      </c>
      <c r="BZ44" s="23">
        <f>'QTR Raw'!AT23</f>
        <v>1175</v>
      </c>
      <c r="CA44" s="23">
        <f>'QTR Raw'!AU23</f>
        <v>1397</v>
      </c>
      <c r="CB44" s="23">
        <f>'QTR Raw'!AV23</f>
        <v>1006</v>
      </c>
      <c r="CC44" s="23">
        <f>'QTR Raw'!AW23</f>
        <v>862</v>
      </c>
      <c r="CD44" s="23">
        <f>'QTR Raw'!AX23</f>
        <v>1157</v>
      </c>
      <c r="CE44" s="23">
        <f>'QTR Raw'!AY23</f>
        <v>962</v>
      </c>
      <c r="CF44" s="23">
        <f>'QTR Raw'!AZ23</f>
        <v>729</v>
      </c>
      <c r="CG44" s="23">
        <f>'QTR Raw'!BA23</f>
        <v>1243</v>
      </c>
      <c r="CH44" s="23">
        <f>'QTR Raw'!BB23</f>
        <v>1028</v>
      </c>
      <c r="CI44" s="23">
        <f>'QTR Raw'!BC23</f>
        <v>1660</v>
      </c>
      <c r="CJ44" s="23">
        <f>'QTR Raw'!BD23</f>
        <v>867</v>
      </c>
      <c r="CK44" s="23">
        <f>'QTR Raw'!BE23</f>
        <v>1118</v>
      </c>
      <c r="CL44" s="23">
        <f>'QTR Raw'!BF23</f>
        <v>757</v>
      </c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E44" s="123"/>
      <c r="DF44" s="23">
        <v>4402</v>
      </c>
    </row>
    <row r="45" spans="1:110" s="23" customFormat="1" x14ac:dyDescent="0.2">
      <c r="A45" s="23" t="s">
        <v>18</v>
      </c>
      <c r="B45" s="23">
        <f>'Annual Raw'!C25</f>
        <v>0</v>
      </c>
      <c r="C45" s="23">
        <f>'Annual Raw'!D25</f>
        <v>0</v>
      </c>
      <c r="D45" s="23">
        <f>'Annual Raw'!E25</f>
        <v>0</v>
      </c>
      <c r="E45" s="23">
        <f>'Annual Raw'!F25</f>
        <v>0.2</v>
      </c>
      <c r="F45" s="23">
        <f>'Annual Raw'!G25</f>
        <v>15.45</v>
      </c>
      <c r="G45" s="23">
        <f>'Annual Raw'!H25</f>
        <v>9.14</v>
      </c>
      <c r="H45" s="23">
        <f>'Annual Raw'!I25</f>
        <v>9.4499999999999993</v>
      </c>
      <c r="I45" s="23">
        <f>'Annual Raw'!J25</f>
        <v>30.01</v>
      </c>
      <c r="J45" s="23">
        <f>'Annual Raw'!K25</f>
        <v>28.66</v>
      </c>
      <c r="K45" s="23">
        <f>'Annual Raw'!L25</f>
        <v>16.100000000000001</v>
      </c>
      <c r="L45" s="23">
        <f>'Annual Raw'!M25</f>
        <v>26.48</v>
      </c>
      <c r="M45" s="23">
        <f>'Annual Raw'!N25</f>
        <v>22.23</v>
      </c>
      <c r="N45" s="23">
        <f>'Annual Raw'!O25</f>
        <v>48.49</v>
      </c>
      <c r="O45" s="23">
        <f>'Annual Raw'!P25</f>
        <v>38.520000000000003</v>
      </c>
      <c r="P45" s="23">
        <f>'Annual Raw'!Q25</f>
        <v>104.19</v>
      </c>
      <c r="Q45" s="23">
        <f>'Annual Raw'!R25</f>
        <v>33</v>
      </c>
      <c r="R45" s="23">
        <f>'Annual Raw'!S25</f>
        <v>32</v>
      </c>
      <c r="S45" s="23">
        <f>'Annual Raw'!T25</f>
        <v>52</v>
      </c>
      <c r="T45" s="23">
        <f>'Annual Raw'!U25</f>
        <v>198</v>
      </c>
      <c r="U45" s="23">
        <f>'Annual Raw'!V25</f>
        <v>924</v>
      </c>
      <c r="V45" s="23">
        <f>'Annual Raw'!W25</f>
        <v>637</v>
      </c>
      <c r="W45" s="23">
        <f>'Annual Raw'!X25</f>
        <v>784</v>
      </c>
      <c r="X45" s="23">
        <f>'Annual Raw'!Y25</f>
        <v>779</v>
      </c>
      <c r="Y45" s="23">
        <f>'Annual Raw'!Z25</f>
        <v>778</v>
      </c>
      <c r="Z45" s="23">
        <f>'Annual Raw'!AA25</f>
        <v>796</v>
      </c>
      <c r="AA45" s="23">
        <f>'Annual Raw'!AB25</f>
        <v>1227</v>
      </c>
      <c r="AB45" s="76">
        <f t="shared" si="434"/>
        <v>-2184.8675721959053</v>
      </c>
      <c r="AC45" s="76">
        <f t="shared" si="435"/>
        <v>-4068.4516521955979</v>
      </c>
      <c r="AD45" s="76">
        <f t="shared" si="436"/>
        <v>-6087.5032514953473</v>
      </c>
      <c r="AE45" s="76">
        <f t="shared" si="437"/>
        <v>-8258.3553180786621</v>
      </c>
      <c r="AI45" s="23">
        <f>'QTR Raw'!C25</f>
        <v>6.55</v>
      </c>
      <c r="AJ45" s="23">
        <f>'QTR Raw'!D25</f>
        <v>15.11</v>
      </c>
      <c r="AK45" s="23">
        <f>'QTR Raw'!E25</f>
        <v>7.9</v>
      </c>
      <c r="AL45" s="23">
        <f>'QTR Raw'!F25</f>
        <v>18.93</v>
      </c>
      <c r="AM45" s="23">
        <f>'QTR Raw'!G25</f>
        <v>6.75</v>
      </c>
      <c r="AN45" s="23">
        <f>'QTR Raw'!H25</f>
        <v>12.67</v>
      </c>
      <c r="AO45" s="23">
        <f>'QTR Raw'!I25</f>
        <v>7.05</v>
      </c>
      <c r="AP45" s="23">
        <f>'QTR Raw'!J25</f>
        <v>12.05</v>
      </c>
      <c r="AQ45" s="23">
        <f>'QTR Raw'!K25</f>
        <v>8.67</v>
      </c>
      <c r="AR45" s="23">
        <f>'QTR Raw'!L25</f>
        <v>66.489999999999995</v>
      </c>
      <c r="AS45" s="23">
        <f>'QTR Raw'!M25</f>
        <v>17.98</v>
      </c>
      <c r="AT45" s="23">
        <f>'QTR Raw'!N25</f>
        <v>11.05</v>
      </c>
      <c r="AU45" s="23">
        <f>'QTR Raw'!O25</f>
        <v>7</v>
      </c>
      <c r="AV45" s="23">
        <f>'QTR Raw'!P25</f>
        <v>8</v>
      </c>
      <c r="AW45" s="23">
        <f>'QTR Raw'!Q25</f>
        <v>8</v>
      </c>
      <c r="AX45" s="23">
        <f>'QTR Raw'!R25</f>
        <v>10</v>
      </c>
      <c r="AY45" s="23">
        <f>'QTR Raw'!S25</f>
        <v>12</v>
      </c>
      <c r="AZ45" s="23">
        <f>'QTR Raw'!T25</f>
        <v>5</v>
      </c>
      <c r="BA45" s="23">
        <f>'QTR Raw'!U25</f>
        <v>7</v>
      </c>
      <c r="BB45" s="23">
        <f>'QTR Raw'!V25</f>
        <v>8</v>
      </c>
      <c r="BC45" s="23">
        <f>'QTR Raw'!W25</f>
        <v>27</v>
      </c>
      <c r="BD45" s="23">
        <f>'QTR Raw'!X25</f>
        <v>7</v>
      </c>
      <c r="BE45" s="23">
        <f>'QTR Raw'!Y25</f>
        <v>6</v>
      </c>
      <c r="BF45" s="23">
        <f>'QTR Raw'!Z25</f>
        <v>12</v>
      </c>
      <c r="BG45" s="23">
        <f>'QTR Raw'!AA25</f>
        <v>17</v>
      </c>
      <c r="BH45" s="23">
        <f>'QTR Raw'!AB25</f>
        <v>137</v>
      </c>
      <c r="BI45" s="23">
        <f>'QTR Raw'!AC25</f>
        <v>16</v>
      </c>
      <c r="BJ45" s="23">
        <f>'QTR Raw'!AD25</f>
        <v>28</v>
      </c>
      <c r="BK45" s="23">
        <f>'QTR Raw'!AE25</f>
        <v>257</v>
      </c>
      <c r="BL45" s="23">
        <f>'QTR Raw'!AF25</f>
        <v>193</v>
      </c>
      <c r="BM45" s="23">
        <f>'QTR Raw'!AG25</f>
        <v>223</v>
      </c>
      <c r="BN45" s="23">
        <f>'QTR Raw'!AH25</f>
        <v>251</v>
      </c>
      <c r="BO45" s="23">
        <f>'QTR Raw'!AI25</f>
        <v>142</v>
      </c>
      <c r="BP45" s="23">
        <f>'QTR Raw'!AJ25</f>
        <v>174</v>
      </c>
      <c r="BQ45" s="23">
        <f>'QTR Raw'!AK25</f>
        <v>183</v>
      </c>
      <c r="BR45" s="23">
        <f>'QTR Raw'!AL25</f>
        <v>138</v>
      </c>
      <c r="BS45" s="23">
        <f>'QTR Raw'!AM25</f>
        <v>146</v>
      </c>
      <c r="BT45" s="23">
        <f>'QTR Raw'!AN25</f>
        <v>142</v>
      </c>
      <c r="BU45" s="23">
        <f>'QTR Raw'!AO25</f>
        <v>251</v>
      </c>
      <c r="BV45" s="23">
        <f>'QTR Raw'!AP25</f>
        <v>245</v>
      </c>
      <c r="BW45" s="23">
        <f>'QTR Raw'!AQ25</f>
        <v>199</v>
      </c>
      <c r="BX45" s="23">
        <f>'QTR Raw'!AR25</f>
        <v>148</v>
      </c>
      <c r="BY45" s="23">
        <f>'QTR Raw'!AS25</f>
        <v>160</v>
      </c>
      <c r="BZ45" s="23">
        <f>'QTR Raw'!AT25</f>
        <v>272</v>
      </c>
      <c r="CA45" s="23">
        <f>'QTR Raw'!AU25</f>
        <v>163</v>
      </c>
      <c r="CB45" s="23">
        <f>'QTR Raw'!AV25</f>
        <v>159</v>
      </c>
      <c r="CC45" s="23">
        <f>'QTR Raw'!AW25</f>
        <v>230</v>
      </c>
      <c r="CD45" s="23">
        <f>'QTR Raw'!AX25</f>
        <v>226</v>
      </c>
      <c r="CE45" s="23">
        <f>'QTR Raw'!AY25</f>
        <v>173</v>
      </c>
      <c r="CF45" s="23">
        <f>'QTR Raw'!AZ25</f>
        <v>162</v>
      </c>
      <c r="CG45" s="23">
        <f>'QTR Raw'!BA25</f>
        <v>234</v>
      </c>
      <c r="CH45" s="23">
        <f>'QTR Raw'!BB25</f>
        <v>227</v>
      </c>
      <c r="CI45" s="23">
        <f>'QTR Raw'!BC25</f>
        <v>195</v>
      </c>
      <c r="CJ45" s="23">
        <f>'QTR Raw'!BD25</f>
        <v>229</v>
      </c>
      <c r="CK45" s="23">
        <f>'QTR Raw'!BE25</f>
        <v>538</v>
      </c>
      <c r="CL45" s="23">
        <f>'QTR Raw'!BF25</f>
        <v>265</v>
      </c>
      <c r="CM45" s="24">
        <f t="shared" ref="CM45:DB45" si="438">CM46*CL177</f>
        <v>-373.42400000000004</v>
      </c>
      <c r="CN45" s="24">
        <f t="shared" si="438"/>
        <v>-489.3821646947934</v>
      </c>
      <c r="CO45" s="24">
        <f t="shared" si="438"/>
        <v>-603.11208353739005</v>
      </c>
      <c r="CP45" s="24">
        <f t="shared" si="438"/>
        <v>-718.94932396372189</v>
      </c>
      <c r="CQ45" s="24">
        <f t="shared" si="438"/>
        <v>-835.65641803646361</v>
      </c>
      <c r="CR45" s="24">
        <f t="shared" si="438"/>
        <v>-955.10417797518971</v>
      </c>
      <c r="CS45" s="24">
        <f t="shared" si="438"/>
        <v>-1076.8925429747972</v>
      </c>
      <c r="CT45" s="24">
        <f t="shared" si="438"/>
        <v>-1200.7985132091476</v>
      </c>
      <c r="CU45" s="24">
        <f t="shared" si="438"/>
        <v>-1326.8161267924454</v>
      </c>
      <c r="CV45" s="24">
        <f t="shared" si="438"/>
        <v>-1455.282530143661</v>
      </c>
      <c r="CW45" s="24">
        <f t="shared" si="438"/>
        <v>-1586.1089863405223</v>
      </c>
      <c r="CX45" s="24">
        <f t="shared" si="438"/>
        <v>-1719.2956082187186</v>
      </c>
      <c r="CY45" s="24">
        <f t="shared" si="438"/>
        <v>-1854.9036388131301</v>
      </c>
      <c r="CZ45" s="24">
        <f t="shared" si="438"/>
        <v>-1993.0132833770861</v>
      </c>
      <c r="DA45" s="24">
        <f t="shared" si="438"/>
        <v>-2133.6343071138726</v>
      </c>
      <c r="DB45" s="24">
        <f t="shared" si="438"/>
        <v>-2276.8040887745728</v>
      </c>
      <c r="DE45" s="123"/>
      <c r="DF45" s="23">
        <v>-959.78204144439894</v>
      </c>
    </row>
    <row r="46" spans="1:110" s="46" customFormat="1" x14ac:dyDescent="0.2">
      <c r="A46" s="46" t="s">
        <v>482</v>
      </c>
      <c r="B46" s="46" t="e">
        <f t="shared" ref="B46:D46" si="439">+B45/B137</f>
        <v>#DIV/0!</v>
      </c>
      <c r="C46" s="46" t="e">
        <f t="shared" si="439"/>
        <v>#DIV/0!</v>
      </c>
      <c r="D46" s="46" t="e">
        <f t="shared" si="439"/>
        <v>#DIV/0!</v>
      </c>
      <c r="E46" s="46">
        <f t="shared" ref="E46:AE46" si="440">+E45/E137</f>
        <v>4.5332970669567977E-4</v>
      </c>
      <c r="F46" s="46">
        <f t="shared" si="440"/>
        <v>7.610462538791192E-2</v>
      </c>
      <c r="G46" s="46">
        <f t="shared" si="440"/>
        <v>7.8327191704516241E-2</v>
      </c>
      <c r="H46" s="46">
        <f t="shared" si="440"/>
        <v>1.8648248643315244E-2</v>
      </c>
      <c r="I46" s="46">
        <f t="shared" si="440"/>
        <v>6.5953144916706966E-2</v>
      </c>
      <c r="J46" s="46">
        <f t="shared" si="440"/>
        <v>5.0826416968149254E-2</v>
      </c>
      <c r="K46" s="46">
        <f t="shared" si="440"/>
        <v>0.15593220338983052</v>
      </c>
      <c r="L46" s="46">
        <f t="shared" si="440"/>
        <v>0.35401069518716571</v>
      </c>
      <c r="M46" s="46">
        <f t="shared" si="440"/>
        <v>0.17566179375740812</v>
      </c>
      <c r="N46" s="46">
        <f t="shared" si="440"/>
        <v>0.20876566065354973</v>
      </c>
      <c r="O46" s="46">
        <f t="shared" si="440"/>
        <v>0.12975376427392463</v>
      </c>
      <c r="P46" s="46">
        <f t="shared" si="440"/>
        <v>0.29127760693318422</v>
      </c>
      <c r="Q46" s="46">
        <f t="shared" si="440"/>
        <v>0.13469387755102041</v>
      </c>
      <c r="R46" s="46">
        <f t="shared" si="440"/>
        <v>0.11072664359861592</v>
      </c>
      <c r="S46" s="46">
        <f t="shared" si="440"/>
        <v>0.21052631578947367</v>
      </c>
      <c r="T46" s="46">
        <f t="shared" si="440"/>
        <v>11</v>
      </c>
      <c r="U46" s="46" t="e">
        <f t="shared" si="440"/>
        <v>#DIV/0!</v>
      </c>
      <c r="V46" s="46" t="e">
        <f t="shared" si="440"/>
        <v>#DIV/0!</v>
      </c>
      <c r="W46" s="46" t="e">
        <f t="shared" si="440"/>
        <v>#DIV/0!</v>
      </c>
      <c r="X46" s="46" t="e">
        <f t="shared" si="440"/>
        <v>#DIV/0!</v>
      </c>
      <c r="Y46" s="46" t="e">
        <f t="shared" si="440"/>
        <v>#DIV/0!</v>
      </c>
      <c r="Z46" s="46" t="e">
        <f t="shared" si="440"/>
        <v>#DIV/0!</v>
      </c>
      <c r="AA46" s="46" t="e">
        <f t="shared" ref="AA46" si="441">+AA45/AA137</f>
        <v>#DIV/0!</v>
      </c>
      <c r="AB46" s="110" t="e">
        <f t="shared" si="440"/>
        <v>#DIV/0!</v>
      </c>
      <c r="AC46" s="110" t="e">
        <f t="shared" si="440"/>
        <v>#DIV/0!</v>
      </c>
      <c r="AD46" s="110" t="e">
        <f t="shared" si="440"/>
        <v>#DIV/0!</v>
      </c>
      <c r="AE46" s="110" t="e">
        <f t="shared" si="440"/>
        <v>#DIV/0!</v>
      </c>
      <c r="AI46" s="46" t="e">
        <f t="shared" ref="AI46:BN46" si="442">(AI45-AI44)/AH177</f>
        <v>#DIV/0!</v>
      </c>
      <c r="AJ46" s="46" t="e">
        <f t="shared" si="442"/>
        <v>#DIV/0!</v>
      </c>
      <c r="AK46" s="46">
        <f t="shared" si="442"/>
        <v>3.7551602020075021E-2</v>
      </c>
      <c r="AL46" s="46">
        <f t="shared" si="442"/>
        <v>3.8922319710862095E-2</v>
      </c>
      <c r="AM46" s="46">
        <f t="shared" si="442"/>
        <v>4.7567849129180467E-2</v>
      </c>
      <c r="AN46" s="46">
        <f t="shared" si="442"/>
        <v>3.3301770632347225E-2</v>
      </c>
      <c r="AO46" s="46">
        <f t="shared" si="442"/>
        <v>0.10999796607411626</v>
      </c>
      <c r="AP46" s="46">
        <f t="shared" si="442"/>
        <v>6.2764014519627431E-2</v>
      </c>
      <c r="AQ46" s="46">
        <f t="shared" si="442"/>
        <v>5.0728660833209524E-2</v>
      </c>
      <c r="AR46" s="46">
        <f t="shared" si="442"/>
        <v>2.9109328003452086E-2</v>
      </c>
      <c r="AS46" s="46">
        <f t="shared" si="442"/>
        <v>5.0733283296832618E-2</v>
      </c>
      <c r="AT46" s="46">
        <f t="shared" si="442"/>
        <v>6.562244668438999E-2</v>
      </c>
      <c r="AU46" s="46">
        <f t="shared" si="442"/>
        <v>3.909096294915998E-2</v>
      </c>
      <c r="AV46" s="46">
        <f t="shared" si="442"/>
        <v>2.7470341389206995E-2</v>
      </c>
      <c r="AW46" s="46">
        <f t="shared" si="442"/>
        <v>3.2940808336333657E-2</v>
      </c>
      <c r="AX46" s="46">
        <f t="shared" si="442"/>
        <v>3.3295589626947147E-2</v>
      </c>
      <c r="AY46" s="46">
        <f t="shared" si="442"/>
        <v>3.3125795466272229E-2</v>
      </c>
      <c r="AZ46" s="46">
        <f t="shared" si="442"/>
        <v>3.0255990973418901E-2</v>
      </c>
      <c r="BA46" s="46">
        <f t="shared" si="442"/>
        <v>3.6657798675988368E-2</v>
      </c>
      <c r="BB46" s="46">
        <f t="shared" si="442"/>
        <v>2.5526875552574008E-2</v>
      </c>
      <c r="BC46" s="46">
        <f t="shared" si="442"/>
        <v>2.0477215801731334E-2</v>
      </c>
      <c r="BD46" s="46">
        <f t="shared" si="442"/>
        <v>1.5765799968267838E-2</v>
      </c>
      <c r="BE46" s="46">
        <f t="shared" si="442"/>
        <v>2.5742633256860232E-2</v>
      </c>
      <c r="BF46" s="46">
        <f t="shared" si="442"/>
        <v>2.4684264342080854E-2</v>
      </c>
      <c r="BG46" s="46">
        <f t="shared" si="442"/>
        <v>2.8334857973870007E-2</v>
      </c>
      <c r="BH46" s="46">
        <f t="shared" si="442"/>
        <v>1.2312408528557701E-2</v>
      </c>
      <c r="BI46" s="46">
        <f t="shared" si="442"/>
        <v>3.3657090877079729E-2</v>
      </c>
      <c r="BJ46" s="46">
        <f t="shared" si="442"/>
        <v>2.7858231182897531E-2</v>
      </c>
      <c r="BK46" s="46">
        <f t="shared" si="442"/>
        <v>3.3811011230596821E-2</v>
      </c>
      <c r="BL46" s="46">
        <f t="shared" si="442"/>
        <v>2.3379524172361485E-2</v>
      </c>
      <c r="BM46" s="46">
        <f t="shared" si="442"/>
        <v>1.2755102040816327E-2</v>
      </c>
      <c r="BN46" s="46">
        <f t="shared" si="442"/>
        <v>8.9934720791964261E-3</v>
      </c>
      <c r="BO46" s="46">
        <f t="shared" ref="BO46:CL46" si="443">(BO45-BO44)/BN177</f>
        <v>1.273529576048707E-2</v>
      </c>
      <c r="BP46" s="46">
        <f t="shared" si="443"/>
        <v>1.6812642024971017E-2</v>
      </c>
      <c r="BQ46" s="46">
        <f t="shared" si="443"/>
        <v>1.081311196253725E-2</v>
      </c>
      <c r="BR46" s="46">
        <f t="shared" si="443"/>
        <v>1.4587464171324669E-2</v>
      </c>
      <c r="BS46" s="46">
        <f t="shared" si="443"/>
        <v>1.4939333316012366E-2</v>
      </c>
      <c r="BT46" s="46">
        <f t="shared" si="443"/>
        <v>2.0896042163776024E-2</v>
      </c>
      <c r="BU46" s="46">
        <f t="shared" si="443"/>
        <v>1.9451127512947031E-2</v>
      </c>
      <c r="BV46" s="46">
        <f t="shared" si="443"/>
        <v>1.2807747609576212E-2</v>
      </c>
      <c r="BW46" s="46">
        <f t="shared" si="443"/>
        <v>1.2169213951281893E-2</v>
      </c>
      <c r="BX46" s="46">
        <f t="shared" si="443"/>
        <v>1.4456629805940098E-2</v>
      </c>
      <c r="BY46" s="46">
        <f t="shared" si="443"/>
        <v>7.1697436816633804E-3</v>
      </c>
      <c r="BZ46" s="46">
        <f t="shared" si="443"/>
        <v>1.5254191180755959E-2</v>
      </c>
      <c r="CA46" s="46">
        <f t="shared" si="443"/>
        <v>2.5746416574516474E-2</v>
      </c>
      <c r="CB46" s="46">
        <f t="shared" si="443"/>
        <v>1.4390834858686146E-2</v>
      </c>
      <c r="CC46" s="46">
        <f t="shared" si="443"/>
        <v>1.105513574027428E-2</v>
      </c>
      <c r="CD46" s="46">
        <f t="shared" si="443"/>
        <v>1.3768275200599605E-2</v>
      </c>
      <c r="CE46" s="46">
        <f t="shared" si="443"/>
        <v>1.7624589541403266E-2</v>
      </c>
      <c r="CF46" s="46">
        <f t="shared" si="443"/>
        <v>1.0156418620575989E-2</v>
      </c>
      <c r="CG46" s="46">
        <f t="shared" si="443"/>
        <v>1.9209900047596384E-2</v>
      </c>
      <c r="CH46" s="46">
        <f t="shared" si="443"/>
        <v>1.230330711932567E-2</v>
      </c>
      <c r="CI46" s="46">
        <f t="shared" si="443"/>
        <v>3.1742936384122032E-2</v>
      </c>
      <c r="CJ46" s="46">
        <f t="shared" si="443"/>
        <v>1.0522686900061523E-2</v>
      </c>
      <c r="CK46" s="46">
        <f t="shared" si="443"/>
        <v>1.0885477271874179E-2</v>
      </c>
      <c r="CL46" s="46">
        <f t="shared" si="443"/>
        <v>7.6133331178663529E-3</v>
      </c>
      <c r="CM46" s="47">
        <v>8.0000000000000002E-3</v>
      </c>
      <c r="CN46" s="47">
        <f>+CM46</f>
        <v>8.0000000000000002E-3</v>
      </c>
      <c r="CO46" s="47">
        <f>+CN46</f>
        <v>8.0000000000000002E-3</v>
      </c>
      <c r="CP46" s="47">
        <f t="shared" ref="CP46:DB46" si="444">+CO46</f>
        <v>8.0000000000000002E-3</v>
      </c>
      <c r="CQ46" s="47">
        <f t="shared" si="444"/>
        <v>8.0000000000000002E-3</v>
      </c>
      <c r="CR46" s="47">
        <f t="shared" si="444"/>
        <v>8.0000000000000002E-3</v>
      </c>
      <c r="CS46" s="47">
        <f t="shared" si="444"/>
        <v>8.0000000000000002E-3</v>
      </c>
      <c r="CT46" s="47">
        <f t="shared" si="444"/>
        <v>8.0000000000000002E-3</v>
      </c>
      <c r="CU46" s="47">
        <f t="shared" si="444"/>
        <v>8.0000000000000002E-3</v>
      </c>
      <c r="CV46" s="47">
        <f t="shared" si="444"/>
        <v>8.0000000000000002E-3</v>
      </c>
      <c r="CW46" s="47">
        <f t="shared" si="444"/>
        <v>8.0000000000000002E-3</v>
      </c>
      <c r="CX46" s="47">
        <f t="shared" si="444"/>
        <v>8.0000000000000002E-3</v>
      </c>
      <c r="CY46" s="47">
        <f t="shared" si="444"/>
        <v>8.0000000000000002E-3</v>
      </c>
      <c r="CZ46" s="47">
        <f t="shared" si="444"/>
        <v>8.0000000000000002E-3</v>
      </c>
      <c r="DA46" s="47">
        <f t="shared" si="444"/>
        <v>8.0000000000000002E-3</v>
      </c>
      <c r="DB46" s="47">
        <f t="shared" si="444"/>
        <v>8.0000000000000002E-3</v>
      </c>
      <c r="DE46" s="130"/>
      <c r="DF46" s="46">
        <v>1.4999999999999999E-2</v>
      </c>
    </row>
    <row r="47" spans="1:110" s="26" customFormat="1" x14ac:dyDescent="0.2">
      <c r="A47" s="26" t="s">
        <v>20</v>
      </c>
      <c r="B47" s="26">
        <f>B43+B44-B45</f>
        <v>0</v>
      </c>
      <c r="C47" s="26">
        <f t="shared" ref="C47:T47" si="445">C43+C44-C45</f>
        <v>0</v>
      </c>
      <c r="D47" s="26">
        <f>D43+D44-D45</f>
        <v>0</v>
      </c>
      <c r="E47" s="26">
        <f t="shared" si="445"/>
        <v>3.2299999999999995</v>
      </c>
      <c r="F47" s="26">
        <f t="shared" si="445"/>
        <v>2633.6899999999991</v>
      </c>
      <c r="G47" s="26">
        <f t="shared" si="445"/>
        <v>3506.6199999999994</v>
      </c>
      <c r="H47" s="26">
        <f t="shared" si="445"/>
        <v>4918.2800000000043</v>
      </c>
      <c r="I47" s="26">
        <f t="shared" si="445"/>
        <v>5845.9499999999962</v>
      </c>
      <c r="J47" s="26">
        <f t="shared" si="445"/>
        <v>6150.0699999999988</v>
      </c>
      <c r="K47" s="26">
        <f t="shared" si="445"/>
        <v>8289.6300000000028</v>
      </c>
      <c r="L47" s="26">
        <f t="shared" si="445"/>
        <v>11020.619999999999</v>
      </c>
      <c r="M47" s="26">
        <f t="shared" si="445"/>
        <v>13923.310000000005</v>
      </c>
      <c r="N47" s="26">
        <f t="shared" si="445"/>
        <v>18089.730000000003</v>
      </c>
      <c r="O47" s="26">
        <f t="shared" si="445"/>
        <v>25401.859999999997</v>
      </c>
      <c r="P47" s="26">
        <f t="shared" si="445"/>
        <v>25808.740000000009</v>
      </c>
      <c r="Q47" s="26">
        <f t="shared" si="445"/>
        <v>31840</v>
      </c>
      <c r="R47" s="26">
        <f t="shared" si="445"/>
        <v>34513</v>
      </c>
      <c r="S47" s="26">
        <f t="shared" si="445"/>
        <v>34092</v>
      </c>
      <c r="T47" s="26">
        <f t="shared" si="445"/>
        <v>41563</v>
      </c>
      <c r="U47" s="26">
        <f t="shared" ref="U47:Z47" si="446">U43+U44-U45</f>
        <v>42248</v>
      </c>
      <c r="V47" s="26">
        <f t="shared" si="446"/>
        <v>44978</v>
      </c>
      <c r="W47" s="26">
        <f t="shared" si="446"/>
        <v>51687</v>
      </c>
      <c r="X47" s="26">
        <f t="shared" si="446"/>
        <v>56907</v>
      </c>
      <c r="Y47" s="26">
        <f t="shared" si="446"/>
        <v>62955</v>
      </c>
      <c r="Z47" s="26">
        <f t="shared" si="446"/>
        <v>65331</v>
      </c>
      <c r="AA47" s="26">
        <f t="shared" ref="AA47" si="447">AA43+AA44-AA45</f>
        <v>70013</v>
      </c>
      <c r="AB47" s="27">
        <f t="shared" ref="AB47:AD47" si="448">AB43+AB44-AB45</f>
        <v>74180.350430380611</v>
      </c>
      <c r="AC47" s="27">
        <f t="shared" si="448"/>
        <v>80949.043255857629</v>
      </c>
      <c r="AD47" s="27">
        <f t="shared" si="448"/>
        <v>87654.655974527108</v>
      </c>
      <c r="AE47" s="27">
        <f t="shared" ref="AE47" si="449">AE43+AE44-AE45</f>
        <v>94519.780564243469</v>
      </c>
      <c r="AI47" s="26">
        <f>AI43+AI44-AI45</f>
        <v>4256.5599999999995</v>
      </c>
      <c r="AJ47" s="26">
        <f t="shared" ref="AJ47" si="450">AJ43+AJ44-AJ45</f>
        <v>4485.75</v>
      </c>
      <c r="AK47" s="26">
        <f t="shared" ref="AK47:AM47" si="451">AK43+AK44-AK45</f>
        <v>4596.3600000000015</v>
      </c>
      <c r="AL47" s="26">
        <f t="shared" si="451"/>
        <v>4751.0599999999995</v>
      </c>
      <c r="AM47" s="26">
        <f t="shared" si="451"/>
        <v>5098.7100000000009</v>
      </c>
      <c r="AN47" s="26">
        <f t="shared" ref="AN47:AO47" si="452">AN43+AN44-AN45</f>
        <v>6266.7000000000007</v>
      </c>
      <c r="AO47" s="26">
        <f t="shared" si="452"/>
        <v>7013.5099999999993</v>
      </c>
      <c r="AP47" s="26">
        <f t="shared" ref="AP47:CD47" si="453">AP43+AP44-AP45</f>
        <v>7022.9400000000032</v>
      </c>
      <c r="AQ47" s="26">
        <f t="shared" si="453"/>
        <v>6713.5399999999991</v>
      </c>
      <c r="AR47" s="26">
        <f t="shared" si="453"/>
        <v>6947.3299999999981</v>
      </c>
      <c r="AS47" s="26">
        <f t="shared" si="453"/>
        <v>7212.079999999999</v>
      </c>
      <c r="AT47" s="26">
        <f t="shared" si="453"/>
        <v>4935.79</v>
      </c>
      <c r="AU47" s="26">
        <f t="shared" si="453"/>
        <v>7520</v>
      </c>
      <c r="AV47" s="26">
        <f t="shared" si="453"/>
        <v>8028</v>
      </c>
      <c r="AW47" s="26">
        <f t="shared" si="453"/>
        <v>7975</v>
      </c>
      <c r="AX47" s="26">
        <f t="shared" si="453"/>
        <v>8317</v>
      </c>
      <c r="AY47" s="26">
        <f t="shared" si="453"/>
        <v>8310</v>
      </c>
      <c r="AZ47" s="26">
        <f t="shared" si="453"/>
        <v>8669</v>
      </c>
      <c r="BA47" s="26">
        <f t="shared" si="453"/>
        <v>8918</v>
      </c>
      <c r="BB47" s="26">
        <f t="shared" si="453"/>
        <v>8616</v>
      </c>
      <c r="BC47" s="26">
        <f t="shared" si="453"/>
        <v>7846</v>
      </c>
      <c r="BD47" s="26">
        <f t="shared" si="453"/>
        <v>8472</v>
      </c>
      <c r="BE47" s="26">
        <f t="shared" si="453"/>
        <v>8645</v>
      </c>
      <c r="BF47" s="26">
        <f t="shared" si="453"/>
        <v>9129</v>
      </c>
      <c r="BG47" s="26">
        <f t="shared" si="453"/>
        <v>9786</v>
      </c>
      <c r="BH47" s="26">
        <f t="shared" si="453"/>
        <v>10364</v>
      </c>
      <c r="BI47" s="26">
        <f t="shared" si="453"/>
        <v>10711</v>
      </c>
      <c r="BJ47" s="26">
        <f t="shared" si="453"/>
        <v>10702</v>
      </c>
      <c r="BK47" s="26">
        <f t="shared" si="453"/>
        <v>10638</v>
      </c>
      <c r="BL47" s="26">
        <f t="shared" si="453"/>
        <v>10529</v>
      </c>
      <c r="BM47" s="26">
        <f t="shared" si="453"/>
        <v>10569</v>
      </c>
      <c r="BN47" s="26">
        <f t="shared" si="453"/>
        <v>10512</v>
      </c>
      <c r="BO47" s="26">
        <f t="shared" si="453"/>
        <v>9504</v>
      </c>
      <c r="BP47" s="26">
        <f t="shared" si="453"/>
        <v>11255</v>
      </c>
      <c r="BQ47" s="26">
        <f t="shared" si="453"/>
        <v>11692</v>
      </c>
      <c r="BR47" s="26">
        <f t="shared" si="453"/>
        <v>12527</v>
      </c>
      <c r="BS47" s="26">
        <f t="shared" si="453"/>
        <v>12163</v>
      </c>
      <c r="BT47" s="26">
        <f t="shared" si="453"/>
        <v>12969</v>
      </c>
      <c r="BU47" s="26">
        <f t="shared" si="453"/>
        <v>13191</v>
      </c>
      <c r="BV47" s="26">
        <f t="shared" si="453"/>
        <v>13364</v>
      </c>
      <c r="BW47" s="26">
        <f t="shared" si="453"/>
        <v>12776</v>
      </c>
      <c r="BX47" s="26">
        <f t="shared" si="453"/>
        <v>14096</v>
      </c>
      <c r="BY47" s="26">
        <f t="shared" si="453"/>
        <v>14644</v>
      </c>
      <c r="BZ47" s="26">
        <f t="shared" si="453"/>
        <v>15391</v>
      </c>
      <c r="CA47" s="26">
        <f t="shared" si="453"/>
        <v>14989</v>
      </c>
      <c r="CB47" s="26">
        <f t="shared" si="453"/>
        <v>15330</v>
      </c>
      <c r="CC47" s="26">
        <f t="shared" si="453"/>
        <v>15787</v>
      </c>
      <c r="CD47" s="26">
        <f t="shared" si="453"/>
        <v>16849</v>
      </c>
      <c r="CE47" s="26">
        <f t="shared" ref="CE47:CF47" si="454">CE43+CE44-CE45</f>
        <v>16231</v>
      </c>
      <c r="CF47" s="26">
        <f t="shared" si="454"/>
        <v>16032</v>
      </c>
      <c r="CG47" s="26">
        <f t="shared" ref="CG47:CH47" si="455">CG43+CG44-CG45</f>
        <v>16666</v>
      </c>
      <c r="CH47" s="26">
        <f t="shared" si="455"/>
        <v>16402</v>
      </c>
      <c r="CI47" s="26">
        <f t="shared" ref="CI47:CJ47" si="456">CI43+CI44-CI45</f>
        <v>16979</v>
      </c>
      <c r="CJ47" s="26">
        <f t="shared" si="456"/>
        <v>17203</v>
      </c>
      <c r="CK47" s="26">
        <f t="shared" ref="CK47:CL47" si="457">CK43+CK44-CK45</f>
        <v>17469</v>
      </c>
      <c r="CL47" s="26">
        <f t="shared" si="457"/>
        <v>18362</v>
      </c>
      <c r="CM47" s="27">
        <f t="shared" ref="CM47:DB47" si="458">CM43+CM44-CM45</f>
        <v>17840.375883274992</v>
      </c>
      <c r="CN47" s="27">
        <f t="shared" si="458"/>
        <v>18366.542930869768</v>
      </c>
      <c r="CO47" s="27">
        <f t="shared" si="458"/>
        <v>18777.457938740587</v>
      </c>
      <c r="CP47" s="27">
        <f t="shared" si="458"/>
        <v>19195.97367749524</v>
      </c>
      <c r="CQ47" s="27">
        <f t="shared" si="458"/>
        <v>19602.889090571236</v>
      </c>
      <c r="CR47" s="27">
        <f t="shared" si="458"/>
        <v>20035.334677398008</v>
      </c>
      <c r="CS47" s="27">
        <f t="shared" si="458"/>
        <v>20447.634347054383</v>
      </c>
      <c r="CT47" s="27">
        <f t="shared" si="458"/>
        <v>20863.185140833961</v>
      </c>
      <c r="CU47" s="27">
        <f t="shared" si="458"/>
        <v>21280.396050703825</v>
      </c>
      <c r="CV47" s="27">
        <f t="shared" si="458"/>
        <v>21702.439608437177</v>
      </c>
      <c r="CW47" s="27">
        <f t="shared" si="458"/>
        <v>22123.48000805793</v>
      </c>
      <c r="CX47" s="27">
        <f t="shared" si="458"/>
        <v>22548.340307328159</v>
      </c>
      <c r="CY47" s="27">
        <f t="shared" si="458"/>
        <v>22976.936122581272</v>
      </c>
      <c r="CZ47" s="27">
        <f t="shared" si="458"/>
        <v>23409.617764956871</v>
      </c>
      <c r="DA47" s="27">
        <f t="shared" si="458"/>
        <v>23846.009954910387</v>
      </c>
      <c r="DB47" s="27">
        <f t="shared" si="458"/>
        <v>24287.21672179491</v>
      </c>
      <c r="DE47" s="121"/>
      <c r="DF47" s="26">
        <v>15519.213633689782</v>
      </c>
    </row>
    <row r="48" spans="1:110" s="23" customFormat="1" x14ac:dyDescent="0.2">
      <c r="A48" s="23" t="s">
        <v>21</v>
      </c>
      <c r="B48" s="23">
        <f>'Annual Raw'!C30</f>
        <v>0</v>
      </c>
      <c r="C48" s="23">
        <f>'Annual Raw'!D30</f>
        <v>0</v>
      </c>
      <c r="D48" s="23">
        <f>'Annual Raw'!E30</f>
        <v>0</v>
      </c>
      <c r="E48" s="23">
        <f>'Annual Raw'!F30</f>
        <v>1.49</v>
      </c>
      <c r="F48" s="23">
        <f>'Annual Raw'!G30</f>
        <v>396.99</v>
      </c>
      <c r="G48" s="23">
        <f>'Annual Raw'!H30</f>
        <v>509.57</v>
      </c>
      <c r="H48" s="23">
        <f>'Annual Raw'!I30</f>
        <v>663.96</v>
      </c>
      <c r="I48" s="23">
        <f>'Annual Raw'!J30</f>
        <v>786.31</v>
      </c>
      <c r="J48" s="23">
        <f>'Annual Raw'!K30</f>
        <v>838.95</v>
      </c>
      <c r="K48" s="23">
        <f>'Annual Raw'!L30</f>
        <v>1196.97</v>
      </c>
      <c r="L48" s="23">
        <f>'Annual Raw'!M30</f>
        <v>1830.83</v>
      </c>
      <c r="M48" s="23">
        <f>'Annual Raw'!N30</f>
        <v>3399.86</v>
      </c>
      <c r="N48" s="23">
        <f>'Annual Raw'!O30</f>
        <v>4014.04</v>
      </c>
      <c r="O48" s="23">
        <f>'Annual Raw'!P30</f>
        <v>6069.99</v>
      </c>
      <c r="P48" s="23">
        <f>'Annual Raw'!Q30</f>
        <v>6238.79</v>
      </c>
      <c r="Q48" s="23">
        <f>'Annual Raw'!R30</f>
        <v>7502</v>
      </c>
      <c r="R48" s="23">
        <f>'Annual Raw'!S30</f>
        <v>8156</v>
      </c>
      <c r="S48" s="23">
        <f>'Annual Raw'!T30</f>
        <v>8212</v>
      </c>
      <c r="T48" s="23">
        <f>'Annual Raw'!U30</f>
        <v>10001</v>
      </c>
      <c r="U48" s="23">
        <f>'Annual Raw'!V30</f>
        <v>9801</v>
      </c>
      <c r="V48" s="23">
        <f>'Annual Raw'!W30</f>
        <v>11198</v>
      </c>
      <c r="W48" s="23">
        <f>'Annual Raw'!X30</f>
        <v>13238</v>
      </c>
      <c r="X48" s="23">
        <f>'Annual Raw'!Y30</f>
        <v>14604</v>
      </c>
      <c r="Y48" s="23">
        <f>'Annual Raw'!Z30</f>
        <v>15898</v>
      </c>
      <c r="Z48" s="23">
        <f>'Annual Raw'!AA30</f>
        <v>16534</v>
      </c>
      <c r="AA48" s="23">
        <f>'Annual Raw'!AB30</f>
        <v>16033</v>
      </c>
      <c r="AB48" s="24">
        <f>+SUM(CM48:CP48)</f>
        <v>16861.951199260071</v>
      </c>
      <c r="AC48" s="24">
        <f>+SUM(CQ48:CT48)</f>
        <v>18415.521180694843</v>
      </c>
      <c r="AD48" s="24">
        <f>+SUM(CU48:CX48)</f>
        <v>19952.02171639169</v>
      </c>
      <c r="AE48" s="24">
        <f>+SUM(CY48:DB48)</f>
        <v>21518.148166100756</v>
      </c>
      <c r="AI48" s="23">
        <f>'QTR Raw'!C29</f>
        <v>898.89</v>
      </c>
      <c r="AJ48" s="23">
        <f>'QTR Raw'!D29</f>
        <v>1016.07</v>
      </c>
      <c r="AK48" s="23">
        <f>'QTR Raw'!E29</f>
        <v>1005.74</v>
      </c>
      <c r="AL48" s="23">
        <f>'QTR Raw'!F29</f>
        <v>1093.3399999999999</v>
      </c>
      <c r="AM48" s="23">
        <f>'QTR Raw'!G29</f>
        <v>1225.8499999999999</v>
      </c>
      <c r="AN48" s="23">
        <f>'QTR Raw'!H29</f>
        <v>1594.65</v>
      </c>
      <c r="AO48" s="23">
        <f>'QTR Raw'!I29</f>
        <v>1636.2</v>
      </c>
      <c r="AP48" s="23">
        <f>'QTR Raw'!J29</f>
        <v>1613.29</v>
      </c>
      <c r="AQ48" s="23">
        <f>'QTR Raw'!K29</f>
        <v>1598.65</v>
      </c>
      <c r="AR48" s="23">
        <f>'QTR Raw'!L29</f>
        <v>1635.06</v>
      </c>
      <c r="AS48" s="23">
        <f>'QTR Raw'!M29</f>
        <v>1823.74</v>
      </c>
      <c r="AT48" s="23">
        <f>'QTR Raw'!N29</f>
        <v>1181.3399999999999</v>
      </c>
      <c r="AU48" s="23">
        <f>'QTR Raw'!O29</f>
        <v>1747</v>
      </c>
      <c r="AV48" s="23">
        <f>'QTR Raw'!P29</f>
        <v>1935</v>
      </c>
      <c r="AW48" s="23">
        <f>'QTR Raw'!Q29</f>
        <v>1850</v>
      </c>
      <c r="AX48" s="23">
        <f>'QTR Raw'!R29</f>
        <v>1970</v>
      </c>
      <c r="AY48" s="23">
        <f>'QTR Raw'!S29</f>
        <v>1992</v>
      </c>
      <c r="AZ48" s="23">
        <f>'QTR Raw'!T29</f>
        <v>2066</v>
      </c>
      <c r="BA48" s="23">
        <f>'QTR Raw'!U29</f>
        <v>2104</v>
      </c>
      <c r="BB48" s="23">
        <f>'QTR Raw'!V29</f>
        <v>1994</v>
      </c>
      <c r="BC48" s="23">
        <f>'QTR Raw'!W29</f>
        <v>1896</v>
      </c>
      <c r="BD48" s="23">
        <f>'QTR Raw'!X29</f>
        <v>2012</v>
      </c>
      <c r="BE48" s="23">
        <f>'QTR Raw'!Y29</f>
        <v>2100</v>
      </c>
      <c r="BF48" s="23">
        <f>'QTR Raw'!Z29</f>
        <v>2204</v>
      </c>
      <c r="BG48" s="23">
        <f>'QTR Raw'!AA29</f>
        <v>2424</v>
      </c>
      <c r="BH48" s="23">
        <f>'QTR Raw'!AB29</f>
        <v>2437</v>
      </c>
      <c r="BI48" s="23">
        <f>'QTR Raw'!AC29</f>
        <v>2590</v>
      </c>
      <c r="BJ48" s="23">
        <f>'QTR Raw'!AD29</f>
        <v>2550</v>
      </c>
      <c r="BK48" s="23">
        <f>'QTR Raw'!AE29</f>
        <v>2485</v>
      </c>
      <c r="BL48" s="23">
        <f>'QTR Raw'!AF29</f>
        <v>2471</v>
      </c>
      <c r="BM48" s="23">
        <f>'QTR Raw'!AG29</f>
        <v>2426</v>
      </c>
      <c r="BN48" s="23">
        <f>'QTR Raw'!AH29</f>
        <v>2419</v>
      </c>
      <c r="BO48" s="23">
        <f>'QTR Raw'!AI29</f>
        <v>2455</v>
      </c>
      <c r="BP48" s="23">
        <f>'QTR Raw'!AJ29</f>
        <v>2533</v>
      </c>
      <c r="BQ48" s="23">
        <f>'QTR Raw'!AK29</f>
        <v>2965</v>
      </c>
      <c r="BR48" s="23">
        <f>'QTR Raw'!AL29</f>
        <v>3245</v>
      </c>
      <c r="BS48" s="23">
        <f>'QTR Raw'!AM29</f>
        <v>3132</v>
      </c>
      <c r="BT48" s="23">
        <f>'QTR Raw'!AN29</f>
        <v>3316</v>
      </c>
      <c r="BU48" s="23">
        <f>'QTR Raw'!AO29</f>
        <v>3385</v>
      </c>
      <c r="BV48" s="23">
        <f>'QTR Raw'!AP29</f>
        <v>3405</v>
      </c>
      <c r="BW48" s="23">
        <f>'QTR Raw'!AQ29</f>
        <v>3257</v>
      </c>
      <c r="BX48" s="23">
        <f>'QTR Raw'!AR29</f>
        <v>3631</v>
      </c>
      <c r="BY48" s="23">
        <f>'QTR Raw'!AS29</f>
        <v>3761</v>
      </c>
      <c r="BZ48" s="23">
        <f>'QTR Raw'!AT29</f>
        <v>3955</v>
      </c>
      <c r="CA48" s="23">
        <f>'QTR Raw'!AU29</f>
        <v>3869</v>
      </c>
      <c r="CB48" s="23">
        <f>'QTR Raw'!AV29</f>
        <v>3950</v>
      </c>
      <c r="CC48" s="23">
        <f>'QTR Raw'!AW29</f>
        <v>3732</v>
      </c>
      <c r="CD48" s="23">
        <f>'QTR Raw'!AX29</f>
        <v>4347</v>
      </c>
      <c r="CE48" s="23">
        <f>'QTR Raw'!AY29</f>
        <v>4126</v>
      </c>
      <c r="CF48" s="23">
        <f>'QTR Raw'!AZ29</f>
        <v>4077</v>
      </c>
      <c r="CG48" s="23">
        <f>'QTR Raw'!BA29</f>
        <v>4222</v>
      </c>
      <c r="CH48" s="23">
        <f>'QTR Raw'!BB29</f>
        <v>4109</v>
      </c>
      <c r="CI48" s="23">
        <f>'QTR Raw'!BC29</f>
        <v>4160</v>
      </c>
      <c r="CJ48" s="23">
        <f>'QTR Raw'!BD29</f>
        <v>3937</v>
      </c>
      <c r="CK48" s="23">
        <f>'QTR Raw'!BE29</f>
        <v>3358</v>
      </c>
      <c r="CL48" s="23">
        <f>'QTR Raw'!BF29</f>
        <v>4578</v>
      </c>
      <c r="CM48" s="24">
        <f t="shared" ref="CM48:DB48" si="459">+CM47*CM49</f>
        <v>4082.812158709824</v>
      </c>
      <c r="CN48" s="24">
        <f t="shared" si="459"/>
        <v>4129.0434459993912</v>
      </c>
      <c r="CO48" s="24">
        <f t="shared" si="459"/>
        <v>4202.4474521158045</v>
      </c>
      <c r="CP48" s="24">
        <f t="shared" si="459"/>
        <v>4447.6481424350513</v>
      </c>
      <c r="CQ48" s="24">
        <f t="shared" si="459"/>
        <v>4455.5671091112754</v>
      </c>
      <c r="CR48" s="24">
        <f t="shared" si="459"/>
        <v>4546.0393967078844</v>
      </c>
      <c r="CS48" s="24">
        <f t="shared" si="459"/>
        <v>4650.2631767469911</v>
      </c>
      <c r="CT48" s="24">
        <f t="shared" si="459"/>
        <v>4763.6514981286937</v>
      </c>
      <c r="CU48" s="24">
        <f t="shared" si="459"/>
        <v>4840.9899914225962</v>
      </c>
      <c r="CV48" s="24">
        <f t="shared" si="459"/>
        <v>4938.0544913454041</v>
      </c>
      <c r="CW48" s="24">
        <f t="shared" si="459"/>
        <v>5037.3591880863705</v>
      </c>
      <c r="CX48" s="24">
        <f t="shared" si="459"/>
        <v>5135.618045537316</v>
      </c>
      <c r="CY48" s="24">
        <f t="shared" si="459"/>
        <v>5229.9739141454638</v>
      </c>
      <c r="CZ48" s="24">
        <f t="shared" si="459"/>
        <v>5329.2358069107668</v>
      </c>
      <c r="DA48" s="24">
        <f t="shared" si="459"/>
        <v>5429.2787645695989</v>
      </c>
      <c r="DB48" s="24">
        <f t="shared" si="459"/>
        <v>5529.6596804749261</v>
      </c>
      <c r="DE48" s="123"/>
      <c r="DF48" s="23">
        <v>3591.8231197654331</v>
      </c>
    </row>
    <row r="49" spans="1:110" s="90" customFormat="1" x14ac:dyDescent="0.2">
      <c r="A49" s="90" t="s">
        <v>106</v>
      </c>
      <c r="B49" s="90" t="e">
        <f t="shared" ref="B49:E49" si="460">B48/B47</f>
        <v>#DIV/0!</v>
      </c>
      <c r="C49" s="90" t="e">
        <f t="shared" si="460"/>
        <v>#DIV/0!</v>
      </c>
      <c r="D49" s="90" t="e">
        <f t="shared" si="460"/>
        <v>#DIV/0!</v>
      </c>
      <c r="E49" s="90">
        <f t="shared" si="460"/>
        <v>0.46130030959752327</v>
      </c>
      <c r="F49" s="90">
        <f t="shared" ref="F49:T49" si="461">F48/F47</f>
        <v>0.1507352801582571</v>
      </c>
      <c r="G49" s="90">
        <f t="shared" si="461"/>
        <v>0.14531657265400871</v>
      </c>
      <c r="H49" s="90">
        <f t="shared" si="461"/>
        <v>0.13499841407971883</v>
      </c>
      <c r="I49" s="90">
        <f t="shared" si="461"/>
        <v>0.13450508471676981</v>
      </c>
      <c r="J49" s="90">
        <f t="shared" si="461"/>
        <v>0.13641308147712145</v>
      </c>
      <c r="K49" s="90">
        <f t="shared" si="461"/>
        <v>0.14439365810054244</v>
      </c>
      <c r="L49" s="90">
        <f t="shared" si="461"/>
        <v>0.16612767702724529</v>
      </c>
      <c r="M49" s="90">
        <f t="shared" si="461"/>
        <v>0.24418475204531098</v>
      </c>
      <c r="N49" s="90">
        <f t="shared" si="461"/>
        <v>0.22189607031171826</v>
      </c>
      <c r="O49" s="90">
        <f t="shared" si="461"/>
        <v>0.23895848571718767</v>
      </c>
      <c r="P49" s="90">
        <f t="shared" si="461"/>
        <v>0.24173167694354694</v>
      </c>
      <c r="Q49" s="90">
        <f t="shared" si="461"/>
        <v>0.23561557788944723</v>
      </c>
      <c r="R49" s="90">
        <f t="shared" si="461"/>
        <v>0.23631675021006576</v>
      </c>
      <c r="S49" s="90">
        <f t="shared" si="461"/>
        <v>0.24087762524932535</v>
      </c>
      <c r="T49" s="90">
        <f t="shared" si="461"/>
        <v>0.24062266920097203</v>
      </c>
      <c r="U49" s="90">
        <f t="shared" ref="U49:Z49" si="462">U48/U47</f>
        <v>0.23198731300889983</v>
      </c>
      <c r="V49" s="90">
        <f t="shared" si="462"/>
        <v>0.24896616123438126</v>
      </c>
      <c r="W49" s="90">
        <f t="shared" si="462"/>
        <v>0.25611855979259773</v>
      </c>
      <c r="X49" s="90">
        <f t="shared" si="462"/>
        <v>0.25662923717644576</v>
      </c>
      <c r="Y49" s="90">
        <f t="shared" si="462"/>
        <v>0.25252958462393771</v>
      </c>
      <c r="Z49" s="90">
        <f t="shared" si="462"/>
        <v>0.25308046715954141</v>
      </c>
      <c r="AA49" s="90">
        <f t="shared" ref="AA49" si="463">AA48/AA47</f>
        <v>0.22900032851041949</v>
      </c>
      <c r="AB49" s="91">
        <f t="shared" ref="AA49:AD49" si="464">AB48/AB47</f>
        <v>0.22731021222507258</v>
      </c>
      <c r="AC49" s="91">
        <f t="shared" si="464"/>
        <v>0.22749522959139187</v>
      </c>
      <c r="AD49" s="91">
        <f t="shared" si="464"/>
        <v>0.22762078630700289</v>
      </c>
      <c r="AE49" s="91">
        <f t="shared" ref="AE49" si="465">AE48/AE47</f>
        <v>0.22765761872960805</v>
      </c>
      <c r="AI49" s="90">
        <f t="shared" ref="AI49" si="466">AI48/AI47</f>
        <v>0.21117757062040712</v>
      </c>
      <c r="AJ49" s="90">
        <f t="shared" ref="AJ49" si="467">AJ48/AJ47</f>
        <v>0.22651061695368668</v>
      </c>
      <c r="AK49" s="90">
        <f t="shared" ref="AK49:AM49" si="468">AK48/AK47</f>
        <v>0.21881227754135874</v>
      </c>
      <c r="AL49" s="90">
        <f t="shared" si="468"/>
        <v>0.23012548778588357</v>
      </c>
      <c r="AM49" s="90">
        <f t="shared" si="468"/>
        <v>0.24042355811568017</v>
      </c>
      <c r="AN49" s="90">
        <f t="shared" ref="AN49:AO49" si="469">AN48/AN47</f>
        <v>0.25446407199961701</v>
      </c>
      <c r="AO49" s="90">
        <f t="shared" si="469"/>
        <v>0.23329260242018621</v>
      </c>
      <c r="AP49" s="90">
        <f t="shared" ref="AP49:CD49" si="470">AP48/AP47</f>
        <v>0.2297171839713851</v>
      </c>
      <c r="AQ49" s="90">
        <f t="shared" si="470"/>
        <v>0.23812325539134352</v>
      </c>
      <c r="AR49" s="90">
        <f t="shared" si="470"/>
        <v>0.23535084701604794</v>
      </c>
      <c r="AS49" s="90">
        <f t="shared" si="470"/>
        <v>0.25287295759337114</v>
      </c>
      <c r="AT49" s="90">
        <f t="shared" si="470"/>
        <v>0.23934162515017857</v>
      </c>
      <c r="AU49" s="90">
        <f t="shared" si="470"/>
        <v>0.23231382978723406</v>
      </c>
      <c r="AV49" s="90">
        <f t="shared" si="470"/>
        <v>0.24103139013452915</v>
      </c>
      <c r="AW49" s="90">
        <f t="shared" si="470"/>
        <v>0.23197492163009403</v>
      </c>
      <c r="AX49" s="90">
        <f t="shared" si="470"/>
        <v>0.23686425393771793</v>
      </c>
      <c r="AY49" s="90">
        <f t="shared" si="470"/>
        <v>0.23971119133574006</v>
      </c>
      <c r="AZ49" s="90">
        <f t="shared" si="470"/>
        <v>0.23832045218594994</v>
      </c>
      <c r="BA49" s="90">
        <f t="shared" si="470"/>
        <v>0.23592733796815429</v>
      </c>
      <c r="BB49" s="90">
        <f t="shared" si="470"/>
        <v>0.23142989786443827</v>
      </c>
      <c r="BC49" s="90">
        <f t="shared" si="470"/>
        <v>0.24165179709406068</v>
      </c>
      <c r="BD49" s="90">
        <f t="shared" si="470"/>
        <v>0.23748819641170915</v>
      </c>
      <c r="BE49" s="90">
        <f t="shared" si="470"/>
        <v>0.24291497975708501</v>
      </c>
      <c r="BF49" s="90">
        <f t="shared" si="470"/>
        <v>0.24142841494139555</v>
      </c>
      <c r="BG49" s="90">
        <f t="shared" si="470"/>
        <v>0.24770079705702022</v>
      </c>
      <c r="BH49" s="90">
        <f t="shared" si="470"/>
        <v>0.2351408722500965</v>
      </c>
      <c r="BI49" s="90">
        <f t="shared" si="470"/>
        <v>0.24180748762953971</v>
      </c>
      <c r="BJ49" s="90">
        <f t="shared" si="470"/>
        <v>0.2382732199588862</v>
      </c>
      <c r="BK49" s="90">
        <f t="shared" si="470"/>
        <v>0.23359654070313968</v>
      </c>
      <c r="BL49" s="90">
        <f t="shared" si="470"/>
        <v>0.23468515528540224</v>
      </c>
      <c r="BM49" s="90">
        <f t="shared" si="470"/>
        <v>0.22953921846910777</v>
      </c>
      <c r="BN49" s="90">
        <f t="shared" si="470"/>
        <v>0.2301179604261796</v>
      </c>
      <c r="BO49" s="90">
        <f t="shared" si="470"/>
        <v>0.25831228956228958</v>
      </c>
      <c r="BP49" s="90">
        <f t="shared" si="470"/>
        <v>0.22505553087516658</v>
      </c>
      <c r="BQ49" s="90">
        <f t="shared" si="470"/>
        <v>0.25359219979473147</v>
      </c>
      <c r="BR49" s="90">
        <f t="shared" si="470"/>
        <v>0.25904047257922885</v>
      </c>
      <c r="BS49" s="90">
        <f t="shared" si="470"/>
        <v>0.25750226095535639</v>
      </c>
      <c r="BT49" s="90">
        <f t="shared" si="470"/>
        <v>0.2556866373660267</v>
      </c>
      <c r="BU49" s="90">
        <f t="shared" si="470"/>
        <v>0.25661435827458118</v>
      </c>
      <c r="BV49" s="90">
        <f t="shared" si="470"/>
        <v>0.2547889853337324</v>
      </c>
      <c r="BW49" s="90">
        <f t="shared" si="470"/>
        <v>0.25493112085159675</v>
      </c>
      <c r="BX49" s="90">
        <f t="shared" si="470"/>
        <v>0.25759080590238365</v>
      </c>
      <c r="BY49" s="90">
        <f t="shared" si="470"/>
        <v>0.25682873531821909</v>
      </c>
      <c r="BZ49" s="90">
        <f t="shared" si="470"/>
        <v>0.25696835813137547</v>
      </c>
      <c r="CA49" s="90">
        <f t="shared" si="470"/>
        <v>0.25812262325705515</v>
      </c>
      <c r="CB49" s="90">
        <f t="shared" si="470"/>
        <v>0.25766470971950423</v>
      </c>
      <c r="CC49" s="90">
        <f t="shared" si="470"/>
        <v>0.23639703553556723</v>
      </c>
      <c r="CD49" s="90">
        <f t="shared" si="470"/>
        <v>0.25799750727046117</v>
      </c>
      <c r="CE49" s="90">
        <f t="shared" ref="CE49:CF49" si="471">CE48/CE47</f>
        <v>0.2542049165177746</v>
      </c>
      <c r="CF49" s="90">
        <f t="shared" si="471"/>
        <v>0.25430389221556887</v>
      </c>
      <c r="CG49" s="90">
        <f t="shared" ref="CG49:CH49" si="472">CG48/CG47</f>
        <v>0.25333013320532821</v>
      </c>
      <c r="CH49" s="90">
        <f t="shared" si="472"/>
        <v>0.25051822948420926</v>
      </c>
      <c r="CI49" s="90">
        <f t="shared" ref="CI49:CJ49" si="473">CI48/CI47</f>
        <v>0.24500853996112845</v>
      </c>
      <c r="CJ49" s="90">
        <f t="shared" si="473"/>
        <v>0.22885543219205953</v>
      </c>
      <c r="CK49" s="90">
        <f t="shared" ref="CK49:CL49" si="474">CK48/CK47</f>
        <v>0.19222622932051062</v>
      </c>
      <c r="CL49" s="90">
        <f t="shared" si="474"/>
        <v>0.24931924626946955</v>
      </c>
      <c r="CM49" s="91">
        <f t="shared" ref="CM49:DB49" si="475">AVERAGE(CI49:CL49)</f>
        <v>0.22885236193579203</v>
      </c>
      <c r="CN49" s="91">
        <f t="shared" si="475"/>
        <v>0.22481331742945793</v>
      </c>
      <c r="CO49" s="91">
        <f t="shared" si="475"/>
        <v>0.22380278873880755</v>
      </c>
      <c r="CP49" s="91">
        <f t="shared" si="475"/>
        <v>0.23169692859338178</v>
      </c>
      <c r="CQ49" s="91">
        <f t="shared" si="475"/>
        <v>0.22729134917435981</v>
      </c>
      <c r="CR49" s="91">
        <f t="shared" si="475"/>
        <v>0.22690109598400177</v>
      </c>
      <c r="CS49" s="91">
        <f t="shared" si="475"/>
        <v>0.22742304062263771</v>
      </c>
      <c r="CT49" s="91">
        <f t="shared" si="475"/>
        <v>0.22832810359359526</v>
      </c>
      <c r="CU49" s="91">
        <f t="shared" si="475"/>
        <v>0.22748589734364863</v>
      </c>
      <c r="CV49" s="91">
        <f t="shared" si="475"/>
        <v>0.22753453438597085</v>
      </c>
      <c r="CW49" s="91">
        <f t="shared" si="475"/>
        <v>0.22769289398646311</v>
      </c>
      <c r="CX49" s="91">
        <f t="shared" si="475"/>
        <v>0.22776035732741945</v>
      </c>
      <c r="CY49" s="91">
        <f t="shared" si="475"/>
        <v>0.22761842076087552</v>
      </c>
      <c r="CZ49" s="91">
        <f t="shared" si="475"/>
        <v>0.22765155161518225</v>
      </c>
      <c r="DA49" s="91">
        <f t="shared" si="475"/>
        <v>0.22768080592248507</v>
      </c>
      <c r="DB49" s="91">
        <f t="shared" si="475"/>
        <v>0.22767778390649057</v>
      </c>
      <c r="DE49" s="127"/>
      <c r="DF49" s="90">
        <v>0.23144362881687172</v>
      </c>
    </row>
    <row r="50" spans="1:110" s="26" customFormat="1" x14ac:dyDescent="0.2">
      <c r="A50" s="26" t="s">
        <v>22</v>
      </c>
      <c r="B50" s="26">
        <f t="shared" ref="B50:E50" si="476">B47-B48</f>
        <v>0</v>
      </c>
      <c r="C50" s="26">
        <f t="shared" si="476"/>
        <v>0</v>
      </c>
      <c r="D50" s="26">
        <f t="shared" si="476"/>
        <v>0</v>
      </c>
      <c r="E50" s="26">
        <f t="shared" si="476"/>
        <v>1.7399999999999995</v>
      </c>
      <c r="F50" s="26">
        <f t="shared" ref="F50:T50" si="477">F47-F48</f>
        <v>2236.6999999999989</v>
      </c>
      <c r="G50" s="26">
        <f t="shared" si="477"/>
        <v>2997.0499999999993</v>
      </c>
      <c r="H50" s="26">
        <f t="shared" si="477"/>
        <v>4254.3200000000043</v>
      </c>
      <c r="I50" s="26">
        <f t="shared" si="477"/>
        <v>5059.6399999999958</v>
      </c>
      <c r="J50" s="26">
        <f t="shared" si="477"/>
        <v>5311.119999999999</v>
      </c>
      <c r="K50" s="26">
        <f t="shared" si="477"/>
        <v>7092.6600000000026</v>
      </c>
      <c r="L50" s="26">
        <f t="shared" si="477"/>
        <v>9189.7899999999991</v>
      </c>
      <c r="M50" s="26">
        <f t="shared" si="477"/>
        <v>10523.450000000004</v>
      </c>
      <c r="N50" s="26">
        <f t="shared" si="477"/>
        <v>14075.690000000002</v>
      </c>
      <c r="O50" s="26">
        <f t="shared" si="477"/>
        <v>19331.869999999995</v>
      </c>
      <c r="P50" s="26">
        <f t="shared" si="477"/>
        <v>19569.950000000008</v>
      </c>
      <c r="Q50" s="26">
        <f t="shared" si="477"/>
        <v>24338</v>
      </c>
      <c r="R50" s="26">
        <f t="shared" si="477"/>
        <v>26357</v>
      </c>
      <c r="S50" s="26">
        <f t="shared" si="477"/>
        <v>25880</v>
      </c>
      <c r="T50" s="26">
        <f t="shared" si="477"/>
        <v>31562</v>
      </c>
      <c r="U50" s="26">
        <f t="shared" ref="U50:Z50" si="478">U47-U48</f>
        <v>32447</v>
      </c>
      <c r="V50" s="26">
        <f t="shared" si="478"/>
        <v>33780</v>
      </c>
      <c r="W50" s="26">
        <f t="shared" si="478"/>
        <v>38449</v>
      </c>
      <c r="X50" s="26">
        <f t="shared" si="478"/>
        <v>42303</v>
      </c>
      <c r="Y50" s="26">
        <f t="shared" si="478"/>
        <v>47057</v>
      </c>
      <c r="Z50" s="26">
        <f t="shared" si="478"/>
        <v>48797</v>
      </c>
      <c r="AA50" s="26">
        <f t="shared" ref="AA50" si="479">AA47-AA48</f>
        <v>53980</v>
      </c>
      <c r="AB50" s="27">
        <f t="shared" ref="AA50:AD50" si="480">AB47-AB48</f>
        <v>57318.399231120537</v>
      </c>
      <c r="AC50" s="27">
        <f t="shared" si="480"/>
        <v>62533.522075162786</v>
      </c>
      <c r="AD50" s="27">
        <f t="shared" si="480"/>
        <v>67702.634258135426</v>
      </c>
      <c r="AE50" s="27">
        <f t="shared" ref="AE50" si="481">AE47-AE48</f>
        <v>73001.632398142712</v>
      </c>
      <c r="AI50" s="26">
        <f>AI47-AI48</f>
        <v>3357.6699999999996</v>
      </c>
      <c r="AJ50" s="26">
        <f t="shared" ref="AJ50" si="482">AJ47-AJ48</f>
        <v>3469.68</v>
      </c>
      <c r="AK50" s="26">
        <f t="shared" ref="AK50:AM50" si="483">AK47-AK48</f>
        <v>3590.6200000000017</v>
      </c>
      <c r="AL50" s="26">
        <f t="shared" si="483"/>
        <v>3657.7199999999993</v>
      </c>
      <c r="AM50" s="26">
        <f t="shared" si="483"/>
        <v>3872.860000000001</v>
      </c>
      <c r="AN50" s="26">
        <f t="shared" ref="AN50:AO50" si="484">AN47-AN48</f>
        <v>4672.0500000000011</v>
      </c>
      <c r="AO50" s="26">
        <f t="shared" si="484"/>
        <v>5377.3099999999995</v>
      </c>
      <c r="AP50" s="26">
        <f t="shared" ref="AP50:CD50" si="485">AP47-AP48</f>
        <v>5409.6500000000033</v>
      </c>
      <c r="AQ50" s="26">
        <f t="shared" si="485"/>
        <v>5114.8899999999994</v>
      </c>
      <c r="AR50" s="26">
        <f t="shared" si="485"/>
        <v>5312.2699999999986</v>
      </c>
      <c r="AS50" s="26">
        <f t="shared" si="485"/>
        <v>5388.3399999999992</v>
      </c>
      <c r="AT50" s="26">
        <f t="shared" si="485"/>
        <v>3754.45</v>
      </c>
      <c r="AU50" s="26">
        <f t="shared" si="485"/>
        <v>5773</v>
      </c>
      <c r="AV50" s="26">
        <f t="shared" si="485"/>
        <v>6093</v>
      </c>
      <c r="AW50" s="26">
        <f t="shared" si="485"/>
        <v>6125</v>
      </c>
      <c r="AX50" s="26">
        <f t="shared" si="485"/>
        <v>6347</v>
      </c>
      <c r="AY50" s="26">
        <f t="shared" si="485"/>
        <v>6318</v>
      </c>
      <c r="AZ50" s="26">
        <f t="shared" si="485"/>
        <v>6603</v>
      </c>
      <c r="BA50" s="26">
        <f t="shared" si="485"/>
        <v>6814</v>
      </c>
      <c r="BB50" s="26">
        <f t="shared" si="485"/>
        <v>6622</v>
      </c>
      <c r="BC50" s="26">
        <f t="shared" si="485"/>
        <v>5950</v>
      </c>
      <c r="BD50" s="26">
        <f t="shared" si="485"/>
        <v>6460</v>
      </c>
      <c r="BE50" s="26">
        <f t="shared" si="485"/>
        <v>6545</v>
      </c>
      <c r="BF50" s="26">
        <f t="shared" si="485"/>
        <v>6925</v>
      </c>
      <c r="BG50" s="26">
        <f t="shared" si="485"/>
        <v>7362</v>
      </c>
      <c r="BH50" s="26">
        <f t="shared" si="485"/>
        <v>7927</v>
      </c>
      <c r="BI50" s="26">
        <f t="shared" si="485"/>
        <v>8121</v>
      </c>
      <c r="BJ50" s="26">
        <f t="shared" si="485"/>
        <v>8152</v>
      </c>
      <c r="BK50" s="26">
        <f t="shared" si="485"/>
        <v>8153</v>
      </c>
      <c r="BL50" s="26">
        <f t="shared" si="485"/>
        <v>8058</v>
      </c>
      <c r="BM50" s="26">
        <f t="shared" si="485"/>
        <v>8143</v>
      </c>
      <c r="BN50" s="26">
        <f t="shared" si="485"/>
        <v>8093</v>
      </c>
      <c r="BO50" s="26">
        <f t="shared" si="485"/>
        <v>7049</v>
      </c>
      <c r="BP50" s="26">
        <f t="shared" si="485"/>
        <v>8722</v>
      </c>
      <c r="BQ50" s="26">
        <f t="shared" si="485"/>
        <v>8727</v>
      </c>
      <c r="BR50" s="26">
        <f t="shared" si="485"/>
        <v>9282</v>
      </c>
      <c r="BS50" s="26">
        <f t="shared" si="485"/>
        <v>9031</v>
      </c>
      <c r="BT50" s="26">
        <f t="shared" si="485"/>
        <v>9653</v>
      </c>
      <c r="BU50" s="26">
        <f t="shared" si="485"/>
        <v>9806</v>
      </c>
      <c r="BV50" s="26">
        <f t="shared" si="485"/>
        <v>9959</v>
      </c>
      <c r="BW50" s="26">
        <f t="shared" si="485"/>
        <v>9519</v>
      </c>
      <c r="BX50" s="26">
        <f t="shared" si="485"/>
        <v>10465</v>
      </c>
      <c r="BY50" s="26">
        <f t="shared" si="485"/>
        <v>10883</v>
      </c>
      <c r="BZ50" s="26">
        <f t="shared" si="485"/>
        <v>11436</v>
      </c>
      <c r="CA50" s="26">
        <f t="shared" si="485"/>
        <v>11120</v>
      </c>
      <c r="CB50" s="26">
        <f t="shared" si="485"/>
        <v>11380</v>
      </c>
      <c r="CC50" s="26">
        <f t="shared" si="485"/>
        <v>12055</v>
      </c>
      <c r="CD50" s="26">
        <f t="shared" si="485"/>
        <v>12502</v>
      </c>
      <c r="CE50" s="26">
        <f t="shared" ref="CE50:CF50" si="486">CE47-CE48</f>
        <v>12105</v>
      </c>
      <c r="CF50" s="26">
        <f t="shared" si="486"/>
        <v>11955</v>
      </c>
      <c r="CG50" s="26">
        <f t="shared" ref="CG50:CH50" si="487">CG47-CG48</f>
        <v>12444</v>
      </c>
      <c r="CH50" s="26">
        <f t="shared" si="487"/>
        <v>12293</v>
      </c>
      <c r="CI50" s="26">
        <f t="shared" ref="CI50:CJ50" si="488">CI47-CI48</f>
        <v>12819</v>
      </c>
      <c r="CJ50" s="26">
        <f t="shared" si="488"/>
        <v>13266</v>
      </c>
      <c r="CK50" s="26">
        <f t="shared" ref="CK50:CL50" si="489">CK47-CK48</f>
        <v>14111</v>
      </c>
      <c r="CL50" s="26">
        <f t="shared" si="489"/>
        <v>13784</v>
      </c>
      <c r="CM50" s="27">
        <f t="shared" ref="CM50:DB50" si="490">CM47-CM48</f>
        <v>13757.563724565167</v>
      </c>
      <c r="CN50" s="27">
        <f t="shared" si="490"/>
        <v>14237.499484870375</v>
      </c>
      <c r="CO50" s="27">
        <f t="shared" si="490"/>
        <v>14575.010486624782</v>
      </c>
      <c r="CP50" s="27">
        <f t="shared" si="490"/>
        <v>14748.325535060188</v>
      </c>
      <c r="CQ50" s="27">
        <f t="shared" si="490"/>
        <v>15147.321981459962</v>
      </c>
      <c r="CR50" s="27">
        <f t="shared" si="490"/>
        <v>15489.295280690123</v>
      </c>
      <c r="CS50" s="27">
        <f t="shared" si="490"/>
        <v>15797.371170307393</v>
      </c>
      <c r="CT50" s="27">
        <f t="shared" si="490"/>
        <v>16099.533642705268</v>
      </c>
      <c r="CU50" s="27">
        <f t="shared" si="490"/>
        <v>16439.406059281227</v>
      </c>
      <c r="CV50" s="27">
        <f t="shared" si="490"/>
        <v>16764.385117091773</v>
      </c>
      <c r="CW50" s="27">
        <f t="shared" si="490"/>
        <v>17086.120819971558</v>
      </c>
      <c r="CX50" s="27">
        <f t="shared" si="490"/>
        <v>17412.722261790841</v>
      </c>
      <c r="CY50" s="27">
        <f t="shared" si="490"/>
        <v>17746.962208435809</v>
      </c>
      <c r="CZ50" s="27">
        <f t="shared" si="490"/>
        <v>18080.381958046106</v>
      </c>
      <c r="DA50" s="27">
        <f t="shared" si="490"/>
        <v>18416.73119034079</v>
      </c>
      <c r="DB50" s="27">
        <f t="shared" si="490"/>
        <v>18757.557041319982</v>
      </c>
      <c r="DE50" s="121"/>
      <c r="DF50" s="26">
        <v>11927.390513924349</v>
      </c>
    </row>
    <row r="51" spans="1:110" s="45" customFormat="1" x14ac:dyDescent="0.2">
      <c r="A51" s="45" t="s">
        <v>107</v>
      </c>
      <c r="B51" s="45" t="e">
        <f t="shared" ref="B51:E51" si="491">+B50/B19</f>
        <v>#DIV/0!</v>
      </c>
      <c r="C51" s="45" t="e">
        <f t="shared" si="491"/>
        <v>#DIV/0!</v>
      </c>
      <c r="D51" s="45" t="e">
        <f t="shared" si="491"/>
        <v>#DIV/0!</v>
      </c>
      <c r="E51" s="45" t="e">
        <f t="shared" si="491"/>
        <v>#DIV/0!</v>
      </c>
      <c r="F51" s="45">
        <f t="shared" ref="F51:AE51" si="492">+F50/F19</f>
        <v>0.22944113281366194</v>
      </c>
      <c r="G51" s="45">
        <f t="shared" si="492"/>
        <v>0.22595387963953525</v>
      </c>
      <c r="H51" s="45">
        <f t="shared" si="492"/>
        <v>0.22768382051900962</v>
      </c>
      <c r="I51" s="45">
        <f t="shared" si="492"/>
        <v>0.2236846758905581</v>
      </c>
      <c r="J51" s="45">
        <f t="shared" si="492"/>
        <v>0.19095900891960846</v>
      </c>
      <c r="K51" s="45">
        <f t="shared" si="492"/>
        <v>0.23619430868642635</v>
      </c>
      <c r="L51" s="45">
        <f t="shared" si="492"/>
        <v>0.24621327915624341</v>
      </c>
      <c r="M51" s="45">
        <f t="shared" si="492"/>
        <v>0.21523063339484766</v>
      </c>
      <c r="N51" s="45">
        <f t="shared" si="492"/>
        <v>0.22346096522784442</v>
      </c>
      <c r="O51" s="45">
        <f t="shared" si="492"/>
        <v>0.23630388992164217</v>
      </c>
      <c r="P51" s="45">
        <f t="shared" si="492"/>
        <v>0.2067646989526819</v>
      </c>
      <c r="Q51" s="45">
        <f t="shared" si="492"/>
        <v>0.22401192864900688</v>
      </c>
      <c r="R51" s="45">
        <f t="shared" si="492"/>
        <v>0.22342878456504417</v>
      </c>
      <c r="S51" s="45">
        <f t="shared" si="492"/>
        <v>0.21022874967507149</v>
      </c>
      <c r="T51" s="45">
        <f t="shared" si="492"/>
        <v>0.21549469831971216</v>
      </c>
      <c r="U51" s="45">
        <f t="shared" si="492"/>
        <v>0.20673594607165385</v>
      </c>
      <c r="V51" s="45">
        <f t="shared" si="492"/>
        <v>0.20575354647727756</v>
      </c>
      <c r="W51" s="45">
        <f t="shared" si="492"/>
        <v>0.20051211448001086</v>
      </c>
      <c r="X51" s="45">
        <f t="shared" si="492"/>
        <v>0.18763139919630265</v>
      </c>
      <c r="Y51" s="45">
        <f t="shared" si="492"/>
        <v>0.19534399090052429</v>
      </c>
      <c r="Z51" s="45">
        <f t="shared" ref="Z51:AA51" si="493">+Z50/Z19</f>
        <v>0.19111795209224358</v>
      </c>
      <c r="AA51" s="45">
        <f t="shared" si="493"/>
        <v>0.2021563847038248</v>
      </c>
      <c r="AB51" s="48">
        <f t="shared" si="492"/>
        <v>0.20020694673485617</v>
      </c>
      <c r="AC51" s="48">
        <f t="shared" si="492"/>
        <v>0.20770368601684666</v>
      </c>
      <c r="AD51" s="48">
        <f t="shared" si="492"/>
        <v>0.2138371241521255</v>
      </c>
      <c r="AE51" s="48">
        <f t="shared" si="492"/>
        <v>0.21925844705881772</v>
      </c>
      <c r="AI51" s="45">
        <f t="shared" ref="AI51:BN51" si="494">+AI50/AI19</f>
        <v>0.22725408393660623</v>
      </c>
      <c r="AJ51" s="45">
        <f t="shared" si="494"/>
        <v>0.22211993662276139</v>
      </c>
      <c r="AK51" s="45">
        <f t="shared" si="494"/>
        <v>0.22446285124871077</v>
      </c>
      <c r="AL51" s="45">
        <f t="shared" si="494"/>
        <v>0.22262324795542807</v>
      </c>
      <c r="AM51" s="45">
        <f t="shared" si="494"/>
        <v>0.21657068914803509</v>
      </c>
      <c r="AN51" s="45">
        <f t="shared" si="494"/>
        <v>0.22679964465846925</v>
      </c>
      <c r="AO51" s="45">
        <f t="shared" si="494"/>
        <v>0.2525274772752461</v>
      </c>
      <c r="AP51" s="45">
        <f t="shared" si="494"/>
        <v>0.25101514586965223</v>
      </c>
      <c r="AQ51" s="45">
        <f t="shared" si="494"/>
        <v>0.23132753200551939</v>
      </c>
      <c r="AR51" s="45">
        <f t="shared" si="494"/>
        <v>0.22305017366126306</v>
      </c>
      <c r="AS51" s="45">
        <f t="shared" si="494"/>
        <v>0.21992201179210435</v>
      </c>
      <c r="AT51" s="45">
        <f t="shared" si="494"/>
        <v>0.155015986946196</v>
      </c>
      <c r="AU51" s="45">
        <f t="shared" si="494"/>
        <v>0.22491039426523299</v>
      </c>
      <c r="AV51" s="45">
        <f t="shared" si="494"/>
        <v>0.22429596907785754</v>
      </c>
      <c r="AW51" s="45">
        <f t="shared" si="494"/>
        <v>0.22383423476099987</v>
      </c>
      <c r="AX51" s="45">
        <f t="shared" si="494"/>
        <v>0.22310098773243348</v>
      </c>
      <c r="AY51" s="45">
        <f t="shared" si="494"/>
        <v>0.21559460842859579</v>
      </c>
      <c r="AZ51" s="45">
        <f t="shared" si="494"/>
        <v>0.22548149159950825</v>
      </c>
      <c r="BA51" s="45">
        <f t="shared" si="494"/>
        <v>0.22915755843282326</v>
      </c>
      <c r="BB51" s="45">
        <f t="shared" si="494"/>
        <v>0.22339923082113217</v>
      </c>
      <c r="BC51" s="45">
        <f t="shared" si="494"/>
        <v>0.20112222823147646</v>
      </c>
      <c r="BD51" s="45">
        <f t="shared" si="494"/>
        <v>0.21151894175043384</v>
      </c>
      <c r="BE51" s="45">
        <f t="shared" si="494"/>
        <v>0.21178488221589439</v>
      </c>
      <c r="BF51" s="45">
        <f t="shared" si="494"/>
        <v>0.21590023382696805</v>
      </c>
      <c r="BG51" s="45">
        <f t="shared" si="494"/>
        <v>0.21487989258924142</v>
      </c>
      <c r="BH51" s="45">
        <f t="shared" si="494"/>
        <v>0.21509198458783307</v>
      </c>
      <c r="BI51" s="45">
        <f t="shared" si="494"/>
        <v>0.21749959826450266</v>
      </c>
      <c r="BJ51" s="45">
        <f t="shared" si="494"/>
        <v>0.2144698763483294</v>
      </c>
      <c r="BK51" s="45">
        <f t="shared" si="494"/>
        <v>0.21358587446295715</v>
      </c>
      <c r="BL51" s="45">
        <f t="shared" si="494"/>
        <v>0.20673730661672268</v>
      </c>
      <c r="BM51" s="45">
        <f t="shared" si="494"/>
        <v>0.20432077081346917</v>
      </c>
      <c r="BN51" s="45">
        <f t="shared" si="494"/>
        <v>0.2025985079857808</v>
      </c>
      <c r="BO51" s="45">
        <f t="shared" ref="BO51:CT51" si="495">+BO50/BO19</f>
        <v>0.18394133917853975</v>
      </c>
      <c r="BP51" s="45">
        <f t="shared" si="495"/>
        <v>0.21731655662140276</v>
      </c>
      <c r="BQ51" s="45">
        <f t="shared" si="495"/>
        <v>0.20771153159585862</v>
      </c>
      <c r="BR51" s="45">
        <f t="shared" si="495"/>
        <v>0.2123784464020135</v>
      </c>
      <c r="BS51" s="45">
        <f t="shared" si="495"/>
        <v>0.19887251987403934</v>
      </c>
      <c r="BT51" s="45">
        <f t="shared" si="495"/>
        <v>0.20596581816630039</v>
      </c>
      <c r="BU51" s="45">
        <f t="shared" si="495"/>
        <v>0.20059322900685281</v>
      </c>
      <c r="BV51" s="45">
        <f t="shared" si="495"/>
        <v>0.19685319523235359</v>
      </c>
      <c r="BW51" s="45">
        <f t="shared" si="495"/>
        <v>0.18042761287387696</v>
      </c>
      <c r="BX51" s="45">
        <f t="shared" si="495"/>
        <v>0.18920971270498471</v>
      </c>
      <c r="BY51" s="45">
        <f t="shared" si="495"/>
        <v>0.18689999828264267</v>
      </c>
      <c r="BZ51" s="45">
        <f t="shared" si="495"/>
        <v>0.19329975321997228</v>
      </c>
      <c r="CA51" s="45">
        <f t="shared" si="495"/>
        <v>0.18726528687627356</v>
      </c>
      <c r="CB51" s="45">
        <f t="shared" si="495"/>
        <v>0.19064531260470416</v>
      </c>
      <c r="CC51" s="45">
        <f t="shared" si="495"/>
        <v>0.19898321311258935</v>
      </c>
      <c r="CD51" s="45">
        <f t="shared" si="495"/>
        <v>0.20415761712690039</v>
      </c>
      <c r="CE51" s="45">
        <f t="shared" si="495"/>
        <v>0.193330458530976</v>
      </c>
      <c r="CF51" s="45">
        <f t="shared" si="495"/>
        <v>0.18604397827541666</v>
      </c>
      <c r="CG51" s="45">
        <f t="shared" si="495"/>
        <v>0.19451956294061556</v>
      </c>
      <c r="CH51" s="45">
        <f t="shared" si="495"/>
        <v>0.19065121977698166</v>
      </c>
      <c r="CI51" s="45">
        <f t="shared" ref="CI51:CJ51" si="496">+CI50/CI19</f>
        <v>0.20207449910935257</v>
      </c>
      <c r="CJ51" s="45">
        <f t="shared" si="496"/>
        <v>0.20161400629188894</v>
      </c>
      <c r="CK51" s="45">
        <f t="shared" ref="CK51:CL51" si="497">+CK50/CK19</f>
        <v>0.21033881377912264</v>
      </c>
      <c r="CL51" s="45">
        <f t="shared" si="497"/>
        <v>0.19497015474270843</v>
      </c>
      <c r="CM51" s="48">
        <f t="shared" si="495"/>
        <v>0.19589562427186316</v>
      </c>
      <c r="CN51" s="48">
        <f t="shared" si="495"/>
        <v>0.20019511666134393</v>
      </c>
      <c r="CO51" s="48">
        <f t="shared" si="495"/>
        <v>0.20237888095842316</v>
      </c>
      <c r="CP51" s="48">
        <f t="shared" si="495"/>
        <v>0.2022253451976665</v>
      </c>
      <c r="CQ51" s="48">
        <f t="shared" si="495"/>
        <v>0.20509982205837227</v>
      </c>
      <c r="CR51" s="48">
        <f t="shared" si="495"/>
        <v>0.20710836564200905</v>
      </c>
      <c r="CS51" s="48">
        <f t="shared" si="495"/>
        <v>0.20858705906094599</v>
      </c>
      <c r="CT51" s="48">
        <f t="shared" si="495"/>
        <v>0.20991931019553758</v>
      </c>
      <c r="CU51" s="48">
        <f t="shared" ref="CU51:DB51" si="498">+CU50/CU19</f>
        <v>0.21167120079800936</v>
      </c>
      <c r="CV51" s="48">
        <f t="shared" si="498"/>
        <v>0.21315711608953306</v>
      </c>
      <c r="CW51" s="48">
        <f t="shared" si="498"/>
        <v>0.21453207624631951</v>
      </c>
      <c r="CX51" s="48">
        <f t="shared" si="498"/>
        <v>0.21589967663954815</v>
      </c>
      <c r="CY51" s="48">
        <f t="shared" si="498"/>
        <v>0.21729308183217061</v>
      </c>
      <c r="CZ51" s="48">
        <f t="shared" si="498"/>
        <v>0.21860799045217869</v>
      </c>
      <c r="DA51" s="48">
        <f t="shared" si="498"/>
        <v>0.21989104153344766</v>
      </c>
      <c r="DB51" s="48">
        <f t="shared" si="498"/>
        <v>0.22116063031740252</v>
      </c>
      <c r="DE51" s="129"/>
      <c r="DF51" s="45">
        <v>0.17504770887205795</v>
      </c>
    </row>
    <row r="52" spans="1:110" s="39" customFormat="1" x14ac:dyDescent="0.2">
      <c r="A52" s="39" t="s">
        <v>451</v>
      </c>
      <c r="C52" s="39" t="e">
        <f t="shared" ref="C52:E52" si="499">+IF(B50&lt;0,1-C50/B50,C50/B50-1)</f>
        <v>#DIV/0!</v>
      </c>
      <c r="D52" s="39" t="e">
        <f t="shared" si="499"/>
        <v>#DIV/0!</v>
      </c>
      <c r="E52" s="39" t="e">
        <f t="shared" si="499"/>
        <v>#DIV/0!</v>
      </c>
      <c r="F52" s="39">
        <f t="shared" ref="F52:AE52" si="500">+IF(E50&lt;0,1-F50/E50,F50/E50-1)</f>
        <v>1284.4597701149423</v>
      </c>
      <c r="G52" s="39">
        <f t="shared" si="500"/>
        <v>0.33994277283498042</v>
      </c>
      <c r="H52" s="39">
        <f t="shared" si="500"/>
        <v>0.41950251080229073</v>
      </c>
      <c r="I52" s="39">
        <f t="shared" si="500"/>
        <v>0.18929464638296856</v>
      </c>
      <c r="J52" s="39">
        <f t="shared" si="500"/>
        <v>4.9703140934928891E-2</v>
      </c>
      <c r="K52" s="39">
        <f t="shared" si="500"/>
        <v>0.33543584027474505</v>
      </c>
      <c r="L52" s="39">
        <f t="shared" si="500"/>
        <v>0.29567609331336842</v>
      </c>
      <c r="M52" s="39">
        <f t="shared" si="500"/>
        <v>0.14512409968018924</v>
      </c>
      <c r="N52" s="39">
        <f t="shared" si="500"/>
        <v>0.33755469926687498</v>
      </c>
      <c r="O52" s="39">
        <f t="shared" si="500"/>
        <v>0.37342254624817617</v>
      </c>
      <c r="P52" s="39">
        <f t="shared" si="500"/>
        <v>1.2315414908129041E-2</v>
      </c>
      <c r="Q52" s="39">
        <f t="shared" si="500"/>
        <v>0.24364139918599648</v>
      </c>
      <c r="R52" s="39">
        <f t="shared" si="500"/>
        <v>8.2956693236913459E-2</v>
      </c>
      <c r="S52" s="39">
        <f t="shared" si="500"/>
        <v>-1.8097659065902771E-2</v>
      </c>
      <c r="T52" s="39">
        <f t="shared" si="500"/>
        <v>0.21955177743431231</v>
      </c>
      <c r="U52" s="39">
        <f t="shared" si="500"/>
        <v>2.804004815917871E-2</v>
      </c>
      <c r="V52" s="39">
        <f t="shared" si="500"/>
        <v>4.1082380497426518E-2</v>
      </c>
      <c r="W52" s="39">
        <f t="shared" si="500"/>
        <v>0.13821788040260508</v>
      </c>
      <c r="X52" s="39">
        <f t="shared" si="500"/>
        <v>0.10023667715675311</v>
      </c>
      <c r="Y52" s="39">
        <f t="shared" si="500"/>
        <v>0.11237973666170253</v>
      </c>
      <c r="Z52" s="39">
        <f t="shared" ref="Z52:AA52" si="501">+IF(Y50&lt;0,1-Z50/Y50,Z50/Y50-1)</f>
        <v>3.6976432836772322E-2</v>
      </c>
      <c r="AA52" s="39">
        <f t="shared" si="501"/>
        <v>0.10621554603766614</v>
      </c>
      <c r="AB52" s="40">
        <f t="shared" si="500"/>
        <v>6.1845113581336264E-2</v>
      </c>
      <c r="AC52" s="40">
        <f t="shared" si="500"/>
        <v>9.0985144630674641E-2</v>
      </c>
      <c r="AD52" s="40">
        <f t="shared" si="500"/>
        <v>8.2661459189194098E-2</v>
      </c>
      <c r="AE52" s="40">
        <f t="shared" si="500"/>
        <v>7.8268714328062261E-2</v>
      </c>
      <c r="AM52" s="39">
        <f>+IF(AI50&lt;0,1-AM50/AI50,AM50/AI50-1)</f>
        <v>0.1534367582281766</v>
      </c>
      <c r="AN52" s="39">
        <f t="shared" ref="AN52" si="502">+IF(AJ50&lt;0,1-AN50/AJ50,AN50/AJ50-1)</f>
        <v>0.34653628000276715</v>
      </c>
      <c r="AO52" s="39">
        <f t="shared" ref="AO52" si="503">+IF(AK50&lt;0,1-AO50/AK50,AO50/AK50-1)</f>
        <v>0.49759930039937306</v>
      </c>
      <c r="AP52" s="39">
        <f t="shared" ref="AP52" si="504">+IF(AL50&lt;0,1-AP50/AL50,AP50/AL50-1)</f>
        <v>0.47896777227343934</v>
      </c>
      <c r="AQ52" s="39">
        <f t="shared" ref="AQ52" si="505">+IF(AM50&lt;0,1-AQ50/AM50,AQ50/AM50-1)</f>
        <v>0.32070098067061492</v>
      </c>
      <c r="AR52" s="39">
        <f t="shared" ref="AR52" si="506">+IF(AN50&lt;0,1-AR50/AN50,AR50/AN50-1)</f>
        <v>0.13703192388780039</v>
      </c>
      <c r="AS52" s="39">
        <f t="shared" ref="AS52" si="507">+IF(AO50&lt;0,1-AS50/AO50,AS50/AO50-1)</f>
        <v>2.051211479345616E-3</v>
      </c>
      <c r="AT52" s="39">
        <f t="shared" ref="AT52" si="508">+IF(AP50&lt;0,1-AT50/AP50,AT50/AP50-1)</f>
        <v>-0.30597173569454628</v>
      </c>
      <c r="AU52" s="39">
        <f t="shared" ref="AU52" si="509">+IF(AQ50&lt;0,1-AU50/AQ50,AU50/AQ50-1)</f>
        <v>0.12866552359874817</v>
      </c>
      <c r="AV52" s="39">
        <f t="shared" ref="AV52" si="510">+IF(AR50&lt;0,1-AV50/AR50,AV50/AR50-1)</f>
        <v>0.14696730399622027</v>
      </c>
      <c r="AW52" s="39">
        <f t="shared" ref="AW52" si="511">+IF(AS50&lt;0,1-AW50/AS50,AW50/AS50-1)</f>
        <v>0.13671371888188211</v>
      </c>
      <c r="AX52" s="39">
        <f t="shared" ref="AX52" si="512">+IF(AT50&lt;0,1-AX50/AT50,AX50/AT50-1)</f>
        <v>0.69052724100733798</v>
      </c>
      <c r="AY52" s="39">
        <f t="shared" ref="AY52" si="513">+IF(AU50&lt;0,1-AY50/AU50,AY50/AU50-1)</f>
        <v>9.4404988740689477E-2</v>
      </c>
      <c r="AZ52" s="39">
        <f t="shared" ref="AZ52" si="514">+IF(AV50&lt;0,1-AZ50/AV50,AZ50/AV50-1)</f>
        <v>8.3702609551944862E-2</v>
      </c>
      <c r="BA52" s="39">
        <f t="shared" ref="BA52" si="515">+IF(AW50&lt;0,1-BA50/AW50,BA50/AW50-1)</f>
        <v>0.11248979591836727</v>
      </c>
      <c r="BB52" s="39">
        <f t="shared" ref="BB52" si="516">+IF(AX50&lt;0,1-BB50/AX50,BB50/AX50-1)</f>
        <v>4.3327556325823302E-2</v>
      </c>
      <c r="BC52" s="39">
        <f t="shared" ref="BC52" si="517">+IF(AY50&lt;0,1-BC50/AY50,BC50/AY50-1)</f>
        <v>-5.8246280468502665E-2</v>
      </c>
      <c r="BD52" s="39">
        <f t="shared" ref="BD52" si="518">+IF(AZ50&lt;0,1-BD50/AZ50,BD50/AZ50-1)</f>
        <v>-2.1656822656368369E-2</v>
      </c>
      <c r="BE52" s="39">
        <f t="shared" ref="BE52" si="519">+IF(BA50&lt;0,1-BE50/BA50,BE50/BA50-1)</f>
        <v>-3.9477546228353422E-2</v>
      </c>
      <c r="BF52" s="39">
        <f t="shared" ref="BF52" si="520">+IF(BB50&lt;0,1-BF50/BB50,BF50/BB50-1)</f>
        <v>4.5756569012382897E-2</v>
      </c>
      <c r="BG52" s="39">
        <f t="shared" ref="BG52" si="521">+IF(BC50&lt;0,1-BG50/BC50,BG50/BC50-1)</f>
        <v>0.23731092436974799</v>
      </c>
      <c r="BH52" s="39">
        <f t="shared" ref="BH52" si="522">+IF(BD50&lt;0,1-BH50/BD50,BH50/BD50-1)</f>
        <v>0.22708978328173379</v>
      </c>
      <c r="BI52" s="39">
        <f t="shared" ref="BI52" si="523">+IF(BE50&lt;0,1-BI50/BE50,BI50/BE50-1)</f>
        <v>0.24079449961802912</v>
      </c>
      <c r="BJ52" s="39">
        <f t="shared" ref="BJ52" si="524">+IF(BF50&lt;0,1-BJ50/BF50,BJ50/BF50-1)</f>
        <v>0.17718411552346569</v>
      </c>
      <c r="BK52" s="39">
        <f t="shared" ref="BK52" si="525">+IF(BG50&lt;0,1-BK50/BG50,BK50/BG50-1)</f>
        <v>0.10744362944851948</v>
      </c>
      <c r="BL52" s="39">
        <f t="shared" ref="BL52" si="526">+IF(BH50&lt;0,1-BL50/BH50,BL50/BH50-1)</f>
        <v>1.652579790589126E-2</v>
      </c>
      <c r="BM52" s="39">
        <f t="shared" ref="BM52" si="527">+IF(BI50&lt;0,1-BM50/BI50,BM50/BI50-1)</f>
        <v>2.7090259820219398E-3</v>
      </c>
      <c r="BN52" s="39">
        <f t="shared" ref="BN52" si="528">+IF(BJ50&lt;0,1-BN50/BJ50,BN50/BJ50-1)</f>
        <v>-7.2374877330716458E-3</v>
      </c>
      <c r="BO52" s="39">
        <f t="shared" ref="BO52" si="529">+IF(BK50&lt;0,1-BO50/BK50,BO50/BK50-1)</f>
        <v>-0.13541027842511955</v>
      </c>
      <c r="BP52" s="39">
        <f t="shared" ref="BP52" si="530">+IF(BL50&lt;0,1-BP50/BL50,BP50/BL50-1)</f>
        <v>8.2402581285678789E-2</v>
      </c>
      <c r="BQ52" s="39">
        <f t="shared" ref="BQ52" si="531">+IF(BM50&lt;0,1-BQ50/BM50,BQ50/BM50-1)</f>
        <v>7.1718040034385311E-2</v>
      </c>
      <c r="BR52" s="39">
        <f t="shared" ref="BR52" si="532">+IF(BN50&lt;0,1-BR50/BN50,BR50/BN50-1)</f>
        <v>0.14691708884220933</v>
      </c>
      <c r="BS52" s="39">
        <f t="shared" ref="BS52" si="533">+IF(BO50&lt;0,1-BS50/BO50,BS50/BO50-1)</f>
        <v>0.28117463469995752</v>
      </c>
      <c r="BT52" s="39">
        <f t="shared" ref="BT52" si="534">+IF(BP50&lt;0,1-BT50/BP50,BT50/BP50-1)</f>
        <v>0.10674157303370779</v>
      </c>
      <c r="BU52" s="39">
        <f t="shared" ref="BU52" si="535">+IF(BQ50&lt;0,1-BU50/BQ50,BU50/BQ50-1)</f>
        <v>0.12363928039417904</v>
      </c>
      <c r="BV52" s="39">
        <f t="shared" ref="BV52" si="536">+IF(BR50&lt;0,1-BV50/BR50,BV50/BR50-1)</f>
        <v>7.2936867054514076E-2</v>
      </c>
      <c r="BW52" s="39">
        <f t="shared" ref="BW52" si="537">+IF(BS50&lt;0,1-BW50/BS50,BW50/BS50-1)</f>
        <v>5.4036097885062473E-2</v>
      </c>
      <c r="BX52" s="39">
        <f t="shared" ref="BX52" si="538">+IF(BT50&lt;0,1-BX50/BT50,BX50/BT50-1)</f>
        <v>8.4118926758520729E-2</v>
      </c>
      <c r="BY52" s="39">
        <f t="shared" ref="BY52" si="539">+IF(BU50&lt;0,1-BY50/BU50,BY50/BU50-1)</f>
        <v>0.10983071588823168</v>
      </c>
      <c r="BZ52" s="39">
        <f t="shared" ref="BZ52" si="540">+IF(BV50&lt;0,1-BZ50/BV50,BZ50/BV50-1)</f>
        <v>0.14830806305854005</v>
      </c>
      <c r="CA52" s="39">
        <f t="shared" ref="CA52" si="541">+IF(BW50&lt;0,1-CA50/BW50,CA50/BW50-1)</f>
        <v>0.16818993591763842</v>
      </c>
      <c r="CB52" s="39">
        <f t="shared" ref="CB52" si="542">+IF(BX50&lt;0,1-CB50/BX50,CB50/BX50-1)</f>
        <v>8.743430482560921E-2</v>
      </c>
      <c r="CC52" s="39">
        <f t="shared" ref="CC52" si="543">+IF(BY50&lt;0,1-CC50/BY50,CC50/BY50-1)</f>
        <v>0.10769089405494814</v>
      </c>
      <c r="CD52" s="39">
        <f t="shared" ref="CD52" si="544">+IF(BZ50&lt;0,1-CD50/BZ50,CD50/BZ50-1)</f>
        <v>9.3214410633088551E-2</v>
      </c>
      <c r="CE52" s="39">
        <f t="shared" ref="CE52" si="545">+IF(CA50&lt;0,1-CE50/CA50,CE50/CA50-1)</f>
        <v>8.8579136690647431E-2</v>
      </c>
      <c r="CF52" s="39">
        <f t="shared" ref="CF52" si="546">+IF(CB50&lt;0,1-CF50/CB50,CF50/CB50-1)</f>
        <v>5.0527240773286408E-2</v>
      </c>
      <c r="CG52" s="39">
        <f t="shared" ref="CG52" si="547">+IF(CC50&lt;0,1-CG50/CC50,CG50/CC50-1)</f>
        <v>3.226876814599744E-2</v>
      </c>
      <c r="CH52" s="39">
        <f t="shared" ref="CH52:CL52" si="548">+IF(CD50&lt;0,1-CH50/CD50,CH50/CD50-1)</f>
        <v>-1.6717325227963542E-2</v>
      </c>
      <c r="CI52" s="39">
        <f t="shared" si="548"/>
        <v>5.898389095415113E-2</v>
      </c>
      <c r="CJ52" s="39">
        <f t="shared" si="548"/>
        <v>0.1096612296110413</v>
      </c>
      <c r="CK52" s="39">
        <f t="shared" si="548"/>
        <v>0.13396014143362267</v>
      </c>
      <c r="CL52" s="39">
        <f t="shared" si="548"/>
        <v>0.12128853819246732</v>
      </c>
      <c r="CM52" s="40">
        <f t="shared" ref="CM52" si="549">+CM50/CI50-1</f>
        <v>7.3216610076072053E-2</v>
      </c>
      <c r="CN52" s="40">
        <f t="shared" ref="CN52" si="550">+CN50/CJ50-1</f>
        <v>7.3232284401505865E-2</v>
      </c>
      <c r="CO52" s="40">
        <f t="shared" ref="CO52" si="551">+CO50/CK50-1</f>
        <v>3.2882891830825711E-2</v>
      </c>
      <c r="CP52" s="40">
        <f t="shared" ref="CP52" si="552">+CP50/CL50-1</f>
        <v>6.9959774743194147E-2</v>
      </c>
      <c r="CQ52" s="40">
        <f t="shared" ref="CQ52" si="553">+CQ50/CM50-1</f>
        <v>0.10101775901014198</v>
      </c>
      <c r="CR52" s="40">
        <f t="shared" ref="CR52" si="554">+CR50/CN50-1</f>
        <v>8.7922447136871362E-2</v>
      </c>
      <c r="CS52" s="40">
        <f t="shared" ref="CS52" si="555">+CS50/CO50-1</f>
        <v>8.3866881934963278E-2</v>
      </c>
      <c r="CT52" s="40">
        <f t="shared" ref="CT52" si="556">+CT50/CP50-1</f>
        <v>9.161773005572349E-2</v>
      </c>
      <c r="CU52" s="40">
        <f t="shared" ref="CU52" si="557">+CU50/CQ50-1</f>
        <v>8.5301156164947933E-2</v>
      </c>
      <c r="CV52" s="40">
        <f t="shared" ref="CV52" si="558">+CV50/CR50-1</f>
        <v>8.2320713324592232E-2</v>
      </c>
      <c r="CW52" s="40">
        <f t="shared" ref="CW52" si="559">+CW50/CS50-1</f>
        <v>8.1580006937260974E-2</v>
      </c>
      <c r="CX52" s="40">
        <f t="shared" ref="CX52" si="560">+CX50/CT50-1</f>
        <v>8.1566873192043143E-2</v>
      </c>
      <c r="CY52" s="40">
        <f t="shared" ref="CY52" si="561">+CY50/CU50-1</f>
        <v>7.9537919097531606E-2</v>
      </c>
      <c r="CZ52" s="40">
        <f t="shared" ref="CZ52" si="562">+CZ50/CV50-1</f>
        <v>7.8499559140563724E-2</v>
      </c>
      <c r="DA52" s="40">
        <f t="shared" ref="DA52" si="563">+DA50/CW50-1</f>
        <v>7.7876680399796339E-2</v>
      </c>
      <c r="DB52" s="40">
        <f t="shared" ref="DB52" si="564">+DB50/CX50-1</f>
        <v>7.7232885203719404E-2</v>
      </c>
      <c r="DE52" s="122"/>
      <c r="DF52" s="39">
        <v>-2.9741274389949668E-2</v>
      </c>
    </row>
    <row r="53" spans="1:110" s="39" customFormat="1" x14ac:dyDescent="0.2">
      <c r="A53" s="39" t="s">
        <v>452</v>
      </c>
      <c r="AB53" s="40"/>
      <c r="AC53" s="40"/>
      <c r="AD53" s="40"/>
      <c r="AE53" s="40"/>
      <c r="AJ53" s="39">
        <f>+IF(AI50&lt;0,1-AJ50/AI50,AJ50/AI50-1)</f>
        <v>3.3359442708783327E-2</v>
      </c>
      <c r="AK53" s="39">
        <f t="shared" ref="AK53:AM53" si="565">+IF(AJ50&lt;0,1-AK50/AJ50,AK50/AJ50-1)</f>
        <v>3.4856240344931511E-2</v>
      </c>
      <c r="AL53" s="39">
        <f t="shared" si="565"/>
        <v>1.868758041786589E-2</v>
      </c>
      <c r="AM53" s="39">
        <f t="shared" si="565"/>
        <v>5.8818061524666065E-2</v>
      </c>
      <c r="AN53" s="39">
        <f t="shared" ref="AN53" si="566">+IF(AM50&lt;0,1-AN50/AM50,AN50/AM50-1)</f>
        <v>0.20635654271003845</v>
      </c>
      <c r="AO53" s="39">
        <f t="shared" ref="AO53" si="567">+IF(AN50&lt;0,1-AO50/AN50,AO50/AN50-1)</f>
        <v>0.15095300778031029</v>
      </c>
      <c r="AP53" s="39">
        <f t="shared" ref="AP53" si="568">+IF(AO50&lt;0,1-AP50/AO50,AP50/AO50-1)</f>
        <v>6.01415949610562E-3</v>
      </c>
      <c r="AQ53" s="39">
        <f t="shared" ref="AQ53" si="569">+IF(AP50&lt;0,1-AQ50/AP50,AQ50/AP50-1)</f>
        <v>-5.4487813444493383E-2</v>
      </c>
      <c r="AR53" s="39">
        <f t="shared" ref="AR53" si="570">+IF(AQ50&lt;0,1-AR50/AQ50,AR50/AQ50-1)</f>
        <v>3.858929517545806E-2</v>
      </c>
      <c r="AS53" s="39">
        <f t="shared" ref="AS53" si="571">+IF(AR50&lt;0,1-AS50/AR50,AS50/AR50-1)</f>
        <v>1.4319678781387291E-2</v>
      </c>
      <c r="AT53" s="39">
        <f t="shared" ref="AT53" si="572">+IF(AS50&lt;0,1-AT50/AS50,AT50/AS50-1)</f>
        <v>-0.30322696786023151</v>
      </c>
      <c r="AU53" s="39">
        <f t="shared" ref="AU53" si="573">+IF(AT50&lt;0,1-AU50/AT50,AU50/AT50-1)</f>
        <v>0.53764199816218095</v>
      </c>
      <c r="AV53" s="39">
        <f t="shared" ref="AV53" si="574">+IF(AU50&lt;0,1-AV50/AU50,AV50/AU50-1)</f>
        <v>5.5430452104624939E-2</v>
      </c>
      <c r="AW53" s="39">
        <f t="shared" ref="AW53" si="575">+IF(AV50&lt;0,1-AW50/AV50,AW50/AV50-1)</f>
        <v>5.2519284424750179E-3</v>
      </c>
      <c r="AX53" s="39">
        <f t="shared" ref="AX53" si="576">+IF(AW50&lt;0,1-AX50/AW50,AX50/AW50-1)</f>
        <v>3.624489795918362E-2</v>
      </c>
      <c r="AY53" s="39">
        <f t="shared" ref="AY53" si="577">+IF(AX50&lt;0,1-AY50/AX50,AY50/AX50-1)</f>
        <v>-4.5690877579959155E-3</v>
      </c>
      <c r="AZ53" s="39">
        <f t="shared" ref="AZ53" si="578">+IF(AY50&lt;0,1-AZ50/AY50,AZ50/AY50-1)</f>
        <v>4.5109211775878455E-2</v>
      </c>
      <c r="BA53" s="39">
        <f t="shared" ref="BA53" si="579">+IF(AZ50&lt;0,1-BA50/AZ50,BA50/AZ50-1)</f>
        <v>3.1955171891564493E-2</v>
      </c>
      <c r="BB53" s="39">
        <f t="shared" ref="BB53" si="580">+IF(BA50&lt;0,1-BB50/BA50,BB50/BA50-1)</f>
        <v>-2.8177282066333964E-2</v>
      </c>
      <c r="BC53" s="39">
        <f t="shared" ref="BC53" si="581">+IF(BB50&lt;0,1-BC50/BB50,BC50/BB50-1)</f>
        <v>-0.10147991543340384</v>
      </c>
      <c r="BD53" s="39">
        <f t="shared" ref="BD53" si="582">+IF(BC50&lt;0,1-BD50/BC50,BD50/BC50-1)</f>
        <v>8.5714285714285632E-2</v>
      </c>
      <c r="BE53" s="39">
        <f t="shared" ref="BE53" si="583">+IF(BD50&lt;0,1-BE50/BD50,BE50/BD50-1)</f>
        <v>1.3157894736842035E-2</v>
      </c>
      <c r="BF53" s="39">
        <f t="shared" ref="BF53" si="584">+IF(BE50&lt;0,1-BF50/BE50,BF50/BE50-1)</f>
        <v>5.8059587471352092E-2</v>
      </c>
      <c r="BG53" s="39">
        <f t="shared" ref="BG53" si="585">+IF(BF50&lt;0,1-BG50/BF50,BG50/BF50-1)</f>
        <v>6.3104693140794144E-2</v>
      </c>
      <c r="BH53" s="39">
        <f t="shared" ref="BH53" si="586">+IF(BG50&lt;0,1-BH50/BG50,BH50/BG50-1)</f>
        <v>7.6745449606085314E-2</v>
      </c>
      <c r="BI53" s="39">
        <f t="shared" ref="BI53" si="587">+IF(BH50&lt;0,1-BI50/BH50,BI50/BH50-1)</f>
        <v>2.4473319036205421E-2</v>
      </c>
      <c r="BJ53" s="39">
        <f t="shared" ref="BJ53" si="588">+IF(BI50&lt;0,1-BJ50/BI50,BJ50/BI50-1)</f>
        <v>3.8172638837581374E-3</v>
      </c>
      <c r="BK53" s="39">
        <f t="shared" ref="BK53" si="589">+IF(BJ50&lt;0,1-BK50/BJ50,BK50/BJ50-1)</f>
        <v>1.226692836113763E-4</v>
      </c>
      <c r="BL53" s="39">
        <f t="shared" ref="BL53" si="590">+IF(BK50&lt;0,1-BL50/BK50,BL50/BK50-1)</f>
        <v>-1.1652152581871689E-2</v>
      </c>
      <c r="BM53" s="39">
        <f t="shared" ref="BM53" si="591">+IF(BL50&lt;0,1-BM50/BL50,BM50/BL50-1)</f>
        <v>1.0548523206751037E-2</v>
      </c>
      <c r="BN53" s="39">
        <f t="shared" ref="BN53" si="592">+IF(BM50&lt;0,1-BN50/BM50,BN50/BM50-1)</f>
        <v>-6.1402431536289326E-3</v>
      </c>
      <c r="BO53" s="39">
        <f t="shared" ref="BO53" si="593">+IF(BN50&lt;0,1-BO50/BN50,BO50/BN50-1)</f>
        <v>-0.12900037069072035</v>
      </c>
      <c r="BP53" s="39">
        <f t="shared" ref="BP53" si="594">+IF(BO50&lt;0,1-BP50/BO50,BP50/BO50-1)</f>
        <v>0.23733862959285013</v>
      </c>
      <c r="BQ53" s="39">
        <f t="shared" ref="BQ53" si="595">+IF(BP50&lt;0,1-BQ50/BP50,BQ50/BP50-1)</f>
        <v>5.7326301307036864E-4</v>
      </c>
      <c r="BR53" s="39">
        <f t="shared" ref="BR53" si="596">+IF(BQ50&lt;0,1-BR50/BQ50,BR50/BQ50-1)</f>
        <v>6.3595737366792804E-2</v>
      </c>
      <c r="BS53" s="39">
        <f t="shared" ref="BS53" si="597">+IF(BR50&lt;0,1-BS50/BR50,BS50/BR50-1)</f>
        <v>-2.7041585865115292E-2</v>
      </c>
      <c r="BT53" s="39">
        <f t="shared" ref="BT53" si="598">+IF(BS50&lt;0,1-BT50/BS50,BT50/BS50-1)</f>
        <v>6.887387886169849E-2</v>
      </c>
      <c r="BU53" s="39">
        <f t="shared" ref="BU53" si="599">+IF(BT50&lt;0,1-BU50/BT50,BU50/BT50-1)</f>
        <v>1.5849994820263058E-2</v>
      </c>
      <c r="BV53" s="39">
        <f t="shared" ref="BV53" si="600">+IF(BU50&lt;0,1-BV50/BU50,BV50/BU50-1)</f>
        <v>1.5602692229247372E-2</v>
      </c>
      <c r="BW53" s="39">
        <f t="shared" ref="BW53" si="601">+IF(BV50&lt;0,1-BW50/BV50,BW50/BV50-1)</f>
        <v>-4.4181142685008501E-2</v>
      </c>
      <c r="BX53" s="39">
        <f t="shared" ref="BX53" si="602">+IF(BW50&lt;0,1-BX50/BW50,BX50/BW50-1)</f>
        <v>9.9380186994432185E-2</v>
      </c>
      <c r="BY53" s="39">
        <f t="shared" ref="BY53" si="603">+IF(BX50&lt;0,1-BY50/BX50,BY50/BX50-1)</f>
        <v>3.9942666029622487E-2</v>
      </c>
      <c r="BZ53" s="39">
        <f t="shared" ref="BZ53" si="604">+IF(BY50&lt;0,1-BZ50/BY50,BZ50/BY50-1)</f>
        <v>5.0813194891114577E-2</v>
      </c>
      <c r="CA53" s="39">
        <f t="shared" ref="CA53" si="605">+IF(BZ50&lt;0,1-CA50/BZ50,CA50/BZ50-1)</f>
        <v>-2.7632039174536605E-2</v>
      </c>
      <c r="CB53" s="39">
        <f t="shared" ref="CB53" si="606">+IF(CA50&lt;0,1-CB50/CA50,CB50/CA50-1)</f>
        <v>2.3381294964028854E-2</v>
      </c>
      <c r="CC53" s="39">
        <f t="shared" ref="CC53" si="607">+IF(CB50&lt;0,1-CC50/CB50,CC50/CB50-1)</f>
        <v>5.9314586994727581E-2</v>
      </c>
      <c r="CD53" s="39">
        <f t="shared" ref="CD53" si="608">+IF(CC50&lt;0,1-CD50/CC50,CD50/CC50-1)</f>
        <v>3.7080049771878842E-2</v>
      </c>
      <c r="CE53" s="39">
        <f t="shared" ref="CE53" si="609">+IF(CD50&lt;0,1-CE50/CD50,CE50/CD50-1)</f>
        <v>-3.1754919212925947E-2</v>
      </c>
      <c r="CF53" s="39">
        <f t="shared" ref="CF53" si="610">+IF(CE50&lt;0,1-CF50/CE50,CF50/CE50-1)</f>
        <v>-1.2391573729863659E-2</v>
      </c>
      <c r="CG53" s="39">
        <f t="shared" ref="CG53" si="611">+IF(CF50&lt;0,1-CG50/CF50,CG50/CF50-1)</f>
        <v>4.0903387703889571E-2</v>
      </c>
      <c r="CH53" s="39">
        <f t="shared" ref="CH53:CL53" si="612">+IF(CG50&lt;0,1-CH50/CG50,CH50/CG50-1)</f>
        <v>-1.2134361941497862E-2</v>
      </c>
      <c r="CI53" s="39">
        <f t="shared" si="612"/>
        <v>4.2788578866021387E-2</v>
      </c>
      <c r="CJ53" s="39">
        <f t="shared" si="612"/>
        <v>3.4870114673531516E-2</v>
      </c>
      <c r="CK53" s="39">
        <f t="shared" si="612"/>
        <v>6.3696668174280102E-2</v>
      </c>
      <c r="CL53" s="39">
        <f t="shared" si="612"/>
        <v>-2.3173410814258388E-2</v>
      </c>
      <c r="CM53" s="40">
        <f t="shared" ref="CM53" si="613">+CM50/CL50-1</f>
        <v>-1.9178957802403751E-3</v>
      </c>
      <c r="CN53" s="40">
        <f t="shared" ref="CN53" si="614">+CN50/CM50-1</f>
        <v>3.4885228948512648E-2</v>
      </c>
      <c r="CO53" s="40">
        <f t="shared" ref="CO53" si="615">+CO50/CN50-1</f>
        <v>2.3705777978293652E-2</v>
      </c>
      <c r="CP53" s="40">
        <f t="shared" ref="CP53" si="616">+CP50/CO50-1</f>
        <v>1.1891246911585718E-2</v>
      </c>
      <c r="CQ53" s="40">
        <f t="shared" ref="CQ53" si="617">+CQ50/CP50-1</f>
        <v>2.705367775150247E-2</v>
      </c>
      <c r="CR53" s="40">
        <f t="shared" ref="CR53" si="618">+CR50/CQ50-1</f>
        <v>2.2576485774101318E-2</v>
      </c>
      <c r="CS53" s="40">
        <f t="shared" ref="CS53" si="619">+CS50/CR50-1</f>
        <v>1.988960014219221E-2</v>
      </c>
      <c r="CT53" s="40">
        <f t="shared" ref="CT53" si="620">+CT50/CS50-1</f>
        <v>1.9127389559967956E-2</v>
      </c>
      <c r="CU53" s="40">
        <f t="shared" ref="CU53" si="621">+CU50/CT50-1</f>
        <v>2.111069948476163E-2</v>
      </c>
      <c r="CV53" s="40">
        <f t="shared" ref="CV53" si="622">+CV50/CU50-1</f>
        <v>1.9768296776577987E-2</v>
      </c>
      <c r="CW53" s="40">
        <f t="shared" ref="CW53" si="623">+CW50/CV50-1</f>
        <v>1.9191619652770164E-2</v>
      </c>
      <c r="CX53" s="40">
        <f t="shared" ref="CX53" si="624">+CX50/CW50-1</f>
        <v>1.9115014183765267E-2</v>
      </c>
      <c r="CY53" s="40">
        <f t="shared" ref="CY53" si="625">+CY50/CX50-1</f>
        <v>1.9195157518729689E-2</v>
      </c>
      <c r="CZ53" s="40">
        <f t="shared" ref="CZ53" si="626">+CZ50/CY50-1</f>
        <v>1.8787426585706646E-2</v>
      </c>
      <c r="DA53" s="40">
        <f t="shared" ref="DA53" si="627">+DA50/CZ50-1</f>
        <v>1.8602993735151729E-2</v>
      </c>
      <c r="DB53" s="40">
        <f t="shared" ref="DB53" si="628">+DB50/DA50-1</f>
        <v>1.8506316210878282E-2</v>
      </c>
      <c r="DE53" s="122"/>
      <c r="DF53" s="39">
        <v>-0.15474519779432017</v>
      </c>
    </row>
    <row r="54" spans="1:110" s="75" customFormat="1" x14ac:dyDescent="0.2">
      <c r="A54" s="23" t="s">
        <v>23</v>
      </c>
      <c r="B54" s="75">
        <f>'Annual Raw'!C32</f>
        <v>0</v>
      </c>
      <c r="C54" s="75">
        <f>'Annual Raw'!D32</f>
        <v>0</v>
      </c>
      <c r="D54" s="75">
        <f>'Annual Raw'!E32</f>
        <v>0</v>
      </c>
      <c r="E54" s="75">
        <f>'Annual Raw'!F32</f>
        <v>0</v>
      </c>
      <c r="F54" s="75">
        <f>'Annual Raw'!G32</f>
        <v>-9.1199999999999992</v>
      </c>
      <c r="G54" s="75">
        <f>'Annual Raw'!H32</f>
        <v>-29.84</v>
      </c>
      <c r="H54" s="75">
        <f>'Annual Raw'!I32</f>
        <v>-42.77</v>
      </c>
      <c r="I54" s="75">
        <f>'Annual Raw'!J32</f>
        <v>-34.42</v>
      </c>
      <c r="J54" s="75">
        <f>'Annual Raw'!K32</f>
        <v>-54</v>
      </c>
      <c r="K54" s="75">
        <f>'Annual Raw'!L32</f>
        <v>-90.99</v>
      </c>
      <c r="L54" s="75">
        <f>'Annual Raw'!M32</f>
        <v>-121.45</v>
      </c>
      <c r="M54" s="75">
        <f>'Annual Raw'!N32</f>
        <v>-109.96</v>
      </c>
      <c r="N54" s="75">
        <f>'Annual Raw'!O32</f>
        <v>-158.38</v>
      </c>
      <c r="O54" s="75">
        <f>'Annual Raw'!P32</f>
        <v>-168</v>
      </c>
      <c r="P54" s="75">
        <f>'Annual Raw'!Q32</f>
        <v>-207.52</v>
      </c>
      <c r="Q54" s="75">
        <f>'Annual Raw'!R32</f>
        <v>-68</v>
      </c>
      <c r="R54" s="75">
        <f>'Annual Raw'!S32</f>
        <v>-68</v>
      </c>
      <c r="S54" s="75">
        <f>'Annual Raw'!T32</f>
        <v>-54</v>
      </c>
      <c r="T54" s="75">
        <f>'Annual Raw'!U32</f>
        <v>-90</v>
      </c>
      <c r="U54" s="75">
        <f>'Annual Raw'!V32</f>
        <v>-107</v>
      </c>
      <c r="V54" s="75">
        <f>'Annual Raw'!W32</f>
        <v>-132</v>
      </c>
      <c r="W54" s="75">
        <f>'Annual Raw'!X32</f>
        <v>-122</v>
      </c>
      <c r="X54" s="75">
        <f>'Annual Raw'!Y32</f>
        <v>-156</v>
      </c>
      <c r="Y54" s="75">
        <f>'Annual Raw'!Z32</f>
        <v>-191</v>
      </c>
      <c r="Z54" s="75">
        <f>'Annual Raw'!AA32</f>
        <v>-244</v>
      </c>
      <c r="AA54" s="75">
        <f>'Annual Raw'!AB32</f>
        <v>-244</v>
      </c>
      <c r="AB54" s="76">
        <f t="shared" ref="AB54:AB55" si="629">+SUM(CM54:CP54)</f>
        <v>-264</v>
      </c>
      <c r="AC54" s="76">
        <f t="shared" ref="AC54:AC55" si="630">+SUM(CQ54:CT54)</f>
        <v>-264</v>
      </c>
      <c r="AD54" s="76">
        <f t="shared" ref="AD54:AD55" si="631">+SUM(CU54:CX54)</f>
        <v>-264</v>
      </c>
      <c r="AE54" s="76">
        <f t="shared" ref="AE54:AE55" si="632">+SUM(CY54:DB54)</f>
        <v>-264</v>
      </c>
      <c r="AI54" s="75">
        <f>'QTR Raw'!C34</f>
        <v>-39.99</v>
      </c>
      <c r="AJ54" s="75">
        <f>'QTR Raw'!D34</f>
        <v>-35.31</v>
      </c>
      <c r="AK54" s="75">
        <f>'QTR Raw'!E34</f>
        <v>-41</v>
      </c>
      <c r="AL54" s="75">
        <f>'QTR Raw'!F34</f>
        <v>-42.08</v>
      </c>
      <c r="AM54" s="75">
        <f>'QTR Raw'!G34</f>
        <v>-33.36</v>
      </c>
      <c r="AN54" s="75">
        <f>'QTR Raw'!H34</f>
        <v>-38.72</v>
      </c>
      <c r="AO54" s="75">
        <f>'QTR Raw'!I34</f>
        <v>-43.88</v>
      </c>
      <c r="AP54" s="75">
        <f>'QTR Raw'!J34</f>
        <v>-52.04</v>
      </c>
      <c r="AQ54" s="75">
        <f>'QTR Raw'!K34</f>
        <v>-36.96</v>
      </c>
      <c r="AR54" s="75">
        <f>'QTR Raw'!L34</f>
        <v>-67.989999999999995</v>
      </c>
      <c r="AS54" s="75">
        <f>'QTR Raw'!M34</f>
        <v>-60.79</v>
      </c>
      <c r="AT54" s="75">
        <f>'QTR Raw'!N34</f>
        <v>-41.78</v>
      </c>
      <c r="AU54" s="75">
        <f>'QTR Raw'!O34</f>
        <v>-26</v>
      </c>
      <c r="AV54" s="75">
        <f>'QTR Raw'!P34</f>
        <v>-20</v>
      </c>
      <c r="AW54" s="75">
        <f>'QTR Raw'!Q34</f>
        <v>-15</v>
      </c>
      <c r="AX54" s="75">
        <f>'QTR Raw'!R34</f>
        <v>-7</v>
      </c>
      <c r="AY54" s="75">
        <f>'QTR Raw'!S34</f>
        <v>-1</v>
      </c>
      <c r="AZ54" s="75">
        <f>'QTR Raw'!T34</f>
        <v>-17</v>
      </c>
      <c r="BA54" s="75">
        <f>'QTR Raw'!U34</f>
        <v>-36</v>
      </c>
      <c r="BB54" s="75">
        <f>'QTR Raw'!V34</f>
        <v>-14</v>
      </c>
      <c r="BC54" s="75">
        <f>'QTR Raw'!W34</f>
        <v>-5</v>
      </c>
      <c r="BD54" s="75">
        <f>'QTR Raw'!X34</f>
        <v>-14</v>
      </c>
      <c r="BE54" s="75">
        <f>'QTR Raw'!Y34</f>
        <v>-14</v>
      </c>
      <c r="BF54" s="75">
        <f>'QTR Raw'!Z34</f>
        <v>-21</v>
      </c>
      <c r="BG54" s="75">
        <f>'QTR Raw'!AA34</f>
        <v>-22</v>
      </c>
      <c r="BH54" s="75">
        <f>'QTR Raw'!AB34</f>
        <v>-26</v>
      </c>
      <c r="BI54" s="75">
        <f>'QTR Raw'!AC34</f>
        <v>-16</v>
      </c>
      <c r="BJ54" s="75">
        <f>'QTR Raw'!AD34</f>
        <v>-26</v>
      </c>
      <c r="BK54" s="75">
        <f>'QTR Raw'!AE34</f>
        <v>-22</v>
      </c>
      <c r="BL54" s="75">
        <f>'QTR Raw'!AF34</f>
        <v>-16</v>
      </c>
      <c r="BM54" s="75">
        <f>'QTR Raw'!AG34</f>
        <v>-25</v>
      </c>
      <c r="BN54" s="75">
        <f>'QTR Raw'!AH34</f>
        <v>-44</v>
      </c>
      <c r="BO54" s="75">
        <f>'QTR Raw'!AI34</f>
        <v>-41</v>
      </c>
      <c r="BP54" s="75">
        <f>'QTR Raw'!AJ34</f>
        <v>-29</v>
      </c>
      <c r="BQ54" s="75">
        <f>'QTR Raw'!AK34</f>
        <v>-26</v>
      </c>
      <c r="BR54" s="75">
        <f>'QTR Raw'!AL34</f>
        <v>-36</v>
      </c>
      <c r="BS54" s="75">
        <f>'QTR Raw'!AM34</f>
        <v>-23</v>
      </c>
      <c r="BT54" s="75">
        <f>'QTR Raw'!AN34</f>
        <v>-29</v>
      </c>
      <c r="BU54" s="75">
        <f>'QTR Raw'!AO34</f>
        <v>-37</v>
      </c>
      <c r="BV54" s="75">
        <f>'QTR Raw'!AP34</f>
        <v>-33</v>
      </c>
      <c r="BW54" s="75">
        <f>'QTR Raw'!AQ34</f>
        <v>-41</v>
      </c>
      <c r="BX54" s="75">
        <f>'QTR Raw'!AR34</f>
        <v>-34</v>
      </c>
      <c r="BY54" s="75">
        <f>'QTR Raw'!AS34</f>
        <v>-37</v>
      </c>
      <c r="BZ54" s="75">
        <f>'QTR Raw'!AT34</f>
        <v>-44</v>
      </c>
      <c r="CA54" s="75">
        <f>'QTR Raw'!AU34</f>
        <v>-46</v>
      </c>
      <c r="CB54" s="75">
        <f>'QTR Raw'!AV34</f>
        <v>-38</v>
      </c>
      <c r="CC54" s="75">
        <f>'QTR Raw'!AW34</f>
        <v>-39</v>
      </c>
      <c r="CD54" s="75">
        <f>'QTR Raw'!AX34</f>
        <v>-68</v>
      </c>
      <c r="CE54" s="75">
        <f>'QTR Raw'!AY34</f>
        <v>-65</v>
      </c>
      <c r="CF54" s="75">
        <f>'QTR Raw'!AZ34</f>
        <v>-46</v>
      </c>
      <c r="CG54" s="75">
        <f>'QTR Raw'!BA34</f>
        <v>-64</v>
      </c>
      <c r="CH54" s="75">
        <f>'QTR Raw'!BB34</f>
        <v>-69</v>
      </c>
      <c r="CI54" s="75">
        <f>'QTR Raw'!BC34</f>
        <v>-59</v>
      </c>
      <c r="CJ54" s="75">
        <f>'QTR Raw'!BD34</f>
        <v>-56</v>
      </c>
      <c r="CK54" s="75">
        <f>'QTR Raw'!BE34</f>
        <v>-63</v>
      </c>
      <c r="CL54" s="75">
        <f>'QTR Raw'!BF34</f>
        <v>-66</v>
      </c>
      <c r="CM54" s="76">
        <f t="shared" ref="CM54:CM55" si="633">+CL54</f>
        <v>-66</v>
      </c>
      <c r="CN54" s="76">
        <f t="shared" ref="CN54:CN55" si="634">+CM54</f>
        <v>-66</v>
      </c>
      <c r="CO54" s="76">
        <f t="shared" ref="CO54:CO55" si="635">+CN54</f>
        <v>-66</v>
      </c>
      <c r="CP54" s="76">
        <f t="shared" ref="CP54:CP55" si="636">+CO54</f>
        <v>-66</v>
      </c>
      <c r="CQ54" s="76">
        <f t="shared" ref="CQ54:CQ55" si="637">+CP54</f>
        <v>-66</v>
      </c>
      <c r="CR54" s="76">
        <f t="shared" ref="CR54:CR55" si="638">+CQ54</f>
        <v>-66</v>
      </c>
      <c r="CS54" s="76">
        <f t="shared" ref="CS54:CS55" si="639">+CR54</f>
        <v>-66</v>
      </c>
      <c r="CT54" s="76">
        <f t="shared" ref="CT54:CT55" si="640">+CS54</f>
        <v>-66</v>
      </c>
      <c r="CU54" s="76">
        <f t="shared" ref="CU54:CU55" si="641">+CT54</f>
        <v>-66</v>
      </c>
      <c r="CV54" s="76">
        <f t="shared" ref="CV54:CV55" si="642">+CU54</f>
        <v>-66</v>
      </c>
      <c r="CW54" s="76">
        <f t="shared" ref="CW54:CW55" si="643">+CV54</f>
        <v>-66</v>
      </c>
      <c r="CX54" s="76">
        <f t="shared" ref="CX54:CX55" si="644">+CW54</f>
        <v>-66</v>
      </c>
      <c r="CY54" s="76">
        <f t="shared" ref="CY54:CY55" si="645">+CX54</f>
        <v>-66</v>
      </c>
      <c r="CZ54" s="76">
        <f t="shared" ref="CZ54:CZ55" si="646">+CY54</f>
        <v>-66</v>
      </c>
      <c r="DA54" s="76">
        <f t="shared" ref="DA54:DA55" si="647">+CZ54</f>
        <v>-66</v>
      </c>
      <c r="DB54" s="76">
        <f t="shared" ref="DB54:DB55" si="648">+DA54</f>
        <v>-66</v>
      </c>
      <c r="DE54" s="131"/>
      <c r="DF54" s="75">
        <v>-63</v>
      </c>
    </row>
    <row r="55" spans="1:110" s="75" customFormat="1" x14ac:dyDescent="0.2">
      <c r="A55" s="23" t="s">
        <v>24</v>
      </c>
      <c r="B55" s="75">
        <f>'Annual Raw'!C33+'Annual Raw'!C28</f>
        <v>0</v>
      </c>
      <c r="C55" s="75">
        <f>'Annual Raw'!D33+'Annual Raw'!D28</f>
        <v>0</v>
      </c>
      <c r="D55" s="75">
        <f>'Annual Raw'!E33+'Annual Raw'!E28</f>
        <v>0</v>
      </c>
      <c r="E55" s="75">
        <f>'Annual Raw'!F33+'Annual Raw'!F28</f>
        <v>6</v>
      </c>
      <c r="F55" s="75">
        <f>'Annual Raw'!G33+'Annual Raw'!G28</f>
        <v>0.99</v>
      </c>
      <c r="G55" s="75">
        <f>'Annual Raw'!H33+'Annual Raw'!H28</f>
        <v>-0.47</v>
      </c>
      <c r="H55" s="75">
        <f>'Annual Raw'!I33+'Annual Raw'!I28</f>
        <v>1.08</v>
      </c>
      <c r="I55" s="75">
        <f>'Annual Raw'!J33+'Annual Raw'!J28</f>
        <v>0.8</v>
      </c>
      <c r="J55" s="75">
        <f>'Annual Raw'!K33+'Annual Raw'!K28</f>
        <v>-0.7</v>
      </c>
      <c r="K55" s="75">
        <f>'Annual Raw'!L33+'Annual Raw'!L28</f>
        <v>-1.03</v>
      </c>
      <c r="L55" s="75">
        <f>'Annual Raw'!M33+'Annual Raw'!M28</f>
        <v>-0.3</v>
      </c>
      <c r="M55" s="75">
        <f>'Annual Raw'!N33+'Annual Raw'!N28</f>
        <v>0</v>
      </c>
      <c r="N55" s="75">
        <f>'Annual Raw'!O33+'Annual Raw'!O28</f>
        <v>0</v>
      </c>
      <c r="O55" s="75">
        <f>'Annual Raw'!P33+'Annual Raw'!P28</f>
        <v>0</v>
      </c>
      <c r="P55" s="75">
        <f>'Annual Raw'!Q33+'Annual Raw'!Q28</f>
        <v>0</v>
      </c>
      <c r="Q55" s="75">
        <f>'Annual Raw'!R33+'Annual Raw'!R28</f>
        <v>0</v>
      </c>
      <c r="R55" s="75">
        <f>'Annual Raw'!S33+'Annual Raw'!S28</f>
        <v>0</v>
      </c>
      <c r="S55" s="75">
        <f>'Annual Raw'!T33+'Annual Raw'!T28</f>
        <v>0</v>
      </c>
      <c r="T55" s="75">
        <f>'Annual Raw'!U33+'Annual Raw'!U28</f>
        <v>0</v>
      </c>
      <c r="U55" s="75">
        <f>'Annual Raw'!V33+'Annual Raw'!V28</f>
        <v>0</v>
      </c>
      <c r="V55" s="75">
        <f>'Annual Raw'!W33+'Annual Raw'!W28</f>
        <v>0</v>
      </c>
      <c r="W55" s="75">
        <f>'Annual Raw'!X33+'Annual Raw'!X28</f>
        <v>0</v>
      </c>
      <c r="X55" s="75">
        <f>'Annual Raw'!Y33+'Annual Raw'!Y28</f>
        <v>0</v>
      </c>
      <c r="Y55" s="75">
        <f>'Annual Raw'!Z33+'Annual Raw'!Z28</f>
        <v>0</v>
      </c>
      <c r="Z55" s="75">
        <f>'Annual Raw'!AA33+'Annual Raw'!AA28</f>
        <v>0</v>
      </c>
      <c r="AA55" s="75">
        <f>'Annual Raw'!AB33+'Annual Raw'!AB28</f>
        <v>0</v>
      </c>
      <c r="AB55" s="76">
        <f t="shared" si="629"/>
        <v>0</v>
      </c>
      <c r="AC55" s="76">
        <f t="shared" si="630"/>
        <v>0</v>
      </c>
      <c r="AD55" s="76">
        <f t="shared" si="631"/>
        <v>0</v>
      </c>
      <c r="AE55" s="76">
        <f t="shared" si="632"/>
        <v>0</v>
      </c>
      <c r="AI55" s="75">
        <f>'QTR Raw'!C35</f>
        <v>0</v>
      </c>
      <c r="AJ55" s="75">
        <f>'QTR Raw'!D35</f>
        <v>0</v>
      </c>
      <c r="AK55" s="75">
        <f>'QTR Raw'!E35</f>
        <v>0</v>
      </c>
      <c r="AL55" s="75">
        <f>'QTR Raw'!F35</f>
        <v>0</v>
      </c>
      <c r="AM55" s="75">
        <f>'QTR Raw'!G35</f>
        <v>0</v>
      </c>
      <c r="AN55" s="75">
        <f>'QTR Raw'!H35</f>
        <v>0</v>
      </c>
      <c r="AO55" s="75">
        <f>'QTR Raw'!I35</f>
        <v>0</v>
      </c>
      <c r="AP55" s="75">
        <f>'QTR Raw'!J35</f>
        <v>0</v>
      </c>
      <c r="AQ55" s="75">
        <f>'QTR Raw'!K35</f>
        <v>0</v>
      </c>
      <c r="AR55" s="75">
        <f>'QTR Raw'!L35</f>
        <v>0</v>
      </c>
      <c r="AS55" s="75">
        <f>'QTR Raw'!M35</f>
        <v>0</v>
      </c>
      <c r="AT55" s="75">
        <f>'QTR Raw'!N35</f>
        <v>0</v>
      </c>
      <c r="AU55" s="75">
        <f>'QTR Raw'!O35</f>
        <v>0</v>
      </c>
      <c r="AV55" s="75">
        <f>'QTR Raw'!P35</f>
        <v>0</v>
      </c>
      <c r="AW55" s="75">
        <f>'QTR Raw'!Q35</f>
        <v>0</v>
      </c>
      <c r="AX55" s="75">
        <f>'QTR Raw'!R35</f>
        <v>0</v>
      </c>
      <c r="AY55" s="75">
        <f>'QTR Raw'!S35</f>
        <v>0</v>
      </c>
      <c r="AZ55" s="75">
        <f>'QTR Raw'!T35</f>
        <v>0</v>
      </c>
      <c r="BA55" s="75">
        <f>'QTR Raw'!U35</f>
        <v>0</v>
      </c>
      <c r="BB55" s="75">
        <f>'QTR Raw'!V35</f>
        <v>0</v>
      </c>
      <c r="BC55" s="75">
        <f>'QTR Raw'!W35</f>
        <v>0</v>
      </c>
      <c r="BD55" s="75">
        <f>'QTR Raw'!X35</f>
        <v>0</v>
      </c>
      <c r="BE55" s="75">
        <f>'QTR Raw'!Y35</f>
        <v>0</v>
      </c>
      <c r="BF55" s="75">
        <f>'QTR Raw'!Z35</f>
        <v>0</v>
      </c>
      <c r="BG55" s="75">
        <f>'QTR Raw'!AA35</f>
        <v>0</v>
      </c>
      <c r="BH55" s="75">
        <f>'QTR Raw'!AB35</f>
        <v>0</v>
      </c>
      <c r="BI55" s="75">
        <f>'QTR Raw'!AC35</f>
        <v>0</v>
      </c>
      <c r="BJ55" s="75">
        <f>'QTR Raw'!AD35</f>
        <v>0</v>
      </c>
      <c r="BK55" s="75">
        <f>'QTR Raw'!AE35</f>
        <v>0</v>
      </c>
      <c r="BL55" s="75">
        <f>'QTR Raw'!AF35</f>
        <v>0</v>
      </c>
      <c r="BM55" s="75">
        <f>'QTR Raw'!AG35</f>
        <v>0</v>
      </c>
      <c r="BN55" s="75">
        <f>'QTR Raw'!AH35</f>
        <v>0</v>
      </c>
      <c r="BO55" s="75">
        <f>'QTR Raw'!AI35</f>
        <v>0</v>
      </c>
      <c r="BP55" s="75">
        <f>'QTR Raw'!AJ35</f>
        <v>0</v>
      </c>
      <c r="BQ55" s="75">
        <f>'QTR Raw'!AK35</f>
        <v>0</v>
      </c>
      <c r="BR55" s="75">
        <f>'QTR Raw'!AL35</f>
        <v>0</v>
      </c>
      <c r="BS55" s="75">
        <f>'QTR Raw'!AM35</f>
        <v>0</v>
      </c>
      <c r="BT55" s="75">
        <f>'QTR Raw'!AN35</f>
        <v>0</v>
      </c>
      <c r="BU55" s="75">
        <f>'QTR Raw'!AO35</f>
        <v>0</v>
      </c>
      <c r="BV55" s="75">
        <f>'QTR Raw'!AP35</f>
        <v>0</v>
      </c>
      <c r="BW55" s="75">
        <f>'QTR Raw'!AQ35</f>
        <v>0</v>
      </c>
      <c r="BX55" s="75">
        <f>'QTR Raw'!AR35</f>
        <v>0</v>
      </c>
      <c r="BY55" s="75">
        <f>'QTR Raw'!AS35</f>
        <v>0</v>
      </c>
      <c r="BZ55" s="75">
        <f>'QTR Raw'!AT35</f>
        <v>0</v>
      </c>
      <c r="CA55" s="75">
        <f>'QTR Raw'!AU35</f>
        <v>0</v>
      </c>
      <c r="CB55" s="75">
        <f>'QTR Raw'!AV35</f>
        <v>0</v>
      </c>
      <c r="CC55" s="75">
        <f>'QTR Raw'!AW35</f>
        <v>0</v>
      </c>
      <c r="CD55" s="75">
        <f>'QTR Raw'!AX35</f>
        <v>0</v>
      </c>
      <c r="CE55" s="75">
        <f>'QTR Raw'!AY35</f>
        <v>0</v>
      </c>
      <c r="CF55" s="75">
        <f>'QTR Raw'!AZ35</f>
        <v>0</v>
      </c>
      <c r="CG55" s="75">
        <f>'QTR Raw'!BA35</f>
        <v>0</v>
      </c>
      <c r="CH55" s="75">
        <f>'QTR Raw'!BB35</f>
        <v>0</v>
      </c>
      <c r="CI55" s="75">
        <f>'QTR Raw'!BC35</f>
        <v>0</v>
      </c>
      <c r="CJ55" s="75">
        <f>'QTR Raw'!BD35</f>
        <v>0</v>
      </c>
      <c r="CK55" s="75">
        <f>'QTR Raw'!BE35</f>
        <v>0</v>
      </c>
      <c r="CL55" s="75">
        <f>'QTR Raw'!BF35</f>
        <v>0</v>
      </c>
      <c r="CM55" s="76">
        <f t="shared" si="633"/>
        <v>0</v>
      </c>
      <c r="CN55" s="76">
        <f t="shared" si="634"/>
        <v>0</v>
      </c>
      <c r="CO55" s="76">
        <f t="shared" si="635"/>
        <v>0</v>
      </c>
      <c r="CP55" s="76">
        <f t="shared" si="636"/>
        <v>0</v>
      </c>
      <c r="CQ55" s="76">
        <f t="shared" si="637"/>
        <v>0</v>
      </c>
      <c r="CR55" s="76">
        <f t="shared" si="638"/>
        <v>0</v>
      </c>
      <c r="CS55" s="76">
        <f t="shared" si="639"/>
        <v>0</v>
      </c>
      <c r="CT55" s="76">
        <f t="shared" si="640"/>
        <v>0</v>
      </c>
      <c r="CU55" s="76">
        <f t="shared" si="641"/>
        <v>0</v>
      </c>
      <c r="CV55" s="76">
        <f t="shared" si="642"/>
        <v>0</v>
      </c>
      <c r="CW55" s="76">
        <f t="shared" si="643"/>
        <v>0</v>
      </c>
      <c r="CX55" s="76">
        <f t="shared" si="644"/>
        <v>0</v>
      </c>
      <c r="CY55" s="76">
        <f t="shared" si="645"/>
        <v>0</v>
      </c>
      <c r="CZ55" s="76">
        <f t="shared" si="646"/>
        <v>0</v>
      </c>
      <c r="DA55" s="76">
        <f t="shared" si="647"/>
        <v>0</v>
      </c>
      <c r="DB55" s="76">
        <f t="shared" si="648"/>
        <v>0</v>
      </c>
      <c r="DE55" s="131"/>
      <c r="DF55" s="75">
        <v>0</v>
      </c>
    </row>
    <row r="56" spans="1:110" s="23" customFormat="1" x14ac:dyDescent="0.2">
      <c r="A56" s="23" t="s">
        <v>19</v>
      </c>
      <c r="B56" s="75">
        <f>'Annual Raw'!C29+'Annual Raw'!C31+'Annual Raw'!C34+'Annual Raw'!C36</f>
        <v>0</v>
      </c>
      <c r="C56" s="75">
        <f>'Annual Raw'!D29+'Annual Raw'!D31+'Annual Raw'!D34+'Annual Raw'!D36</f>
        <v>0</v>
      </c>
      <c r="D56" s="75">
        <f>'Annual Raw'!E29+'Annual Raw'!E31+'Annual Raw'!E34+'Annual Raw'!E36</f>
        <v>0</v>
      </c>
      <c r="E56" s="75">
        <f>'Annual Raw'!F29+'Annual Raw'!F31+'Annual Raw'!F34+'Annual Raw'!F36</f>
        <v>-1.06</v>
      </c>
      <c r="F56" s="75">
        <f>'Annual Raw'!G29+'Annual Raw'!G31+'Annual Raw'!G34+'Annual Raw'!G36</f>
        <v>-251.67</v>
      </c>
      <c r="G56" s="75">
        <f>'Annual Raw'!H29+'Annual Raw'!H31+'Annual Raw'!H34+'Annual Raw'!H36</f>
        <v>0</v>
      </c>
      <c r="H56" s="75">
        <f>'Annual Raw'!I29+'Annual Raw'!I31+'Annual Raw'!I34+'Annual Raw'!I36</f>
        <v>0</v>
      </c>
      <c r="I56" s="75">
        <f>'Annual Raw'!J29+'Annual Raw'!J31+'Annual Raw'!J34+'Annual Raw'!J36</f>
        <v>0</v>
      </c>
      <c r="J56" s="75">
        <f>'Annual Raw'!K29+'Annual Raw'!K31+'Annual Raw'!K34+'Annual Raw'!K36</f>
        <v>0</v>
      </c>
      <c r="K56" s="75">
        <f>'Annual Raw'!L29+'Annual Raw'!L31+'Annual Raw'!L34+'Annual Raw'!L36</f>
        <v>0</v>
      </c>
      <c r="L56" s="75">
        <f>'Annual Raw'!M29+'Annual Raw'!M31+'Annual Raw'!M34+'Annual Raw'!M36</f>
        <v>0</v>
      </c>
      <c r="M56" s="75">
        <f>'Annual Raw'!N29+'Annual Raw'!N31+'Annual Raw'!N34+'Annual Raw'!N36</f>
        <v>0</v>
      </c>
      <c r="N56" s="75">
        <f>'Annual Raw'!O29+'Annual Raw'!O31+'Annual Raw'!O34+'Annual Raw'!O36</f>
        <v>0</v>
      </c>
      <c r="O56" s="75">
        <f>'Annual Raw'!P29+'Annual Raw'!P31+'Annual Raw'!P34+'Annual Raw'!P36</f>
        <v>0</v>
      </c>
      <c r="P56" s="75">
        <f>'Annual Raw'!Q29+'Annual Raw'!Q31+'Annual Raw'!Q34+'Annual Raw'!Q36</f>
        <v>489.75</v>
      </c>
      <c r="Q56" s="75">
        <f>'Annual Raw'!R29+'Annual Raw'!R31+'Annual Raw'!R34+'Annual Raw'!R36</f>
        <v>0</v>
      </c>
      <c r="R56" s="75">
        <f>'Annual Raw'!S29+'Annual Raw'!S31+'Annual Raw'!S34+'Annual Raw'!S36</f>
        <v>0</v>
      </c>
      <c r="S56" s="75">
        <f>'Annual Raw'!T29+'Annual Raw'!T31+'Annual Raw'!T34+'Annual Raw'!T36</f>
        <v>0</v>
      </c>
      <c r="T56" s="75">
        <f>'Annual Raw'!U29+'Annual Raw'!U31+'Annual Raw'!U34+'Annual Raw'!U36</f>
        <v>0</v>
      </c>
      <c r="U56" s="75">
        <f>'Annual Raw'!V29+'Annual Raw'!V31+'Annual Raw'!V34+'Annual Raw'!V36</f>
        <v>0</v>
      </c>
      <c r="V56" s="75">
        <f>'Annual Raw'!W29+'Annual Raw'!W31+'Annual Raw'!W34+'Annual Raw'!W36</f>
        <v>-1218</v>
      </c>
      <c r="W56" s="75">
        <f>'Annual Raw'!X29+'Annual Raw'!X31+'Annual Raw'!X34+'Annual Raw'!X36</f>
        <v>0</v>
      </c>
      <c r="X56" s="75">
        <f>'Annual Raw'!Y29+'Annual Raw'!Y31+'Annual Raw'!Y34+'Annual Raw'!Y36</f>
        <v>0</v>
      </c>
      <c r="Y56" s="75">
        <f>'Annual Raw'!Z29+'Annual Raw'!Z31+'Annual Raw'!Z34+'Annual Raw'!Z36</f>
        <v>-958</v>
      </c>
      <c r="Z56" s="75">
        <f>'Annual Raw'!AA29+'Annual Raw'!AA31+'Annual Raw'!AA34+'Annual Raw'!AA36</f>
        <v>0</v>
      </c>
      <c r="AA56" s="75">
        <f>'Annual Raw'!AB29+'Annual Raw'!AB31+'Annual Raw'!AB34+'Annual Raw'!AB36</f>
        <v>-4526</v>
      </c>
      <c r="AB56" s="76">
        <f>+SUM(CM56:CP56)</f>
        <v>0</v>
      </c>
      <c r="AC56" s="76">
        <f>+SUM(CQ56:CT56)</f>
        <v>0</v>
      </c>
      <c r="AD56" s="76">
        <f>+SUM(CU56:CX56)</f>
        <v>0</v>
      </c>
      <c r="AE56" s="76">
        <f>+SUM(CY56:DB56)</f>
        <v>0</v>
      </c>
      <c r="AI56" s="75">
        <f>'QTR Raw'!C26+'QTR Raw'!C31+'QTR Raw'!C32+'QTR Raw'!C33+'QTR Raw'!C36+'QTR Raw'!C37+'QTR Raw'!C39</f>
        <v>0</v>
      </c>
      <c r="AJ56" s="75">
        <f>'QTR Raw'!D26+'QTR Raw'!D31+'QTR Raw'!D32+'QTR Raw'!D33+'QTR Raw'!D36+'QTR Raw'!D37+'QTR Raw'!D39</f>
        <v>0</v>
      </c>
      <c r="AK56" s="75">
        <f>'QTR Raw'!E26+'QTR Raw'!E31+'QTR Raw'!E32+'QTR Raw'!E33+'QTR Raw'!E36+'QTR Raw'!E37+'QTR Raw'!E39</f>
        <v>0</v>
      </c>
      <c r="AL56" s="75">
        <f>'QTR Raw'!F26+'QTR Raw'!F31+'QTR Raw'!F32+'QTR Raw'!F33+'QTR Raw'!F36+'QTR Raw'!F37+'QTR Raw'!F39</f>
        <v>0</v>
      </c>
      <c r="AM56" s="75">
        <f>'QTR Raw'!G26+'QTR Raw'!G31+'QTR Raw'!G32+'QTR Raw'!G33+'QTR Raw'!G36+'QTR Raw'!G37+'QTR Raw'!G39</f>
        <v>0</v>
      </c>
      <c r="AN56" s="75">
        <f>'QTR Raw'!H26+'QTR Raw'!H31+'QTR Raw'!H32+'QTR Raw'!H33+'QTR Raw'!H36+'QTR Raw'!H37+'QTR Raw'!H39</f>
        <v>0</v>
      </c>
      <c r="AO56" s="75">
        <f>'QTR Raw'!I26+'QTR Raw'!I31+'QTR Raw'!I32+'QTR Raw'!I33+'QTR Raw'!I36+'QTR Raw'!I37+'QTR Raw'!I39</f>
        <v>0</v>
      </c>
      <c r="AP56" s="75">
        <f>'QTR Raw'!J26+'QTR Raw'!J31+'QTR Raw'!J32+'QTR Raw'!J33+'QTR Raw'!J36+'QTR Raw'!J37+'QTR Raw'!J39</f>
        <v>0</v>
      </c>
      <c r="AQ56" s="75">
        <f>'QTR Raw'!K26+'QTR Raw'!K31+'QTR Raw'!K32+'QTR Raw'!K33+'QTR Raw'!K36+'QTR Raw'!K37+'QTR Raw'!K39</f>
        <v>489.75</v>
      </c>
      <c r="AR56" s="75">
        <f>'QTR Raw'!L26+'QTR Raw'!L31+'QTR Raw'!L32+'QTR Raw'!L33+'QTR Raw'!L36+'QTR Raw'!L37+'QTR Raw'!L39</f>
        <v>0</v>
      </c>
      <c r="AS56" s="75">
        <f>'QTR Raw'!M26+'QTR Raw'!M31+'QTR Raw'!M32+'QTR Raw'!M33+'QTR Raw'!M36+'QTR Raw'!M37+'QTR Raw'!M39</f>
        <v>0</v>
      </c>
      <c r="AT56" s="75">
        <f>'QTR Raw'!N26+'QTR Raw'!N31+'QTR Raw'!N32+'QTR Raw'!N33+'QTR Raw'!N36+'QTR Raw'!N37+'QTR Raw'!N39</f>
        <v>0</v>
      </c>
      <c r="AU56" s="75">
        <f>'QTR Raw'!O26+'QTR Raw'!O31+'QTR Raw'!O32+'QTR Raw'!O33+'QTR Raw'!O36+'QTR Raw'!O37+'QTR Raw'!O39</f>
        <v>0</v>
      </c>
      <c r="AV56" s="75">
        <f>'QTR Raw'!P26+'QTR Raw'!P31+'QTR Raw'!P32+'QTR Raw'!P33+'QTR Raw'!P36+'QTR Raw'!P37+'QTR Raw'!P39</f>
        <v>0</v>
      </c>
      <c r="AW56" s="75">
        <f>'QTR Raw'!Q26+'QTR Raw'!Q31+'QTR Raw'!Q32+'QTR Raw'!Q33+'QTR Raw'!Q36+'QTR Raw'!Q37+'QTR Raw'!Q39</f>
        <v>0</v>
      </c>
      <c r="AX56" s="75">
        <f>'QTR Raw'!R26+'QTR Raw'!R31+'QTR Raw'!R32+'QTR Raw'!R33+'QTR Raw'!R36+'QTR Raw'!R37+'QTR Raw'!R39</f>
        <v>0</v>
      </c>
      <c r="AY56" s="75">
        <f>'QTR Raw'!S26+'QTR Raw'!S31+'QTR Raw'!S32+'QTR Raw'!S33+'QTR Raw'!S36+'QTR Raw'!S37+'QTR Raw'!S39</f>
        <v>0</v>
      </c>
      <c r="AZ56" s="75">
        <f>'QTR Raw'!T26+'QTR Raw'!T31+'QTR Raw'!T32+'QTR Raw'!T33+'QTR Raw'!T36+'QTR Raw'!T37+'QTR Raw'!T39</f>
        <v>0</v>
      </c>
      <c r="BA56" s="75">
        <f>'QTR Raw'!U26+'QTR Raw'!U31+'QTR Raw'!U32+'QTR Raw'!U33+'QTR Raw'!U36+'QTR Raw'!U37+'QTR Raw'!U39</f>
        <v>0</v>
      </c>
      <c r="BB56" s="75">
        <f>'QTR Raw'!V26+'QTR Raw'!V31+'QTR Raw'!V32+'QTR Raw'!V33+'QTR Raw'!V36+'QTR Raw'!V37+'QTR Raw'!V39</f>
        <v>0</v>
      </c>
      <c r="BC56" s="75">
        <f>'QTR Raw'!W26+'QTR Raw'!W31+'QTR Raw'!W32+'QTR Raw'!W33+'QTR Raw'!W36+'QTR Raw'!W37+'QTR Raw'!W39</f>
        <v>0</v>
      </c>
      <c r="BD56" s="75">
        <f>'QTR Raw'!X26+'QTR Raw'!X31+'QTR Raw'!X32+'QTR Raw'!X33+'QTR Raw'!X36+'QTR Raw'!X37+'QTR Raw'!X39</f>
        <v>0</v>
      </c>
      <c r="BE56" s="75">
        <f>'QTR Raw'!Y26+'QTR Raw'!Y31+'QTR Raw'!Y32+'QTR Raw'!Y33+'QTR Raw'!Y36+'QTR Raw'!Y37+'QTR Raw'!Y39</f>
        <v>0</v>
      </c>
      <c r="BF56" s="75">
        <f>'QTR Raw'!Z26+'QTR Raw'!Z31+'QTR Raw'!Z32+'QTR Raw'!Z33+'QTR Raw'!Z36+'QTR Raw'!Z37+'QTR Raw'!Z39</f>
        <v>0</v>
      </c>
      <c r="BG56" s="75">
        <f>'QTR Raw'!AA26+'QTR Raw'!AA31+'QTR Raw'!AA32+'QTR Raw'!AA33+'QTR Raw'!AA36+'QTR Raw'!AA37+'QTR Raw'!AA39</f>
        <v>0</v>
      </c>
      <c r="BH56" s="75">
        <f>'QTR Raw'!AB26+'QTR Raw'!AB31+'QTR Raw'!AB32+'QTR Raw'!AB33+'QTR Raw'!AB36+'QTR Raw'!AB37+'QTR Raw'!AB39</f>
        <v>0</v>
      </c>
      <c r="BI56" s="75">
        <f>'QTR Raw'!AC26+'QTR Raw'!AC31+'QTR Raw'!AC32+'QTR Raw'!AC33+'QTR Raw'!AC36+'QTR Raw'!AC37+'QTR Raw'!AC39</f>
        <v>0</v>
      </c>
      <c r="BJ56" s="75">
        <f>'QTR Raw'!AD26+'QTR Raw'!AD31+'QTR Raw'!AD32+'QTR Raw'!AD33+'QTR Raw'!AD36+'QTR Raw'!AD37+'QTR Raw'!AD39</f>
        <v>0</v>
      </c>
      <c r="BK56" s="75">
        <f>'QTR Raw'!AE26+'QTR Raw'!AE31+'QTR Raw'!AE32+'QTR Raw'!AE33+'QTR Raw'!AE36+'QTR Raw'!AE37+'QTR Raw'!AE39</f>
        <v>0</v>
      </c>
      <c r="BL56" s="75">
        <f>'QTR Raw'!AF26+'QTR Raw'!AF31+'QTR Raw'!AF32+'QTR Raw'!AF33+'QTR Raw'!AF36+'QTR Raw'!AF37+'QTR Raw'!AF39</f>
        <v>0</v>
      </c>
      <c r="BM56" s="75">
        <f>'QTR Raw'!AG26+'QTR Raw'!AG31+'QTR Raw'!AG32+'QTR Raw'!AG33+'QTR Raw'!AG36+'QTR Raw'!AG37+'QTR Raw'!AG39</f>
        <v>0</v>
      </c>
      <c r="BN56" s="75">
        <f>'QTR Raw'!AH26+'QTR Raw'!AH31+'QTR Raw'!AH32+'QTR Raw'!AH33+'QTR Raw'!AH36+'QTR Raw'!AH37+'QTR Raw'!AH39</f>
        <v>0</v>
      </c>
      <c r="BO56" s="75">
        <f>'QTR Raw'!AI26+'QTR Raw'!AI31+'QTR Raw'!AI32+'QTR Raw'!AI33+'QTR Raw'!AI36+'QTR Raw'!AI37+'QTR Raw'!AI39</f>
        <v>0</v>
      </c>
      <c r="BP56" s="75">
        <f>'QTR Raw'!AJ26+'QTR Raw'!AJ31+'QTR Raw'!AJ32+'QTR Raw'!AJ33+'QTR Raw'!AJ36+'QTR Raw'!AJ37+'QTR Raw'!AJ39</f>
        <v>-1218</v>
      </c>
      <c r="BQ56" s="75">
        <f>'QTR Raw'!AK26+'QTR Raw'!AK31+'QTR Raw'!AK32+'QTR Raw'!AK33+'QTR Raw'!AK36+'QTR Raw'!AK37+'QTR Raw'!AK39</f>
        <v>0</v>
      </c>
      <c r="BR56" s="75">
        <f>'QTR Raw'!AL26+'QTR Raw'!AL31+'QTR Raw'!AL32+'QTR Raw'!AL33+'QTR Raw'!AL36+'QTR Raw'!AL37+'QTR Raw'!AL39</f>
        <v>0</v>
      </c>
      <c r="BS56" s="75">
        <f>'QTR Raw'!AM26+'QTR Raw'!AM31+'QTR Raw'!AM32+'QTR Raw'!AM33+'QTR Raw'!AM36+'QTR Raw'!AM37+'QTR Raw'!AM39</f>
        <v>0</v>
      </c>
      <c r="BT56" s="75">
        <f>'QTR Raw'!AN26+'QTR Raw'!AN31+'QTR Raw'!AN32+'QTR Raw'!AN33+'QTR Raw'!AN36+'QTR Raw'!AN37+'QTR Raw'!AN39</f>
        <v>0</v>
      </c>
      <c r="BU56" s="75">
        <f>'QTR Raw'!AO26+'QTR Raw'!AO31+'QTR Raw'!AO32+'QTR Raw'!AO33+'QTR Raw'!AO36+'QTR Raw'!AO37+'QTR Raw'!AO39</f>
        <v>0</v>
      </c>
      <c r="BV56" s="75">
        <f>'QTR Raw'!AP26+'QTR Raw'!AP31+'QTR Raw'!AP32+'QTR Raw'!AP33+'QTR Raw'!AP36+'QTR Raw'!AP37+'QTR Raw'!AP39</f>
        <v>0</v>
      </c>
      <c r="BW56" s="75">
        <f>'QTR Raw'!AQ26+'QTR Raw'!AQ31+'QTR Raw'!AQ32+'QTR Raw'!AQ33+'QTR Raw'!AQ36+'QTR Raw'!AQ37+'QTR Raw'!AQ39</f>
        <v>0</v>
      </c>
      <c r="BX56" s="75">
        <f>'QTR Raw'!AR26+'QTR Raw'!AR31+'QTR Raw'!AR32+'QTR Raw'!AR33+'QTR Raw'!AR36+'QTR Raw'!AR37+'QTR Raw'!AR39</f>
        <v>0</v>
      </c>
      <c r="BY56" s="75">
        <f>'QTR Raw'!AS26+'QTR Raw'!AS31+'QTR Raw'!AS32+'QTR Raw'!AS33+'QTR Raw'!AS36+'QTR Raw'!AS37+'QTR Raw'!AS39</f>
        <v>0</v>
      </c>
      <c r="BZ56" s="75">
        <f>'QTR Raw'!AT26+'QTR Raw'!AT31+'QTR Raw'!AT32+'QTR Raw'!AT33+'QTR Raw'!AT36+'QTR Raw'!AT37+'QTR Raw'!AT39</f>
        <v>0</v>
      </c>
      <c r="CA56" s="75">
        <f>'QTR Raw'!AU26+'QTR Raw'!AU31+'QTR Raw'!AU32+'QTR Raw'!AU33+'QTR Raw'!AU36+'QTR Raw'!AU37+'QTR Raw'!AU39</f>
        <v>0</v>
      </c>
      <c r="CB56" s="75">
        <f>'QTR Raw'!AV26+'QTR Raw'!AV31+'QTR Raw'!AV32+'QTR Raw'!AV33+'QTR Raw'!AV36+'QTR Raw'!AV37+'QTR Raw'!AV39</f>
        <v>0</v>
      </c>
      <c r="CC56" s="75">
        <f>'QTR Raw'!AW26+'QTR Raw'!AW31+'QTR Raw'!AW32+'QTR Raw'!AW33+'QTR Raw'!AW36+'QTR Raw'!AW37+'QTR Raw'!AW39</f>
        <v>-958</v>
      </c>
      <c r="CD56" s="75">
        <f>'QTR Raw'!AX26+'QTR Raw'!AX31+'QTR Raw'!AX32+'QTR Raw'!AX33+'QTR Raw'!AX36+'QTR Raw'!AX37+'QTR Raw'!AX39</f>
        <v>0</v>
      </c>
      <c r="CE56" s="75">
        <f>'QTR Raw'!AY26+'QTR Raw'!AY31+'QTR Raw'!AY32+'QTR Raw'!AY33+'QTR Raw'!AY36+'QTR Raw'!AY37+'QTR Raw'!AY39</f>
        <v>0</v>
      </c>
      <c r="CF56" s="75">
        <f>'QTR Raw'!AZ26+'QTR Raw'!AZ31+'QTR Raw'!AZ32+'QTR Raw'!AZ33+'QTR Raw'!AZ36+'QTR Raw'!AZ37+'QTR Raw'!AZ39</f>
        <v>0</v>
      </c>
      <c r="CG56" s="75">
        <f>'QTR Raw'!BA26+'QTR Raw'!BA31+'QTR Raw'!BA32+'QTR Raw'!BA33+'QTR Raw'!BA36+'QTR Raw'!BA37+'QTR Raw'!BA39</f>
        <v>0</v>
      </c>
      <c r="CH56" s="75">
        <f>'QTR Raw'!BB26+'QTR Raw'!BB31+'QTR Raw'!BB32+'QTR Raw'!BB33+'QTR Raw'!BB36+'QTR Raw'!BB37+'QTR Raw'!BB39</f>
        <v>0</v>
      </c>
      <c r="CI56" s="75">
        <f>'QTR Raw'!BC26+'QTR Raw'!BC31+'QTR Raw'!BC32+'QTR Raw'!BC33+'QTR Raw'!BC36+'QTR Raw'!BC37+'QTR Raw'!BC39</f>
        <v>0</v>
      </c>
      <c r="CJ56" s="75">
        <f>'QTR Raw'!BD26+'QTR Raw'!BD31+'QTR Raw'!BD32+'QTR Raw'!BD33+'QTR Raw'!BD36+'QTR Raw'!BD37+'QTR Raw'!BD39</f>
        <v>-1135</v>
      </c>
      <c r="CK56" s="75">
        <f>'QTR Raw'!BE26+'QTR Raw'!BE31+'QTR Raw'!BE32+'QTR Raw'!BE33+'QTR Raw'!BE36+'QTR Raw'!BE37+'QTR Raw'!BE39</f>
        <v>-3391</v>
      </c>
      <c r="CL56" s="75">
        <f>'QTR Raw'!BF26+'QTR Raw'!BF31+'QTR Raw'!BF32+'QTR Raw'!BF33+'QTR Raw'!BF36+'QTR Raw'!BF37+'QTR Raw'!BF39</f>
        <v>0</v>
      </c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E56" s="123"/>
      <c r="DF56" s="23">
        <v>-4526</v>
      </c>
    </row>
    <row r="57" spans="1:110" s="26" customFormat="1" x14ac:dyDescent="0.2">
      <c r="A57" s="35" t="s">
        <v>25</v>
      </c>
      <c r="B57" s="26">
        <f>B50+B54+B55+B56</f>
        <v>0</v>
      </c>
      <c r="C57" s="26">
        <f>C50+C54+C55+C56</f>
        <v>0</v>
      </c>
      <c r="D57" s="26">
        <f>D50+D54+D55+D56</f>
        <v>0</v>
      </c>
      <c r="E57" s="26">
        <f t="shared" ref="E57:U57" si="649">E50+E54+E55+E56</f>
        <v>6.68</v>
      </c>
      <c r="F57" s="26">
        <f t="shared" si="649"/>
        <v>1976.8999999999987</v>
      </c>
      <c r="G57" s="26">
        <f t="shared" si="649"/>
        <v>2966.7399999999993</v>
      </c>
      <c r="H57" s="26">
        <f t="shared" si="649"/>
        <v>4212.6300000000037</v>
      </c>
      <c r="I57" s="26">
        <f t="shared" si="649"/>
        <v>5026.0199999999959</v>
      </c>
      <c r="J57" s="26">
        <f t="shared" si="649"/>
        <v>5256.4199999999992</v>
      </c>
      <c r="K57" s="26">
        <f t="shared" si="649"/>
        <v>7000.6400000000031</v>
      </c>
      <c r="L57" s="26">
        <f t="shared" si="649"/>
        <v>9068.0399999999991</v>
      </c>
      <c r="M57" s="26">
        <f t="shared" si="649"/>
        <v>10413.490000000005</v>
      </c>
      <c r="N57" s="26">
        <f t="shared" si="649"/>
        <v>13917.310000000003</v>
      </c>
      <c r="O57" s="26">
        <f t="shared" si="649"/>
        <v>19163.869999999995</v>
      </c>
      <c r="P57" s="26">
        <f t="shared" si="649"/>
        <v>19852.180000000008</v>
      </c>
      <c r="Q57" s="26">
        <f t="shared" si="649"/>
        <v>24270</v>
      </c>
      <c r="R57" s="26">
        <f t="shared" si="649"/>
        <v>26289</v>
      </c>
      <c r="S57" s="26">
        <f t="shared" si="649"/>
        <v>25826</v>
      </c>
      <c r="T57" s="26">
        <f t="shared" si="649"/>
        <v>31472</v>
      </c>
      <c r="U57" s="26">
        <f t="shared" si="649"/>
        <v>32340</v>
      </c>
      <c r="V57" s="26">
        <f>V50+V54+V55+V56</f>
        <v>32430</v>
      </c>
      <c r="W57" s="26">
        <f>W50+W54+W55+W56</f>
        <v>38327</v>
      </c>
      <c r="X57" s="26">
        <f>X50+X54+X55+X56</f>
        <v>42147</v>
      </c>
      <c r="Y57" s="26">
        <f>Y50+Y54+Y55+Y56</f>
        <v>45908</v>
      </c>
      <c r="Z57" s="26">
        <f>Z50+Z54+Z55+Z56</f>
        <v>48553</v>
      </c>
      <c r="AA57" s="26">
        <f>AA50+AA54+AA55+AA56</f>
        <v>49210</v>
      </c>
      <c r="AB57" s="27">
        <f t="shared" ref="AA57:AD57" si="650">AB50+AB54+AB55+AB56</f>
        <v>57054.399231120537</v>
      </c>
      <c r="AC57" s="27">
        <f t="shared" si="650"/>
        <v>62269.522075162786</v>
      </c>
      <c r="AD57" s="27">
        <f t="shared" si="650"/>
        <v>67438.634258135426</v>
      </c>
      <c r="AE57" s="27">
        <f t="shared" ref="AE57" si="651">AE50+AE54+AE55+AE56</f>
        <v>72737.632398142712</v>
      </c>
      <c r="AI57" s="26">
        <f t="shared" ref="AI57" si="652">AI50+AI54+AI55+AI56</f>
        <v>3317.68</v>
      </c>
      <c r="AJ57" s="26">
        <f t="shared" ref="AJ57" si="653">AJ50+AJ54+AJ55+AJ56</f>
        <v>3434.37</v>
      </c>
      <c r="AK57" s="26">
        <f t="shared" ref="AK57:AM57" si="654">AK50+AK54+AK55+AK56</f>
        <v>3549.6200000000017</v>
      </c>
      <c r="AL57" s="26">
        <f t="shared" si="654"/>
        <v>3615.6399999999994</v>
      </c>
      <c r="AM57" s="26">
        <f t="shared" si="654"/>
        <v>3839.5000000000009</v>
      </c>
      <c r="AN57" s="26">
        <f t="shared" ref="AN57:AO57" si="655">AN50+AN54+AN55+AN56</f>
        <v>4633.3300000000008</v>
      </c>
      <c r="AO57" s="26">
        <f t="shared" si="655"/>
        <v>5333.4299999999994</v>
      </c>
      <c r="AP57" s="26">
        <f t="shared" ref="AP57:CD57" si="656">AP50+AP54+AP55+AP56</f>
        <v>5357.6100000000033</v>
      </c>
      <c r="AQ57" s="26">
        <f t="shared" si="656"/>
        <v>5567.6799999999994</v>
      </c>
      <c r="AR57" s="26">
        <f t="shared" si="656"/>
        <v>5244.2799999999988</v>
      </c>
      <c r="AS57" s="26">
        <f t="shared" si="656"/>
        <v>5327.5499999999993</v>
      </c>
      <c r="AT57" s="26">
        <f t="shared" si="656"/>
        <v>3712.6699999999996</v>
      </c>
      <c r="AU57" s="26">
        <f t="shared" si="656"/>
        <v>5747</v>
      </c>
      <c r="AV57" s="26">
        <f t="shared" si="656"/>
        <v>6073</v>
      </c>
      <c r="AW57" s="26">
        <f t="shared" si="656"/>
        <v>6110</v>
      </c>
      <c r="AX57" s="26">
        <f t="shared" si="656"/>
        <v>6340</v>
      </c>
      <c r="AY57" s="26">
        <f t="shared" si="656"/>
        <v>6317</v>
      </c>
      <c r="AZ57" s="26">
        <f t="shared" si="656"/>
        <v>6586</v>
      </c>
      <c r="BA57" s="26">
        <f t="shared" si="656"/>
        <v>6778</v>
      </c>
      <c r="BB57" s="26">
        <f t="shared" si="656"/>
        <v>6608</v>
      </c>
      <c r="BC57" s="26">
        <f t="shared" si="656"/>
        <v>5945</v>
      </c>
      <c r="BD57" s="26">
        <f t="shared" si="656"/>
        <v>6446</v>
      </c>
      <c r="BE57" s="26">
        <f t="shared" si="656"/>
        <v>6531</v>
      </c>
      <c r="BF57" s="26">
        <f t="shared" si="656"/>
        <v>6904</v>
      </c>
      <c r="BG57" s="26">
        <f t="shared" si="656"/>
        <v>7340</v>
      </c>
      <c r="BH57" s="26">
        <f t="shared" si="656"/>
        <v>7901</v>
      </c>
      <c r="BI57" s="26">
        <f t="shared" si="656"/>
        <v>8105</v>
      </c>
      <c r="BJ57" s="26">
        <f t="shared" si="656"/>
        <v>8126</v>
      </c>
      <c r="BK57" s="26">
        <f t="shared" si="656"/>
        <v>8131</v>
      </c>
      <c r="BL57" s="26">
        <f t="shared" si="656"/>
        <v>8042</v>
      </c>
      <c r="BM57" s="26">
        <f t="shared" si="656"/>
        <v>8118</v>
      </c>
      <c r="BN57" s="26">
        <f t="shared" si="656"/>
        <v>8049</v>
      </c>
      <c r="BO57" s="26">
        <f t="shared" si="656"/>
        <v>7008</v>
      </c>
      <c r="BP57" s="26">
        <f t="shared" si="656"/>
        <v>7475</v>
      </c>
      <c r="BQ57" s="26">
        <f t="shared" si="656"/>
        <v>8701</v>
      </c>
      <c r="BR57" s="26">
        <f t="shared" si="656"/>
        <v>9246</v>
      </c>
      <c r="BS57" s="26">
        <f t="shared" si="656"/>
        <v>9008</v>
      </c>
      <c r="BT57" s="26">
        <f t="shared" si="656"/>
        <v>9624</v>
      </c>
      <c r="BU57" s="26">
        <f t="shared" si="656"/>
        <v>9769</v>
      </c>
      <c r="BV57" s="26">
        <f t="shared" si="656"/>
        <v>9926</v>
      </c>
      <c r="BW57" s="26">
        <f t="shared" si="656"/>
        <v>9478</v>
      </c>
      <c r="BX57" s="26">
        <f t="shared" si="656"/>
        <v>10431</v>
      </c>
      <c r="BY57" s="26">
        <f t="shared" si="656"/>
        <v>10846</v>
      </c>
      <c r="BZ57" s="26">
        <f t="shared" si="656"/>
        <v>11392</v>
      </c>
      <c r="CA57" s="26">
        <f t="shared" si="656"/>
        <v>11074</v>
      </c>
      <c r="CB57" s="26">
        <f t="shared" si="656"/>
        <v>11342</v>
      </c>
      <c r="CC57" s="26">
        <f t="shared" si="656"/>
        <v>11058</v>
      </c>
      <c r="CD57" s="26">
        <f t="shared" si="656"/>
        <v>12434</v>
      </c>
      <c r="CE57" s="26">
        <f t="shared" ref="CE57:CF57" si="657">CE50+CE54+CE55+CE56</f>
        <v>12040</v>
      </c>
      <c r="CF57" s="26">
        <f t="shared" si="657"/>
        <v>11909</v>
      </c>
      <c r="CG57" s="26">
        <f t="shared" ref="CG57:CH57" si="658">CG50+CG54+CG55+CG56</f>
        <v>12380</v>
      </c>
      <c r="CH57" s="26">
        <f t="shared" si="658"/>
        <v>12224</v>
      </c>
      <c r="CI57" s="26">
        <f t="shared" ref="CI57:CJ57" si="659">CI50+CI54+CI55+CI56</f>
        <v>12760</v>
      </c>
      <c r="CJ57" s="26">
        <f t="shared" si="659"/>
        <v>12075</v>
      </c>
      <c r="CK57" s="26">
        <f t="shared" ref="CK57:CL57" si="660">CK50+CK54+CK55+CK56</f>
        <v>10657</v>
      </c>
      <c r="CL57" s="26">
        <f t="shared" si="660"/>
        <v>13718</v>
      </c>
      <c r="CM57" s="27">
        <f t="shared" ref="CM57:DB57" si="661">CM50+CM54+CM55+CM56</f>
        <v>13691.563724565167</v>
      </c>
      <c r="CN57" s="27">
        <f t="shared" si="661"/>
        <v>14171.499484870375</v>
      </c>
      <c r="CO57" s="27">
        <f t="shared" si="661"/>
        <v>14509.010486624782</v>
      </c>
      <c r="CP57" s="27">
        <f t="shared" si="661"/>
        <v>14682.325535060188</v>
      </c>
      <c r="CQ57" s="27">
        <f t="shared" si="661"/>
        <v>15081.321981459962</v>
      </c>
      <c r="CR57" s="27">
        <f t="shared" si="661"/>
        <v>15423.295280690123</v>
      </c>
      <c r="CS57" s="27">
        <f t="shared" si="661"/>
        <v>15731.371170307393</v>
      </c>
      <c r="CT57" s="27">
        <f t="shared" si="661"/>
        <v>16033.533642705268</v>
      </c>
      <c r="CU57" s="27">
        <f t="shared" si="661"/>
        <v>16373.406059281227</v>
      </c>
      <c r="CV57" s="27">
        <f t="shared" si="661"/>
        <v>16698.385117091773</v>
      </c>
      <c r="CW57" s="27">
        <f t="shared" si="661"/>
        <v>17020.120819971558</v>
      </c>
      <c r="CX57" s="27">
        <f t="shared" si="661"/>
        <v>17346.722261790841</v>
      </c>
      <c r="CY57" s="27">
        <f t="shared" si="661"/>
        <v>17680.962208435809</v>
      </c>
      <c r="CZ57" s="27">
        <f t="shared" si="661"/>
        <v>18014.381958046106</v>
      </c>
      <c r="DA57" s="27">
        <f t="shared" si="661"/>
        <v>18350.73119034079</v>
      </c>
      <c r="DB57" s="27">
        <f t="shared" si="661"/>
        <v>18691.557041319982</v>
      </c>
      <c r="DE57" s="121"/>
      <c r="DF57" s="26">
        <v>11864.390513924349</v>
      </c>
    </row>
    <row r="58" spans="1:110" s="25" customFormat="1" x14ac:dyDescent="0.2">
      <c r="A58" s="151" t="s">
        <v>486</v>
      </c>
      <c r="AB58" s="17"/>
      <c r="AC58" s="17"/>
      <c r="AD58" s="17"/>
      <c r="AE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E58" s="119"/>
    </row>
    <row r="59" spans="1:110" s="1" customFormat="1" x14ac:dyDescent="0.2">
      <c r="AB59" s="20"/>
      <c r="AC59" s="20"/>
      <c r="AD59" s="20"/>
      <c r="AE59" s="20"/>
      <c r="BV59" s="183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E59" s="119"/>
      <c r="DF59" s="183"/>
    </row>
    <row r="60" spans="1:110" s="22" customFormat="1" x14ac:dyDescent="0.2">
      <c r="A60" s="22" t="s">
        <v>434</v>
      </c>
      <c r="B60" s="22">
        <f>'Annual Raw'!C35</f>
        <v>0</v>
      </c>
      <c r="C60" s="22">
        <f>'Annual Raw'!D35</f>
        <v>0</v>
      </c>
      <c r="D60" s="22">
        <f>'Annual Raw'!E35</f>
        <v>0</v>
      </c>
      <c r="E60" s="22">
        <f>'Annual Raw'!F35</f>
        <v>6.68</v>
      </c>
      <c r="F60" s="22">
        <f>'Annual Raw'!G35</f>
        <v>1976.9</v>
      </c>
      <c r="G60" s="22">
        <f>'Annual Raw'!H35</f>
        <v>2966.74</v>
      </c>
      <c r="H60" s="22">
        <f>'Annual Raw'!I35</f>
        <v>4212.63</v>
      </c>
      <c r="I60" s="22">
        <f>'Annual Raw'!J35</f>
        <v>5026.0200000000004</v>
      </c>
      <c r="J60" s="22">
        <f>'Annual Raw'!K35</f>
        <v>5256.42</v>
      </c>
      <c r="K60" s="22">
        <f>'Annual Raw'!L35</f>
        <v>7000.64</v>
      </c>
      <c r="L60" s="22">
        <f>'Annual Raw'!M35</f>
        <v>9068.0400000000009</v>
      </c>
      <c r="M60" s="22">
        <f>'Annual Raw'!N35</f>
        <v>10413.49</v>
      </c>
      <c r="N60" s="22">
        <f>'Annual Raw'!O35</f>
        <v>13917.31</v>
      </c>
      <c r="O60" s="22">
        <f>'Annual Raw'!P35</f>
        <v>19163.87</v>
      </c>
      <c r="P60" s="22">
        <f>'Annual Raw'!Q35</f>
        <v>19852.18</v>
      </c>
      <c r="Q60" s="22">
        <f>'Annual Raw'!R35</f>
        <v>24270</v>
      </c>
      <c r="R60" s="22">
        <f>'Annual Raw'!S35</f>
        <v>26289</v>
      </c>
      <c r="S60" s="22">
        <f>'Annual Raw'!T35</f>
        <v>25826</v>
      </c>
      <c r="T60" s="22">
        <f>'Annual Raw'!U35</f>
        <v>31472</v>
      </c>
      <c r="U60" s="22">
        <f>'Annual Raw'!V35</f>
        <v>32340</v>
      </c>
      <c r="V60" s="22">
        <f>'Annual Raw'!W35</f>
        <v>32430</v>
      </c>
      <c r="W60" s="22">
        <f>'Annual Raw'!X35</f>
        <v>38327</v>
      </c>
      <c r="X60" s="22">
        <f>'Annual Raw'!Y35</f>
        <v>42147</v>
      </c>
      <c r="Y60" s="22">
        <f>'Annual Raw'!Z35</f>
        <v>45908</v>
      </c>
      <c r="Z60" s="22">
        <f>'Annual Raw'!AA35</f>
        <v>48553</v>
      </c>
      <c r="AA60" s="22">
        <f>'Annual Raw'!AB35</f>
        <v>49210</v>
      </c>
      <c r="AB60" s="21">
        <f t="shared" ref="AA60:AD60" si="662">+AB57</f>
        <v>57054.399231120537</v>
      </c>
      <c r="AC60" s="21">
        <f t="shared" si="662"/>
        <v>62269.522075162786</v>
      </c>
      <c r="AD60" s="21">
        <f t="shared" si="662"/>
        <v>67438.634258135426</v>
      </c>
      <c r="AE60" s="21">
        <f t="shared" ref="AE60" si="663">+AE57</f>
        <v>72737.632398142712</v>
      </c>
      <c r="AI60" s="22">
        <f>'QTR Raw'!C42</f>
        <v>3317.68</v>
      </c>
      <c r="AJ60" s="22">
        <f>'QTR Raw'!D42</f>
        <v>3434.37</v>
      </c>
      <c r="AK60" s="22">
        <f>'QTR Raw'!E42</f>
        <v>3549.62</v>
      </c>
      <c r="AL60" s="22">
        <f>'QTR Raw'!F42</f>
        <v>3615.64</v>
      </c>
      <c r="AM60" s="22">
        <f>'QTR Raw'!G42</f>
        <v>3839.5</v>
      </c>
      <c r="AN60" s="22">
        <f>'QTR Raw'!H42</f>
        <v>4633.33</v>
      </c>
      <c r="AO60" s="22">
        <f>'QTR Raw'!I42</f>
        <v>5333.43</v>
      </c>
      <c r="AP60" s="22">
        <f>'QTR Raw'!J42</f>
        <v>5357.61</v>
      </c>
      <c r="AQ60" s="22">
        <f>'QTR Raw'!K42</f>
        <v>5567.68</v>
      </c>
      <c r="AR60" s="22">
        <f>'QTR Raw'!L42</f>
        <v>5244.28</v>
      </c>
      <c r="AS60" s="22">
        <f>'QTR Raw'!M42</f>
        <v>5327.55</v>
      </c>
      <c r="AT60" s="22">
        <f>'QTR Raw'!N42</f>
        <v>3712.67</v>
      </c>
      <c r="AU60" s="22">
        <f>'QTR Raw'!O42</f>
        <v>5747</v>
      </c>
      <c r="AV60" s="22">
        <f>'QTR Raw'!P42</f>
        <v>6073</v>
      </c>
      <c r="AW60" s="22">
        <f>'QTR Raw'!Q42</f>
        <v>6110</v>
      </c>
      <c r="AX60" s="22">
        <f>'QTR Raw'!R42</f>
        <v>6340</v>
      </c>
      <c r="AY60" s="22">
        <f>'QTR Raw'!S42</f>
        <v>6317</v>
      </c>
      <c r="AZ60" s="22">
        <f>'QTR Raw'!T42</f>
        <v>6586</v>
      </c>
      <c r="BA60" s="22">
        <f>'QTR Raw'!U42</f>
        <v>6778</v>
      </c>
      <c r="BB60" s="22">
        <f>'QTR Raw'!V42</f>
        <v>6608</v>
      </c>
      <c r="BC60" s="22">
        <f>'QTR Raw'!W42</f>
        <v>5945</v>
      </c>
      <c r="BD60" s="22">
        <f>'QTR Raw'!X42</f>
        <v>6446</v>
      </c>
      <c r="BE60" s="22">
        <f>'QTR Raw'!Y42</f>
        <v>6531</v>
      </c>
      <c r="BF60" s="22">
        <f>'QTR Raw'!Z42</f>
        <v>6904</v>
      </c>
      <c r="BG60" s="22">
        <f>'QTR Raw'!AA42</f>
        <v>7340</v>
      </c>
      <c r="BH60" s="22">
        <f>'QTR Raw'!AB42</f>
        <v>7901</v>
      </c>
      <c r="BI60" s="22">
        <f>'QTR Raw'!AC42</f>
        <v>8105</v>
      </c>
      <c r="BJ60" s="22">
        <f>'QTR Raw'!AD42</f>
        <v>8126</v>
      </c>
      <c r="BK60" s="22">
        <f>'QTR Raw'!AE42</f>
        <v>8131</v>
      </c>
      <c r="BL60" s="22">
        <f>'QTR Raw'!AF42</f>
        <v>8042</v>
      </c>
      <c r="BM60" s="22">
        <f>'QTR Raw'!AG42</f>
        <v>8118</v>
      </c>
      <c r="BN60" s="22">
        <f>'QTR Raw'!AH42</f>
        <v>8049</v>
      </c>
      <c r="BO60" s="22">
        <f>'QTR Raw'!AI42</f>
        <v>7008</v>
      </c>
      <c r="BP60" s="22">
        <f>'QTR Raw'!AJ42</f>
        <v>7475</v>
      </c>
      <c r="BQ60" s="22">
        <f>'QTR Raw'!AK42</f>
        <v>8701</v>
      </c>
      <c r="BR60" s="22">
        <f>'QTR Raw'!AL42</f>
        <v>9246</v>
      </c>
      <c r="BS60" s="22">
        <f>'QTR Raw'!AM42</f>
        <v>9008</v>
      </c>
      <c r="BT60" s="22">
        <f>'QTR Raw'!AN42</f>
        <v>9624</v>
      </c>
      <c r="BU60" s="22">
        <f>'QTR Raw'!AO42</f>
        <v>9769</v>
      </c>
      <c r="BV60" s="22">
        <f>'QTR Raw'!AP42</f>
        <v>9926</v>
      </c>
      <c r="BW60" s="22">
        <f>'QTR Raw'!AQ42</f>
        <v>9478</v>
      </c>
      <c r="BX60" s="22">
        <f>'QTR Raw'!AR42</f>
        <v>10431</v>
      </c>
      <c r="BY60" s="22">
        <f>'QTR Raw'!AS42</f>
        <v>10846</v>
      </c>
      <c r="BZ60" s="22">
        <f>'QTR Raw'!AT42</f>
        <v>11392</v>
      </c>
      <c r="CA60" s="22">
        <f>'QTR Raw'!AU42</f>
        <v>11074</v>
      </c>
      <c r="CB60" s="22">
        <f>'QTR Raw'!AV42</f>
        <v>11342</v>
      </c>
      <c r="CC60" s="22">
        <f>'QTR Raw'!AW42</f>
        <v>11058</v>
      </c>
      <c r="CD60" s="22">
        <f>'QTR Raw'!AX42</f>
        <v>12434</v>
      </c>
      <c r="CE60" s="22">
        <f>'QTR Raw'!AY42</f>
        <v>12040</v>
      </c>
      <c r="CF60" s="22">
        <f>'QTR Raw'!AZ42</f>
        <v>11909</v>
      </c>
      <c r="CG60" s="22">
        <f>'QTR Raw'!BA42</f>
        <v>12380</v>
      </c>
      <c r="CH60" s="22">
        <f>'QTR Raw'!BB42</f>
        <v>12224</v>
      </c>
      <c r="CI60" s="22">
        <f>'QTR Raw'!BC42</f>
        <v>12760</v>
      </c>
      <c r="CJ60" s="22">
        <f>'QTR Raw'!BD42</f>
        <v>12075</v>
      </c>
      <c r="CK60" s="22">
        <f>'QTR Raw'!BE42</f>
        <v>10657</v>
      </c>
      <c r="CL60" s="22">
        <f>'QTR Raw'!BF42</f>
        <v>13718</v>
      </c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E60" s="119"/>
      <c r="DF60" s="22">
        <v>49210</v>
      </c>
    </row>
    <row r="61" spans="1:110" s="25" customFormat="1" x14ac:dyDescent="0.2">
      <c r="A61" s="36" t="s">
        <v>435</v>
      </c>
      <c r="B61" s="25">
        <f t="shared" ref="B61:V61" si="664">B60-B57</f>
        <v>0</v>
      </c>
      <c r="C61" s="25">
        <f>C60-C57</f>
        <v>0</v>
      </c>
      <c r="D61" s="25">
        <f t="shared" si="664"/>
        <v>0</v>
      </c>
      <c r="E61" s="25">
        <f t="shared" si="664"/>
        <v>0</v>
      </c>
      <c r="F61" s="25">
        <f t="shared" si="664"/>
        <v>0</v>
      </c>
      <c r="G61" s="25">
        <f t="shared" si="664"/>
        <v>0</v>
      </c>
      <c r="H61" s="25">
        <f t="shared" si="664"/>
        <v>0</v>
      </c>
      <c r="I61" s="25">
        <f t="shared" si="664"/>
        <v>0</v>
      </c>
      <c r="J61" s="25">
        <f t="shared" si="664"/>
        <v>0</v>
      </c>
      <c r="K61" s="25">
        <f t="shared" si="664"/>
        <v>0</v>
      </c>
      <c r="L61" s="25">
        <f t="shared" si="664"/>
        <v>0</v>
      </c>
      <c r="M61" s="25">
        <f t="shared" si="664"/>
        <v>0</v>
      </c>
      <c r="N61" s="25">
        <f t="shared" si="664"/>
        <v>0</v>
      </c>
      <c r="O61" s="25">
        <f t="shared" si="664"/>
        <v>0</v>
      </c>
      <c r="P61" s="25">
        <f t="shared" si="664"/>
        <v>0</v>
      </c>
      <c r="Q61" s="25">
        <f t="shared" si="664"/>
        <v>0</v>
      </c>
      <c r="R61" s="25">
        <f t="shared" si="664"/>
        <v>0</v>
      </c>
      <c r="S61" s="25">
        <f t="shared" si="664"/>
        <v>0</v>
      </c>
      <c r="T61" s="25">
        <f t="shared" si="664"/>
        <v>0</v>
      </c>
      <c r="U61" s="25">
        <f t="shared" si="664"/>
        <v>0</v>
      </c>
      <c r="V61" s="25">
        <f t="shared" si="664"/>
        <v>0</v>
      </c>
      <c r="W61" s="25">
        <f t="shared" ref="W61" si="665">W60-W57</f>
        <v>0</v>
      </c>
      <c r="X61" s="25">
        <f t="shared" ref="X61:Y61" si="666">X60-X57</f>
        <v>0</v>
      </c>
      <c r="Y61" s="25">
        <f t="shared" si="666"/>
        <v>0</v>
      </c>
      <c r="Z61" s="25">
        <f t="shared" ref="Z61:AA61" si="667">Z60-Z57</f>
        <v>0</v>
      </c>
      <c r="AA61" s="25">
        <f t="shared" si="667"/>
        <v>0</v>
      </c>
      <c r="AB61" s="17">
        <f t="shared" ref="AA61:AD61" si="668">AB60-AB57</f>
        <v>0</v>
      </c>
      <c r="AC61" s="17">
        <f t="shared" si="668"/>
        <v>0</v>
      </c>
      <c r="AD61" s="17">
        <f t="shared" si="668"/>
        <v>0</v>
      </c>
      <c r="AE61" s="17">
        <f t="shared" ref="AE61" si="669">AE60-AE57</f>
        <v>0</v>
      </c>
      <c r="AI61" s="25">
        <f t="shared" ref="AI61" si="670">AI60-AI57</f>
        <v>0</v>
      </c>
      <c r="AJ61" s="25">
        <f t="shared" ref="AJ61" si="671">AJ60-AJ57</f>
        <v>0</v>
      </c>
      <c r="AK61" s="25">
        <f t="shared" ref="AK61:AM61" si="672">AK60-AK57</f>
        <v>0</v>
      </c>
      <c r="AL61" s="25">
        <f t="shared" si="672"/>
        <v>0</v>
      </c>
      <c r="AM61" s="25">
        <f t="shared" si="672"/>
        <v>0</v>
      </c>
      <c r="AN61" s="25">
        <f t="shared" ref="AN61:AO61" si="673">AN60-AN57</f>
        <v>0</v>
      </c>
      <c r="AO61" s="25">
        <f t="shared" si="673"/>
        <v>0</v>
      </c>
      <c r="AP61" s="25">
        <f t="shared" ref="AP61:CD61" si="674">AP60-AP57</f>
        <v>0</v>
      </c>
      <c r="AQ61" s="25">
        <f t="shared" si="674"/>
        <v>0</v>
      </c>
      <c r="AR61" s="25">
        <f t="shared" si="674"/>
        <v>0</v>
      </c>
      <c r="AS61" s="25">
        <f t="shared" si="674"/>
        <v>0</v>
      </c>
      <c r="AT61" s="25">
        <f t="shared" si="674"/>
        <v>0</v>
      </c>
      <c r="AU61" s="25">
        <f t="shared" si="674"/>
        <v>0</v>
      </c>
      <c r="AV61" s="25">
        <f t="shared" si="674"/>
        <v>0</v>
      </c>
      <c r="AW61" s="25">
        <f t="shared" si="674"/>
        <v>0</v>
      </c>
      <c r="AX61" s="25">
        <f t="shared" si="674"/>
        <v>0</v>
      </c>
      <c r="AY61" s="25">
        <f t="shared" si="674"/>
        <v>0</v>
      </c>
      <c r="AZ61" s="25">
        <f t="shared" si="674"/>
        <v>0</v>
      </c>
      <c r="BA61" s="25">
        <f t="shared" si="674"/>
        <v>0</v>
      </c>
      <c r="BB61" s="25">
        <f t="shared" si="674"/>
        <v>0</v>
      </c>
      <c r="BC61" s="25">
        <f t="shared" si="674"/>
        <v>0</v>
      </c>
      <c r="BD61" s="25">
        <f t="shared" si="674"/>
        <v>0</v>
      </c>
      <c r="BE61" s="25">
        <f t="shared" si="674"/>
        <v>0</v>
      </c>
      <c r="BF61" s="25">
        <f t="shared" si="674"/>
        <v>0</v>
      </c>
      <c r="BG61" s="25">
        <f t="shared" si="674"/>
        <v>0</v>
      </c>
      <c r="BH61" s="25">
        <f t="shared" si="674"/>
        <v>0</v>
      </c>
      <c r="BI61" s="25">
        <f t="shared" si="674"/>
        <v>0</v>
      </c>
      <c r="BJ61" s="25">
        <f t="shared" si="674"/>
        <v>0</v>
      </c>
      <c r="BK61" s="25">
        <f t="shared" si="674"/>
        <v>0</v>
      </c>
      <c r="BL61" s="25">
        <f t="shared" si="674"/>
        <v>0</v>
      </c>
      <c r="BM61" s="25">
        <f t="shared" si="674"/>
        <v>0</v>
      </c>
      <c r="BN61" s="25">
        <f t="shared" si="674"/>
        <v>0</v>
      </c>
      <c r="BO61" s="25">
        <f t="shared" si="674"/>
        <v>0</v>
      </c>
      <c r="BP61" s="25">
        <f t="shared" si="674"/>
        <v>0</v>
      </c>
      <c r="BQ61" s="25">
        <f t="shared" si="674"/>
        <v>0</v>
      </c>
      <c r="BR61" s="25">
        <f t="shared" si="674"/>
        <v>0</v>
      </c>
      <c r="BS61" s="25">
        <f t="shared" si="674"/>
        <v>0</v>
      </c>
      <c r="BT61" s="25">
        <f t="shared" si="674"/>
        <v>0</v>
      </c>
      <c r="BU61" s="25">
        <f t="shared" si="674"/>
        <v>0</v>
      </c>
      <c r="BV61" s="25">
        <f t="shared" si="674"/>
        <v>0</v>
      </c>
      <c r="BW61" s="25">
        <f t="shared" si="674"/>
        <v>0</v>
      </c>
      <c r="BX61" s="25">
        <f t="shared" si="674"/>
        <v>0</v>
      </c>
      <c r="BY61" s="25">
        <f t="shared" si="674"/>
        <v>0</v>
      </c>
      <c r="BZ61" s="25">
        <f t="shared" si="674"/>
        <v>0</v>
      </c>
      <c r="CA61" s="25">
        <f t="shared" si="674"/>
        <v>0</v>
      </c>
      <c r="CB61" s="25">
        <f t="shared" si="674"/>
        <v>0</v>
      </c>
      <c r="CC61" s="25">
        <f t="shared" si="674"/>
        <v>0</v>
      </c>
      <c r="CD61" s="25">
        <f t="shared" si="674"/>
        <v>0</v>
      </c>
      <c r="CE61" s="25">
        <f t="shared" ref="CE61:CF61" si="675">CE60-CE57</f>
        <v>0</v>
      </c>
      <c r="CF61" s="25">
        <f t="shared" si="675"/>
        <v>0</v>
      </c>
      <c r="CG61" s="25">
        <f t="shared" ref="CG61:CH61" si="676">CG60-CG57</f>
        <v>0</v>
      </c>
      <c r="CH61" s="25">
        <f t="shared" si="676"/>
        <v>0</v>
      </c>
      <c r="CI61" s="25">
        <f t="shared" ref="CI61:CJ61" si="677">CI60-CI57</f>
        <v>0</v>
      </c>
      <c r="CJ61" s="25">
        <f t="shared" si="677"/>
        <v>0</v>
      </c>
      <c r="CK61" s="25">
        <f t="shared" ref="CK61:CL61" si="678">CK60-CK57</f>
        <v>0</v>
      </c>
      <c r="CL61" s="25">
        <f t="shared" si="678"/>
        <v>0</v>
      </c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E61" s="119"/>
      <c r="DF61" s="25">
        <v>0</v>
      </c>
    </row>
    <row r="62" spans="1:110" s="1" customFormat="1" x14ac:dyDescent="0.2">
      <c r="A62" s="150" t="s">
        <v>487</v>
      </c>
      <c r="AB62" s="20"/>
      <c r="AC62" s="20"/>
      <c r="AD62" s="20"/>
      <c r="AE62" s="20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E62" s="119"/>
      <c r="DF62" s="183"/>
    </row>
    <row r="63" spans="1:110" s="38" customFormat="1" x14ac:dyDescent="0.2">
      <c r="A63" s="38" t="s">
        <v>350</v>
      </c>
      <c r="B63" s="39" t="e">
        <f t="shared" ref="B63:AE63" si="679">(B57-B56)/B129</f>
        <v>#DIV/0!</v>
      </c>
      <c r="C63" s="39" t="e">
        <f t="shared" si="679"/>
        <v>#DIV/0!</v>
      </c>
      <c r="D63" s="39" t="e">
        <f t="shared" si="679"/>
        <v>#DIV/0!</v>
      </c>
      <c r="E63" s="39">
        <f t="shared" si="679"/>
        <v>0.16440101954120648</v>
      </c>
      <c r="F63" s="39">
        <f t="shared" si="679"/>
        <v>0.64084669047660081</v>
      </c>
      <c r="G63" s="39">
        <f t="shared" si="679"/>
        <v>0.49455475335941612</v>
      </c>
      <c r="H63" s="39">
        <f t="shared" si="679"/>
        <v>0.47599801132190639</v>
      </c>
      <c r="I63" s="39">
        <f t="shared" si="679"/>
        <v>0.4086155257021879</v>
      </c>
      <c r="J63" s="39">
        <f t="shared" si="679"/>
        <v>0.3348036084053449</v>
      </c>
      <c r="K63" s="39">
        <f t="shared" si="679"/>
        <v>0.37909493402185135</v>
      </c>
      <c r="L63" s="39">
        <f t="shared" si="679"/>
        <v>0.37005143071911184</v>
      </c>
      <c r="M63" s="39">
        <f t="shared" si="679"/>
        <v>0.35205412716963913</v>
      </c>
      <c r="N63" s="39">
        <f t="shared" si="679"/>
        <v>0.36012542653483326</v>
      </c>
      <c r="O63" s="39">
        <f t="shared" si="679"/>
        <v>0.38955104161500115</v>
      </c>
      <c r="P63" s="39">
        <f t="shared" si="679"/>
        <v>0.38239403129391758</v>
      </c>
      <c r="Q63" s="39">
        <f t="shared" si="679"/>
        <v>0.3414846915803692</v>
      </c>
      <c r="R63" s="39">
        <f t="shared" si="679"/>
        <v>0.30492727399262298</v>
      </c>
      <c r="S63" s="39">
        <f t="shared" si="679"/>
        <v>0.30337844187576357</v>
      </c>
      <c r="T63" s="39">
        <f t="shared" si="679"/>
        <v>0.35185475035216779</v>
      </c>
      <c r="U63" s="39">
        <f t="shared" si="679"/>
        <v>0.38442336495257112</v>
      </c>
      <c r="V63" s="39">
        <f t="shared" si="679"/>
        <v>0.38929575509354064</v>
      </c>
      <c r="W63" s="39">
        <f t="shared" si="679"/>
        <v>0.42996892493745725</v>
      </c>
      <c r="X63" s="39">
        <f t="shared" si="679"/>
        <v>0.46610413164646552</v>
      </c>
      <c r="Y63" s="39">
        <f t="shared" si="679"/>
        <v>0.51791930510890827</v>
      </c>
      <c r="Z63" s="39">
        <f t="shared" si="679"/>
        <v>0.51240027016758838</v>
      </c>
      <c r="AA63" s="39">
        <f t="shared" ref="AA63" si="680">(AA57-AA56)/AA129</f>
        <v>0.50108168593808278</v>
      </c>
      <c r="AB63" s="40">
        <f t="shared" si="679"/>
        <v>0.34726928914271432</v>
      </c>
      <c r="AC63" s="40">
        <f t="shared" si="679"/>
        <v>0.27484306290313076</v>
      </c>
      <c r="AD63" s="40">
        <f t="shared" si="679"/>
        <v>0.22938111585005933</v>
      </c>
      <c r="AE63" s="40">
        <f t="shared" si="679"/>
        <v>0.19833559229556846</v>
      </c>
      <c r="AF63" s="39"/>
      <c r="AG63" s="39"/>
      <c r="AH63" s="39"/>
      <c r="AI63" s="39"/>
      <c r="AJ63" s="39"/>
      <c r="AK63" s="39"/>
      <c r="AL63" s="39">
        <f t="shared" ref="AL63:BQ63" si="681">(SUM(AI57:AL57)-SUM(AI56:AL56))/AL129</f>
        <v>0.3601254265348332</v>
      </c>
      <c r="AM63" s="39">
        <f t="shared" si="681"/>
        <v>0.33986234745580995</v>
      </c>
      <c r="AN63" s="39">
        <f t="shared" si="681"/>
        <v>0.35468266653239705</v>
      </c>
      <c r="AO63" s="39">
        <f t="shared" si="681"/>
        <v>0.35250021244825369</v>
      </c>
      <c r="AP63" s="39">
        <f t="shared" si="681"/>
        <v>0.38955104161500137</v>
      </c>
      <c r="AQ63" s="39">
        <f t="shared" si="681"/>
        <v>0.37256009776043586</v>
      </c>
      <c r="AR63" s="39">
        <f t="shared" si="681"/>
        <v>0.43360521120695084</v>
      </c>
      <c r="AS63" s="39">
        <f t="shared" si="681"/>
        <v>0.39054952605780413</v>
      </c>
      <c r="AT63" s="39">
        <f t="shared" si="681"/>
        <v>0.38239403129391736</v>
      </c>
      <c r="AU63" s="39">
        <f t="shared" si="681"/>
        <v>0.35528333986026683</v>
      </c>
      <c r="AV63" s="39">
        <f t="shared" si="681"/>
        <v>0.3459004185417251</v>
      </c>
      <c r="AW63" s="39">
        <f t="shared" si="681"/>
        <v>0.32586034812467468</v>
      </c>
      <c r="AX63" s="39">
        <f t="shared" si="681"/>
        <v>0.3414846915803692</v>
      </c>
      <c r="AY63" s="39">
        <f t="shared" si="681"/>
        <v>0.32097584928090556</v>
      </c>
      <c r="AZ63" s="39">
        <f t="shared" si="681"/>
        <v>0.33190202521371437</v>
      </c>
      <c r="BA63" s="39">
        <f t="shared" si="681"/>
        <v>0.3128840257319786</v>
      </c>
      <c r="BB63" s="39">
        <f t="shared" si="681"/>
        <v>0.30492727399262298</v>
      </c>
      <c r="BC63" s="39">
        <f t="shared" si="681"/>
        <v>0.28122049935437665</v>
      </c>
      <c r="BD63" s="39">
        <f t="shared" si="681"/>
        <v>0.34344605217576679</v>
      </c>
      <c r="BE63" s="39">
        <f t="shared" si="681"/>
        <v>0.31292517006802723</v>
      </c>
      <c r="BF63" s="39">
        <f t="shared" si="681"/>
        <v>0.30337844187576357</v>
      </c>
      <c r="BG63" s="39">
        <f t="shared" si="681"/>
        <v>0.29438292165938484</v>
      </c>
      <c r="BH63" s="39">
        <f t="shared" si="681"/>
        <v>0.37658244471292746</v>
      </c>
      <c r="BI63" s="39">
        <f t="shared" si="681"/>
        <v>0.35903766038004581</v>
      </c>
      <c r="BJ63" s="39">
        <f t="shared" si="681"/>
        <v>0.35185475035216779</v>
      </c>
      <c r="BK63" s="39">
        <f t="shared" si="681"/>
        <v>0.33064144214312802</v>
      </c>
      <c r="BL63" s="39">
        <f t="shared" si="681"/>
        <v>0.34097988046131827</v>
      </c>
      <c r="BM63" s="39">
        <f t="shared" si="681"/>
        <v>0.31427047988366458</v>
      </c>
      <c r="BN63" s="39">
        <f t="shared" si="681"/>
        <v>0.38442336495257112</v>
      </c>
      <c r="BO63" s="39">
        <f t="shared" si="681"/>
        <v>0.34253955713564643</v>
      </c>
      <c r="BP63" s="39">
        <f t="shared" si="681"/>
        <v>0.334969570198766</v>
      </c>
      <c r="BQ63" s="39">
        <f t="shared" si="681"/>
        <v>0.31251564937691406</v>
      </c>
      <c r="BR63" s="39">
        <f t="shared" ref="BR63:CW63" si="682">(SUM(BO57:BR57)-SUM(BO56:BR56))/BR129</f>
        <v>0.38929575509354064</v>
      </c>
      <c r="BS63" s="39">
        <f t="shared" si="682"/>
        <v>0.37350824069320315</v>
      </c>
      <c r="BT63" s="39">
        <f t="shared" si="682"/>
        <v>0.37727033633466384</v>
      </c>
      <c r="BU63" s="39">
        <f t="shared" si="682"/>
        <v>0.35274441092142494</v>
      </c>
      <c r="BV63" s="39">
        <f t="shared" si="682"/>
        <v>0.42996892493745725</v>
      </c>
      <c r="BW63" s="39">
        <f t="shared" si="682"/>
        <v>0.39341087236480526</v>
      </c>
      <c r="BX63" s="39">
        <f t="shared" si="682"/>
        <v>0.40638660291009093</v>
      </c>
      <c r="BY63" s="39">
        <f t="shared" si="682"/>
        <v>0.37563250230840256</v>
      </c>
      <c r="BZ63" s="39">
        <f t="shared" si="682"/>
        <v>0.46610413164646552</v>
      </c>
      <c r="CA63" s="39">
        <f t="shared" si="682"/>
        <v>0.43097400934008551</v>
      </c>
      <c r="CB63" s="39">
        <f t="shared" si="682"/>
        <v>0.44351963131077365</v>
      </c>
      <c r="CC63" s="39">
        <f t="shared" si="682"/>
        <v>0.41009853318894923</v>
      </c>
      <c r="CD63" s="39">
        <f t="shared" si="682"/>
        <v>0.51791930510890827</v>
      </c>
      <c r="CE63" s="39">
        <f t="shared" si="682"/>
        <v>0.46652166704054465</v>
      </c>
      <c r="CF63" s="39">
        <f t="shared" si="682"/>
        <v>0.47686092910980837</v>
      </c>
      <c r="CG63" s="39">
        <f t="shared" si="682"/>
        <v>0.42821514818880352</v>
      </c>
      <c r="CH63" s="39">
        <f t="shared" si="682"/>
        <v>0.51240027016758838</v>
      </c>
      <c r="CI63" s="39">
        <f t="shared" si="682"/>
        <v>0.45828527847018119</v>
      </c>
      <c r="CJ63" s="39">
        <f t="shared" si="682"/>
        <v>0.47525254898275621</v>
      </c>
      <c r="CK63" s="39">
        <f t="shared" si="682"/>
        <v>0.4462382123821238</v>
      </c>
      <c r="CL63" s="39">
        <f t="shared" si="682"/>
        <v>0.50108168593808278</v>
      </c>
      <c r="CM63" s="40">
        <f t="shared" si="682"/>
        <v>0.45205372394817045</v>
      </c>
      <c r="CN63" s="40">
        <f t="shared" si="682"/>
        <v>0.41175278996598225</v>
      </c>
      <c r="CO63" s="40">
        <f t="shared" si="682"/>
        <v>0.37490339055127553</v>
      </c>
      <c r="CP63" s="40">
        <f t="shared" si="682"/>
        <v>0.34726928914271415</v>
      </c>
      <c r="CQ63" s="40">
        <f t="shared" si="682"/>
        <v>0.32581977701849835</v>
      </c>
      <c r="CR63" s="40">
        <f t="shared" si="682"/>
        <v>0.3064489459878626</v>
      </c>
      <c r="CS63" s="40">
        <f t="shared" si="682"/>
        <v>0.28935639478735731</v>
      </c>
      <c r="CT63" s="40">
        <f t="shared" si="682"/>
        <v>0.2748430629031306</v>
      </c>
      <c r="CU63" s="40">
        <f t="shared" si="682"/>
        <v>0.26163787525882543</v>
      </c>
      <c r="CV63" s="40">
        <f t="shared" si="682"/>
        <v>0.24972179431485864</v>
      </c>
      <c r="CW63" s="40">
        <f t="shared" si="682"/>
        <v>0.23901699396562742</v>
      </c>
      <c r="CX63" s="40">
        <f t="shared" ref="CX63:DB63" si="683">(SUM(CU57:CX57)-SUM(CU56:CX56))/CX129</f>
        <v>0.22938111585005924</v>
      </c>
      <c r="CY63" s="40">
        <f t="shared" si="683"/>
        <v>0.22056408660463761</v>
      </c>
      <c r="CZ63" s="40">
        <f t="shared" si="683"/>
        <v>0.21250419643385379</v>
      </c>
      <c r="DA63" s="40">
        <f t="shared" si="683"/>
        <v>0.2051230525735605</v>
      </c>
      <c r="DB63" s="40">
        <f t="shared" si="683"/>
        <v>0.19833559229556841</v>
      </c>
      <c r="DE63" s="122"/>
      <c r="DF63" s="38">
        <v>0.40238748973139099</v>
      </c>
    </row>
    <row r="64" spans="1:110" s="38" customFormat="1" x14ac:dyDescent="0.2">
      <c r="A64" s="38" t="s">
        <v>351</v>
      </c>
      <c r="B64" s="39" t="e">
        <f t="shared" ref="B64:AE64" si="684">+B43/B138</f>
        <v>#DIV/0!</v>
      </c>
      <c r="C64" s="39" t="e">
        <f t="shared" si="684"/>
        <v>#DIV/0!</v>
      </c>
      <c r="D64" s="39" t="e">
        <f t="shared" si="684"/>
        <v>#DIV/0!</v>
      </c>
      <c r="E64" s="39">
        <f t="shared" si="684"/>
        <v>-1.5308007671599249E-3</v>
      </c>
      <c r="F64" s="39">
        <f t="shared" si="684"/>
        <v>0.67713889382514314</v>
      </c>
      <c r="G64" s="39">
        <f t="shared" si="684"/>
        <v>0.54168006853263095</v>
      </c>
      <c r="H64" s="39">
        <f t="shared" si="684"/>
        <v>0.49104941658436707</v>
      </c>
      <c r="I64" s="39">
        <f t="shared" si="684"/>
        <v>0.3968438918650477</v>
      </c>
      <c r="J64" s="39">
        <f t="shared" si="684"/>
        <v>0.3521154944819101</v>
      </c>
      <c r="K64" s="39">
        <f t="shared" si="684"/>
        <v>0.41406150959661286</v>
      </c>
      <c r="L64" s="39">
        <f t="shared" si="684"/>
        <v>0.41148815909397712</v>
      </c>
      <c r="M64" s="39">
        <f t="shared" si="684"/>
        <v>0.431668734542559</v>
      </c>
      <c r="N64" s="39">
        <f t="shared" si="684"/>
        <v>0.42856586926895945</v>
      </c>
      <c r="O64" s="39">
        <f t="shared" si="684"/>
        <v>0.4740635486882171</v>
      </c>
      <c r="P64" s="39">
        <f t="shared" si="684"/>
        <v>0.43520576083523838</v>
      </c>
      <c r="Q64" s="39">
        <f t="shared" si="684"/>
        <v>0.40167708449603751</v>
      </c>
      <c r="R64" s="39">
        <f t="shared" si="684"/>
        <v>0.34907734634910037</v>
      </c>
      <c r="S64" s="39">
        <f t="shared" si="684"/>
        <v>0.35559648856919684</v>
      </c>
      <c r="T64" s="39">
        <f t="shared" si="684"/>
        <v>0.41649521225129843</v>
      </c>
      <c r="U64" s="39">
        <f t="shared" si="684"/>
        <v>0.45522661034348488</v>
      </c>
      <c r="V64" s="39">
        <f t="shared" si="684"/>
        <v>0.48768195802911329</v>
      </c>
      <c r="W64" s="39">
        <f t="shared" si="684"/>
        <v>0.53918927943369765</v>
      </c>
      <c r="X64" s="39">
        <f t="shared" si="684"/>
        <v>0.5928995899392584</v>
      </c>
      <c r="Y64" s="39">
        <f t="shared" si="684"/>
        <v>0.649492438594378</v>
      </c>
      <c r="Z64" s="39">
        <f t="shared" si="684"/>
        <v>0.6491004583851061</v>
      </c>
      <c r="AA64" s="39">
        <f t="shared" ref="AA64" si="685">+AA43/AA138</f>
        <v>0.61051088700012901</v>
      </c>
      <c r="AB64" s="40">
        <f t="shared" si="684"/>
        <v>0.43493287835248973</v>
      </c>
      <c r="AC64" s="40">
        <f t="shared" si="684"/>
        <v>0.33748877605072897</v>
      </c>
      <c r="AD64" s="40">
        <f t="shared" si="684"/>
        <v>0.27627353758055972</v>
      </c>
      <c r="AE64" s="40">
        <f t="shared" si="684"/>
        <v>0.23441994136603875</v>
      </c>
      <c r="AF64" s="39"/>
      <c r="AG64" s="39"/>
      <c r="AH64" s="39"/>
      <c r="AI64" s="39"/>
      <c r="AJ64" s="39"/>
      <c r="AK64" s="39"/>
      <c r="AL64" s="39">
        <f t="shared" ref="AL64:BQ64" si="686">+SUM(AI43:AL43)/AL138</f>
        <v>0.424575066165993</v>
      </c>
      <c r="AM64" s="39">
        <f t="shared" si="686"/>
        <v>0.40450903563229157</v>
      </c>
      <c r="AN64" s="39">
        <f t="shared" si="686"/>
        <v>0.42994653359075596</v>
      </c>
      <c r="AO64" s="39">
        <f t="shared" si="686"/>
        <v>0.42466709381524292</v>
      </c>
      <c r="AP64" s="39">
        <f t="shared" si="686"/>
        <v>0.46497684276004803</v>
      </c>
      <c r="AQ64" s="39">
        <f t="shared" si="686"/>
        <v>0.43991900910151643</v>
      </c>
      <c r="AR64" s="39">
        <f t="shared" si="686"/>
        <v>0.50136701696371644</v>
      </c>
      <c r="AS64" s="39">
        <f t="shared" si="686"/>
        <v>0.4573771992204439</v>
      </c>
      <c r="AT64" s="39">
        <f t="shared" si="686"/>
        <v>0.43568951459163852</v>
      </c>
      <c r="AU64" s="39">
        <f t="shared" si="686"/>
        <v>0.40643875082490971</v>
      </c>
      <c r="AV64" s="39">
        <f t="shared" si="686"/>
        <v>0.40255783885966834</v>
      </c>
      <c r="AW64" s="39">
        <f t="shared" si="686"/>
        <v>0.37612954056191505</v>
      </c>
      <c r="AX64" s="39">
        <f t="shared" si="686"/>
        <v>0.40195188696368483</v>
      </c>
      <c r="AY64" s="39">
        <f t="shared" si="686"/>
        <v>0.37705927636643571</v>
      </c>
      <c r="AZ64" s="39">
        <f t="shared" si="686"/>
        <v>0.38607364199781263</v>
      </c>
      <c r="BA64" s="39">
        <f t="shared" si="686"/>
        <v>0.36023306453542631</v>
      </c>
      <c r="BB64" s="39">
        <f t="shared" si="686"/>
        <v>0.34914969315264072</v>
      </c>
      <c r="BC64" s="39">
        <f t="shared" si="686"/>
        <v>0.32211517737833528</v>
      </c>
      <c r="BD64" s="39">
        <f t="shared" si="686"/>
        <v>0.39662916881981158</v>
      </c>
      <c r="BE64" s="39">
        <f t="shared" si="686"/>
        <v>0.36562522865295971</v>
      </c>
      <c r="BF64" s="39">
        <f t="shared" si="686"/>
        <v>0.35564624263977146</v>
      </c>
      <c r="BG64" s="39">
        <f t="shared" si="686"/>
        <v>0.34548090865152248</v>
      </c>
      <c r="BH64" s="39">
        <f t="shared" si="686"/>
        <v>0.44739280819682831</v>
      </c>
      <c r="BI64" s="39">
        <f t="shared" si="686"/>
        <v>0.42563739376770537</v>
      </c>
      <c r="BJ64" s="39">
        <f t="shared" si="686"/>
        <v>0.41657860487880843</v>
      </c>
      <c r="BK64" s="39">
        <f t="shared" si="686"/>
        <v>0.38857492604304805</v>
      </c>
      <c r="BL64" s="39">
        <f t="shared" si="686"/>
        <v>0.39433229732416625</v>
      </c>
      <c r="BM64" s="39">
        <f t="shared" si="686"/>
        <v>0.36741032244374355</v>
      </c>
      <c r="BN64" s="39">
        <f t="shared" si="686"/>
        <v>0.45522661034348488</v>
      </c>
      <c r="BO64" s="39">
        <f t="shared" si="686"/>
        <v>0.41858386826073213</v>
      </c>
      <c r="BP64" s="39">
        <f t="shared" si="686"/>
        <v>0.41307230488123203</v>
      </c>
      <c r="BQ64" s="39">
        <f t="shared" si="686"/>
        <v>0.39025230674987554</v>
      </c>
      <c r="BR64" s="39">
        <f t="shared" ref="BR64:CW64" si="687">+SUM(BO43:BR43)/BR138</f>
        <v>0.48768195802911329</v>
      </c>
      <c r="BS64" s="39">
        <f t="shared" si="687"/>
        <v>0.46840276332764574</v>
      </c>
      <c r="BT64" s="39">
        <f t="shared" si="687"/>
        <v>0.47636900006145905</v>
      </c>
      <c r="BU64" s="39">
        <f t="shared" si="687"/>
        <v>0.44284184552353462</v>
      </c>
      <c r="BV64" s="39">
        <f t="shared" si="687"/>
        <v>0.53928945083810076</v>
      </c>
      <c r="BW64" s="39">
        <f t="shared" si="687"/>
        <v>0.49384841528734241</v>
      </c>
      <c r="BX64" s="39">
        <f t="shared" si="687"/>
        <v>0.5129851598173516</v>
      </c>
      <c r="BY64" s="39">
        <f t="shared" si="687"/>
        <v>0.48070816277831824</v>
      </c>
      <c r="BZ64" s="39">
        <f t="shared" si="687"/>
        <v>0.59466482468258663</v>
      </c>
      <c r="CA64" s="39">
        <f t="shared" si="687"/>
        <v>0.54561986703167775</v>
      </c>
      <c r="CB64" s="39">
        <f t="shared" si="687"/>
        <v>0.56216226876503772</v>
      </c>
      <c r="CC64" s="39">
        <f t="shared" si="687"/>
        <v>0.51463501378145282</v>
      </c>
      <c r="CD64" s="39">
        <f t="shared" si="687"/>
        <v>0.649492438594378</v>
      </c>
      <c r="CE64" s="39">
        <f t="shared" si="687"/>
        <v>0.59015663851236955</v>
      </c>
      <c r="CF64" s="39">
        <f t="shared" si="687"/>
        <v>0.6053739390328472</v>
      </c>
      <c r="CG64" s="39">
        <f t="shared" si="687"/>
        <v>0.54444376671923878</v>
      </c>
      <c r="CH64" s="39">
        <f t="shared" si="687"/>
        <v>0.6491004583851061</v>
      </c>
      <c r="CI64" s="39">
        <f t="shared" si="687"/>
        <v>0.57344906063705303</v>
      </c>
      <c r="CJ64" s="39">
        <f t="shared" si="687"/>
        <v>0.58939522245279685</v>
      </c>
      <c r="CK64" s="39">
        <f t="shared" si="687"/>
        <v>0.54664826698725</v>
      </c>
      <c r="CL64" s="39">
        <f t="shared" si="687"/>
        <v>0.61614336547502724</v>
      </c>
      <c r="CM64" s="40">
        <f t="shared" si="687"/>
        <v>0.56307765851047964</v>
      </c>
      <c r="CN64" s="40">
        <f t="shared" si="687"/>
        <v>0.51417460740909371</v>
      </c>
      <c r="CO64" s="40">
        <f t="shared" si="687"/>
        <v>0.47324112448555977</v>
      </c>
      <c r="CP64" s="40">
        <f t="shared" si="687"/>
        <v>0.43493287835248945</v>
      </c>
      <c r="CQ64" s="40">
        <f t="shared" si="687"/>
        <v>0.40581503528835494</v>
      </c>
      <c r="CR64" s="40">
        <f t="shared" si="687"/>
        <v>0.38002431741379633</v>
      </c>
      <c r="CS64" s="40">
        <f t="shared" si="687"/>
        <v>0.35744347947636329</v>
      </c>
      <c r="CT64" s="40">
        <f t="shared" si="687"/>
        <v>0.3374887760507288</v>
      </c>
      <c r="CU64" s="40">
        <f t="shared" si="687"/>
        <v>0.31971673672893863</v>
      </c>
      <c r="CV64" s="40">
        <f t="shared" si="687"/>
        <v>0.30372498892228172</v>
      </c>
      <c r="CW64" s="40">
        <f t="shared" si="687"/>
        <v>0.28932090250448467</v>
      </c>
      <c r="CX64" s="40">
        <f t="shared" ref="CX64:DB64" si="688">+SUM(CU43:CX43)/CX138</f>
        <v>0.27627353758055967</v>
      </c>
      <c r="CY64" s="40">
        <f t="shared" si="688"/>
        <v>0.26439730278614193</v>
      </c>
      <c r="CZ64" s="40">
        <f t="shared" si="688"/>
        <v>0.25353868454405182</v>
      </c>
      <c r="DA64" s="40">
        <f t="shared" si="688"/>
        <v>0.24358234693339315</v>
      </c>
      <c r="DB64" s="40">
        <f t="shared" si="688"/>
        <v>0.23441994136603864</v>
      </c>
      <c r="DE64" s="122"/>
      <c r="DF64" s="38">
        <v>0.49270366061150755</v>
      </c>
    </row>
    <row r="65" spans="1:110" s="1" customFormat="1" x14ac:dyDescent="0.2">
      <c r="A65" s="150" t="s">
        <v>488</v>
      </c>
      <c r="AB65" s="20"/>
      <c r="AC65" s="20"/>
      <c r="AD65" s="20"/>
      <c r="AE65" s="20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E65" s="119"/>
      <c r="DF65" s="183"/>
    </row>
    <row r="66" spans="1:110" s="8" customFormat="1" x14ac:dyDescent="0.2">
      <c r="A66" s="12" t="s">
        <v>26</v>
      </c>
      <c r="AB66" s="58"/>
      <c r="AC66" s="58"/>
      <c r="AD66" s="58"/>
      <c r="AE66" s="58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  <c r="DB66" s="54"/>
      <c r="DE66" s="132"/>
      <c r="DF66" s="214"/>
    </row>
    <row r="67" spans="1:110" s="9" customFormat="1" x14ac:dyDescent="0.2">
      <c r="A67" s="9" t="s">
        <v>453</v>
      </c>
      <c r="N67" s="9">
        <f>N19-SUM(AI19:AL19)</f>
        <v>167.18000000000029</v>
      </c>
      <c r="O67" s="9">
        <f>O19-SUM(AM19:AP19)</f>
        <v>481.75</v>
      </c>
      <c r="P67" s="9">
        <f>P19-SUM(AQ19:AT19)</f>
        <v>0</v>
      </c>
      <c r="Q67" s="9">
        <f>Q19-SUM(AU19:AX19)</f>
        <v>0</v>
      </c>
      <c r="R67" s="9">
        <f>R19-SUM(AY19:BB19)</f>
        <v>0</v>
      </c>
      <c r="S67" s="9">
        <f>S19-SUM(BC19:BF19)</f>
        <v>0</v>
      </c>
      <c r="T67" s="9">
        <f>T19-SUM(BG19:BJ19)</f>
        <v>0</v>
      </c>
      <c r="U67" s="9">
        <f>U19-SUM(BK19:BN19)</f>
        <v>0</v>
      </c>
      <c r="V67" s="9">
        <f>V19-SUM(BO19:BR19)</f>
        <v>0</v>
      </c>
      <c r="W67" s="9">
        <f>W19-SUM(BS19:BV19)</f>
        <v>0</v>
      </c>
      <c r="X67" s="9">
        <f>X19-SUM(BW19:BZ19)</f>
        <v>0</v>
      </c>
      <c r="Y67" s="9">
        <f>Y19-SUM(CA19:CD19)</f>
        <v>0</v>
      </c>
      <c r="Z67" s="9">
        <f>Z19-SUM(CE19:CH19)</f>
        <v>0</v>
      </c>
      <c r="AA67" s="9">
        <f>AA19-SUM(CF19:CI19)</f>
        <v>10873</v>
      </c>
      <c r="AB67" s="15">
        <f>AB19-SUM(CM19:CP19)</f>
        <v>0</v>
      </c>
      <c r="AC67" s="15">
        <f>AC19-SUM(CQ19:CT19)</f>
        <v>0</v>
      </c>
      <c r="AD67" s="15">
        <f>AD19-SUM(CU19:CX19)</f>
        <v>0</v>
      </c>
      <c r="AE67" s="15">
        <f>AE19-SUM(CY19:DB19)</f>
        <v>0</v>
      </c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A67" s="59"/>
      <c r="DB67" s="59"/>
      <c r="DE67" s="133"/>
      <c r="DF67" s="9">
        <v>0</v>
      </c>
    </row>
    <row r="68" spans="1:110" s="9" customFormat="1" x14ac:dyDescent="0.2">
      <c r="A68" s="9" t="s">
        <v>454</v>
      </c>
      <c r="N68" s="9">
        <f>N25-SUM(AI25:AL25)</f>
        <v>12632.86</v>
      </c>
      <c r="O68" s="9">
        <f>O25-SUM(AM25:AP25)</f>
        <v>17056.539999999994</v>
      </c>
      <c r="P68" s="9">
        <f>P25-SUM(AQ25:AT25)</f>
        <v>19584.160000000003</v>
      </c>
      <c r="Q68" s="9">
        <f>Q25-SUM(AU25:AX25)</f>
        <v>0</v>
      </c>
      <c r="R68" s="9">
        <f>R25-SUM(AY25:BB25)</f>
        <v>612</v>
      </c>
      <c r="S68" s="9">
        <f>S25-SUM(BC25:BF25)</f>
        <v>2614</v>
      </c>
      <c r="T68" s="9">
        <f>T25-SUM(BG25:BJ25)</f>
        <v>2230</v>
      </c>
      <c r="U68" s="9">
        <f>U25-SUM(BK25:BN25)</f>
        <v>1888</v>
      </c>
      <c r="V68" s="9">
        <f>V25-SUM(BO25:BR25)</f>
        <v>1447</v>
      </c>
      <c r="W68" s="9">
        <f>W25-SUM(BS25:BV25)</f>
        <v>1137</v>
      </c>
      <c r="X68" s="9">
        <f>X25-SUM(BW25:BZ25)</f>
        <v>1846</v>
      </c>
      <c r="Y68" s="9">
        <f>Y25-SUM(CA25:CD25)</f>
        <v>3655</v>
      </c>
      <c r="Z68" s="9">
        <f>Z25-SUM(CE25:CH25)</f>
        <v>11600</v>
      </c>
      <c r="AA68" s="9">
        <f>AA25-SUM(CF25:CI25)</f>
        <v>21055</v>
      </c>
      <c r="AB68" s="15">
        <f>AB25-SUM(CM25:CP25)</f>
        <v>0</v>
      </c>
      <c r="AC68" s="15">
        <f>AC25-SUM(CQ25:CT25)</f>
        <v>0</v>
      </c>
      <c r="AD68" s="15">
        <f>AD25-SUM(CU25:CX25)</f>
        <v>0</v>
      </c>
      <c r="AE68" s="15">
        <f>AE25-SUM(CY25:DB25)</f>
        <v>0</v>
      </c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E68" s="133"/>
      <c r="DF68" s="9">
        <v>0</v>
      </c>
    </row>
    <row r="69" spans="1:110" s="9" customFormat="1" x14ac:dyDescent="0.2">
      <c r="A69" s="9" t="s">
        <v>455</v>
      </c>
      <c r="N69" s="9">
        <f>N37-SUM(AI37:AL37)</f>
        <v>166.95999999999913</v>
      </c>
      <c r="O69" s="9">
        <f>O37-SUM(AM37:AP37)</f>
        <v>475.91999999999462</v>
      </c>
      <c r="P69" s="9">
        <f>P37-SUM(AQ37:AT37)</f>
        <v>0</v>
      </c>
      <c r="Q69" s="9">
        <f>Q37-SUM(AU37:AX37)</f>
        <v>0</v>
      </c>
      <c r="R69" s="9">
        <f>R37-SUM(AY37:BB37)</f>
        <v>0</v>
      </c>
      <c r="S69" s="9">
        <f>S37-SUM(BC37:BF37)</f>
        <v>0</v>
      </c>
      <c r="T69" s="9">
        <f>T37-SUM(BG37:BJ37)</f>
        <v>0</v>
      </c>
      <c r="U69" s="9">
        <f>U37-SUM(BK37:BN37)</f>
        <v>0</v>
      </c>
      <c r="V69" s="9">
        <f>V37-SUM(BO37:BR37)</f>
        <v>0</v>
      </c>
      <c r="W69" s="9">
        <f>W37-SUM(BS37:BV37)</f>
        <v>-9</v>
      </c>
      <c r="X69" s="9">
        <f>X37-SUM(BW37:BZ37)</f>
        <v>-161</v>
      </c>
      <c r="Y69" s="9">
        <f>Y37-SUM(CA37:CD37)</f>
        <v>0</v>
      </c>
      <c r="Z69" s="9">
        <f>Z37-SUM(CE37:CH37)</f>
        <v>0</v>
      </c>
      <c r="AA69" s="9">
        <f>AA37-SUM(CF37:CI37)</f>
        <v>4167</v>
      </c>
      <c r="AB69" s="15">
        <f>AB37-SUM(CM37:CP37)</f>
        <v>0</v>
      </c>
      <c r="AC69" s="15">
        <f>AC37-SUM(CQ37:CT37)</f>
        <v>0</v>
      </c>
      <c r="AD69" s="15">
        <f>AD37-SUM(CU37:CX37)</f>
        <v>0</v>
      </c>
      <c r="AE69" s="15">
        <f>AE37-SUM(CY37:DB37)</f>
        <v>0</v>
      </c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E69" s="133"/>
      <c r="DF69" s="9">
        <v>0</v>
      </c>
    </row>
    <row r="70" spans="1:110" s="9" customFormat="1" x14ac:dyDescent="0.2">
      <c r="A70" s="9" t="s">
        <v>456</v>
      </c>
      <c r="N70" s="9">
        <f>N57-SUM(AI57:AL57)</f>
        <v>0</v>
      </c>
      <c r="O70" s="9">
        <f>O57-SUM(AM57:AP57)</f>
        <v>0</v>
      </c>
      <c r="P70" s="9">
        <f>P57-SUM(AQ57:AT57)</f>
        <v>0</v>
      </c>
      <c r="Q70" s="9">
        <f>Q57-SUM(AU57:AX57)</f>
        <v>0</v>
      </c>
      <c r="R70" s="9">
        <f>R57-SUM(AY57:BB57)</f>
        <v>0</v>
      </c>
      <c r="S70" s="9">
        <f>S57-SUM(BC57:BF57)</f>
        <v>0</v>
      </c>
      <c r="T70" s="9">
        <f>T57-SUM(BG57:BJ57)</f>
        <v>0</v>
      </c>
      <c r="U70" s="9">
        <f>U57-SUM(BK57:BN57)</f>
        <v>0</v>
      </c>
      <c r="V70" s="9">
        <f>V57-SUM(BO57:BR57)</f>
        <v>0</v>
      </c>
      <c r="W70" s="9">
        <f>W50-SUM(BS50:BV50)</f>
        <v>0</v>
      </c>
      <c r="X70" s="9">
        <f>X50-SUM(BW50:BZ50)</f>
        <v>0</v>
      </c>
      <c r="Y70" s="9">
        <f>Y50-SUM(CA50:CD50)</f>
        <v>0</v>
      </c>
      <c r="Z70" s="9">
        <f>Z50-SUM(CE50:CH50)</f>
        <v>0</v>
      </c>
      <c r="AA70" s="9">
        <f>AA50-SUM(CF50:CI50)</f>
        <v>4469</v>
      </c>
      <c r="AB70" s="15">
        <f>AB50-SUM(CM50:CP50)</f>
        <v>0</v>
      </c>
      <c r="AC70" s="15">
        <f>AC50-SUM(CQ50:CT50)</f>
        <v>0</v>
      </c>
      <c r="AD70" s="15">
        <f>AD50-SUM(CU50:CX50)</f>
        <v>0</v>
      </c>
      <c r="AE70" s="15">
        <f>AE50-SUM(CY50:DB50)</f>
        <v>0</v>
      </c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E70" s="133"/>
      <c r="DF70" s="9">
        <v>0</v>
      </c>
    </row>
    <row r="71" spans="1:110" s="8" customFormat="1" x14ac:dyDescent="0.2">
      <c r="A71" s="149" t="s">
        <v>489</v>
      </c>
      <c r="AB71" s="58"/>
      <c r="AC71" s="58"/>
      <c r="AD71" s="58"/>
      <c r="AE71" s="58"/>
      <c r="CM71" s="54"/>
      <c r="CN71" s="54"/>
      <c r="CO71" s="54"/>
      <c r="CP71" s="54"/>
      <c r="CQ71" s="54"/>
      <c r="CR71" s="54"/>
      <c r="CS71" s="54"/>
      <c r="CT71" s="54"/>
      <c r="CU71" s="54"/>
      <c r="CV71" s="54"/>
      <c r="CW71" s="54"/>
      <c r="CX71" s="54"/>
      <c r="CY71" s="54"/>
      <c r="CZ71" s="54"/>
      <c r="DA71" s="54"/>
      <c r="DB71" s="54"/>
      <c r="DE71" s="132"/>
      <c r="DF71" s="214"/>
    </row>
    <row r="72" spans="1:110" s="3" customFormat="1" x14ac:dyDescent="0.2">
      <c r="A72" s="3" t="s">
        <v>27</v>
      </c>
      <c r="B72" s="3">
        <f>'Annual Raw'!C104</f>
        <v>0</v>
      </c>
      <c r="C72" s="3">
        <f>'Annual Raw'!D104</f>
        <v>0</v>
      </c>
      <c r="D72" s="3">
        <f>'Annual Raw'!E104</f>
        <v>0</v>
      </c>
      <c r="E72" s="3">
        <f t="shared" ref="E72:Y72" ca="1" si="689">+F72</f>
        <v>0</v>
      </c>
      <c r="F72" s="3">
        <f t="shared" ca="1" si="689"/>
        <v>0</v>
      </c>
      <c r="G72" s="3">
        <f t="shared" ca="1" si="689"/>
        <v>0</v>
      </c>
      <c r="H72" s="3">
        <f t="shared" ca="1" si="689"/>
        <v>0</v>
      </c>
      <c r="I72" s="3">
        <f t="shared" ca="1" si="689"/>
        <v>0</v>
      </c>
      <c r="J72" s="3">
        <f t="shared" ca="1" si="689"/>
        <v>0</v>
      </c>
      <c r="K72" s="3">
        <f t="shared" ca="1" si="689"/>
        <v>0</v>
      </c>
      <c r="L72" s="3">
        <f t="shared" ca="1" si="689"/>
        <v>0</v>
      </c>
      <c r="M72" s="3">
        <f t="shared" ca="1" si="689"/>
        <v>0</v>
      </c>
      <c r="N72" s="3">
        <f t="shared" ca="1" si="689"/>
        <v>0</v>
      </c>
      <c r="O72" s="3">
        <f t="shared" ca="1" si="689"/>
        <v>0</v>
      </c>
      <c r="P72" s="3">
        <f t="shared" ca="1" si="689"/>
        <v>0</v>
      </c>
      <c r="Q72" s="3">
        <f t="shared" ca="1" si="689"/>
        <v>0</v>
      </c>
      <c r="R72" s="3">
        <f t="shared" ca="1" si="689"/>
        <v>0</v>
      </c>
      <c r="S72" s="3">
        <f t="shared" ca="1" si="689"/>
        <v>0</v>
      </c>
      <c r="T72" s="3">
        <f t="shared" ca="1" si="689"/>
        <v>0</v>
      </c>
      <c r="U72" s="3">
        <f t="shared" ca="1" si="689"/>
        <v>0</v>
      </c>
      <c r="V72" s="3">
        <f t="shared" ca="1" si="689"/>
        <v>0</v>
      </c>
      <c r="W72" s="3">
        <f t="shared" ca="1" si="689"/>
        <v>0</v>
      </c>
      <c r="X72" s="3">
        <f t="shared" ca="1" si="689"/>
        <v>0</v>
      </c>
      <c r="Y72" s="3">
        <f t="shared" ca="1" si="689"/>
        <v>0</v>
      </c>
      <c r="Z72" s="3">
        <f ca="1">+AA72</f>
        <v>0</v>
      </c>
      <c r="AA72" s="3">
        <f ca="1">+AB72</f>
        <v>0</v>
      </c>
      <c r="AB72" s="37">
        <f t="shared" ref="AB72:AB73" ca="1" si="690">AA72</f>
        <v>0</v>
      </c>
      <c r="AC72" s="37">
        <f t="shared" ref="AC72:AC73" ca="1" si="691">AB72</f>
        <v>0</v>
      </c>
      <c r="AD72" s="37">
        <f t="shared" ref="AD72:AD73" ca="1" si="692">AC72</f>
        <v>0</v>
      </c>
      <c r="AE72" s="37">
        <f t="shared" ref="AE72:AE73" ca="1" si="693">AD72</f>
        <v>0</v>
      </c>
      <c r="AI72" s="3">
        <f t="shared" ref="AI72:CJ73" si="694">+AJ72</f>
        <v>362</v>
      </c>
      <c r="AJ72" s="3">
        <f t="shared" si="694"/>
        <v>362</v>
      </c>
      <c r="AK72" s="3">
        <f t="shared" si="694"/>
        <v>362</v>
      </c>
      <c r="AL72" s="3">
        <f t="shared" si="694"/>
        <v>362</v>
      </c>
      <c r="AM72" s="3">
        <f t="shared" si="694"/>
        <v>362</v>
      </c>
      <c r="AN72" s="3">
        <f t="shared" si="694"/>
        <v>362</v>
      </c>
      <c r="AO72" s="3">
        <f t="shared" si="694"/>
        <v>362</v>
      </c>
      <c r="AP72" s="3">
        <f t="shared" si="694"/>
        <v>362</v>
      </c>
      <c r="AQ72" s="3">
        <f t="shared" si="694"/>
        <v>362</v>
      </c>
      <c r="AR72" s="3">
        <f t="shared" si="694"/>
        <v>362</v>
      </c>
      <c r="AS72" s="3">
        <f t="shared" si="694"/>
        <v>362</v>
      </c>
      <c r="AT72" s="3">
        <f t="shared" si="694"/>
        <v>362</v>
      </c>
      <c r="AU72" s="3">
        <f t="shared" si="694"/>
        <v>362</v>
      </c>
      <c r="AV72" s="3">
        <f t="shared" si="694"/>
        <v>362</v>
      </c>
      <c r="AW72" s="3">
        <f t="shared" si="694"/>
        <v>362</v>
      </c>
      <c r="AX72" s="3">
        <f t="shared" si="694"/>
        <v>362</v>
      </c>
      <c r="AY72" s="3">
        <f t="shared" si="694"/>
        <v>362</v>
      </c>
      <c r="AZ72" s="3">
        <f t="shared" si="694"/>
        <v>362</v>
      </c>
      <c r="BA72" s="3">
        <f t="shared" si="694"/>
        <v>362</v>
      </c>
      <c r="BB72" s="3">
        <f t="shared" si="694"/>
        <v>362</v>
      </c>
      <c r="BC72" s="3">
        <f t="shared" si="694"/>
        <v>362</v>
      </c>
      <c r="BD72" s="3">
        <f t="shared" si="694"/>
        <v>362</v>
      </c>
      <c r="BE72" s="3">
        <f t="shared" si="694"/>
        <v>362</v>
      </c>
      <c r="BF72" s="3">
        <f t="shared" si="694"/>
        <v>362</v>
      </c>
      <c r="BG72" s="3">
        <f t="shared" si="694"/>
        <v>362</v>
      </c>
      <c r="BH72" s="3">
        <f t="shared" si="694"/>
        <v>362</v>
      </c>
      <c r="BI72" s="3">
        <f t="shared" si="694"/>
        <v>362</v>
      </c>
      <c r="BJ72" s="3">
        <f t="shared" si="694"/>
        <v>362</v>
      </c>
      <c r="BK72" s="3">
        <f t="shared" si="694"/>
        <v>362</v>
      </c>
      <c r="BL72" s="3">
        <f t="shared" si="694"/>
        <v>362</v>
      </c>
      <c r="BM72" s="3">
        <f t="shared" si="694"/>
        <v>362</v>
      </c>
      <c r="BN72" s="3">
        <f t="shared" si="694"/>
        <v>362</v>
      </c>
      <c r="BO72" s="3">
        <f t="shared" si="694"/>
        <v>362</v>
      </c>
      <c r="BP72" s="3">
        <f t="shared" si="694"/>
        <v>362</v>
      </c>
      <c r="BQ72" s="3">
        <f t="shared" si="694"/>
        <v>362</v>
      </c>
      <c r="BR72" s="3">
        <f t="shared" si="694"/>
        <v>362</v>
      </c>
      <c r="BS72" s="3">
        <f t="shared" si="694"/>
        <v>362</v>
      </c>
      <c r="BT72" s="3">
        <f t="shared" si="694"/>
        <v>362</v>
      </c>
      <c r="BU72" s="3">
        <f t="shared" si="694"/>
        <v>362</v>
      </c>
      <c r="BV72" s="3">
        <f t="shared" si="694"/>
        <v>362</v>
      </c>
      <c r="BW72" s="3">
        <f t="shared" si="694"/>
        <v>362</v>
      </c>
      <c r="BX72" s="3">
        <f t="shared" si="694"/>
        <v>362</v>
      </c>
      <c r="BY72" s="3">
        <f t="shared" si="694"/>
        <v>362</v>
      </c>
      <c r="BZ72" s="3">
        <f t="shared" si="694"/>
        <v>362</v>
      </c>
      <c r="CA72" s="3">
        <f t="shared" si="694"/>
        <v>362</v>
      </c>
      <c r="CB72" s="3">
        <f t="shared" si="694"/>
        <v>362</v>
      </c>
      <c r="CC72" s="3">
        <f t="shared" si="694"/>
        <v>362</v>
      </c>
      <c r="CD72" s="3">
        <f t="shared" si="694"/>
        <v>362</v>
      </c>
      <c r="CE72" s="3">
        <f t="shared" si="694"/>
        <v>362</v>
      </c>
      <c r="CF72" s="3">
        <f t="shared" si="694"/>
        <v>362</v>
      </c>
      <c r="CG72" s="3">
        <f t="shared" si="694"/>
        <v>362</v>
      </c>
      <c r="CH72" s="3">
        <f t="shared" si="694"/>
        <v>362</v>
      </c>
      <c r="CI72" s="3">
        <f t="shared" si="694"/>
        <v>362</v>
      </c>
      <c r="CJ72" s="3">
        <f t="shared" si="694"/>
        <v>362</v>
      </c>
      <c r="CK72" s="3">
        <f>+CL72</f>
        <v>362</v>
      </c>
      <c r="CL72" s="3">
        <f>'QTR Raw'!BF45</f>
        <v>362</v>
      </c>
      <c r="CM72" s="37">
        <f t="shared" ref="CM72:CM73" si="695">+CL72</f>
        <v>362</v>
      </c>
      <c r="CN72" s="37">
        <f t="shared" ref="CN72:CN73" si="696">+CM72</f>
        <v>362</v>
      </c>
      <c r="CO72" s="37">
        <f t="shared" ref="CO72:CO73" si="697">+CN72</f>
        <v>362</v>
      </c>
      <c r="CP72" s="37">
        <f t="shared" ref="CP72:CP73" si="698">+CO72</f>
        <v>362</v>
      </c>
      <c r="CQ72" s="37">
        <f t="shared" ref="CQ72:CQ73" si="699">+CP72</f>
        <v>362</v>
      </c>
      <c r="CR72" s="37">
        <f t="shared" ref="CR72:CR73" si="700">+CQ72</f>
        <v>362</v>
      </c>
      <c r="CS72" s="37">
        <f t="shared" ref="CS72:CS73" si="701">+CR72</f>
        <v>362</v>
      </c>
      <c r="CT72" s="37">
        <f t="shared" ref="CT72:CT73" si="702">+CS72</f>
        <v>362</v>
      </c>
      <c r="CU72" s="37">
        <f t="shared" ref="CU72:CU73" si="703">+CT72</f>
        <v>362</v>
      </c>
      <c r="CV72" s="37">
        <f t="shared" ref="CV72:CV73" si="704">+CU72</f>
        <v>362</v>
      </c>
      <c r="CW72" s="37">
        <f t="shared" ref="CW72:CW73" si="705">+CV72</f>
        <v>362</v>
      </c>
      <c r="CX72" s="37">
        <f t="shared" ref="CX72:CX73" si="706">+CW72</f>
        <v>362</v>
      </c>
      <c r="CY72" s="37">
        <f t="shared" ref="CY72:CY73" si="707">+CX72</f>
        <v>362</v>
      </c>
      <c r="CZ72" s="37">
        <f t="shared" ref="CZ72:CZ73" si="708">+CY72</f>
        <v>362</v>
      </c>
      <c r="DA72" s="37">
        <f t="shared" ref="DA72:DA73" si="709">+CZ72</f>
        <v>362</v>
      </c>
      <c r="DB72" s="37">
        <f t="shared" ref="DB72:DB73" si="710">+DA72</f>
        <v>362</v>
      </c>
      <c r="DE72" s="134"/>
      <c r="DF72" s="3">
        <v>362</v>
      </c>
    </row>
    <row r="73" spans="1:110" s="3" customFormat="1" x14ac:dyDescent="0.2">
      <c r="A73" s="3" t="s">
        <v>28</v>
      </c>
      <c r="B73" s="3">
        <f>'Annual Raw'!C105</f>
        <v>0</v>
      </c>
      <c r="C73" s="3">
        <f>'Annual Raw'!D105</f>
        <v>0</v>
      </c>
      <c r="D73" s="3">
        <f>'Annual Raw'!E105</f>
        <v>0</v>
      </c>
      <c r="E73" s="3">
        <f t="shared" ref="E73:Y73" ca="1" si="711">+F73</f>
        <v>0</v>
      </c>
      <c r="F73" s="3">
        <f t="shared" ca="1" si="711"/>
        <v>0</v>
      </c>
      <c r="G73" s="3">
        <f t="shared" ca="1" si="711"/>
        <v>0</v>
      </c>
      <c r="H73" s="3">
        <f t="shared" ca="1" si="711"/>
        <v>0</v>
      </c>
      <c r="I73" s="3">
        <f t="shared" ca="1" si="711"/>
        <v>0</v>
      </c>
      <c r="J73" s="3">
        <f t="shared" ca="1" si="711"/>
        <v>0</v>
      </c>
      <c r="K73" s="3">
        <f t="shared" ca="1" si="711"/>
        <v>0</v>
      </c>
      <c r="L73" s="3">
        <f t="shared" ca="1" si="711"/>
        <v>0</v>
      </c>
      <c r="M73" s="3">
        <f t="shared" ca="1" si="711"/>
        <v>0</v>
      </c>
      <c r="N73" s="3">
        <f t="shared" ca="1" si="711"/>
        <v>0</v>
      </c>
      <c r="O73" s="3">
        <f t="shared" ca="1" si="711"/>
        <v>0</v>
      </c>
      <c r="P73" s="3">
        <f t="shared" ca="1" si="711"/>
        <v>0</v>
      </c>
      <c r="Q73" s="3">
        <f t="shared" ca="1" si="711"/>
        <v>0</v>
      </c>
      <c r="R73" s="3">
        <f t="shared" ca="1" si="711"/>
        <v>0</v>
      </c>
      <c r="S73" s="3">
        <f t="shared" ca="1" si="711"/>
        <v>0</v>
      </c>
      <c r="T73" s="3">
        <f t="shared" ca="1" si="711"/>
        <v>0</v>
      </c>
      <c r="U73" s="3">
        <f t="shared" ca="1" si="711"/>
        <v>0</v>
      </c>
      <c r="V73" s="3">
        <f t="shared" ca="1" si="711"/>
        <v>0</v>
      </c>
      <c r="W73" s="3">
        <f t="shared" ca="1" si="711"/>
        <v>0</v>
      </c>
      <c r="X73" s="3">
        <f t="shared" ca="1" si="711"/>
        <v>0</v>
      </c>
      <c r="Y73" s="3">
        <f t="shared" ca="1" si="711"/>
        <v>0</v>
      </c>
      <c r="Z73" s="3">
        <f ca="1">+AA73</f>
        <v>0</v>
      </c>
      <c r="AA73" s="3">
        <f ca="1">+AB73</f>
        <v>0</v>
      </c>
      <c r="AB73" s="37">
        <f t="shared" ca="1" si="690"/>
        <v>0</v>
      </c>
      <c r="AC73" s="37">
        <f t="shared" ca="1" si="691"/>
        <v>0</v>
      </c>
      <c r="AD73" s="37">
        <f t="shared" ca="1" si="692"/>
        <v>0</v>
      </c>
      <c r="AE73" s="37">
        <f t="shared" ca="1" si="693"/>
        <v>0</v>
      </c>
      <c r="AI73" s="3">
        <f t="shared" ref="AI73:CG73" si="712">AJ73</f>
        <v>1</v>
      </c>
      <c r="AJ73" s="3">
        <f t="shared" si="712"/>
        <v>1</v>
      </c>
      <c r="AK73" s="3">
        <f t="shared" si="712"/>
        <v>1</v>
      </c>
      <c r="AL73" s="3">
        <f t="shared" si="712"/>
        <v>1</v>
      </c>
      <c r="AM73" s="3">
        <f t="shared" si="712"/>
        <v>1</v>
      </c>
      <c r="AN73" s="3">
        <f t="shared" si="712"/>
        <v>1</v>
      </c>
      <c r="AO73" s="3">
        <f t="shared" si="712"/>
        <v>1</v>
      </c>
      <c r="AP73" s="3">
        <f t="shared" si="712"/>
        <v>1</v>
      </c>
      <c r="AQ73" s="3">
        <f t="shared" si="712"/>
        <v>1</v>
      </c>
      <c r="AR73" s="3">
        <f t="shared" si="712"/>
        <v>1</v>
      </c>
      <c r="AS73" s="3">
        <f t="shared" si="712"/>
        <v>1</v>
      </c>
      <c r="AT73" s="3">
        <f t="shared" si="712"/>
        <v>1</v>
      </c>
      <c r="AU73" s="3">
        <f t="shared" si="712"/>
        <v>1</v>
      </c>
      <c r="AV73" s="3">
        <f t="shared" si="712"/>
        <v>1</v>
      </c>
      <c r="AW73" s="3">
        <f t="shared" si="712"/>
        <v>1</v>
      </c>
      <c r="AX73" s="3">
        <f t="shared" si="712"/>
        <v>1</v>
      </c>
      <c r="AY73" s="3">
        <f t="shared" si="712"/>
        <v>1</v>
      </c>
      <c r="AZ73" s="3">
        <f t="shared" si="712"/>
        <v>1</v>
      </c>
      <c r="BA73" s="3">
        <f t="shared" si="712"/>
        <v>1</v>
      </c>
      <c r="BB73" s="3">
        <f t="shared" si="712"/>
        <v>1</v>
      </c>
      <c r="BC73" s="3">
        <f t="shared" si="712"/>
        <v>1</v>
      </c>
      <c r="BD73" s="3">
        <f t="shared" si="712"/>
        <v>1</v>
      </c>
      <c r="BE73" s="3">
        <f t="shared" si="712"/>
        <v>1</v>
      </c>
      <c r="BF73" s="3">
        <f t="shared" si="712"/>
        <v>1</v>
      </c>
      <c r="BG73" s="3">
        <f t="shared" si="712"/>
        <v>1</v>
      </c>
      <c r="BH73" s="3">
        <f t="shared" si="712"/>
        <v>1</v>
      </c>
      <c r="BI73" s="3">
        <f t="shared" si="712"/>
        <v>1</v>
      </c>
      <c r="BJ73" s="3">
        <f t="shared" si="712"/>
        <v>1</v>
      </c>
      <c r="BK73" s="3">
        <f t="shared" si="712"/>
        <v>1</v>
      </c>
      <c r="BL73" s="3">
        <f t="shared" si="712"/>
        <v>1</v>
      </c>
      <c r="BM73" s="3">
        <f t="shared" si="712"/>
        <v>1</v>
      </c>
      <c r="BN73" s="3">
        <f t="shared" si="712"/>
        <v>1</v>
      </c>
      <c r="BO73" s="3">
        <f t="shared" si="712"/>
        <v>1</v>
      </c>
      <c r="BP73" s="3">
        <f t="shared" si="712"/>
        <v>1</v>
      </c>
      <c r="BQ73" s="3">
        <f t="shared" si="712"/>
        <v>1</v>
      </c>
      <c r="BR73" s="3">
        <f t="shared" si="712"/>
        <v>1</v>
      </c>
      <c r="BS73" s="3">
        <f t="shared" si="712"/>
        <v>1</v>
      </c>
      <c r="BT73" s="3">
        <f t="shared" si="712"/>
        <v>1</v>
      </c>
      <c r="BU73" s="3">
        <f t="shared" si="712"/>
        <v>1</v>
      </c>
      <c r="BV73" s="3">
        <f t="shared" si="712"/>
        <v>1</v>
      </c>
      <c r="BW73" s="3">
        <f t="shared" si="712"/>
        <v>1</v>
      </c>
      <c r="BX73" s="3">
        <f t="shared" si="712"/>
        <v>1</v>
      </c>
      <c r="BY73" s="3">
        <f t="shared" si="712"/>
        <v>1</v>
      </c>
      <c r="BZ73" s="3">
        <f t="shared" si="712"/>
        <v>1</v>
      </c>
      <c r="CA73" s="3">
        <f t="shared" si="712"/>
        <v>1</v>
      </c>
      <c r="CB73" s="3">
        <f t="shared" si="712"/>
        <v>1</v>
      </c>
      <c r="CC73" s="3">
        <f t="shared" si="712"/>
        <v>1</v>
      </c>
      <c r="CD73" s="3">
        <f t="shared" si="712"/>
        <v>1</v>
      </c>
      <c r="CE73" s="3">
        <f t="shared" si="712"/>
        <v>1</v>
      </c>
      <c r="CF73" s="3">
        <f t="shared" si="712"/>
        <v>1</v>
      </c>
      <c r="CG73" s="3">
        <f t="shared" si="712"/>
        <v>1</v>
      </c>
      <c r="CH73" s="3">
        <f t="shared" si="694"/>
        <v>1</v>
      </c>
      <c r="CI73" s="3">
        <f t="shared" si="694"/>
        <v>1</v>
      </c>
      <c r="CJ73" s="3">
        <f t="shared" si="694"/>
        <v>1</v>
      </c>
      <c r="CK73" s="3">
        <f>+CL73</f>
        <v>1</v>
      </c>
      <c r="CL73" s="3">
        <f>'QTR Raw'!BF46</f>
        <v>1</v>
      </c>
      <c r="CM73" s="37">
        <f t="shared" si="695"/>
        <v>1</v>
      </c>
      <c r="CN73" s="37">
        <f t="shared" si="696"/>
        <v>1</v>
      </c>
      <c r="CO73" s="37">
        <f t="shared" si="697"/>
        <v>1</v>
      </c>
      <c r="CP73" s="37">
        <f t="shared" si="698"/>
        <v>1</v>
      </c>
      <c r="CQ73" s="37">
        <f t="shared" si="699"/>
        <v>1</v>
      </c>
      <c r="CR73" s="37">
        <f t="shared" si="700"/>
        <v>1</v>
      </c>
      <c r="CS73" s="37">
        <f t="shared" si="701"/>
        <v>1</v>
      </c>
      <c r="CT73" s="37">
        <f t="shared" si="702"/>
        <v>1</v>
      </c>
      <c r="CU73" s="37">
        <f t="shared" si="703"/>
        <v>1</v>
      </c>
      <c r="CV73" s="37">
        <f t="shared" si="704"/>
        <v>1</v>
      </c>
      <c r="CW73" s="37">
        <f t="shared" si="705"/>
        <v>1</v>
      </c>
      <c r="CX73" s="37">
        <f t="shared" si="706"/>
        <v>1</v>
      </c>
      <c r="CY73" s="37">
        <f t="shared" si="707"/>
        <v>1</v>
      </c>
      <c r="CZ73" s="37">
        <f t="shared" si="708"/>
        <v>1</v>
      </c>
      <c r="DA73" s="37">
        <f t="shared" si="709"/>
        <v>1</v>
      </c>
      <c r="DB73" s="37">
        <f t="shared" si="710"/>
        <v>1</v>
      </c>
      <c r="DE73" s="134"/>
      <c r="DF73" s="3">
        <v>1</v>
      </c>
    </row>
    <row r="74" spans="1:110" s="3" customFormat="1" x14ac:dyDescent="0.2">
      <c r="A74" s="3" t="s">
        <v>29</v>
      </c>
      <c r="B74" s="3" t="e">
        <f>B72/B73</f>
        <v>#DIV/0!</v>
      </c>
      <c r="C74" s="3" t="e">
        <f t="shared" ref="C74:W74" si="713">C72/C73</f>
        <v>#DIV/0!</v>
      </c>
      <c r="D74" s="3" t="e">
        <f t="shared" si="713"/>
        <v>#DIV/0!</v>
      </c>
      <c r="E74" s="3" t="e">
        <f t="shared" ca="1" si="713"/>
        <v>#DIV/0!</v>
      </c>
      <c r="F74" s="3" t="e">
        <f t="shared" ca="1" si="713"/>
        <v>#DIV/0!</v>
      </c>
      <c r="G74" s="3" t="e">
        <f t="shared" ca="1" si="713"/>
        <v>#DIV/0!</v>
      </c>
      <c r="H74" s="3" t="e">
        <f t="shared" ca="1" si="713"/>
        <v>#DIV/0!</v>
      </c>
      <c r="I74" s="3" t="e">
        <f t="shared" ca="1" si="713"/>
        <v>#DIV/0!</v>
      </c>
      <c r="J74" s="3" t="e">
        <f t="shared" ca="1" si="713"/>
        <v>#DIV/0!</v>
      </c>
      <c r="K74" s="3" t="e">
        <f t="shared" ca="1" si="713"/>
        <v>#DIV/0!</v>
      </c>
      <c r="L74" s="3" t="e">
        <f t="shared" ca="1" si="713"/>
        <v>#DIV/0!</v>
      </c>
      <c r="M74" s="3" t="e">
        <f t="shared" ca="1" si="713"/>
        <v>#DIV/0!</v>
      </c>
      <c r="N74" s="3" t="e">
        <f t="shared" ca="1" si="713"/>
        <v>#DIV/0!</v>
      </c>
      <c r="O74" s="3" t="e">
        <f t="shared" ca="1" si="713"/>
        <v>#DIV/0!</v>
      </c>
      <c r="P74" s="3" t="e">
        <f t="shared" ca="1" si="713"/>
        <v>#DIV/0!</v>
      </c>
      <c r="Q74" s="3" t="e">
        <f t="shared" ca="1" si="713"/>
        <v>#DIV/0!</v>
      </c>
      <c r="R74" s="3" t="e">
        <f t="shared" ca="1" si="713"/>
        <v>#DIV/0!</v>
      </c>
      <c r="S74" s="3" t="e">
        <f t="shared" ca="1" si="713"/>
        <v>#DIV/0!</v>
      </c>
      <c r="T74" s="3" t="e">
        <f t="shared" ca="1" si="713"/>
        <v>#DIV/0!</v>
      </c>
      <c r="U74" s="3" t="e">
        <f t="shared" ca="1" si="713"/>
        <v>#DIV/0!</v>
      </c>
      <c r="V74" s="3" t="e">
        <f ca="1">V72/V73</f>
        <v>#DIV/0!</v>
      </c>
      <c r="W74" s="3" t="e">
        <f t="shared" ca="1" si="713"/>
        <v>#DIV/0!</v>
      </c>
      <c r="X74" s="3" t="e">
        <f t="shared" ref="X74:Y74" ca="1" si="714">X72/X73</f>
        <v>#DIV/0!</v>
      </c>
      <c r="Y74" s="3" t="e">
        <f t="shared" ca="1" si="714"/>
        <v>#DIV/0!</v>
      </c>
      <c r="Z74" s="3" t="e">
        <f t="shared" ref="Z74:AA74" ca="1" si="715">Z72/Z73</f>
        <v>#DIV/0!</v>
      </c>
      <c r="AA74" s="3" t="e">
        <f t="shared" ca="1" si="715"/>
        <v>#DIV/0!</v>
      </c>
      <c r="AB74" s="37" t="e">
        <f t="shared" ref="AA74:AD74" ca="1" si="716">AB72/AB73</f>
        <v>#DIV/0!</v>
      </c>
      <c r="AC74" s="37" t="e">
        <f t="shared" ca="1" si="716"/>
        <v>#DIV/0!</v>
      </c>
      <c r="AD74" s="37" t="e">
        <f t="shared" ca="1" si="716"/>
        <v>#DIV/0!</v>
      </c>
      <c r="AE74" s="37" t="e">
        <f t="shared" ref="AE74" ca="1" si="717">AE72/AE73</f>
        <v>#DIV/0!</v>
      </c>
      <c r="AI74" s="3">
        <f t="shared" ref="AI74" si="718">AI72/AI73</f>
        <v>362</v>
      </c>
      <c r="AJ74" s="3">
        <f t="shared" ref="AJ74" si="719">AJ72/AJ73</f>
        <v>362</v>
      </c>
      <c r="AK74" s="3">
        <f t="shared" ref="AK74:AM74" si="720">AK72/AK73</f>
        <v>362</v>
      </c>
      <c r="AL74" s="3">
        <f t="shared" si="720"/>
        <v>362</v>
      </c>
      <c r="AM74" s="3">
        <f t="shared" si="720"/>
        <v>362</v>
      </c>
      <c r="AN74" s="3">
        <f t="shared" ref="AN74:AO74" si="721">AN72/AN73</f>
        <v>362</v>
      </c>
      <c r="AO74" s="3">
        <f t="shared" si="721"/>
        <v>362</v>
      </c>
      <c r="AP74" s="3">
        <f t="shared" ref="AP74:CD74" si="722">AP72/AP73</f>
        <v>362</v>
      </c>
      <c r="AQ74" s="3">
        <f t="shared" si="722"/>
        <v>362</v>
      </c>
      <c r="AR74" s="3">
        <f t="shared" si="722"/>
        <v>362</v>
      </c>
      <c r="AS74" s="3">
        <f t="shared" si="722"/>
        <v>362</v>
      </c>
      <c r="AT74" s="3">
        <f t="shared" si="722"/>
        <v>362</v>
      </c>
      <c r="AU74" s="3">
        <f t="shared" si="722"/>
        <v>362</v>
      </c>
      <c r="AV74" s="3">
        <f t="shared" si="722"/>
        <v>362</v>
      </c>
      <c r="AW74" s="3">
        <f t="shared" si="722"/>
        <v>362</v>
      </c>
      <c r="AX74" s="3">
        <f t="shared" si="722"/>
        <v>362</v>
      </c>
      <c r="AY74" s="3">
        <f t="shared" si="722"/>
        <v>362</v>
      </c>
      <c r="AZ74" s="3">
        <f t="shared" si="722"/>
        <v>362</v>
      </c>
      <c r="BA74" s="3">
        <f t="shared" si="722"/>
        <v>362</v>
      </c>
      <c r="BB74" s="3">
        <f t="shared" si="722"/>
        <v>362</v>
      </c>
      <c r="BC74" s="3">
        <f t="shared" si="722"/>
        <v>362</v>
      </c>
      <c r="BD74" s="3">
        <f t="shared" si="722"/>
        <v>362</v>
      </c>
      <c r="BE74" s="3">
        <f t="shared" si="722"/>
        <v>362</v>
      </c>
      <c r="BF74" s="3">
        <f t="shared" si="722"/>
        <v>362</v>
      </c>
      <c r="BG74" s="3">
        <f t="shared" si="722"/>
        <v>362</v>
      </c>
      <c r="BH74" s="3">
        <f t="shared" si="722"/>
        <v>362</v>
      </c>
      <c r="BI74" s="3">
        <f t="shared" si="722"/>
        <v>362</v>
      </c>
      <c r="BJ74" s="3">
        <f t="shared" si="722"/>
        <v>362</v>
      </c>
      <c r="BK74" s="3">
        <f t="shared" si="722"/>
        <v>362</v>
      </c>
      <c r="BL74" s="3">
        <f t="shared" si="722"/>
        <v>362</v>
      </c>
      <c r="BM74" s="3">
        <f t="shared" si="722"/>
        <v>362</v>
      </c>
      <c r="BN74" s="3">
        <f t="shared" si="722"/>
        <v>362</v>
      </c>
      <c r="BO74" s="3">
        <f t="shared" si="722"/>
        <v>362</v>
      </c>
      <c r="BP74" s="3">
        <f t="shared" si="722"/>
        <v>362</v>
      </c>
      <c r="BQ74" s="3">
        <f t="shared" si="722"/>
        <v>362</v>
      </c>
      <c r="BR74" s="3">
        <f t="shared" si="722"/>
        <v>362</v>
      </c>
      <c r="BS74" s="3">
        <f t="shared" si="722"/>
        <v>362</v>
      </c>
      <c r="BT74" s="3">
        <f t="shared" si="722"/>
        <v>362</v>
      </c>
      <c r="BU74" s="3">
        <f t="shared" si="722"/>
        <v>362</v>
      </c>
      <c r="BV74" s="3">
        <f t="shared" si="722"/>
        <v>362</v>
      </c>
      <c r="BW74" s="3">
        <f t="shared" si="722"/>
        <v>362</v>
      </c>
      <c r="BX74" s="3">
        <f t="shared" si="722"/>
        <v>362</v>
      </c>
      <c r="BY74" s="3">
        <f t="shared" si="722"/>
        <v>362</v>
      </c>
      <c r="BZ74" s="3">
        <f t="shared" si="722"/>
        <v>362</v>
      </c>
      <c r="CA74" s="3">
        <f t="shared" si="722"/>
        <v>362</v>
      </c>
      <c r="CB74" s="3">
        <f t="shared" si="722"/>
        <v>362</v>
      </c>
      <c r="CC74" s="3">
        <f t="shared" si="722"/>
        <v>362</v>
      </c>
      <c r="CD74" s="3">
        <f t="shared" si="722"/>
        <v>362</v>
      </c>
      <c r="CE74" s="3">
        <f t="shared" ref="CE74:CF74" si="723">CE72/CE73</f>
        <v>362</v>
      </c>
      <c r="CF74" s="3">
        <f t="shared" si="723"/>
        <v>362</v>
      </c>
      <c r="CG74" s="3">
        <f t="shared" ref="CG74:CH74" si="724">CG72/CG73</f>
        <v>362</v>
      </c>
      <c r="CH74" s="3">
        <f t="shared" si="724"/>
        <v>362</v>
      </c>
      <c r="CI74" s="3">
        <f t="shared" ref="CI74:CJ74" si="725">CI72/CI73</f>
        <v>362</v>
      </c>
      <c r="CJ74" s="3">
        <f t="shared" si="725"/>
        <v>362</v>
      </c>
      <c r="CK74" s="3">
        <f t="shared" ref="CK74" si="726">CK72/CK73</f>
        <v>362</v>
      </c>
      <c r="CL74" s="3">
        <f t="shared" ref="CL74" si="727">CL72/CL73</f>
        <v>362</v>
      </c>
      <c r="CM74" s="37">
        <f t="shared" ref="CM74:DB74" si="728">CM72/CM73</f>
        <v>362</v>
      </c>
      <c r="CN74" s="37">
        <f t="shared" si="728"/>
        <v>362</v>
      </c>
      <c r="CO74" s="37">
        <f t="shared" si="728"/>
        <v>362</v>
      </c>
      <c r="CP74" s="37">
        <f t="shared" si="728"/>
        <v>362</v>
      </c>
      <c r="CQ74" s="37">
        <f t="shared" si="728"/>
        <v>362</v>
      </c>
      <c r="CR74" s="37">
        <f t="shared" si="728"/>
        <v>362</v>
      </c>
      <c r="CS74" s="37">
        <f t="shared" si="728"/>
        <v>362</v>
      </c>
      <c r="CT74" s="37">
        <f t="shared" si="728"/>
        <v>362</v>
      </c>
      <c r="CU74" s="37">
        <f t="shared" si="728"/>
        <v>362</v>
      </c>
      <c r="CV74" s="37">
        <f t="shared" si="728"/>
        <v>362</v>
      </c>
      <c r="CW74" s="37">
        <f t="shared" si="728"/>
        <v>362</v>
      </c>
      <c r="CX74" s="37">
        <f t="shared" si="728"/>
        <v>362</v>
      </c>
      <c r="CY74" s="37">
        <f t="shared" si="728"/>
        <v>362</v>
      </c>
      <c r="CZ74" s="37">
        <f t="shared" si="728"/>
        <v>362</v>
      </c>
      <c r="DA74" s="37">
        <f t="shared" si="728"/>
        <v>362</v>
      </c>
      <c r="DB74" s="37">
        <f t="shared" si="728"/>
        <v>362</v>
      </c>
      <c r="DE74" s="134"/>
      <c r="DF74" s="3">
        <v>362</v>
      </c>
    </row>
    <row r="75" spans="1:110" s="53" customFormat="1" x14ac:dyDescent="0.2">
      <c r="A75" s="53" t="s">
        <v>30</v>
      </c>
      <c r="B75" s="53" t="e">
        <f t="shared" ref="B75:AE75" si="729">(B57-B56)/B74</f>
        <v>#DIV/0!</v>
      </c>
      <c r="C75" s="53" t="e">
        <f t="shared" si="729"/>
        <v>#DIV/0!</v>
      </c>
      <c r="D75" s="53" t="e">
        <f t="shared" si="729"/>
        <v>#DIV/0!</v>
      </c>
      <c r="E75" s="53" t="e">
        <f t="shared" ca="1" si="729"/>
        <v>#DIV/0!</v>
      </c>
      <c r="F75" s="53" t="e">
        <f t="shared" ca="1" si="729"/>
        <v>#DIV/0!</v>
      </c>
      <c r="G75" s="53" t="e">
        <f t="shared" ca="1" si="729"/>
        <v>#DIV/0!</v>
      </c>
      <c r="H75" s="53" t="e">
        <f t="shared" ca="1" si="729"/>
        <v>#DIV/0!</v>
      </c>
      <c r="I75" s="53" t="e">
        <f t="shared" ca="1" si="729"/>
        <v>#DIV/0!</v>
      </c>
      <c r="J75" s="53" t="e">
        <f t="shared" ca="1" si="729"/>
        <v>#DIV/0!</v>
      </c>
      <c r="K75" s="53" t="e">
        <f t="shared" ca="1" si="729"/>
        <v>#DIV/0!</v>
      </c>
      <c r="L75" s="53" t="e">
        <f t="shared" ca="1" si="729"/>
        <v>#DIV/0!</v>
      </c>
      <c r="M75" s="53" t="e">
        <f t="shared" ca="1" si="729"/>
        <v>#DIV/0!</v>
      </c>
      <c r="N75" s="53" t="e">
        <f t="shared" ca="1" si="729"/>
        <v>#DIV/0!</v>
      </c>
      <c r="O75" s="53" t="e">
        <f t="shared" ca="1" si="729"/>
        <v>#DIV/0!</v>
      </c>
      <c r="P75" s="53" t="e">
        <f t="shared" ca="1" si="729"/>
        <v>#DIV/0!</v>
      </c>
      <c r="Q75" s="53" t="e">
        <f t="shared" ca="1" si="729"/>
        <v>#DIV/0!</v>
      </c>
      <c r="R75" s="53" t="e">
        <f t="shared" ca="1" si="729"/>
        <v>#DIV/0!</v>
      </c>
      <c r="S75" s="53" t="e">
        <f t="shared" ca="1" si="729"/>
        <v>#DIV/0!</v>
      </c>
      <c r="T75" s="53" t="e">
        <f t="shared" ca="1" si="729"/>
        <v>#DIV/0!</v>
      </c>
      <c r="U75" s="53" t="e">
        <f t="shared" ca="1" si="729"/>
        <v>#DIV/0!</v>
      </c>
      <c r="V75" s="53" t="e">
        <f t="shared" ca="1" si="729"/>
        <v>#DIV/0!</v>
      </c>
      <c r="W75" s="53" t="e">
        <f t="shared" ca="1" si="729"/>
        <v>#DIV/0!</v>
      </c>
      <c r="X75" s="53" t="e">
        <f t="shared" ca="1" si="729"/>
        <v>#DIV/0!</v>
      </c>
      <c r="Y75" s="53" t="e">
        <f t="shared" ca="1" si="729"/>
        <v>#DIV/0!</v>
      </c>
      <c r="Z75" s="53" t="e">
        <f t="shared" ca="1" si="729"/>
        <v>#DIV/0!</v>
      </c>
      <c r="AA75" s="53" t="e">
        <f t="shared" ref="AA75" ca="1" si="730">(AA57-AA56)/AA74</f>
        <v>#DIV/0!</v>
      </c>
      <c r="AB75" s="54" t="e">
        <f t="shared" ca="1" si="729"/>
        <v>#DIV/0!</v>
      </c>
      <c r="AC75" s="54" t="e">
        <f t="shared" ca="1" si="729"/>
        <v>#DIV/0!</v>
      </c>
      <c r="AD75" s="54" t="e">
        <f t="shared" ca="1" si="729"/>
        <v>#DIV/0!</v>
      </c>
      <c r="AE75" s="54" t="e">
        <f t="shared" ca="1" si="729"/>
        <v>#DIV/0!</v>
      </c>
      <c r="AI75" s="53">
        <f t="shared" ref="AI75:BN75" si="731">(AI57-AI56)/AI74</f>
        <v>9.1648618784530385</v>
      </c>
      <c r="AJ75" s="53">
        <f t="shared" si="731"/>
        <v>9.4872099447513811</v>
      </c>
      <c r="AK75" s="53">
        <f t="shared" si="731"/>
        <v>9.8055801104972424</v>
      </c>
      <c r="AL75" s="53">
        <f t="shared" si="731"/>
        <v>9.9879558011049703</v>
      </c>
      <c r="AM75" s="53">
        <f t="shared" si="731"/>
        <v>10.606353591160223</v>
      </c>
      <c r="AN75" s="53">
        <f t="shared" si="731"/>
        <v>12.799254143646412</v>
      </c>
      <c r="AO75" s="53">
        <f t="shared" si="731"/>
        <v>14.733232044198893</v>
      </c>
      <c r="AP75" s="53">
        <f t="shared" si="731"/>
        <v>14.800027624309401</v>
      </c>
      <c r="AQ75" s="53">
        <f t="shared" si="731"/>
        <v>14.027430939226518</v>
      </c>
      <c r="AR75" s="53">
        <f t="shared" si="731"/>
        <v>14.486961325966847</v>
      </c>
      <c r="AS75" s="53">
        <f t="shared" si="731"/>
        <v>14.716988950276241</v>
      </c>
      <c r="AT75" s="53">
        <f t="shared" si="731"/>
        <v>10.25599447513812</v>
      </c>
      <c r="AU75" s="53">
        <f t="shared" si="731"/>
        <v>15.875690607734807</v>
      </c>
      <c r="AV75" s="53">
        <f t="shared" si="731"/>
        <v>16.776243093922652</v>
      </c>
      <c r="AW75" s="53">
        <f t="shared" si="731"/>
        <v>16.878453038674031</v>
      </c>
      <c r="AX75" s="53">
        <f t="shared" si="731"/>
        <v>17.513812154696133</v>
      </c>
      <c r="AY75" s="53">
        <f t="shared" si="731"/>
        <v>17.450276243093924</v>
      </c>
      <c r="AZ75" s="53">
        <f t="shared" si="731"/>
        <v>18.193370165745858</v>
      </c>
      <c r="BA75" s="53">
        <f t="shared" si="731"/>
        <v>18.723756906077348</v>
      </c>
      <c r="BB75" s="53">
        <f t="shared" si="731"/>
        <v>18.254143646408838</v>
      </c>
      <c r="BC75" s="53">
        <f t="shared" si="731"/>
        <v>16.422651933701658</v>
      </c>
      <c r="BD75" s="53">
        <f t="shared" si="731"/>
        <v>17.806629834254142</v>
      </c>
      <c r="BE75" s="53">
        <f t="shared" si="731"/>
        <v>18.041436464088399</v>
      </c>
      <c r="BF75" s="53">
        <f t="shared" si="731"/>
        <v>19.071823204419889</v>
      </c>
      <c r="BG75" s="53">
        <f t="shared" si="731"/>
        <v>20.276243093922652</v>
      </c>
      <c r="BH75" s="53">
        <f t="shared" si="731"/>
        <v>21.825966850828728</v>
      </c>
      <c r="BI75" s="53">
        <f t="shared" si="731"/>
        <v>22.38950276243094</v>
      </c>
      <c r="BJ75" s="53">
        <f t="shared" si="731"/>
        <v>22.447513812154696</v>
      </c>
      <c r="BK75" s="53">
        <f t="shared" si="731"/>
        <v>22.461325966850829</v>
      </c>
      <c r="BL75" s="53">
        <f t="shared" si="731"/>
        <v>22.215469613259668</v>
      </c>
      <c r="BM75" s="53">
        <f t="shared" si="731"/>
        <v>22.425414364640883</v>
      </c>
      <c r="BN75" s="53">
        <f t="shared" si="731"/>
        <v>22.234806629834253</v>
      </c>
      <c r="BO75" s="53">
        <f t="shared" ref="BO75:CT75" si="732">(BO57-BO56)/BO74</f>
        <v>19.359116022099446</v>
      </c>
      <c r="BP75" s="53">
        <f t="shared" si="732"/>
        <v>24.013812154696133</v>
      </c>
      <c r="BQ75" s="53">
        <f t="shared" si="732"/>
        <v>24.035911602209946</v>
      </c>
      <c r="BR75" s="53">
        <f t="shared" si="732"/>
        <v>25.541436464088399</v>
      </c>
      <c r="BS75" s="53">
        <f t="shared" si="732"/>
        <v>24.883977900552487</v>
      </c>
      <c r="BT75" s="53">
        <f t="shared" si="732"/>
        <v>26.585635359116022</v>
      </c>
      <c r="BU75" s="53">
        <f t="shared" si="732"/>
        <v>26.986187845303867</v>
      </c>
      <c r="BV75" s="53">
        <f t="shared" si="732"/>
        <v>27.41988950276243</v>
      </c>
      <c r="BW75" s="53">
        <f t="shared" si="732"/>
        <v>26.182320441988949</v>
      </c>
      <c r="BX75" s="53">
        <f t="shared" si="732"/>
        <v>28.814917127071823</v>
      </c>
      <c r="BY75" s="53">
        <f t="shared" si="732"/>
        <v>29.961325966850829</v>
      </c>
      <c r="BZ75" s="53">
        <f t="shared" si="732"/>
        <v>31.46961325966851</v>
      </c>
      <c r="CA75" s="53">
        <f t="shared" si="732"/>
        <v>30.591160220994475</v>
      </c>
      <c r="CB75" s="53">
        <f t="shared" si="732"/>
        <v>31.331491712707184</v>
      </c>
      <c r="CC75" s="53">
        <f t="shared" si="732"/>
        <v>33.193370165745854</v>
      </c>
      <c r="CD75" s="53">
        <f t="shared" si="732"/>
        <v>34.348066298342545</v>
      </c>
      <c r="CE75" s="53">
        <f t="shared" si="732"/>
        <v>33.259668508287291</v>
      </c>
      <c r="CF75" s="53">
        <f t="shared" si="732"/>
        <v>32.89779005524862</v>
      </c>
      <c r="CG75" s="53">
        <f t="shared" si="732"/>
        <v>34.19889502762431</v>
      </c>
      <c r="CH75" s="53">
        <f t="shared" si="732"/>
        <v>33.767955801104975</v>
      </c>
      <c r="CI75" s="53">
        <f t="shared" si="732"/>
        <v>35.248618784530386</v>
      </c>
      <c r="CJ75" s="53">
        <f t="shared" si="732"/>
        <v>36.491712707182323</v>
      </c>
      <c r="CK75" s="53">
        <f t="shared" ref="CK75" si="733">(CK57-CK56)/CK74</f>
        <v>38.806629834254146</v>
      </c>
      <c r="CL75" s="53">
        <f t="shared" si="732"/>
        <v>37.895027624309392</v>
      </c>
      <c r="CM75" s="54">
        <f t="shared" si="732"/>
        <v>37.821999239130292</v>
      </c>
      <c r="CN75" s="54">
        <f t="shared" si="732"/>
        <v>39.147788632238608</v>
      </c>
      <c r="CO75" s="54">
        <f t="shared" si="732"/>
        <v>40.080139465814312</v>
      </c>
      <c r="CP75" s="54">
        <f t="shared" si="732"/>
        <v>40.558910317845822</v>
      </c>
      <c r="CQ75" s="54">
        <f t="shared" si="732"/>
        <v>41.661110446021993</v>
      </c>
      <c r="CR75" s="54">
        <f t="shared" si="732"/>
        <v>42.60578806820476</v>
      </c>
      <c r="CS75" s="54">
        <f t="shared" si="732"/>
        <v>43.456826437313239</v>
      </c>
      <c r="CT75" s="54">
        <f t="shared" si="732"/>
        <v>44.291529399738309</v>
      </c>
      <c r="CU75" s="54">
        <f t="shared" ref="CU75:DB75" si="734">(CU57-CU56)/CU74</f>
        <v>45.230403478677424</v>
      </c>
      <c r="CV75" s="54">
        <f t="shared" si="734"/>
        <v>46.128135682573962</v>
      </c>
      <c r="CW75" s="54">
        <f t="shared" si="734"/>
        <v>47.01690834246287</v>
      </c>
      <c r="CX75" s="54">
        <f t="shared" si="734"/>
        <v>47.919122270140441</v>
      </c>
      <c r="CY75" s="54">
        <f t="shared" si="734"/>
        <v>48.842437039877922</v>
      </c>
      <c r="CZ75" s="54">
        <f t="shared" si="734"/>
        <v>49.763486071950567</v>
      </c>
      <c r="DA75" s="54">
        <f t="shared" si="734"/>
        <v>50.69262759762649</v>
      </c>
      <c r="DB75" s="54">
        <f t="shared" si="734"/>
        <v>51.634135473259619</v>
      </c>
      <c r="DE75" s="132"/>
      <c r="DF75" s="53">
        <v>32.774559430730243</v>
      </c>
    </row>
    <row r="76" spans="1:110" s="3" customFormat="1" x14ac:dyDescent="0.2">
      <c r="A76" s="3" t="s">
        <v>31</v>
      </c>
      <c r="B76" s="3">
        <f>'Annual Raw'!C110</f>
        <v>0</v>
      </c>
      <c r="C76" s="3">
        <f>'Annual Raw'!D110</f>
        <v>0</v>
      </c>
      <c r="D76" s="3">
        <f>'Annual Raw'!E110</f>
        <v>0</v>
      </c>
      <c r="E76" s="3">
        <f>'Annual Raw'!F110</f>
        <v>1.2E-2</v>
      </c>
      <c r="F76" s="3">
        <f>'Annual Raw'!G110</f>
        <v>1.4375</v>
      </c>
      <c r="G76" s="3">
        <f>'Annual Raw'!H110</f>
        <v>1.6875</v>
      </c>
      <c r="H76" s="3">
        <f>'Annual Raw'!I110</f>
        <v>2.875</v>
      </c>
      <c r="I76" s="3">
        <f>'Annual Raw'!J110</f>
        <v>3.5</v>
      </c>
      <c r="J76" s="3">
        <f>'Annual Raw'!K110</f>
        <v>3.5</v>
      </c>
      <c r="K76" s="3">
        <f>'Annual Raw'!L110</f>
        <v>10</v>
      </c>
      <c r="L76" s="3">
        <f>'Annual Raw'!M110</f>
        <v>7</v>
      </c>
      <c r="M76" s="3">
        <f>'Annual Raw'!N110</f>
        <v>12.5</v>
      </c>
      <c r="N76" s="3">
        <f>'Annual Raw'!O110</f>
        <v>11</v>
      </c>
      <c r="O76" s="3">
        <f>'Annual Raw'!P110</f>
        <v>16</v>
      </c>
      <c r="P76" s="3">
        <f>'Annual Raw'!Q110</f>
        <v>39.5</v>
      </c>
      <c r="Q76" s="3">
        <f>'Annual Raw'!R110</f>
        <v>21.75</v>
      </c>
      <c r="R76" s="3">
        <f>'Annual Raw'!S110</f>
        <v>23.5</v>
      </c>
      <c r="S76" s="3">
        <f>'Annual Raw'!T110</f>
        <v>25</v>
      </c>
      <c r="T76" s="3">
        <f>'Annual Raw'!U110</f>
        <v>30</v>
      </c>
      <c r="U76" s="3">
        <f>'Annual Raw'!V110</f>
        <v>73</v>
      </c>
      <c r="V76" s="3">
        <f>'Annual Raw'!W110</f>
        <v>38</v>
      </c>
      <c r="W76" s="3">
        <f>'Annual Raw'!X110</f>
        <v>43</v>
      </c>
      <c r="X76" s="3">
        <f>'Annual Raw'!Y110</f>
        <v>115</v>
      </c>
      <c r="Y76" s="3">
        <f>'Annual Raw'!Z110</f>
        <v>73</v>
      </c>
      <c r="Z76" s="3">
        <f>'Annual Raw'!AA110</f>
        <v>126</v>
      </c>
      <c r="AA76" s="3">
        <f>'Annual Raw'!AB110</f>
        <v>110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3" customFormat="1" x14ac:dyDescent="0.2">
      <c r="A77" s="3" t="s">
        <v>32</v>
      </c>
      <c r="B77" s="3" t="e">
        <f>B76/B75</f>
        <v>#DIV/0!</v>
      </c>
      <c r="C77" s="3" t="e">
        <f t="shared" ref="C77:U77" si="735">C76/C75</f>
        <v>#DIV/0!</v>
      </c>
      <c r="D77" s="3" t="e">
        <f t="shared" si="735"/>
        <v>#DIV/0!</v>
      </c>
      <c r="E77" s="3" t="e">
        <f t="shared" ca="1" si="735"/>
        <v>#DIV/0!</v>
      </c>
      <c r="F77" s="3" t="e">
        <f t="shared" ca="1" si="735"/>
        <v>#DIV/0!</v>
      </c>
      <c r="G77" s="3" t="e">
        <f t="shared" ca="1" si="735"/>
        <v>#DIV/0!</v>
      </c>
      <c r="H77" s="3" t="e">
        <f t="shared" ca="1" si="735"/>
        <v>#DIV/0!</v>
      </c>
      <c r="I77" s="3" t="e">
        <f t="shared" ca="1" si="735"/>
        <v>#DIV/0!</v>
      </c>
      <c r="J77" s="3" t="e">
        <f t="shared" ca="1" si="735"/>
        <v>#DIV/0!</v>
      </c>
      <c r="K77" s="3" t="e">
        <f t="shared" ca="1" si="735"/>
        <v>#DIV/0!</v>
      </c>
      <c r="L77" s="3" t="e">
        <f t="shared" ca="1" si="735"/>
        <v>#DIV/0!</v>
      </c>
      <c r="M77" s="3" t="e">
        <f t="shared" ca="1" si="735"/>
        <v>#DIV/0!</v>
      </c>
      <c r="N77" s="3" t="e">
        <f t="shared" ca="1" si="735"/>
        <v>#DIV/0!</v>
      </c>
      <c r="O77" s="3" t="e">
        <f t="shared" ca="1" si="735"/>
        <v>#DIV/0!</v>
      </c>
      <c r="P77" s="3" t="e">
        <f t="shared" ca="1" si="735"/>
        <v>#DIV/0!</v>
      </c>
      <c r="Q77" s="3" t="e">
        <f t="shared" ca="1" si="735"/>
        <v>#DIV/0!</v>
      </c>
      <c r="R77" s="3" t="e">
        <f t="shared" ca="1" si="735"/>
        <v>#DIV/0!</v>
      </c>
      <c r="S77" s="3" t="e">
        <f t="shared" ca="1" si="735"/>
        <v>#DIV/0!</v>
      </c>
      <c r="T77" s="3" t="e">
        <f t="shared" ca="1" si="735"/>
        <v>#DIV/0!</v>
      </c>
      <c r="U77" s="3" t="e">
        <f t="shared" ca="1" si="735"/>
        <v>#DIV/0!</v>
      </c>
      <c r="V77" s="3" t="e">
        <f ca="1">V76/V75</f>
        <v>#DIV/0!</v>
      </c>
      <c r="W77" s="3" t="e">
        <f t="shared" ref="W77" ca="1" si="736">W76/W75</f>
        <v>#DIV/0!</v>
      </c>
      <c r="X77" s="3" t="e">
        <f t="shared" ref="X77:Y77" ca="1" si="737">X76/X75</f>
        <v>#DIV/0!</v>
      </c>
      <c r="Y77" s="3" t="e">
        <f t="shared" ca="1" si="737"/>
        <v>#DIV/0!</v>
      </c>
      <c r="Z77" s="3" t="e">
        <f t="shared" ref="Z77:AA77" ca="1" si="738">Z76/Z75</f>
        <v>#DIV/0!</v>
      </c>
      <c r="AA77" s="3" t="e">
        <f t="shared" ca="1" si="738"/>
        <v>#DIV/0!</v>
      </c>
      <c r="AB77" s="37" t="e">
        <f t="shared" ref="AA77:AD77" ca="1" si="739">AB76/AB75</f>
        <v>#DIV/0!</v>
      </c>
      <c r="AC77" s="37" t="e">
        <f t="shared" ca="1" si="739"/>
        <v>#DIV/0!</v>
      </c>
      <c r="AD77" s="37" t="e">
        <f t="shared" ca="1" si="739"/>
        <v>#DIV/0!</v>
      </c>
      <c r="AE77" s="37" t="e">
        <f t="shared" ref="AE77" ca="1" si="740">AE76/AE75</f>
        <v>#DIV/0!</v>
      </c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E77" s="134"/>
      <c r="DF77" s="3">
        <v>0</v>
      </c>
    </row>
    <row r="78" spans="1:110" s="3" customFormat="1" x14ac:dyDescent="0.2">
      <c r="A78" s="3" t="s">
        <v>33</v>
      </c>
      <c r="B78" s="3" t="e">
        <f>+B75</f>
        <v>#DIV/0!</v>
      </c>
      <c r="C78" s="3" t="e">
        <f t="shared" ref="C78:U78" si="741">+C75</f>
        <v>#DIV/0!</v>
      </c>
      <c r="D78" s="3" t="e">
        <f t="shared" si="741"/>
        <v>#DIV/0!</v>
      </c>
      <c r="E78" s="3" t="e">
        <f t="shared" ca="1" si="741"/>
        <v>#DIV/0!</v>
      </c>
      <c r="F78" s="3" t="e">
        <f t="shared" ca="1" si="741"/>
        <v>#DIV/0!</v>
      </c>
      <c r="G78" s="3" t="e">
        <f t="shared" ca="1" si="741"/>
        <v>#DIV/0!</v>
      </c>
      <c r="H78" s="3" t="e">
        <f t="shared" ca="1" si="741"/>
        <v>#DIV/0!</v>
      </c>
      <c r="I78" s="3" t="e">
        <f t="shared" ca="1" si="741"/>
        <v>#DIV/0!</v>
      </c>
      <c r="J78" s="3" t="e">
        <f t="shared" ca="1" si="741"/>
        <v>#DIV/0!</v>
      </c>
      <c r="K78" s="3" t="e">
        <f t="shared" ca="1" si="741"/>
        <v>#DIV/0!</v>
      </c>
      <c r="L78" s="3" t="e">
        <f t="shared" ca="1" si="741"/>
        <v>#DIV/0!</v>
      </c>
      <c r="M78" s="3" t="e">
        <f t="shared" ca="1" si="741"/>
        <v>#DIV/0!</v>
      </c>
      <c r="N78" s="3" t="e">
        <f t="shared" ca="1" si="741"/>
        <v>#DIV/0!</v>
      </c>
      <c r="O78" s="3" t="e">
        <f t="shared" ca="1" si="741"/>
        <v>#DIV/0!</v>
      </c>
      <c r="P78" s="3" t="e">
        <f t="shared" ca="1" si="741"/>
        <v>#DIV/0!</v>
      </c>
      <c r="Q78" s="3" t="e">
        <f t="shared" ca="1" si="741"/>
        <v>#DIV/0!</v>
      </c>
      <c r="R78" s="3" t="e">
        <f t="shared" ca="1" si="741"/>
        <v>#DIV/0!</v>
      </c>
      <c r="S78" s="3" t="e">
        <f t="shared" ca="1" si="741"/>
        <v>#DIV/0!</v>
      </c>
      <c r="T78" s="3" t="e">
        <f ca="1">+T75</f>
        <v>#DIV/0!</v>
      </c>
      <c r="U78" s="3" t="e">
        <f t="shared" ca="1" si="741"/>
        <v>#DIV/0!</v>
      </c>
      <c r="V78" s="3" t="e">
        <f ca="1">+V75</f>
        <v>#DIV/0!</v>
      </c>
      <c r="W78" s="3" t="e">
        <f t="shared" ref="W78" ca="1" si="742">+W75</f>
        <v>#DIV/0!</v>
      </c>
      <c r="X78" s="3" t="e">
        <f t="shared" ref="X78:Y78" ca="1" si="743">+X75</f>
        <v>#DIV/0!</v>
      </c>
      <c r="Y78" s="3" t="e">
        <f t="shared" ca="1" si="743"/>
        <v>#DIV/0!</v>
      </c>
      <c r="Z78" s="3" t="e">
        <f t="shared" ref="Z78:AA78" ca="1" si="744">+Z75</f>
        <v>#DIV/0!</v>
      </c>
      <c r="AA78" s="3" t="e">
        <f t="shared" ca="1" si="744"/>
        <v>#DIV/0!</v>
      </c>
      <c r="AB78" s="37" t="e">
        <f t="shared" ref="AA78:AD78" ca="1" si="745">+AB75</f>
        <v>#DIV/0!</v>
      </c>
      <c r="AC78" s="37" t="e">
        <f t="shared" ca="1" si="745"/>
        <v>#DIV/0!</v>
      </c>
      <c r="AD78" s="37" t="e">
        <f t="shared" ca="1" si="745"/>
        <v>#DIV/0!</v>
      </c>
      <c r="AE78" s="37" t="e">
        <f t="shared" ref="AE78" ca="1" si="746">+AE75</f>
        <v>#DIV/0!</v>
      </c>
      <c r="AL78" s="3">
        <f>SUM(AI75:AL75)</f>
        <v>38.445607734806629</v>
      </c>
      <c r="AM78" s="3">
        <f t="shared" ref="AM78" si="747">SUM(AJ75:AM75)</f>
        <v>39.887099447513819</v>
      </c>
      <c r="AN78" s="3">
        <f t="shared" ref="AN78" si="748">SUM(AK75:AN75)</f>
        <v>43.199143646408842</v>
      </c>
      <c r="AO78" s="3">
        <f t="shared" ref="AO78" si="749">SUM(AL75:AO75)</f>
        <v>48.126795580110503</v>
      </c>
      <c r="AP78" s="3">
        <f t="shared" ref="AP78" si="750">SUM(AM75:AP75)</f>
        <v>52.93886740331493</v>
      </c>
      <c r="AQ78" s="3">
        <f t="shared" ref="AQ78" si="751">SUM(AN75:AQ75)</f>
        <v>56.359944751381221</v>
      </c>
      <c r="AR78" s="3">
        <f t="shared" ref="AR78" si="752">SUM(AO75:AR75)</f>
        <v>58.047651933701658</v>
      </c>
      <c r="AS78" s="3">
        <f t="shared" ref="AS78" si="753">SUM(AP75:AS75)</f>
        <v>58.031408839779004</v>
      </c>
      <c r="AT78" s="3">
        <f t="shared" ref="AT78" si="754">SUM(AQ75:AT75)</f>
        <v>53.48737569060772</v>
      </c>
      <c r="AU78" s="3">
        <f t="shared" ref="AU78" si="755">SUM(AR75:AU75)</f>
        <v>55.335635359116012</v>
      </c>
      <c r="AV78" s="3">
        <f t="shared" ref="AV78" si="756">SUM(AS75:AV75)</f>
        <v>57.624917127071818</v>
      </c>
      <c r="AW78" s="3">
        <f t="shared" ref="AW78" si="757">SUM(AT75:AW75)</f>
        <v>59.786381215469611</v>
      </c>
      <c r="AX78" s="3">
        <f t="shared" ref="AX78" si="758">SUM(AU75:AX75)</f>
        <v>67.04419889502762</v>
      </c>
      <c r="AY78" s="3">
        <f t="shared" ref="AY78" si="759">SUM(AV75:AY75)</f>
        <v>68.618784530386733</v>
      </c>
      <c r="AZ78" s="3">
        <f t="shared" ref="AZ78" si="760">SUM(AW75:AZ75)</f>
        <v>70.03591160220995</v>
      </c>
      <c r="BA78" s="3">
        <f t="shared" ref="BA78" si="761">SUM(AX75:BA75)</f>
        <v>71.881215469613267</v>
      </c>
      <c r="BB78" s="3">
        <f t="shared" ref="BB78" si="762">SUM(AY75:BB75)</f>
        <v>72.621546961325976</v>
      </c>
      <c r="BC78" s="3">
        <f t="shared" ref="BC78" si="763">SUM(AZ75:BC75)</f>
        <v>71.593922651933696</v>
      </c>
      <c r="BD78" s="3">
        <f t="shared" ref="BD78" si="764">SUM(BA75:BD75)</f>
        <v>71.207182320441987</v>
      </c>
      <c r="BE78" s="3">
        <f t="shared" ref="BE78" si="765">SUM(BB75:BE75)</f>
        <v>70.524861878453038</v>
      </c>
      <c r="BF78" s="3">
        <f t="shared" ref="BF78" si="766">SUM(BC75:BF75)</f>
        <v>71.342541436464089</v>
      </c>
      <c r="BG78" s="3">
        <f t="shared" ref="BG78" si="767">SUM(BD75:BG75)</f>
        <v>75.196132596685089</v>
      </c>
      <c r="BH78" s="3">
        <f t="shared" ref="BH78" si="768">SUM(BE75:BH75)</f>
        <v>79.215469613259671</v>
      </c>
      <c r="BI78" s="3">
        <f t="shared" ref="BI78" si="769">SUM(BF75:BI75)</f>
        <v>83.563535911602216</v>
      </c>
      <c r="BJ78" s="3">
        <f t="shared" ref="BJ78" si="770">SUM(BG75:BJ75)</f>
        <v>86.939226519337012</v>
      </c>
      <c r="BK78" s="3">
        <f t="shared" ref="BK78" si="771">SUM(BH75:BK75)</f>
        <v>89.124309392265189</v>
      </c>
      <c r="BL78" s="3">
        <f t="shared" ref="BL78" si="772">SUM(BI75:BL75)</f>
        <v>89.513812154696126</v>
      </c>
      <c r="BM78" s="3">
        <f t="shared" ref="BM78" si="773">SUM(BJ75:BM75)</f>
        <v>89.549723756906076</v>
      </c>
      <c r="BN78" s="3">
        <f t="shared" ref="BN78" si="774">SUM(BK75:BN75)</f>
        <v>89.337016574585633</v>
      </c>
      <c r="BO78" s="3">
        <f t="shared" ref="BO78" si="775">SUM(BL75:BO75)</f>
        <v>86.234806629834253</v>
      </c>
      <c r="BP78" s="3">
        <f t="shared" ref="BP78" si="776">SUM(BM75:BP75)</f>
        <v>88.033149171270708</v>
      </c>
      <c r="BQ78" s="3">
        <f t="shared" ref="BQ78" si="777">SUM(BN75:BQ75)</f>
        <v>89.643646408839771</v>
      </c>
      <c r="BR78" s="3">
        <f t="shared" ref="BR78" si="778">SUM(BO75:BR75)</f>
        <v>92.950276243093924</v>
      </c>
      <c r="BS78" s="3">
        <f t="shared" ref="BS78" si="779">SUM(BP75:BS75)</f>
        <v>98.475138121546962</v>
      </c>
      <c r="BT78" s="3">
        <f t="shared" ref="BT78" si="780">SUM(BQ75:BT75)</f>
        <v>101.04696132596686</v>
      </c>
      <c r="BU78" s="3">
        <f t="shared" ref="BU78" si="781">SUM(BR75:BU75)</f>
        <v>103.99723756906079</v>
      </c>
      <c r="BV78" s="3">
        <f t="shared" ref="BV78" si="782">SUM(BS75:BV75)</f>
        <v>105.87569060773481</v>
      </c>
      <c r="BW78" s="3">
        <f t="shared" ref="BW78" si="783">SUM(BT75:BW75)</f>
        <v>107.17403314917127</v>
      </c>
      <c r="BX78" s="3">
        <f t="shared" ref="BX78" si="784">SUM(BU75:BX75)</f>
        <v>109.40331491712706</v>
      </c>
      <c r="BY78" s="3">
        <f t="shared" ref="BY78" si="785">SUM(BV75:BY75)</f>
        <v>112.37845303867402</v>
      </c>
      <c r="BZ78" s="3">
        <f t="shared" ref="BZ78" si="786">SUM(BW75:BZ75)</f>
        <v>116.4281767955801</v>
      </c>
      <c r="CA78" s="3">
        <f t="shared" ref="CA78" si="787">SUM(BX75:CA75)</f>
        <v>120.83701657458565</v>
      </c>
      <c r="CB78" s="3">
        <f t="shared" ref="CB78" si="788">SUM(BY75:CB75)</f>
        <v>123.35359116022101</v>
      </c>
      <c r="CC78" s="3">
        <f t="shared" ref="CC78" si="789">SUM(BZ75:CC75)</f>
        <v>126.58563535911603</v>
      </c>
      <c r="CD78" s="3">
        <f t="shared" ref="CD78" si="790">SUM(CA75:CD75)</f>
        <v>129.46408839779008</v>
      </c>
      <c r="CE78" s="3">
        <f t="shared" ref="CE78" si="791">SUM(CB75:CE75)</f>
        <v>132.13259668508289</v>
      </c>
      <c r="CF78" s="3">
        <f t="shared" ref="CF78" si="792">SUM(CC75:CF75)</f>
        <v>133.6988950276243</v>
      </c>
      <c r="CG78" s="3">
        <f t="shared" ref="CG78" si="793">SUM(CD75:CG75)</f>
        <v>134.70441988950276</v>
      </c>
      <c r="CH78" s="3">
        <f t="shared" ref="CH78:CK78" si="794">SUM(CE75:CH75)</f>
        <v>134.12430939226522</v>
      </c>
      <c r="CI78" s="3">
        <f t="shared" si="794"/>
        <v>136.11325966850831</v>
      </c>
      <c r="CJ78" s="3">
        <f t="shared" si="794"/>
        <v>139.707182320442</v>
      </c>
      <c r="CK78" s="3">
        <f t="shared" si="794"/>
        <v>144.31491712707185</v>
      </c>
      <c r="CL78" s="3">
        <f t="shared" ref="CL78" si="795">SUM(CI75:CL75)</f>
        <v>148.44198895027625</v>
      </c>
      <c r="CM78" s="37">
        <f t="shared" ref="CM78" si="796">SUM(CJ75:CM75)</f>
        <v>151.01536940487614</v>
      </c>
      <c r="CN78" s="37">
        <f t="shared" ref="CN78" si="797">SUM(CK75:CN75)</f>
        <v>153.67144532993245</v>
      </c>
      <c r="CO78" s="37">
        <f t="shared" ref="CO78" si="798">SUM(CL75:CO75)</f>
        <v>154.94495496149261</v>
      </c>
      <c r="CP78" s="37">
        <f t="shared" ref="CP78" si="799">SUM(CM75:CP75)</f>
        <v>157.60883765502905</v>
      </c>
      <c r="CQ78" s="37">
        <f t="shared" ref="CQ78" si="800">SUM(CN75:CQ75)</f>
        <v>161.44794886192074</v>
      </c>
      <c r="CR78" s="37">
        <f t="shared" ref="CR78" si="801">SUM(CO75:CR75)</f>
        <v>164.90594829788688</v>
      </c>
      <c r="CS78" s="37">
        <f t="shared" ref="CS78" si="802">SUM(CP75:CS75)</f>
        <v>168.28263526938582</v>
      </c>
      <c r="CT78" s="37">
        <f t="shared" ref="CT78" si="803">SUM(CQ75:CT75)</f>
        <v>172.01525435127832</v>
      </c>
      <c r="CU78" s="37">
        <f t="shared" ref="CU78" si="804">SUM(CR75:CU75)</f>
        <v>175.58454738393374</v>
      </c>
      <c r="CV78" s="37">
        <f t="shared" ref="CV78" si="805">SUM(CS75:CV75)</f>
        <v>179.10689499830295</v>
      </c>
      <c r="CW78" s="37">
        <f t="shared" ref="CW78" si="806">SUM(CT75:CW75)</f>
        <v>182.66697690345256</v>
      </c>
      <c r="CX78" s="37">
        <f t="shared" ref="CX78" si="807">SUM(CU75:CX75)</f>
        <v>186.2945697738547</v>
      </c>
      <c r="CY78" s="37">
        <f t="shared" ref="CY78" si="808">SUM(CV75:CY75)</f>
        <v>189.90660333505519</v>
      </c>
      <c r="CZ78" s="37">
        <f t="shared" ref="CZ78" si="809">SUM(CW75:CZ75)</f>
        <v>193.54195372443178</v>
      </c>
      <c r="DA78" s="37">
        <f t="shared" ref="DA78" si="810">SUM(CX75:DA75)</f>
        <v>197.21767297959542</v>
      </c>
      <c r="DB78" s="37">
        <f t="shared" ref="DB78" si="811">SUM(CY75:DB75)</f>
        <v>200.9326861827146</v>
      </c>
      <c r="DE78" s="134"/>
      <c r="DF78" s="3">
        <v>143.32152075669711</v>
      </c>
    </row>
    <row r="79" spans="1:110" s="97" customFormat="1" x14ac:dyDescent="0.2">
      <c r="A79" s="97" t="s">
        <v>425</v>
      </c>
      <c r="C79" s="101" t="e">
        <f t="shared" ref="C79:AA79" si="812">+C78/B78-1</f>
        <v>#DIV/0!</v>
      </c>
      <c r="D79" s="101" t="e">
        <f t="shared" si="812"/>
        <v>#DIV/0!</v>
      </c>
      <c r="E79" s="101" t="e">
        <f t="shared" ca="1" si="812"/>
        <v>#DIV/0!</v>
      </c>
      <c r="F79" s="101" t="e">
        <f t="shared" ca="1" si="812"/>
        <v>#DIV/0!</v>
      </c>
      <c r="G79" s="101" t="e">
        <f t="shared" ca="1" si="812"/>
        <v>#DIV/0!</v>
      </c>
      <c r="H79" s="101" t="e">
        <f t="shared" ca="1" si="812"/>
        <v>#DIV/0!</v>
      </c>
      <c r="I79" s="101" t="e">
        <f t="shared" ca="1" si="812"/>
        <v>#DIV/0!</v>
      </c>
      <c r="J79" s="101" t="e">
        <f t="shared" ca="1" si="812"/>
        <v>#DIV/0!</v>
      </c>
      <c r="K79" s="101" t="e">
        <f t="shared" ca="1" si="812"/>
        <v>#DIV/0!</v>
      </c>
      <c r="L79" s="101" t="e">
        <f t="shared" ca="1" si="812"/>
        <v>#DIV/0!</v>
      </c>
      <c r="M79" s="101" t="e">
        <f t="shared" ca="1" si="812"/>
        <v>#DIV/0!</v>
      </c>
      <c r="N79" s="101" t="e">
        <f t="shared" ca="1" si="812"/>
        <v>#DIV/0!</v>
      </c>
      <c r="O79" s="101" t="e">
        <f t="shared" ca="1" si="812"/>
        <v>#DIV/0!</v>
      </c>
      <c r="P79" s="101" t="e">
        <f t="shared" ca="1" si="812"/>
        <v>#DIV/0!</v>
      </c>
      <c r="Q79" s="101" t="e">
        <f t="shared" ca="1" si="812"/>
        <v>#DIV/0!</v>
      </c>
      <c r="R79" s="101" t="e">
        <f t="shared" ca="1" si="812"/>
        <v>#DIV/0!</v>
      </c>
      <c r="S79" s="101" t="e">
        <f t="shared" ca="1" si="812"/>
        <v>#DIV/0!</v>
      </c>
      <c r="T79" s="101" t="e">
        <f t="shared" ca="1" si="812"/>
        <v>#DIV/0!</v>
      </c>
      <c r="U79" s="101" t="e">
        <f t="shared" ca="1" si="812"/>
        <v>#DIV/0!</v>
      </c>
      <c r="V79" s="101" t="e">
        <f t="shared" ca="1" si="812"/>
        <v>#DIV/0!</v>
      </c>
      <c r="W79" s="101" t="e">
        <f t="shared" ca="1" si="812"/>
        <v>#DIV/0!</v>
      </c>
      <c r="X79" s="101" t="e">
        <f t="shared" ca="1" si="812"/>
        <v>#DIV/0!</v>
      </c>
      <c r="Y79" s="101" t="e">
        <f t="shared" ca="1" si="812"/>
        <v>#DIV/0!</v>
      </c>
      <c r="Z79" s="101" t="e">
        <f t="shared" ca="1" si="812"/>
        <v>#DIV/0!</v>
      </c>
      <c r="AA79" s="101" t="e">
        <f t="shared" ca="1" si="812"/>
        <v>#DIV/0!</v>
      </c>
      <c r="AB79" s="174" t="e">
        <f t="shared" ref="AB79" ca="1" si="813">+AB78/AA78-1</f>
        <v>#DIV/0!</v>
      </c>
      <c r="AC79" s="174" t="e">
        <f t="shared" ref="AC79" ca="1" si="814">+AC78/AB78-1</f>
        <v>#DIV/0!</v>
      </c>
      <c r="AD79" s="174" t="e">
        <f t="shared" ref="AD79" ca="1" si="815">+AD78/AC78-1</f>
        <v>#DIV/0!</v>
      </c>
      <c r="AE79" s="174" t="e">
        <f t="shared" ref="AE79" ca="1" si="816">+AE78/AD78-1</f>
        <v>#DIV/0!</v>
      </c>
      <c r="AL79" s="176"/>
      <c r="AM79" s="176"/>
      <c r="AN79" s="176"/>
      <c r="AO79" s="176"/>
      <c r="AP79" s="176">
        <f t="shared" ref="AP79:CK79" si="817">+IF(AL78&lt;0,1-AP78/AL78,AP78/AL78-1)</f>
        <v>0.37698089645197275</v>
      </c>
      <c r="AQ79" s="176">
        <f t="shared" si="817"/>
        <v>0.4129867935256486</v>
      </c>
      <c r="AR79" s="176">
        <f t="shared" si="817"/>
        <v>0.34372228322000953</v>
      </c>
      <c r="AS79" s="176">
        <f t="shared" si="817"/>
        <v>0.20580246700991256</v>
      </c>
      <c r="AT79" s="176">
        <f t="shared" si="817"/>
        <v>1.0361164002886225E-2</v>
      </c>
      <c r="AU79" s="176">
        <f t="shared" si="817"/>
        <v>-1.8174421511300443E-2</v>
      </c>
      <c r="AV79" s="176">
        <f t="shared" si="817"/>
        <v>-7.2825479161958695E-3</v>
      </c>
      <c r="AW79" s="176">
        <f t="shared" si="817"/>
        <v>3.0241767532061425E-2</v>
      </c>
      <c r="AX79" s="176">
        <f t="shared" si="817"/>
        <v>0.25345837273524063</v>
      </c>
      <c r="AY79" s="176">
        <f t="shared" si="817"/>
        <v>0.24004692609140621</v>
      </c>
      <c r="AZ79" s="176">
        <f t="shared" si="817"/>
        <v>0.21537548501406056</v>
      </c>
      <c r="BA79" s="176">
        <f t="shared" si="817"/>
        <v>0.20230082517545211</v>
      </c>
      <c r="BB79" s="176">
        <f t="shared" si="817"/>
        <v>8.3189122373300561E-2</v>
      </c>
      <c r="BC79" s="176">
        <f t="shared" si="817"/>
        <v>4.335748792270544E-2</v>
      </c>
      <c r="BD79" s="176">
        <f t="shared" si="817"/>
        <v>1.6723859109375461E-2</v>
      </c>
      <c r="BE79" s="176">
        <f t="shared" si="817"/>
        <v>-1.8869374735790423E-2</v>
      </c>
      <c r="BF79" s="176">
        <f t="shared" si="817"/>
        <v>-1.7611928943664812E-2</v>
      </c>
      <c r="BG79" s="176">
        <f t="shared" si="817"/>
        <v>5.0314465408805242E-2</v>
      </c>
      <c r="BH79" s="176">
        <f t="shared" si="817"/>
        <v>0.11246460022500693</v>
      </c>
      <c r="BI79" s="176">
        <f t="shared" si="817"/>
        <v>0.18488053270661986</v>
      </c>
      <c r="BJ79" s="176">
        <f t="shared" si="817"/>
        <v>0.21861689769999226</v>
      </c>
      <c r="BK79" s="176">
        <f t="shared" si="817"/>
        <v>0.18522464273906158</v>
      </c>
      <c r="BL79" s="176">
        <f t="shared" si="817"/>
        <v>0.13000418468405628</v>
      </c>
      <c r="BM79" s="176">
        <f t="shared" si="817"/>
        <v>7.1636363636363498E-2</v>
      </c>
      <c r="BN79" s="176">
        <f t="shared" si="817"/>
        <v>2.7580071174377219E-2</v>
      </c>
      <c r="BO79" s="176">
        <f t="shared" si="817"/>
        <v>-3.2421039580944111E-2</v>
      </c>
      <c r="BP79" s="176">
        <f t="shared" si="817"/>
        <v>-1.6541167757067043E-2</v>
      </c>
      <c r="BQ79" s="176">
        <f t="shared" si="817"/>
        <v>1.0488324027515539E-3</v>
      </c>
      <c r="BR79" s="176">
        <f t="shared" si="817"/>
        <v>4.0445269016697649E-2</v>
      </c>
      <c r="BS79" s="176">
        <f t="shared" si="817"/>
        <v>0.14194189063651219</v>
      </c>
      <c r="BT79" s="176">
        <f t="shared" si="817"/>
        <v>0.14782854273879775</v>
      </c>
      <c r="BU79" s="176">
        <f t="shared" si="817"/>
        <v>0.16011833225478433</v>
      </c>
      <c r="BV79" s="176">
        <f t="shared" si="817"/>
        <v>0.13905729909652886</v>
      </c>
      <c r="BW79" s="176">
        <f t="shared" si="817"/>
        <v>8.8335951526032241E-2</v>
      </c>
      <c r="BX79" s="176">
        <f t="shared" si="817"/>
        <v>8.2697722737089308E-2</v>
      </c>
      <c r="BY79" s="176">
        <f t="shared" si="817"/>
        <v>8.0590750923048127E-2</v>
      </c>
      <c r="BZ79" s="176">
        <f t="shared" si="817"/>
        <v>9.9668640905888672E-2</v>
      </c>
      <c r="CA79" s="176">
        <f t="shared" si="817"/>
        <v>0.12748408382091414</v>
      </c>
      <c r="CB79" s="176">
        <f t="shared" si="817"/>
        <v>0.1275123724876277</v>
      </c>
      <c r="CC79" s="176">
        <f t="shared" si="817"/>
        <v>0.12642265431036614</v>
      </c>
      <c r="CD79" s="176">
        <f t="shared" si="817"/>
        <v>0.11196526443163246</v>
      </c>
      <c r="CE79" s="176">
        <f t="shared" si="817"/>
        <v>9.3477813593032089E-2</v>
      </c>
      <c r="CF79" s="176">
        <f t="shared" si="817"/>
        <v>8.3867066780131339E-2</v>
      </c>
      <c r="CG79" s="176">
        <f t="shared" si="817"/>
        <v>6.4136696927374226E-2</v>
      </c>
      <c r="CH79" s="176">
        <f t="shared" si="817"/>
        <v>3.5996244612299E-2</v>
      </c>
      <c r="CI79" s="176">
        <f t="shared" si="817"/>
        <v>3.0126275296872507E-2</v>
      </c>
      <c r="CJ79" s="176">
        <f t="shared" si="817"/>
        <v>4.4938945019525445E-2</v>
      </c>
      <c r="CK79" s="176">
        <f t="shared" si="817"/>
        <v>7.1345077210180019E-2</v>
      </c>
      <c r="CL79" s="176">
        <f>+IF(CH78&lt;0,1-CL78/CH78,CL78/CH78-1)</f>
        <v>0.10674932547937299</v>
      </c>
      <c r="CM79" s="102">
        <f t="shared" ref="CM79:DB79" si="818">+IF(CI78&lt;0,1-CM78/CI78,CM78/CI78-1)</f>
        <v>0.10948315963235755</v>
      </c>
      <c r="CN79" s="102">
        <f t="shared" si="818"/>
        <v>9.995379462639975E-2</v>
      </c>
      <c r="CO79" s="102">
        <f t="shared" si="818"/>
        <v>7.3658621340306984E-2</v>
      </c>
      <c r="CP79" s="102">
        <f t="shared" si="818"/>
        <v>6.1753744810192579E-2</v>
      </c>
      <c r="CQ79" s="102">
        <f t="shared" si="818"/>
        <v>6.908289863579764E-2</v>
      </c>
      <c r="CR79" s="102">
        <f t="shared" si="818"/>
        <v>7.310729032211527E-2</v>
      </c>
      <c r="CS79" s="102">
        <f t="shared" si="818"/>
        <v>8.6080119944582423E-2</v>
      </c>
      <c r="CT79" s="102">
        <f t="shared" si="818"/>
        <v>9.1406147717310926E-2</v>
      </c>
      <c r="CU79" s="102">
        <f t="shared" si="818"/>
        <v>8.7561338633688202E-2</v>
      </c>
      <c r="CV79" s="102">
        <f t="shared" si="818"/>
        <v>8.611543032252178E-2</v>
      </c>
      <c r="CW79" s="102">
        <f t="shared" si="818"/>
        <v>8.5477278217329866E-2</v>
      </c>
      <c r="CX79" s="102">
        <f t="shared" si="818"/>
        <v>8.3011913544691174E-2</v>
      </c>
      <c r="CY79" s="102">
        <f t="shared" si="818"/>
        <v>8.1567860979274043E-2</v>
      </c>
      <c r="CZ79" s="102">
        <f t="shared" si="818"/>
        <v>8.0594656762184469E-2</v>
      </c>
      <c r="DA79" s="102">
        <f t="shared" si="818"/>
        <v>7.9656960019837353E-2</v>
      </c>
      <c r="DB79" s="102">
        <f t="shared" si="818"/>
        <v>7.8575110517871138E-2</v>
      </c>
      <c r="DE79" s="135"/>
      <c r="DF79" s="176">
        <v>6.8572292421155145E-2</v>
      </c>
    </row>
    <row r="80" spans="1:110" s="144" customFormat="1" x14ac:dyDescent="0.2">
      <c r="A80" s="144" t="s">
        <v>424</v>
      </c>
      <c r="AB80" s="145"/>
      <c r="AC80" s="145"/>
      <c r="AD80" s="145"/>
      <c r="AE80" s="145"/>
      <c r="CL80" s="144">
        <v>142.18</v>
      </c>
      <c r="CM80" s="145"/>
      <c r="CN80" s="145"/>
      <c r="CO80" s="145"/>
      <c r="CP80" s="145">
        <v>154.30000000000001</v>
      </c>
      <c r="CQ80" s="145"/>
      <c r="CR80" s="145"/>
      <c r="CS80" s="145"/>
      <c r="CT80" s="145">
        <v>164.8</v>
      </c>
      <c r="CU80" s="145"/>
      <c r="CV80" s="145"/>
      <c r="CW80" s="145"/>
      <c r="CX80" s="145"/>
      <c r="CY80" s="145"/>
      <c r="CZ80" s="145"/>
      <c r="DA80" s="145"/>
      <c r="DB80" s="145"/>
      <c r="DE80" s="146"/>
      <c r="DF80" s="144">
        <v>142.18</v>
      </c>
    </row>
    <row r="81" spans="1:110" s="144" customFormat="1" x14ac:dyDescent="0.2">
      <c r="A81" s="144" t="s">
        <v>436</v>
      </c>
      <c r="AB81" s="145"/>
      <c r="AC81" s="145"/>
      <c r="AD81" s="145"/>
      <c r="AE81" s="145"/>
      <c r="CL81" s="144">
        <f>CL80/CL78-1</f>
        <v>-4.2184755099002547E-2</v>
      </c>
      <c r="CM81" s="145"/>
      <c r="CN81" s="145"/>
      <c r="CO81" s="145"/>
      <c r="CP81" s="145">
        <f>CP80/CP78-1</f>
        <v>-2.0993985516671088E-2</v>
      </c>
      <c r="CQ81" s="145"/>
      <c r="CR81" s="145"/>
      <c r="CS81" s="145"/>
      <c r="CT81" s="145">
        <f>CT80/CT78-1</f>
        <v>-4.194543314480581E-2</v>
      </c>
      <c r="CU81" s="145"/>
      <c r="CV81" s="145"/>
      <c r="CW81" s="145"/>
      <c r="CX81" s="145" t="e">
        <f>+CX78/CX80-1</f>
        <v>#DIV/0!</v>
      </c>
      <c r="CY81" s="145"/>
      <c r="CZ81" s="145"/>
      <c r="DA81" s="145"/>
      <c r="DB81" s="145" t="e">
        <f>+DB78/DB80-1</f>
        <v>#DIV/0!</v>
      </c>
      <c r="DE81" s="146"/>
      <c r="DF81" s="144">
        <v>-7.9647547044588984E-3</v>
      </c>
    </row>
    <row r="82" spans="1:110" s="3" customFormat="1" x14ac:dyDescent="0.2">
      <c r="A82" s="3" t="s">
        <v>34</v>
      </c>
      <c r="B82" s="3">
        <f>'Annual Raw'!C112</f>
        <v>0</v>
      </c>
      <c r="C82" s="3">
        <f>'Annual Raw'!D112</f>
        <v>0</v>
      </c>
      <c r="D82" s="3">
        <f>'Annual Raw'!E112</f>
        <v>0</v>
      </c>
      <c r="E82" s="3">
        <f>'Annual Raw'!F112</f>
        <v>0</v>
      </c>
      <c r="F82" s="3">
        <f>'Annual Raw'!G112</f>
        <v>84.84</v>
      </c>
      <c r="G82" s="3">
        <f>'Annual Raw'!H112</f>
        <v>83.69</v>
      </c>
      <c r="H82" s="3">
        <f>'Annual Raw'!I112</f>
        <v>81.650000000000006</v>
      </c>
      <c r="I82" s="3">
        <f>'Annual Raw'!J112</f>
        <v>77.55</v>
      </c>
      <c r="J82" s="3">
        <f>'Annual Raw'!K112</f>
        <v>76.209999999999994</v>
      </c>
      <c r="K82" s="3">
        <f>'Annual Raw'!L112</f>
        <v>74.12</v>
      </c>
      <c r="L82" s="3">
        <f>'Annual Raw'!M112</f>
        <v>74.05</v>
      </c>
      <c r="M82" s="3">
        <f>'Annual Raw'!N112</f>
        <v>73.98</v>
      </c>
      <c r="N82" s="3">
        <f>'Annual Raw'!O112</f>
        <v>73.959999999999994</v>
      </c>
      <c r="O82" s="3">
        <f>'Annual Raw'!P112</f>
        <v>73.900000000000006</v>
      </c>
      <c r="P82" s="3">
        <f>'Annual Raw'!Q112</f>
        <v>73.900000000000006</v>
      </c>
      <c r="Q82" s="3">
        <f>'Annual Raw'!R112</f>
        <v>73.42</v>
      </c>
      <c r="R82" s="3">
        <f>'Annual Raw'!S112</f>
        <v>73.31</v>
      </c>
      <c r="S82" s="3">
        <f>'Annual Raw'!T112</f>
        <v>71.92</v>
      </c>
      <c r="T82" s="3">
        <f>'Annual Raw'!U112</f>
        <v>72.05</v>
      </c>
      <c r="U82" s="3">
        <f>'Annual Raw'!V112</f>
        <v>72.05</v>
      </c>
      <c r="V82" s="3">
        <f>'Annual Raw'!W112</f>
        <v>72.19</v>
      </c>
      <c r="W82" s="3">
        <f>'Annual Raw'!X112</f>
        <v>72.3</v>
      </c>
      <c r="X82" s="3">
        <f>'Annual Raw'!Y112</f>
        <v>72.3</v>
      </c>
      <c r="Y82" s="3">
        <f>'Annual Raw'!Z112</f>
        <v>71.77</v>
      </c>
      <c r="Z82" s="3">
        <f>'Annual Raw'!AA112</f>
        <v>71.77</v>
      </c>
      <c r="AA82" s="3">
        <f>'Annual Raw'!AB112</f>
        <v>71.77</v>
      </c>
      <c r="AB82" s="37"/>
      <c r="AC82" s="37"/>
      <c r="AD82" s="37"/>
      <c r="AE82" s="37"/>
      <c r="AI82" s="3">
        <f>'QTR Raw'!C49</f>
        <v>73.98</v>
      </c>
      <c r="AJ82" s="3">
        <f>'QTR Raw'!D49</f>
        <v>73.959999999999994</v>
      </c>
      <c r="AK82" s="3">
        <f>'QTR Raw'!E49</f>
        <v>73.959999999999994</v>
      </c>
      <c r="AL82" s="3">
        <f>'QTR Raw'!F49</f>
        <v>73.959999999999994</v>
      </c>
      <c r="AM82" s="3">
        <f>'QTR Raw'!G49</f>
        <v>73.959999999999994</v>
      </c>
      <c r="AN82" s="3">
        <f>'QTR Raw'!H49</f>
        <v>73.959999999999994</v>
      </c>
      <c r="AO82" s="3">
        <f>'QTR Raw'!I49</f>
        <v>73.900000000000006</v>
      </c>
      <c r="AP82" s="3">
        <f>'QTR Raw'!J49</f>
        <v>73.900000000000006</v>
      </c>
      <c r="AQ82" s="3">
        <f>'QTR Raw'!K49</f>
        <v>73.900000000000006</v>
      </c>
      <c r="AR82" s="3">
        <f>'QTR Raw'!L49</f>
        <v>73.900000000000006</v>
      </c>
      <c r="AS82" s="3">
        <f>'QTR Raw'!M49</f>
        <v>73.900000000000006</v>
      </c>
      <c r="AT82" s="3">
        <f>'QTR Raw'!N49</f>
        <v>73.900000000000006</v>
      </c>
      <c r="AU82" s="3">
        <f>'QTR Raw'!O49</f>
        <v>73.86</v>
      </c>
      <c r="AV82" s="3">
        <f>'QTR Raw'!P49</f>
        <v>73.86</v>
      </c>
      <c r="AW82" s="3">
        <f>'QTR Raw'!Q49</f>
        <v>73.42</v>
      </c>
      <c r="AX82" s="3">
        <f>'QTR Raw'!R49</f>
        <v>73.42</v>
      </c>
      <c r="AY82" s="3">
        <f>'QTR Raw'!S49</f>
        <v>73.34</v>
      </c>
      <c r="AZ82" s="3">
        <f>'QTR Raw'!T49</f>
        <v>73.33</v>
      </c>
      <c r="BA82" s="3">
        <f>'QTR Raw'!U49</f>
        <v>73.33</v>
      </c>
      <c r="BB82" s="3">
        <f>'QTR Raw'!V49</f>
        <v>73.31</v>
      </c>
      <c r="BC82" s="3">
        <f>'QTR Raw'!W49</f>
        <v>73.569999999999993</v>
      </c>
      <c r="BD82" s="3">
        <f>'QTR Raw'!X49</f>
        <v>73.569999999999993</v>
      </c>
      <c r="BE82" s="3">
        <f>'QTR Raw'!Y49</f>
        <v>73.569999999999993</v>
      </c>
      <c r="BF82" s="3">
        <f>'QTR Raw'!Z49</f>
        <v>71.92</v>
      </c>
      <c r="BG82" s="3">
        <f>'QTR Raw'!AA49</f>
        <v>71.92</v>
      </c>
      <c r="BH82" s="3">
        <f>'QTR Raw'!AB49</f>
        <v>72.05</v>
      </c>
      <c r="BI82" s="3">
        <f>'QTR Raw'!AC49</f>
        <v>72.05</v>
      </c>
      <c r="BJ82" s="3">
        <f>'QTR Raw'!AD49</f>
        <v>72.05</v>
      </c>
      <c r="BK82" s="3">
        <f>'QTR Raw'!AE49</f>
        <v>72.05</v>
      </c>
      <c r="BL82" s="3">
        <f>'QTR Raw'!AF49</f>
        <v>72.05</v>
      </c>
      <c r="BM82" s="3">
        <f>'QTR Raw'!AG49</f>
        <v>72.05</v>
      </c>
      <c r="BN82" s="3">
        <f>'QTR Raw'!AH49</f>
        <v>72.05</v>
      </c>
      <c r="BO82" s="3">
        <f>'QTR Raw'!AI49</f>
        <v>72.05</v>
      </c>
      <c r="BP82" s="3">
        <f>'QTR Raw'!AJ49</f>
        <v>72.05</v>
      </c>
      <c r="BQ82" s="3">
        <f>'QTR Raw'!AK49</f>
        <v>72.05</v>
      </c>
      <c r="BR82" s="3">
        <f>'QTR Raw'!AL49</f>
        <v>72.19</v>
      </c>
      <c r="BS82" s="3">
        <f>'QTR Raw'!AM49</f>
        <v>72.19</v>
      </c>
      <c r="BT82" s="3">
        <f>'QTR Raw'!AN49</f>
        <v>72.19</v>
      </c>
      <c r="BU82" s="3">
        <f>'QTR Raw'!AO49</f>
        <v>72.19</v>
      </c>
      <c r="BV82" s="3">
        <f>'QTR Raw'!AP49</f>
        <v>72.3</v>
      </c>
      <c r="BW82" s="3">
        <f>'QTR Raw'!AQ49</f>
        <v>72.3</v>
      </c>
      <c r="BX82" s="3">
        <f>'QTR Raw'!AR49</f>
        <v>72.3</v>
      </c>
      <c r="BY82" s="3">
        <f>'QTR Raw'!AS49</f>
        <v>72.3</v>
      </c>
      <c r="BZ82" s="3">
        <f>'QTR Raw'!AT49</f>
        <v>72.3</v>
      </c>
      <c r="CA82" s="3">
        <f>'QTR Raw'!AU49</f>
        <v>72.3</v>
      </c>
      <c r="CB82" s="3">
        <f>'QTR Raw'!AV49</f>
        <v>72.3</v>
      </c>
      <c r="CC82" s="3">
        <f>'QTR Raw'!AW49</f>
        <v>72.41</v>
      </c>
      <c r="CD82" s="3">
        <f>'QTR Raw'!AX49</f>
        <v>71.77</v>
      </c>
      <c r="CE82" s="3">
        <f>'QTR Raw'!AY49</f>
        <v>71.77</v>
      </c>
      <c r="CF82" s="3">
        <f>'QTR Raw'!AZ49</f>
        <v>71.77</v>
      </c>
      <c r="CG82" s="3">
        <f>'QTR Raw'!BA49</f>
        <v>71.77</v>
      </c>
      <c r="CH82" s="3">
        <f>'QTR Raw'!BB49</f>
        <v>71.77</v>
      </c>
      <c r="CI82" s="3">
        <f>'QTR Raw'!BC49</f>
        <v>71.77</v>
      </c>
      <c r="CJ82" s="3">
        <f>'QTR Raw'!BD49</f>
        <v>71.77</v>
      </c>
      <c r="CK82" s="3">
        <f>'QTR Raw'!BE49</f>
        <v>71.77</v>
      </c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E82" s="134"/>
    </row>
    <row r="83" spans="1:110" s="3" customFormat="1" x14ac:dyDescent="0.2">
      <c r="A83" s="3" t="s">
        <v>35</v>
      </c>
      <c r="B83" s="3">
        <f>'Annual Raw'!C113</f>
        <v>0</v>
      </c>
      <c r="C83" s="3">
        <f>'Annual Raw'!D113</f>
        <v>0</v>
      </c>
      <c r="D83" s="3">
        <f>'Annual Raw'!E113</f>
        <v>0</v>
      </c>
      <c r="E83" s="3">
        <f>'Annual Raw'!F113</f>
        <v>0</v>
      </c>
      <c r="F83" s="3">
        <f>'Annual Raw'!G113</f>
        <v>0</v>
      </c>
      <c r="G83" s="3">
        <f>'Annual Raw'!H113</f>
        <v>0</v>
      </c>
      <c r="H83" s="3">
        <f>'Annual Raw'!I113</f>
        <v>0</v>
      </c>
      <c r="I83" s="3">
        <f>'Annual Raw'!J113</f>
        <v>0</v>
      </c>
      <c r="J83" s="3">
        <f>'Annual Raw'!K113</f>
        <v>16.18</v>
      </c>
      <c r="K83" s="3">
        <f>'Annual Raw'!L113</f>
        <v>15.31</v>
      </c>
      <c r="L83" s="3">
        <f>'Annual Raw'!M113</f>
        <v>14.03</v>
      </c>
      <c r="M83" s="3">
        <f>'Annual Raw'!N113</f>
        <v>5.49</v>
      </c>
      <c r="N83" s="3">
        <f>'Annual Raw'!O113</f>
        <v>4.78</v>
      </c>
      <c r="O83" s="3">
        <f>'Annual Raw'!P113</f>
        <v>1.8</v>
      </c>
      <c r="P83" s="3">
        <f>'Annual Raw'!Q113</f>
        <v>1.98</v>
      </c>
      <c r="Q83" s="3">
        <f>'Annual Raw'!R113</f>
        <v>3.15</v>
      </c>
      <c r="R83" s="3">
        <f>'Annual Raw'!S113</f>
        <v>2.9</v>
      </c>
      <c r="S83" s="3">
        <f>'Annual Raw'!T113</f>
        <v>2.96</v>
      </c>
      <c r="T83" s="3">
        <f>'Annual Raw'!U113</f>
        <v>2.94</v>
      </c>
      <c r="U83" s="3">
        <f>'Annual Raw'!V113</f>
        <v>2.94</v>
      </c>
      <c r="V83" s="3">
        <f>'Annual Raw'!W113</f>
        <v>0.47</v>
      </c>
      <c r="W83" s="3">
        <f>'Annual Raw'!X113</f>
        <v>0.48</v>
      </c>
      <c r="X83" s="3">
        <f>'Annual Raw'!Y113</f>
        <v>0.48</v>
      </c>
      <c r="Y83" s="3">
        <f>'Annual Raw'!Z113</f>
        <v>0.28000000000000003</v>
      </c>
      <c r="Z83" s="3">
        <f>'Annual Raw'!AA113</f>
        <v>0</v>
      </c>
      <c r="AA83" s="3">
        <f>'Annual Raw'!AB113</f>
        <v>0</v>
      </c>
      <c r="AB83" s="37"/>
      <c r="AC83" s="37"/>
      <c r="AD83" s="37"/>
      <c r="AE83" s="37"/>
      <c r="AI83" s="3">
        <f>'QTR Raw'!C50</f>
        <v>5.49</v>
      </c>
      <c r="AJ83" s="3">
        <f>'QTR Raw'!D50</f>
        <v>5.35</v>
      </c>
      <c r="AK83" s="3">
        <f>'QTR Raw'!E50</f>
        <v>5</v>
      </c>
      <c r="AL83" s="3">
        <f>'QTR Raw'!F50</f>
        <v>4.78</v>
      </c>
      <c r="AM83" s="3">
        <f>'QTR Raw'!G50</f>
        <v>3.11</v>
      </c>
      <c r="AN83" s="3">
        <f>'QTR Raw'!H50</f>
        <v>2.4300000000000002</v>
      </c>
      <c r="AO83" s="3">
        <f>'QTR Raw'!I50</f>
        <v>1.83</v>
      </c>
      <c r="AP83" s="3">
        <f>'QTR Raw'!J50</f>
        <v>1.8</v>
      </c>
      <c r="AQ83" s="3">
        <f>'QTR Raw'!K50</f>
        <v>2.2200000000000002</v>
      </c>
      <c r="AR83" s="3">
        <f>'QTR Raw'!L50</f>
        <v>1.98</v>
      </c>
      <c r="AS83" s="3">
        <f>'QTR Raw'!M50</f>
        <v>1.98</v>
      </c>
      <c r="AT83" s="3">
        <f>'QTR Raw'!N50</f>
        <v>1.98</v>
      </c>
      <c r="AU83" s="3">
        <f>'QTR Raw'!O50</f>
        <v>1.98</v>
      </c>
      <c r="AV83" s="3">
        <f>'QTR Raw'!P50</f>
        <v>1.98</v>
      </c>
      <c r="AW83" s="3">
        <f>'QTR Raw'!Q50</f>
        <v>0.2</v>
      </c>
      <c r="AX83" s="3">
        <f>'QTR Raw'!R50</f>
        <v>3.15</v>
      </c>
      <c r="AY83" s="3">
        <f>'QTR Raw'!S50</f>
        <v>2.9</v>
      </c>
      <c r="AZ83" s="3">
        <f>'QTR Raw'!T50</f>
        <v>2.9</v>
      </c>
      <c r="BA83" s="3">
        <f>'QTR Raw'!U50</f>
        <v>2.9</v>
      </c>
      <c r="BB83" s="3">
        <f>'QTR Raw'!V50</f>
        <v>2.9</v>
      </c>
      <c r="BC83" s="3">
        <f>'QTR Raw'!W50</f>
        <v>2.98</v>
      </c>
      <c r="BD83" s="3">
        <f>'QTR Raw'!X50</f>
        <v>2.98</v>
      </c>
      <c r="BE83" s="3">
        <f>'QTR Raw'!Y50</f>
        <v>2.89</v>
      </c>
      <c r="BF83" s="3">
        <f>'QTR Raw'!Z50</f>
        <v>2.96</v>
      </c>
      <c r="BG83" s="3">
        <f>'QTR Raw'!AA50</f>
        <v>2.89</v>
      </c>
      <c r="BH83" s="3">
        <f>'QTR Raw'!AB50</f>
        <v>2.94</v>
      </c>
      <c r="BI83" s="3">
        <f>'QTR Raw'!AC50</f>
        <v>2.94</v>
      </c>
      <c r="BJ83" s="3">
        <f>'QTR Raw'!AD50</f>
        <v>2.94</v>
      </c>
      <c r="BK83" s="3">
        <f>'QTR Raw'!AE50</f>
        <v>2.94</v>
      </c>
      <c r="BL83" s="3">
        <f>'QTR Raw'!AF50</f>
        <v>2.94</v>
      </c>
      <c r="BM83" s="3">
        <f>'QTR Raw'!AG50</f>
        <v>2.94</v>
      </c>
      <c r="BN83" s="3">
        <f>'QTR Raw'!AH50</f>
        <v>2.94</v>
      </c>
      <c r="BO83" s="3">
        <f>'QTR Raw'!AI50</f>
        <v>2.94</v>
      </c>
      <c r="BP83" s="3">
        <f>'QTR Raw'!AJ50</f>
        <v>2.94</v>
      </c>
      <c r="BQ83" s="3">
        <f>'QTR Raw'!AK50</f>
        <v>2.94</v>
      </c>
      <c r="BR83" s="3">
        <f>'QTR Raw'!AL50</f>
        <v>0.47</v>
      </c>
      <c r="BS83" s="3">
        <f>'QTR Raw'!AM50</f>
        <v>0.47</v>
      </c>
      <c r="BT83" s="3">
        <f>'QTR Raw'!AN50</f>
        <v>0.47</v>
      </c>
      <c r="BU83" s="3">
        <f>'QTR Raw'!AO50</f>
        <v>0.47</v>
      </c>
      <c r="BV83" s="3">
        <f>'QTR Raw'!AP50</f>
        <v>0.48</v>
      </c>
      <c r="BW83" s="3">
        <f>'QTR Raw'!AQ50</f>
        <v>0.48</v>
      </c>
      <c r="BX83" s="3">
        <f>'QTR Raw'!AR50</f>
        <v>0.48</v>
      </c>
      <c r="BY83" s="3">
        <f>'QTR Raw'!AS50</f>
        <v>0.48</v>
      </c>
      <c r="BZ83" s="3">
        <f>'QTR Raw'!AT50</f>
        <v>0.48</v>
      </c>
      <c r="CA83" s="3">
        <f>'QTR Raw'!AU50</f>
        <v>0.48</v>
      </c>
      <c r="CB83" s="3">
        <f>'QTR Raw'!AV50</f>
        <v>0.48</v>
      </c>
      <c r="CC83" s="3">
        <f>'QTR Raw'!AW50</f>
        <v>0.48</v>
      </c>
      <c r="CD83" s="3">
        <f>'QTR Raw'!AX50</f>
        <v>0.28000000000000003</v>
      </c>
      <c r="CE83" s="3">
        <f>'QTR Raw'!AY50</f>
        <v>0.28000000000000003</v>
      </c>
      <c r="CF83" s="3">
        <f>'QTR Raw'!AZ50</f>
        <v>0.28000000000000003</v>
      </c>
      <c r="CG83" s="3">
        <f>'QTR Raw'!BA50</f>
        <v>0</v>
      </c>
      <c r="CH83" s="3">
        <f>'QTR Raw'!BB50</f>
        <v>0</v>
      </c>
      <c r="CI83" s="3">
        <f>'QTR Raw'!BC50</f>
        <v>0</v>
      </c>
      <c r="CJ83" s="3">
        <f>'QTR Raw'!BD50</f>
        <v>0</v>
      </c>
      <c r="CK83" s="3">
        <f>'QTR Raw'!BE50</f>
        <v>0</v>
      </c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3" customFormat="1" x14ac:dyDescent="0.2"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36</v>
      </c>
      <c r="AB85" s="37"/>
      <c r="AC85" s="37"/>
      <c r="AD85" s="37"/>
      <c r="AE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E85" s="134"/>
    </row>
    <row r="86" spans="1:110" s="13" customFormat="1" x14ac:dyDescent="0.2">
      <c r="A86" s="13" t="s">
        <v>457</v>
      </c>
      <c r="B86" s="13">
        <f>'Annual Raw'!C106</f>
        <v>0</v>
      </c>
      <c r="C86" s="13">
        <f>'Annual Raw'!D106</f>
        <v>0</v>
      </c>
      <c r="D86" s="13">
        <f>'Annual Raw'!E106</f>
        <v>0</v>
      </c>
      <c r="E86" s="13">
        <f>'Annual Raw'!F106</f>
        <v>0</v>
      </c>
      <c r="F86" s="13">
        <f>'Annual Raw'!G106</f>
        <v>179.09375</v>
      </c>
      <c r="G86" s="13">
        <f>'Annual Raw'!H106</f>
        <v>239.26875000000001</v>
      </c>
      <c r="H86" s="13">
        <f>'Annual Raw'!I106</f>
        <v>307.8</v>
      </c>
      <c r="I86" s="13">
        <f>'Annual Raw'!J106</f>
        <v>202.72499999999999</v>
      </c>
      <c r="J86" s="13">
        <f>'Annual Raw'!K106</f>
        <v>135</v>
      </c>
      <c r="K86" s="13">
        <f>'Annual Raw'!L106</f>
        <v>390.4</v>
      </c>
      <c r="L86" s="13">
        <f>'Annual Raw'!M106</f>
        <v>591.25</v>
      </c>
      <c r="M86" s="13">
        <f>'Annual Raw'!N106</f>
        <v>583.92499999999995</v>
      </c>
      <c r="N86" s="13">
        <f>'Annual Raw'!O106</f>
        <v>785.9</v>
      </c>
      <c r="O86" s="13">
        <f>'Annual Raw'!P106</f>
        <v>1064.125</v>
      </c>
      <c r="P86" s="13">
        <f>'Annual Raw'!Q106</f>
        <v>1273.5250000000001</v>
      </c>
      <c r="Q86" s="13">
        <f>'Annual Raw'!R106</f>
        <v>1258.0250000000001</v>
      </c>
      <c r="R86" s="13">
        <f>'Annual Raw'!S106</f>
        <v>1215.55</v>
      </c>
      <c r="S86" s="13">
        <f>'Annual Raw'!T106</f>
        <v>1424.65</v>
      </c>
      <c r="T86" s="13">
        <f>'Annual Raw'!U106</f>
        <v>2000.4</v>
      </c>
      <c r="U86" s="13">
        <f>'Annual Raw'!V106</f>
        <v>1823.05</v>
      </c>
      <c r="V86" s="13">
        <f>'Annual Raw'!W106</f>
        <v>3177.6</v>
      </c>
      <c r="W86" s="13">
        <f>'Annual Raw'!X106</f>
        <v>3738.8</v>
      </c>
      <c r="X86" s="13">
        <f>'Annual Raw'!Y106</f>
        <v>3205.8</v>
      </c>
      <c r="Y86" s="13">
        <f>'Annual Raw'!Z106</f>
        <v>3883.55</v>
      </c>
      <c r="Z86" s="13">
        <f>'Annual Raw'!AA106</f>
        <v>3604.45</v>
      </c>
      <c r="AA86" s="13">
        <f>'Annual Raw'!AB106</f>
        <v>2359.0500000000002</v>
      </c>
      <c r="AB86" s="37">
        <f>+CP86</f>
        <v>2588</v>
      </c>
      <c r="AC86" s="37">
        <f>+CT86</f>
        <v>2588</v>
      </c>
      <c r="AD86" s="37">
        <f>+CX86</f>
        <v>2588</v>
      </c>
      <c r="AE86" s="37">
        <f>+DB86</f>
        <v>2588</v>
      </c>
      <c r="AJ86" s="13">
        <f>'QTR Share Price'!HP21</f>
        <v>647</v>
      </c>
      <c r="AK86" s="13">
        <f>'QTR Share Price'!HQ21</f>
        <v>629.27499999999998</v>
      </c>
      <c r="AL86" s="13">
        <f>'QTR Share Price'!HR21</f>
        <v>785.9</v>
      </c>
      <c r="AM86" s="13">
        <f>'QTR Share Price'!HS21</f>
        <v>759.2</v>
      </c>
      <c r="AN86" s="13">
        <f>'QTR Share Price'!HT21</f>
        <v>963.35</v>
      </c>
      <c r="AO86" s="13">
        <f>'QTR Share Price'!HU21</f>
        <v>1085.4749999999999</v>
      </c>
      <c r="AP86" s="13">
        <f>'QTR Share Price'!HV21</f>
        <v>1064.125</v>
      </c>
      <c r="AQ86" s="13">
        <f>'QTR Share Price'!HW21</f>
        <v>1209.7249999999999</v>
      </c>
      <c r="AR86" s="13">
        <f>'QTR Share Price'!HX21</f>
        <v>1369.1</v>
      </c>
      <c r="AS86" s="13">
        <f>'QTR Share Price'!HY21</f>
        <v>1277.3499999999999</v>
      </c>
      <c r="AT86" s="13">
        <f>'QTR Share Price'!HZ21</f>
        <v>1273.5250000000001</v>
      </c>
      <c r="AU86" s="13">
        <f>'QTR Share Price'!IA21</f>
        <v>1276.0999999999999</v>
      </c>
      <c r="AV86" s="13">
        <f>'QTR Share Price'!IB21</f>
        <v>1293.8499999999999</v>
      </c>
      <c r="AW86" s="13">
        <f>'QTR Share Price'!IC21</f>
        <v>1219.5999999999999</v>
      </c>
      <c r="AX86" s="13">
        <f>'QTR Share Price'!ID21</f>
        <v>1258.0250000000001</v>
      </c>
      <c r="AY86" s="13">
        <f>'QTR Share Price'!IE21</f>
        <v>1275.4000000000001</v>
      </c>
      <c r="AZ86" s="13">
        <f>'QTR Share Price'!IF21</f>
        <v>1213.5999999999999</v>
      </c>
      <c r="BA86" s="13">
        <f>'QTR Share Price'!IG21</f>
        <v>1180.9749999999999</v>
      </c>
      <c r="BB86" s="13">
        <f>'QTR Share Price'!IH21</f>
        <v>1215.55</v>
      </c>
      <c r="BC86" s="13">
        <f>'QTR Share Price'!II21</f>
        <v>1182.175</v>
      </c>
      <c r="BD86" s="13">
        <f>'QTR Share Price'!IJ21</f>
        <v>1218.5</v>
      </c>
      <c r="BE86" s="13">
        <f>'QTR Share Price'!IK21</f>
        <v>1350.2</v>
      </c>
      <c r="BF86" s="13">
        <f>'QTR Share Price'!IL21</f>
        <v>1424.65</v>
      </c>
      <c r="BG86" s="13">
        <f>'QTR Share Price'!IM21</f>
        <v>1847.2</v>
      </c>
      <c r="BH86" s="13">
        <f>'QTR Share Price'!IN21</f>
        <v>2184.5</v>
      </c>
      <c r="BI86" s="13">
        <f>'QTR Share Price'!IO21</f>
        <v>1893.55</v>
      </c>
      <c r="BJ86" s="13">
        <f>'QTR Share Price'!IP21</f>
        <v>2000.4</v>
      </c>
      <c r="BK86" s="13">
        <f>'QTR Share Price'!IQ21</f>
        <v>2227.25</v>
      </c>
      <c r="BL86" s="13">
        <f>'QTR Share Price'!IR21</f>
        <v>2099.1999999999998</v>
      </c>
      <c r="BM86" s="13">
        <f>'QTR Share Price'!IS21</f>
        <v>2161.3000000000002</v>
      </c>
      <c r="BN86" s="13">
        <f>'QTR Share Price'!IT21</f>
        <v>1823.05</v>
      </c>
      <c r="BO86" s="13">
        <f>'QTR Share Price'!IU21</f>
        <v>2082.1999999999998</v>
      </c>
      <c r="BP86" s="13">
        <f>'QTR Share Price'!IV21</f>
        <v>2491.5</v>
      </c>
      <c r="BQ86" s="13">
        <f>'QTR Share Price'!IW21</f>
        <v>2870.2</v>
      </c>
      <c r="BR86" s="13">
        <f>'QTR Share Price'!IX21</f>
        <v>3177.6</v>
      </c>
      <c r="BS86" s="13">
        <f>'QTR Share Price'!IY21</f>
        <v>3345.25</v>
      </c>
      <c r="BT86" s="13">
        <f>'QTR Share Price'!IZ21</f>
        <v>3774.5</v>
      </c>
      <c r="BU86" s="13">
        <f>'QTR Share Price'!JA21</f>
        <v>3736.85</v>
      </c>
      <c r="BV86" s="13">
        <f>'QTR Share Price'!JB21</f>
        <v>3738.8</v>
      </c>
      <c r="BW86" s="13">
        <f>'QTR Share Price'!JC21</f>
        <v>3265.25</v>
      </c>
      <c r="BX86" s="13">
        <f>'QTR Share Price'!JD21</f>
        <v>3004.6</v>
      </c>
      <c r="BY86" s="13">
        <f>'QTR Share Price'!JE21</f>
        <v>3259.25</v>
      </c>
      <c r="BZ86" s="13">
        <f>'QTR Share Price'!JF21</f>
        <v>3205.8</v>
      </c>
      <c r="CA86" s="13">
        <f>'QTR Share Price'!JG21</f>
        <v>3300.5</v>
      </c>
      <c r="CB86" s="13">
        <f>'QTR Share Price'!JH21</f>
        <v>3530.75</v>
      </c>
      <c r="CC86" s="13">
        <f>'QTR Share Price'!JI21</f>
        <v>3794.95</v>
      </c>
      <c r="CD86" s="13">
        <f>'QTR Share Price'!JJ21</f>
        <v>3883.55</v>
      </c>
      <c r="CE86" s="13">
        <f>'QTR Share Price'!JK21</f>
        <v>3904.95</v>
      </c>
      <c r="CF86" s="13">
        <f>'QTR Share Price'!JL21</f>
        <v>4268.3999999999996</v>
      </c>
      <c r="CG86" s="13">
        <f>'QTR Share Price'!JM21</f>
        <v>4097.2</v>
      </c>
      <c r="CH86" s="13">
        <f>'QTR Share Price'!JN21</f>
        <v>3604.45</v>
      </c>
      <c r="CI86" s="13">
        <f>'QTR Share Price'!JO21</f>
        <v>3461.05</v>
      </c>
      <c r="CJ86" s="13">
        <f>'QTR Share Price'!JP21</f>
        <v>2889</v>
      </c>
      <c r="CK86" s="13">
        <f>'QTR Share Price'!JQ21</f>
        <v>3205.75</v>
      </c>
      <c r="CL86" s="13">
        <f>'QTR Share Price'!JR21</f>
        <v>2359.0500000000002</v>
      </c>
      <c r="CM86" s="37">
        <v>2588</v>
      </c>
      <c r="CN86" s="37">
        <f t="shared" ref="CN86" si="819">+CM86</f>
        <v>2588</v>
      </c>
      <c r="CO86" s="37">
        <f t="shared" ref="CO86" si="820">+CN86</f>
        <v>2588</v>
      </c>
      <c r="CP86" s="37">
        <f t="shared" ref="CP86" si="821">+CO86</f>
        <v>2588</v>
      </c>
      <c r="CQ86" s="37">
        <f t="shared" ref="CQ86" si="822">+CP86</f>
        <v>2588</v>
      </c>
      <c r="CR86" s="37">
        <f t="shared" ref="CR86" si="823">+CQ86</f>
        <v>2588</v>
      </c>
      <c r="CS86" s="37">
        <f t="shared" ref="CS86" si="824">+CR86</f>
        <v>2588</v>
      </c>
      <c r="CT86" s="37">
        <f t="shared" ref="CT86" si="825">+CS86</f>
        <v>2588</v>
      </c>
      <c r="CU86" s="37">
        <f t="shared" ref="CU86" si="826">+CT86</f>
        <v>2588</v>
      </c>
      <c r="CV86" s="37">
        <f t="shared" ref="CV86" si="827">+CU86</f>
        <v>2588</v>
      </c>
      <c r="CW86" s="37">
        <f t="shared" ref="CW86" si="828">+CV86</f>
        <v>2588</v>
      </c>
      <c r="CX86" s="37">
        <f t="shared" ref="CX86" si="829">+CW86</f>
        <v>2588</v>
      </c>
      <c r="CY86" s="37">
        <f t="shared" ref="CY86" si="830">+CX86</f>
        <v>2588</v>
      </c>
      <c r="CZ86" s="37">
        <f t="shared" ref="CZ86" si="831">+CY86</f>
        <v>2588</v>
      </c>
      <c r="DA86" s="37">
        <f t="shared" ref="DA86" si="832">+CZ86</f>
        <v>2588</v>
      </c>
      <c r="DB86" s="37">
        <f t="shared" ref="DB86" si="833">+DA86</f>
        <v>2588</v>
      </c>
      <c r="DE86" s="134"/>
      <c r="DF86" s="13">
        <v>2359.0500000000002</v>
      </c>
    </row>
    <row r="87" spans="1:110" s="13" customFormat="1" x14ac:dyDescent="0.2">
      <c r="A87" s="13" t="s">
        <v>458</v>
      </c>
      <c r="B87" s="13">
        <f>'Annual Raw'!C107</f>
        <v>0</v>
      </c>
      <c r="C87" s="13">
        <f>'Annual Raw'!D107</f>
        <v>0</v>
      </c>
      <c r="D87" s="13">
        <f>'Annual Raw'!E107</f>
        <v>0</v>
      </c>
      <c r="E87" s="13">
        <f>'Annual Raw'!F107</f>
        <v>0</v>
      </c>
      <c r="F87" s="13">
        <f>'Annual Raw'!G107</f>
        <v>184.375</v>
      </c>
      <c r="G87" s="13">
        <f>'Annual Raw'!H107</f>
        <v>250.625</v>
      </c>
      <c r="H87" s="13">
        <f>'Annual Raw'!I107</f>
        <v>349.75</v>
      </c>
      <c r="I87" s="13">
        <f>'Annual Raw'!J107</f>
        <v>332.5</v>
      </c>
      <c r="J87" s="13">
        <f>'Annual Raw'!K107</f>
        <v>263.5</v>
      </c>
      <c r="K87" s="13">
        <f>'Annual Raw'!L107</f>
        <v>422</v>
      </c>
      <c r="L87" s="13">
        <f>'Annual Raw'!M107</f>
        <v>610.5</v>
      </c>
      <c r="M87" s="13">
        <f>'Annual Raw'!N107</f>
        <v>639.6</v>
      </c>
      <c r="N87" s="13">
        <f>'Annual Raw'!O107</f>
        <v>799</v>
      </c>
      <c r="O87" s="13">
        <f>'Annual Raw'!P107</f>
        <v>1192.0999999999999</v>
      </c>
      <c r="P87" s="13">
        <f>'Annual Raw'!Q107</f>
        <v>1417</v>
      </c>
      <c r="Q87" s="13">
        <f>'Annual Raw'!R107</f>
        <v>1384.5</v>
      </c>
      <c r="R87" s="13">
        <f>'Annual Raw'!S107</f>
        <v>1370</v>
      </c>
      <c r="S87" s="13">
        <f>'Annual Raw'!T107</f>
        <v>1627.4</v>
      </c>
      <c r="T87" s="13">
        <f>'Annual Raw'!U107</f>
        <v>2273</v>
      </c>
      <c r="U87" s="13">
        <f>'Annual Raw'!V107</f>
        <v>2296</v>
      </c>
      <c r="V87" s="13">
        <f>'Annual Raw'!W107</f>
        <v>3345.25</v>
      </c>
      <c r="W87" s="13">
        <f>'Annual Raw'!X107</f>
        <v>4045.5</v>
      </c>
      <c r="X87" s="13">
        <f>'Annual Raw'!Y107</f>
        <v>3835.5</v>
      </c>
      <c r="Y87" s="13">
        <f>'Annual Raw'!Z107</f>
        <v>4254.45</v>
      </c>
      <c r="Z87" s="13">
        <f>'Annual Raw'!AA107</f>
        <v>4585.8999999999996</v>
      </c>
      <c r="AA87" s="13">
        <f>'Annual Raw'!AB107</f>
        <v>3630</v>
      </c>
      <c r="AB87" s="37">
        <f>+MAX(CM87:CP87)</f>
        <v>3542.7537203081697</v>
      </c>
      <c r="AC87" s="37">
        <f>+MAX(CQ87:CT87)</f>
        <v>3866.5831901927113</v>
      </c>
      <c r="AD87" s="37">
        <f>+MAX(CU87:CX87)</f>
        <v>4187.5556596903452</v>
      </c>
      <c r="AE87" s="37">
        <f>+MAX(CY87:DB87)</f>
        <v>4516.5933084502512</v>
      </c>
      <c r="AJ87" s="13">
        <f>'QTR Share Price'!HP19</f>
        <v>719</v>
      </c>
      <c r="AK87" s="13">
        <f>'QTR Share Price'!HQ19</f>
        <v>674</v>
      </c>
      <c r="AL87" s="13">
        <f>'QTR Share Price'!HR19</f>
        <v>799</v>
      </c>
      <c r="AM87" s="13">
        <f>'QTR Share Price'!HS19</f>
        <v>787.5</v>
      </c>
      <c r="AN87" s="13">
        <f>'QTR Share Price'!HT19</f>
        <v>1037.925</v>
      </c>
      <c r="AO87" s="13">
        <f>'QTR Share Price'!HU19</f>
        <v>1129.0250000000001</v>
      </c>
      <c r="AP87" s="13">
        <f>'QTR Share Price'!HV19</f>
        <v>1192.0999999999999</v>
      </c>
      <c r="AQ87" s="13">
        <f>'QTR Share Price'!HW19</f>
        <v>1213.5</v>
      </c>
      <c r="AR87" s="13">
        <f>'QTR Share Price'!HX19</f>
        <v>1390</v>
      </c>
      <c r="AS87" s="13">
        <f>'QTR Share Price'!HY19</f>
        <v>1417</v>
      </c>
      <c r="AT87" s="13">
        <f>'QTR Share Price'!HZ19</f>
        <v>1405</v>
      </c>
      <c r="AU87" s="13">
        <f>'QTR Share Price'!IA19</f>
        <v>1356</v>
      </c>
      <c r="AV87" s="13">
        <f>'QTR Share Price'!IB19</f>
        <v>1375.4749999999999</v>
      </c>
      <c r="AW87" s="13">
        <f>'QTR Share Price'!IC19</f>
        <v>1384.5</v>
      </c>
      <c r="AX87" s="13">
        <f>'QTR Share Price'!ID19</f>
        <v>1267</v>
      </c>
      <c r="AY87" s="13">
        <f>'QTR Share Price'!IE19</f>
        <v>1337.7249999999999</v>
      </c>
      <c r="AZ87" s="13">
        <f>'QTR Share Price'!IF19</f>
        <v>1370</v>
      </c>
      <c r="BA87" s="13">
        <f>'QTR Share Price'!IG19</f>
        <v>1227.5</v>
      </c>
      <c r="BB87" s="13">
        <f>'QTR Share Price'!IH19</f>
        <v>1292</v>
      </c>
      <c r="BC87" s="13">
        <f>'QTR Share Price'!II19</f>
        <v>1353.7</v>
      </c>
      <c r="BD87" s="13">
        <f>'QTR Share Price'!IJ19</f>
        <v>1291.8499999999999</v>
      </c>
      <c r="BE87" s="13">
        <f>'QTR Share Price'!IK19</f>
        <v>1387</v>
      </c>
      <c r="BF87" s="13">
        <f>'QTR Share Price'!IL19</f>
        <v>1627.4</v>
      </c>
      <c r="BG87" s="13">
        <f>'QTR Share Price'!IM19</f>
        <v>1886.2</v>
      </c>
      <c r="BH87" s="13">
        <f>'QTR Share Price'!IN19</f>
        <v>2214.15</v>
      </c>
      <c r="BI87" s="13">
        <f>'QTR Share Price'!IO19</f>
        <v>2273</v>
      </c>
      <c r="BJ87" s="13">
        <f>'QTR Share Price'!IP19</f>
        <v>2097.8000000000002</v>
      </c>
      <c r="BK87" s="13">
        <f>'QTR Share Price'!IQ19</f>
        <v>2290.65</v>
      </c>
      <c r="BL87" s="13">
        <f>'QTR Share Price'!IR19</f>
        <v>2296</v>
      </c>
      <c r="BM87" s="13">
        <f>'QTR Share Price'!IS19</f>
        <v>2285.5</v>
      </c>
      <c r="BN87" s="13">
        <f>'QTR Share Price'!IT19</f>
        <v>2259.9499999999998</v>
      </c>
      <c r="BO87" s="13">
        <f>'QTR Share Price'!IU19</f>
        <v>2132.0500000000002</v>
      </c>
      <c r="BP87" s="13">
        <f>'QTR Share Price'!IV19</f>
        <v>2554</v>
      </c>
      <c r="BQ87" s="13">
        <f>'QTR Share Price'!IW19</f>
        <v>2951.9</v>
      </c>
      <c r="BR87" s="13">
        <f>'QTR Share Price'!IX19</f>
        <v>3345.25</v>
      </c>
      <c r="BS87" s="13">
        <f>'QTR Share Price'!IY19</f>
        <v>3399</v>
      </c>
      <c r="BT87" s="13">
        <f>'QTR Share Price'!IZ19</f>
        <v>3981.55</v>
      </c>
      <c r="BU87" s="13">
        <f>'QTR Share Price'!JA19</f>
        <v>3990</v>
      </c>
      <c r="BV87" s="13">
        <f>'QTR Share Price'!JB19</f>
        <v>4045.5</v>
      </c>
      <c r="BW87" s="13">
        <f>'QTR Share Price'!JC19</f>
        <v>3835.5</v>
      </c>
      <c r="BX87" s="13">
        <f>'QTR Share Price'!JD19</f>
        <v>3428</v>
      </c>
      <c r="BY87" s="13">
        <f>'QTR Share Price'!JE19</f>
        <v>3479.65</v>
      </c>
      <c r="BZ87" s="13">
        <f>'QTR Share Price'!JF19</f>
        <v>3575</v>
      </c>
      <c r="CA87" s="13">
        <f>'QTR Share Price'!JG19</f>
        <v>3372.95</v>
      </c>
      <c r="CB87" s="13">
        <f>'QTR Share Price'!JH19</f>
        <v>3633.05</v>
      </c>
      <c r="CC87" s="13">
        <f>'QTR Share Price'!JI19</f>
        <v>3928.95</v>
      </c>
      <c r="CD87" s="13">
        <f>'QTR Share Price'!JJ19</f>
        <v>4254.45</v>
      </c>
      <c r="CE87" s="13">
        <f>'QTR Share Price'!JK19</f>
        <v>4063</v>
      </c>
      <c r="CF87" s="13">
        <f>'QTR Share Price'!JL19</f>
        <v>4585.8999999999996</v>
      </c>
      <c r="CG87" s="13">
        <f>'QTR Share Price'!JM19</f>
        <v>4494</v>
      </c>
      <c r="CH87" s="13">
        <f>'QTR Share Price'!JN19</f>
        <v>4321.6499999999996</v>
      </c>
      <c r="CI87" s="13">
        <f>'QTR Share Price'!JO19</f>
        <v>3630</v>
      </c>
      <c r="CJ87" s="13">
        <f>'QTR Share Price'!JP19</f>
        <v>3489.85</v>
      </c>
      <c r="CK87" s="13">
        <f>'QTR Share Price'!JQ19</f>
        <v>3328.2</v>
      </c>
      <c r="CL87" s="13">
        <f>'QTR Share Price'!JR19</f>
        <v>3336.7</v>
      </c>
      <c r="CM87" s="37">
        <f t="shared" ref="CM87:DB87" si="834">+CM78*CM95</f>
        <v>3394.5448094342073</v>
      </c>
      <c r="CN87" s="37">
        <f t="shared" si="834"/>
        <v>3454.248459336824</v>
      </c>
      <c r="CO87" s="37">
        <f t="shared" si="834"/>
        <v>3482.8745887606906</v>
      </c>
      <c r="CP87" s="37">
        <f t="shared" si="834"/>
        <v>3542.7537203081697</v>
      </c>
      <c r="CQ87" s="37">
        <f t="shared" si="834"/>
        <v>3629.0498044190235</v>
      </c>
      <c r="CR87" s="37">
        <f t="shared" si="834"/>
        <v>3706.7792042982805</v>
      </c>
      <c r="CS87" s="37">
        <f t="shared" si="834"/>
        <v>3782.6808511131494</v>
      </c>
      <c r="CT87" s="37">
        <f t="shared" si="834"/>
        <v>3866.5831901927113</v>
      </c>
      <c r="CU87" s="37">
        <f t="shared" si="834"/>
        <v>3946.8142632622776</v>
      </c>
      <c r="CV87" s="37">
        <f t="shared" si="834"/>
        <v>4025.9900905870022</v>
      </c>
      <c r="CW87" s="37">
        <f t="shared" si="834"/>
        <v>4106.0141146311144</v>
      </c>
      <c r="CX87" s="37">
        <f t="shared" si="834"/>
        <v>4187.5556596903452</v>
      </c>
      <c r="CY87" s="37">
        <f t="shared" si="834"/>
        <v>4268.7474603990704</v>
      </c>
      <c r="CZ87" s="37">
        <f t="shared" si="834"/>
        <v>4350.4633800658175</v>
      </c>
      <c r="DA87" s="37">
        <f t="shared" si="834"/>
        <v>4433.0867168011719</v>
      </c>
      <c r="DB87" s="37">
        <f t="shared" si="834"/>
        <v>4516.5933084502512</v>
      </c>
      <c r="DE87" s="134"/>
      <c r="DF87" s="13">
        <v>3336.7</v>
      </c>
    </row>
    <row r="88" spans="1:110" s="13" customFormat="1" x14ac:dyDescent="0.2">
      <c r="A88" s="13" t="s">
        <v>459</v>
      </c>
      <c r="B88" s="13">
        <f>'Annual Raw'!C108</f>
        <v>0</v>
      </c>
      <c r="C88" s="13">
        <f>'Annual Raw'!D108</f>
        <v>0</v>
      </c>
      <c r="D88" s="13">
        <f>'Annual Raw'!E108</f>
        <v>0</v>
      </c>
      <c r="E88" s="13">
        <f>'Annual Raw'!F108</f>
        <v>0</v>
      </c>
      <c r="F88" s="13">
        <f>'Annual Raw'!G108</f>
        <v>120.29375</v>
      </c>
      <c r="G88" s="13">
        <f>'Annual Raw'!H108</f>
        <v>137.625</v>
      </c>
      <c r="H88" s="13">
        <f>'Annual Raw'!I108</f>
        <v>181.875</v>
      </c>
      <c r="I88" s="13">
        <f>'Annual Raw'!J108</f>
        <v>182.5</v>
      </c>
      <c r="J88" s="13">
        <f>'Annual Raw'!K108</f>
        <v>104.5</v>
      </c>
      <c r="K88" s="13">
        <f>'Annual Raw'!L108</f>
        <v>126.3125</v>
      </c>
      <c r="L88" s="13">
        <f>'Annual Raw'!M108</f>
        <v>346</v>
      </c>
      <c r="M88" s="13">
        <f>'Annual Raw'!N108</f>
        <v>451.45</v>
      </c>
      <c r="N88" s="13">
        <f>'Annual Raw'!O108</f>
        <v>523.27499999999998</v>
      </c>
      <c r="O88" s="13">
        <f>'Annual Raw'!P108</f>
        <v>682</v>
      </c>
      <c r="P88" s="13">
        <f>'Annual Raw'!Q108</f>
        <v>1000.25</v>
      </c>
      <c r="Q88" s="13">
        <f>'Annual Raw'!R108</f>
        <v>1059.5</v>
      </c>
      <c r="R88" s="13">
        <f>'Annual Raw'!S108</f>
        <v>1027.3499999999999</v>
      </c>
      <c r="S88" s="13">
        <f>'Annual Raw'!T108</f>
        <v>1127.5</v>
      </c>
      <c r="T88" s="13">
        <f>'Annual Raw'!U108</f>
        <v>1422.5</v>
      </c>
      <c r="U88" s="13">
        <f>'Annual Raw'!V108</f>
        <v>1504.4</v>
      </c>
      <c r="V88" s="13">
        <f>'Annual Raw'!W108</f>
        <v>1650</v>
      </c>
      <c r="W88" s="13">
        <f>'Annual Raw'!X108</f>
        <v>3004.8</v>
      </c>
      <c r="X88" s="13">
        <f>'Annual Raw'!Y108</f>
        <v>2926</v>
      </c>
      <c r="Y88" s="13">
        <f>'Annual Raw'!Z108</f>
        <v>3070.3</v>
      </c>
      <c r="Z88" s="13">
        <f>'Annual Raw'!AA108</f>
        <v>3457.35</v>
      </c>
      <c r="AA88" s="13">
        <f>'Annual Raw'!AB108</f>
        <v>2346.35</v>
      </c>
      <c r="AB88" s="37">
        <f>+MIN(CM88:CP88)</f>
        <v>2114.2151716682661</v>
      </c>
      <c r="AC88" s="37">
        <f>+MIN(CQ88:CT88)</f>
        <v>2260.2712840668901</v>
      </c>
      <c r="AD88" s="37">
        <f>+MIN(CU88:CX88)</f>
        <v>2458.1836633750722</v>
      </c>
      <c r="AE88" s="37">
        <f>+MIN(CY88:DB88)</f>
        <v>2658.6924466907726</v>
      </c>
      <c r="AJ88" s="13">
        <f>+'QTR Share Price'!HP20</f>
        <v>587.75</v>
      </c>
      <c r="AK88" s="13">
        <f>+'QTR Share Price'!HQ20</f>
        <v>598.79999999999995</v>
      </c>
      <c r="AL88" s="13">
        <f>+'QTR Share Price'!HR20</f>
        <v>627.5</v>
      </c>
      <c r="AM88" s="13">
        <f>+'QTR Share Price'!HS20</f>
        <v>682</v>
      </c>
      <c r="AN88" s="13">
        <f>+'QTR Share Price'!HT20</f>
        <v>732.625</v>
      </c>
      <c r="AO88" s="13">
        <f>+'QTR Share Price'!HU20</f>
        <v>955.55</v>
      </c>
      <c r="AP88" s="13">
        <f>+'QTR Share Price'!HV20</f>
        <v>1007.35</v>
      </c>
      <c r="AQ88" s="13">
        <f>+'QTR Share Price'!HW20</f>
        <v>1000.25</v>
      </c>
      <c r="AR88" s="13">
        <f>+'QTR Share Price'!HX20</f>
        <v>1168</v>
      </c>
      <c r="AS88" s="13">
        <f>+'QTR Share Price'!HY20</f>
        <v>1174.125</v>
      </c>
      <c r="AT88" s="13">
        <f>+'QTR Share Price'!HZ20</f>
        <v>1203.7</v>
      </c>
      <c r="AU88" s="13">
        <f>+'QTR Share Price'!IA20</f>
        <v>1201</v>
      </c>
      <c r="AV88" s="13">
        <f>+'QTR Share Price'!IB20</f>
        <v>1227.5</v>
      </c>
      <c r="AW88" s="13">
        <f>+'QTR Share Price'!IC20</f>
        <v>1158.325</v>
      </c>
      <c r="AX88" s="13">
        <f>+'QTR Share Price'!ID20</f>
        <v>1059.5</v>
      </c>
      <c r="AY88" s="13">
        <f>+'QTR Share Price'!IE20</f>
        <v>1202.4749999999999</v>
      </c>
      <c r="AZ88" s="13">
        <f>+'QTR Share Price'!IF20</f>
        <v>1143.5</v>
      </c>
      <c r="BA88" s="13">
        <f>+'QTR Share Price'!IG20</f>
        <v>1027.3499999999999</v>
      </c>
      <c r="BB88" s="13">
        <f>+'QTR Share Price'!IH20</f>
        <v>1077.1500000000001</v>
      </c>
      <c r="BC88" s="13">
        <f>+'QTR Share Price'!II20</f>
        <v>1127.5</v>
      </c>
      <c r="BD88" s="13">
        <f>+'QTR Share Price'!IJ20</f>
        <v>1162.5</v>
      </c>
      <c r="BE88" s="13">
        <f>+'QTR Share Price'!IK20</f>
        <v>1212.5</v>
      </c>
      <c r="BF88" s="13">
        <f>+'QTR Share Price'!IL20</f>
        <v>1311.35</v>
      </c>
      <c r="BG88" s="13">
        <f>+'QTR Share Price'!IM20</f>
        <v>1422.5</v>
      </c>
      <c r="BH88" s="13">
        <f>+'QTR Share Price'!IN20</f>
        <v>1829.95</v>
      </c>
      <c r="BI88" s="13">
        <f>+'QTR Share Price'!IO20</f>
        <v>1784</v>
      </c>
      <c r="BJ88" s="13">
        <f>+'QTR Share Price'!IP20</f>
        <v>1809.55</v>
      </c>
      <c r="BK88" s="13">
        <f>+'QTR Share Price'!IQ20</f>
        <v>2006</v>
      </c>
      <c r="BL88" s="13">
        <f>+'QTR Share Price'!IR20</f>
        <v>1975</v>
      </c>
      <c r="BM88" s="13">
        <f>+'QTR Share Price'!IS20</f>
        <v>1929</v>
      </c>
      <c r="BN88" s="13">
        <f>+'QTR Share Price'!IT20</f>
        <v>1504.4</v>
      </c>
      <c r="BO88" s="13">
        <f>+'QTR Share Price'!IU20</f>
        <v>1650</v>
      </c>
      <c r="BP88" s="13">
        <f>+'QTR Share Price'!IV20</f>
        <v>2081.5500000000002</v>
      </c>
      <c r="BQ88" s="13">
        <f>+'QTR Share Price'!IW20</f>
        <v>2492</v>
      </c>
      <c r="BR88" s="13">
        <f>+'QTR Share Price'!IX20</f>
        <v>2701</v>
      </c>
      <c r="BS88" s="13">
        <f>+'QTR Share Price'!IY20</f>
        <v>3004.8</v>
      </c>
      <c r="BT88" s="13">
        <f>+'QTR Share Price'!IZ20</f>
        <v>3133.2</v>
      </c>
      <c r="BU88" s="13">
        <f>+'QTR Share Price'!JA20</f>
        <v>3386</v>
      </c>
      <c r="BV88" s="13">
        <f>+'QTR Share Price'!JB20</f>
        <v>3351</v>
      </c>
      <c r="BW88" s="13">
        <f>+'QTR Share Price'!JC20</f>
        <v>3023.35</v>
      </c>
      <c r="BX88" s="13">
        <f>+'QTR Share Price'!JD20</f>
        <v>2926</v>
      </c>
      <c r="BY88" s="13">
        <f>+'QTR Share Price'!JE20</f>
        <v>2973.85</v>
      </c>
      <c r="BZ88" s="13">
        <f>+'QTR Share Price'!JF20</f>
        <v>3096.1</v>
      </c>
      <c r="CA88" s="13">
        <f>+'QTR Share Price'!JG20</f>
        <v>3070.3</v>
      </c>
      <c r="CB88" s="13">
        <f>+'QTR Share Price'!JH20</f>
        <v>3250</v>
      </c>
      <c r="CC88" s="13">
        <f>+'QTR Share Price'!JI20</f>
        <v>3313</v>
      </c>
      <c r="CD88" s="13">
        <f>+'QTR Share Price'!JJ20</f>
        <v>3651.55</v>
      </c>
      <c r="CE88" s="13">
        <f>+'QTR Share Price'!JK20</f>
        <v>3593.3</v>
      </c>
      <c r="CF88" s="13">
        <f>+'QTR Share Price'!JL20</f>
        <v>3886.05</v>
      </c>
      <c r="CG88" s="13">
        <f>+'QTR Share Price'!JM20</f>
        <v>3915</v>
      </c>
      <c r="CH88" s="13">
        <f>+'QTR Share Price'!JN20</f>
        <v>3457.35</v>
      </c>
      <c r="CI88" s="13">
        <f>+'QTR Share Price'!JO20</f>
        <v>3060.25</v>
      </c>
      <c r="CJ88" s="13">
        <f>+'QTR Share Price'!JP20</f>
        <v>2886</v>
      </c>
      <c r="CK88" s="13">
        <f>+'QTR Share Price'!JQ20</f>
        <v>2867.55</v>
      </c>
      <c r="CL88" s="13">
        <f>+'QTR Share Price'!JR20</f>
        <v>2346.35</v>
      </c>
      <c r="CM88" s="37">
        <f t="shared" ref="CM88:DB88" si="835">+CM96*CM78</f>
        <v>2114.2151716682661</v>
      </c>
      <c r="CN88" s="37">
        <f t="shared" si="835"/>
        <v>2151.4002346190546</v>
      </c>
      <c r="CO88" s="37">
        <f t="shared" si="835"/>
        <v>2169.2293694608966</v>
      </c>
      <c r="CP88" s="37">
        <f t="shared" si="835"/>
        <v>2206.5237271704068</v>
      </c>
      <c r="CQ88" s="37">
        <f t="shared" si="835"/>
        <v>2260.2712840668901</v>
      </c>
      <c r="CR88" s="37">
        <f t="shared" si="835"/>
        <v>2308.6832761704163</v>
      </c>
      <c r="CS88" s="37">
        <f t="shared" si="835"/>
        <v>2355.9568937714016</v>
      </c>
      <c r="CT88" s="37">
        <f t="shared" si="835"/>
        <v>2408.2135609178963</v>
      </c>
      <c r="CU88" s="37">
        <f t="shared" si="835"/>
        <v>2458.1836633750722</v>
      </c>
      <c r="CV88" s="37">
        <f t="shared" si="835"/>
        <v>2507.4965299762412</v>
      </c>
      <c r="CW88" s="37">
        <f t="shared" si="835"/>
        <v>2557.3376766483361</v>
      </c>
      <c r="CX88" s="37">
        <f t="shared" si="835"/>
        <v>2608.123976833966</v>
      </c>
      <c r="CY88" s="37">
        <f t="shared" si="835"/>
        <v>2658.6924466907726</v>
      </c>
      <c r="CZ88" s="37">
        <f t="shared" si="835"/>
        <v>2709.5873521420449</v>
      </c>
      <c r="DA88" s="37">
        <f t="shared" si="835"/>
        <v>2761.047421714336</v>
      </c>
      <c r="DB88" s="37">
        <f t="shared" si="835"/>
        <v>2813.0576065580044</v>
      </c>
      <c r="DE88" s="134"/>
      <c r="DF88" s="13">
        <v>2346.35</v>
      </c>
    </row>
    <row r="89" spans="1:110" s="14" customFormat="1" x14ac:dyDescent="0.2">
      <c r="AB89" s="16"/>
      <c r="AC89" s="16"/>
      <c r="AD89" s="16"/>
      <c r="AE89" s="16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</row>
    <row r="90" spans="1:110" s="51" customFormat="1" x14ac:dyDescent="0.2">
      <c r="A90" s="51" t="s">
        <v>346</v>
      </c>
      <c r="AB90" s="48">
        <f t="shared" ref="AB90:AD90" si="836">+AB87/AB86-1</f>
        <v>0.36891565699697448</v>
      </c>
      <c r="AC90" s="48">
        <f t="shared" si="836"/>
        <v>0.49404296375297974</v>
      </c>
      <c r="AD90" s="48">
        <f t="shared" si="836"/>
        <v>0.61806632909209624</v>
      </c>
      <c r="AE90" s="48">
        <f t="shared" ref="AE90" si="837">+AE87/AE86-1</f>
        <v>0.74520606972575387</v>
      </c>
      <c r="CM90" s="48">
        <f t="shared" ref="CM90:DB90" si="838">+CM87/CM86-1</f>
        <v>0.31164791709204298</v>
      </c>
      <c r="CN90" s="48">
        <f t="shared" si="838"/>
        <v>0.33471733359228129</v>
      </c>
      <c r="CO90" s="48">
        <f t="shared" si="838"/>
        <v>0.34577843460614011</v>
      </c>
      <c r="CP90" s="48">
        <f t="shared" si="838"/>
        <v>0.36891565699697448</v>
      </c>
      <c r="CQ90" s="48">
        <f t="shared" si="838"/>
        <v>0.4022603571943677</v>
      </c>
      <c r="CR90" s="48">
        <f t="shared" si="838"/>
        <v>0.43229490119717173</v>
      </c>
      <c r="CS90" s="48">
        <f t="shared" si="838"/>
        <v>0.46162320367586918</v>
      </c>
      <c r="CT90" s="48">
        <f t="shared" si="838"/>
        <v>0.49404296375297974</v>
      </c>
      <c r="CU90" s="48">
        <f t="shared" si="838"/>
        <v>0.5250441511832602</v>
      </c>
      <c r="CV90" s="48">
        <f t="shared" si="838"/>
        <v>0.55563759296252013</v>
      </c>
      <c r="CW90" s="48">
        <f t="shared" si="838"/>
        <v>0.58655877690537639</v>
      </c>
      <c r="CX90" s="48">
        <f t="shared" si="838"/>
        <v>0.61806632909209624</v>
      </c>
      <c r="CY90" s="48">
        <f t="shared" si="838"/>
        <v>0.64943874049423123</v>
      </c>
      <c r="CZ90" s="48">
        <f t="shared" si="838"/>
        <v>0.68101367081368536</v>
      </c>
      <c r="DA90" s="48">
        <f t="shared" si="838"/>
        <v>0.71293922596644976</v>
      </c>
      <c r="DB90" s="48">
        <f t="shared" si="838"/>
        <v>0.74520606972575387</v>
      </c>
      <c r="DE90" s="129"/>
      <c r="DF90" s="51">
        <v>0.53875500731226533</v>
      </c>
    </row>
    <row r="91" spans="1:110" s="51" customFormat="1" x14ac:dyDescent="0.2">
      <c r="A91" s="51" t="s">
        <v>347</v>
      </c>
      <c r="AB91" s="48">
        <f t="shared" ref="AB91:AD91" si="839">+AB88/AB86-1</f>
        <v>-0.18306987184379209</v>
      </c>
      <c r="AC91" s="48">
        <f t="shared" si="839"/>
        <v>-0.12663397060784776</v>
      </c>
      <c r="AD91" s="48">
        <f t="shared" si="839"/>
        <v>-5.0160871957081854E-2</v>
      </c>
      <c r="AE91" s="48">
        <f t="shared" ref="AE91" si="840">+AE88/AE86-1</f>
        <v>2.731547399179779E-2</v>
      </c>
      <c r="CM91" s="48">
        <f t="shared" ref="CM91:DB91" si="841">+CM88/CM86-1</f>
        <v>-0.18306987184379209</v>
      </c>
      <c r="CN91" s="48">
        <f t="shared" si="841"/>
        <v>-0.16870160949804691</v>
      </c>
      <c r="CO91" s="48">
        <f t="shared" si="841"/>
        <v>-0.16181245384045728</v>
      </c>
      <c r="CP91" s="48">
        <f t="shared" si="841"/>
        <v>-0.14740196013508233</v>
      </c>
      <c r="CQ91" s="48">
        <f t="shared" si="841"/>
        <v>-0.12663397060784776</v>
      </c>
      <c r="CR91" s="48">
        <f t="shared" si="841"/>
        <v>-0.1079276367193136</v>
      </c>
      <c r="CS91" s="48">
        <f t="shared" si="841"/>
        <v>-8.9661169330988555E-2</v>
      </c>
      <c r="CT91" s="48">
        <f t="shared" si="841"/>
        <v>-6.9469257759700032E-2</v>
      </c>
      <c r="CU91" s="48">
        <f t="shared" si="841"/>
        <v>-5.0160871957081854E-2</v>
      </c>
      <c r="CV91" s="48">
        <f t="shared" si="841"/>
        <v>-3.1106441276568364E-2</v>
      </c>
      <c r="CW91" s="48">
        <f t="shared" si="841"/>
        <v>-1.1847883829854688E-2</v>
      </c>
      <c r="CX91" s="48">
        <f t="shared" si="841"/>
        <v>7.7758797658291634E-3</v>
      </c>
      <c r="CY91" s="48">
        <f t="shared" si="841"/>
        <v>2.731547399179779E-2</v>
      </c>
      <c r="CZ91" s="48">
        <f t="shared" si="841"/>
        <v>4.6981202527837995E-2</v>
      </c>
      <c r="DA91" s="48">
        <f t="shared" si="841"/>
        <v>6.6865309781428239E-2</v>
      </c>
      <c r="DB91" s="48">
        <f t="shared" si="841"/>
        <v>8.6961980895674085E-2</v>
      </c>
      <c r="DE91" s="129"/>
      <c r="DF91" s="51">
        <v>-5.3835230283377777E-3</v>
      </c>
    </row>
    <row r="92" spans="1:110" s="14" customFormat="1" x14ac:dyDescent="0.2">
      <c r="AB92" s="16"/>
      <c r="AC92" s="16"/>
      <c r="AD92" s="16"/>
      <c r="AE92" s="16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</row>
    <row r="93" spans="1:110" s="13" customFormat="1" x14ac:dyDescent="0.2">
      <c r="A93" s="13" t="s">
        <v>40</v>
      </c>
      <c r="AB93" s="37"/>
      <c r="AC93" s="37"/>
      <c r="AD93" s="37"/>
      <c r="AE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E93" s="134"/>
    </row>
    <row r="94" spans="1:110" s="13" customFormat="1" x14ac:dyDescent="0.2">
      <c r="A94" s="13" t="s">
        <v>460</v>
      </c>
      <c r="B94" s="13" t="e">
        <f t="shared" ref="B94:D94" si="842">+B86/B78</f>
        <v>#DIV/0!</v>
      </c>
      <c r="C94" s="13" t="e">
        <f t="shared" si="842"/>
        <v>#DIV/0!</v>
      </c>
      <c r="D94" s="13" t="e">
        <f t="shared" si="842"/>
        <v>#DIV/0!</v>
      </c>
      <c r="E94" s="13" t="e">
        <f t="shared" ref="E94:AE94" ca="1" si="843">+E86/E78</f>
        <v>#DIV/0!</v>
      </c>
      <c r="F94" s="13" t="e">
        <f t="shared" ca="1" si="843"/>
        <v>#DIV/0!</v>
      </c>
      <c r="G94" s="13" t="e">
        <f t="shared" ca="1" si="843"/>
        <v>#DIV/0!</v>
      </c>
      <c r="H94" s="13" t="e">
        <f t="shared" ca="1" si="843"/>
        <v>#DIV/0!</v>
      </c>
      <c r="I94" s="13" t="e">
        <f t="shared" ca="1" si="843"/>
        <v>#DIV/0!</v>
      </c>
      <c r="J94" s="13" t="e">
        <f t="shared" ca="1" si="843"/>
        <v>#DIV/0!</v>
      </c>
      <c r="K94" s="13" t="e">
        <f t="shared" ca="1" si="843"/>
        <v>#DIV/0!</v>
      </c>
      <c r="L94" s="13" t="e">
        <f t="shared" ca="1" si="843"/>
        <v>#DIV/0!</v>
      </c>
      <c r="M94" s="13" t="e">
        <f t="shared" ca="1" si="843"/>
        <v>#DIV/0!</v>
      </c>
      <c r="N94" s="13" t="e">
        <f t="shared" ca="1" si="843"/>
        <v>#DIV/0!</v>
      </c>
      <c r="O94" s="13" t="e">
        <f t="shared" ca="1" si="843"/>
        <v>#DIV/0!</v>
      </c>
      <c r="P94" s="13" t="e">
        <f t="shared" ca="1" si="843"/>
        <v>#DIV/0!</v>
      </c>
      <c r="Q94" s="13" t="e">
        <f t="shared" ca="1" si="843"/>
        <v>#DIV/0!</v>
      </c>
      <c r="R94" s="13" t="e">
        <f t="shared" ca="1" si="843"/>
        <v>#DIV/0!</v>
      </c>
      <c r="S94" s="13" t="e">
        <f t="shared" ca="1" si="843"/>
        <v>#DIV/0!</v>
      </c>
      <c r="T94" s="13" t="e">
        <f t="shared" ca="1" si="843"/>
        <v>#DIV/0!</v>
      </c>
      <c r="U94" s="13" t="e">
        <f t="shared" ca="1" si="843"/>
        <v>#DIV/0!</v>
      </c>
      <c r="V94" s="13" t="e">
        <f t="shared" ca="1" si="843"/>
        <v>#DIV/0!</v>
      </c>
      <c r="W94" s="13" t="e">
        <f t="shared" ca="1" si="843"/>
        <v>#DIV/0!</v>
      </c>
      <c r="X94" s="13" t="e">
        <f t="shared" ca="1" si="843"/>
        <v>#DIV/0!</v>
      </c>
      <c r="Y94" s="13" t="e">
        <f t="shared" ca="1" si="843"/>
        <v>#DIV/0!</v>
      </c>
      <c r="Z94" s="13" t="e">
        <f t="shared" ref="Z94:AA94" ca="1" si="844">+Z86/Z78</f>
        <v>#DIV/0!</v>
      </c>
      <c r="AA94" s="13" t="e">
        <f t="shared" ca="1" si="844"/>
        <v>#DIV/0!</v>
      </c>
      <c r="AB94" s="37" t="e">
        <f t="shared" ca="1" si="843"/>
        <v>#DIV/0!</v>
      </c>
      <c r="AC94" s="37" t="e">
        <f t="shared" ca="1" si="843"/>
        <v>#DIV/0!</v>
      </c>
      <c r="AD94" s="37" t="e">
        <f t="shared" ca="1" si="843"/>
        <v>#DIV/0!</v>
      </c>
      <c r="AE94" s="37" t="e">
        <f t="shared" ca="1" si="843"/>
        <v>#DIV/0!</v>
      </c>
      <c r="AL94" s="13">
        <f t="shared" ref="AL94:BQ94" si="845">+AL86/AL78</f>
        <v>20.441866998723174</v>
      </c>
      <c r="AM94" s="13">
        <f t="shared" si="845"/>
        <v>19.03372294591156</v>
      </c>
      <c r="AN94" s="13">
        <f t="shared" si="845"/>
        <v>22.300210575588196</v>
      </c>
      <c r="AO94" s="13">
        <f t="shared" si="845"/>
        <v>22.554483150517449</v>
      </c>
      <c r="AP94" s="13">
        <f t="shared" si="845"/>
        <v>20.10101560906017</v>
      </c>
      <c r="AQ94" s="13">
        <f t="shared" si="845"/>
        <v>21.464268734407391</v>
      </c>
      <c r="AR94" s="13">
        <f t="shared" si="845"/>
        <v>23.585794677167975</v>
      </c>
      <c r="AS94" s="13">
        <f t="shared" si="845"/>
        <v>22.011356014579643</v>
      </c>
      <c r="AT94" s="13">
        <f t="shared" si="845"/>
        <v>23.809823973540521</v>
      </c>
      <c r="AU94" s="13">
        <f t="shared" si="845"/>
        <v>23.061088785163371</v>
      </c>
      <c r="AV94" s="13">
        <f t="shared" si="845"/>
        <v>22.452960707029934</v>
      </c>
      <c r="AW94" s="13">
        <f t="shared" si="845"/>
        <v>20.399294541754784</v>
      </c>
      <c r="AX94" s="13">
        <f t="shared" si="845"/>
        <v>18.764114132674084</v>
      </c>
      <c r="AY94" s="13">
        <f t="shared" si="845"/>
        <v>18.586747181964576</v>
      </c>
      <c r="AZ94" s="13">
        <f t="shared" si="845"/>
        <v>17.328253066698217</v>
      </c>
      <c r="BA94" s="13">
        <f t="shared" si="845"/>
        <v>16.429535759578798</v>
      </c>
      <c r="BB94" s="13">
        <f t="shared" si="845"/>
        <v>16.738145231846016</v>
      </c>
      <c r="BC94" s="13">
        <f t="shared" si="845"/>
        <v>16.512225566230661</v>
      </c>
      <c r="BD94" s="13">
        <f t="shared" si="845"/>
        <v>17.112037863211391</v>
      </c>
      <c r="BE94" s="13">
        <f t="shared" si="845"/>
        <v>19.145021543282414</v>
      </c>
      <c r="BF94" s="13">
        <f t="shared" si="845"/>
        <v>19.969151242933478</v>
      </c>
      <c r="BG94" s="13">
        <f t="shared" si="845"/>
        <v>24.565093126630174</v>
      </c>
      <c r="BH94" s="13">
        <f t="shared" si="845"/>
        <v>27.576684335332683</v>
      </c>
      <c r="BI94" s="13">
        <f t="shared" si="845"/>
        <v>22.660003305785121</v>
      </c>
      <c r="BJ94" s="13">
        <f t="shared" si="845"/>
        <v>23.009176410777837</v>
      </c>
      <c r="BK94" s="13">
        <f t="shared" si="845"/>
        <v>24.990375972476212</v>
      </c>
      <c r="BL94" s="13">
        <f t="shared" si="845"/>
        <v>23.451129490186396</v>
      </c>
      <c r="BM94" s="13">
        <f t="shared" si="845"/>
        <v>24.135194496714689</v>
      </c>
      <c r="BN94" s="13">
        <f t="shared" si="845"/>
        <v>20.406434755720468</v>
      </c>
      <c r="BO94" s="13">
        <f t="shared" si="845"/>
        <v>24.145702662011082</v>
      </c>
      <c r="BP94" s="13">
        <f t="shared" si="845"/>
        <v>28.301838835195184</v>
      </c>
      <c r="BQ94" s="13">
        <f t="shared" si="845"/>
        <v>32.017885427259564</v>
      </c>
      <c r="BR94" s="13">
        <f t="shared" ref="BR94:DB94" si="846">+BR86/BR78</f>
        <v>34.186019971469328</v>
      </c>
      <c r="BS94" s="13">
        <f t="shared" si="846"/>
        <v>33.9705032540395</v>
      </c>
      <c r="BT94" s="13">
        <f t="shared" si="846"/>
        <v>37.353918915224575</v>
      </c>
      <c r="BU94" s="13">
        <f t="shared" si="846"/>
        <v>35.932204425319412</v>
      </c>
      <c r="BV94" s="13">
        <f t="shared" si="846"/>
        <v>35.313110861794556</v>
      </c>
      <c r="BW94" s="13">
        <f t="shared" si="846"/>
        <v>30.466801556821405</v>
      </c>
      <c r="BX94" s="13">
        <f t="shared" si="846"/>
        <v>27.463518836481164</v>
      </c>
      <c r="BY94" s="13">
        <f t="shared" si="846"/>
        <v>29.002445859246333</v>
      </c>
      <c r="BZ94" s="13">
        <f t="shared" si="846"/>
        <v>27.534571855648093</v>
      </c>
      <c r="CA94" s="13">
        <f t="shared" si="846"/>
        <v>27.313650184029441</v>
      </c>
      <c r="CB94" s="13">
        <f t="shared" si="846"/>
        <v>28.623001298875796</v>
      </c>
      <c r="CC94" s="13">
        <f t="shared" si="846"/>
        <v>29.979309968575418</v>
      </c>
      <c r="CD94" s="13">
        <f t="shared" si="846"/>
        <v>29.997121580676819</v>
      </c>
      <c r="CE94" s="13">
        <f t="shared" si="846"/>
        <v>29.55326768690416</v>
      </c>
      <c r="CF94" s="13">
        <f t="shared" si="846"/>
        <v>31.925469534494514</v>
      </c>
      <c r="CG94" s="13">
        <f t="shared" si="846"/>
        <v>30.416225416811926</v>
      </c>
      <c r="CH94" s="13">
        <f t="shared" si="846"/>
        <v>26.873950116367674</v>
      </c>
      <c r="CI94" s="13">
        <f t="shared" ref="CI94:CJ94" si="847">+CI86/CI78</f>
        <v>25.42772106427455</v>
      </c>
      <c r="CJ94" s="13">
        <f t="shared" si="847"/>
        <v>20.678965476331712</v>
      </c>
      <c r="CK94" s="13">
        <f t="shared" ref="CK94:CL94" si="848">+CK86/CK78</f>
        <v>22.213573370085367</v>
      </c>
      <c r="CL94" s="13">
        <f t="shared" si="848"/>
        <v>15.892066770879858</v>
      </c>
      <c r="CM94" s="37">
        <f t="shared" si="846"/>
        <v>17.137328539464779</v>
      </c>
      <c r="CN94" s="37">
        <f t="shared" si="846"/>
        <v>16.841124871595802</v>
      </c>
      <c r="CO94" s="37">
        <f t="shared" si="846"/>
        <v>16.702705813449541</v>
      </c>
      <c r="CP94" s="37">
        <f t="shared" si="846"/>
        <v>16.420398998592709</v>
      </c>
      <c r="CQ94" s="37">
        <f t="shared" si="846"/>
        <v>16.029934218696091</v>
      </c>
      <c r="CR94" s="37">
        <f t="shared" si="846"/>
        <v>15.693794109385458</v>
      </c>
      <c r="CS94" s="37">
        <f t="shared" si="846"/>
        <v>15.378889187569147</v>
      </c>
      <c r="CT94" s="37">
        <f t="shared" si="846"/>
        <v>15.045177299886181</v>
      </c>
      <c r="CU94" s="37">
        <f t="shared" si="846"/>
        <v>14.739338048587333</v>
      </c>
      <c r="CV94" s="37">
        <f t="shared" si="846"/>
        <v>14.449471641080716</v>
      </c>
      <c r="CW94" s="37">
        <f t="shared" si="846"/>
        <v>14.167859149318875</v>
      </c>
      <c r="CX94" s="37">
        <f t="shared" si="846"/>
        <v>13.891977652067935</v>
      </c>
      <c r="CY94" s="37">
        <f t="shared" si="846"/>
        <v>13.627751508113445</v>
      </c>
      <c r="CZ94" s="37">
        <f t="shared" si="846"/>
        <v>13.371777799064883</v>
      </c>
      <c r="DA94" s="37">
        <f t="shared" si="846"/>
        <v>13.122556213650084</v>
      </c>
      <c r="DB94" s="37">
        <f t="shared" si="846"/>
        <v>12.879935311503514</v>
      </c>
      <c r="DE94" s="134"/>
      <c r="DF94" s="13">
        <v>16.459844882644862</v>
      </c>
    </row>
    <row r="95" spans="1:110" s="13" customFormat="1" x14ac:dyDescent="0.2">
      <c r="A95" s="13" t="s">
        <v>461</v>
      </c>
      <c r="B95" s="13" t="e">
        <f t="shared" ref="B95:D95" si="849">+B87/B78</f>
        <v>#DIV/0!</v>
      </c>
      <c r="C95" s="13" t="e">
        <f t="shared" si="849"/>
        <v>#DIV/0!</v>
      </c>
      <c r="D95" s="13" t="e">
        <f t="shared" si="849"/>
        <v>#DIV/0!</v>
      </c>
      <c r="E95" s="13" t="e">
        <f t="shared" ref="E95:AE95" ca="1" si="850">+E87/E78</f>
        <v>#DIV/0!</v>
      </c>
      <c r="F95" s="13" t="e">
        <f t="shared" ca="1" si="850"/>
        <v>#DIV/0!</v>
      </c>
      <c r="G95" s="13" t="e">
        <f t="shared" ca="1" si="850"/>
        <v>#DIV/0!</v>
      </c>
      <c r="H95" s="13" t="e">
        <f t="shared" ca="1" si="850"/>
        <v>#DIV/0!</v>
      </c>
      <c r="I95" s="13" t="e">
        <f t="shared" ca="1" si="850"/>
        <v>#DIV/0!</v>
      </c>
      <c r="J95" s="13" t="e">
        <f t="shared" ca="1" si="850"/>
        <v>#DIV/0!</v>
      </c>
      <c r="K95" s="13" t="e">
        <f t="shared" ca="1" si="850"/>
        <v>#DIV/0!</v>
      </c>
      <c r="L95" s="13" t="e">
        <f t="shared" ca="1" si="850"/>
        <v>#DIV/0!</v>
      </c>
      <c r="M95" s="13" t="e">
        <f t="shared" ca="1" si="850"/>
        <v>#DIV/0!</v>
      </c>
      <c r="N95" s="13" t="e">
        <f t="shared" ca="1" si="850"/>
        <v>#DIV/0!</v>
      </c>
      <c r="O95" s="13" t="e">
        <f t="shared" ca="1" si="850"/>
        <v>#DIV/0!</v>
      </c>
      <c r="P95" s="13" t="e">
        <f t="shared" ca="1" si="850"/>
        <v>#DIV/0!</v>
      </c>
      <c r="Q95" s="13" t="e">
        <f t="shared" ca="1" si="850"/>
        <v>#DIV/0!</v>
      </c>
      <c r="R95" s="13" t="e">
        <f t="shared" ca="1" si="850"/>
        <v>#DIV/0!</v>
      </c>
      <c r="S95" s="13" t="e">
        <f t="shared" ca="1" si="850"/>
        <v>#DIV/0!</v>
      </c>
      <c r="T95" s="13" t="e">
        <f t="shared" ca="1" si="850"/>
        <v>#DIV/0!</v>
      </c>
      <c r="U95" s="13" t="e">
        <f t="shared" ca="1" si="850"/>
        <v>#DIV/0!</v>
      </c>
      <c r="V95" s="13" t="e">
        <f t="shared" ca="1" si="850"/>
        <v>#DIV/0!</v>
      </c>
      <c r="W95" s="13" t="e">
        <f t="shared" ca="1" si="850"/>
        <v>#DIV/0!</v>
      </c>
      <c r="X95" s="13" t="e">
        <f t="shared" ca="1" si="850"/>
        <v>#DIV/0!</v>
      </c>
      <c r="Y95" s="13" t="e">
        <f t="shared" ca="1" si="850"/>
        <v>#DIV/0!</v>
      </c>
      <c r="Z95" s="13" t="e">
        <f t="shared" ref="Z95:AA95" ca="1" si="851">+Z87/Z78</f>
        <v>#DIV/0!</v>
      </c>
      <c r="AA95" s="13" t="e">
        <f t="shared" ca="1" si="851"/>
        <v>#DIV/0!</v>
      </c>
      <c r="AB95" s="60" t="e">
        <f t="shared" ca="1" si="850"/>
        <v>#DIV/0!</v>
      </c>
      <c r="AC95" s="60" t="e">
        <f t="shared" ca="1" si="850"/>
        <v>#DIV/0!</v>
      </c>
      <c r="AD95" s="60" t="e">
        <f t="shared" ca="1" si="850"/>
        <v>#DIV/0!</v>
      </c>
      <c r="AE95" s="60" t="e">
        <f t="shared" ca="1" si="850"/>
        <v>#DIV/0!</v>
      </c>
      <c r="AL95" s="13">
        <f t="shared" ref="AL95:BQ95" si="852">+AL87/AL78</f>
        <v>20.782608133324615</v>
      </c>
      <c r="AM95" s="13">
        <f t="shared" si="852"/>
        <v>19.743225526745722</v>
      </c>
      <c r="AN95" s="13">
        <f t="shared" si="852"/>
        <v>24.026517944326958</v>
      </c>
      <c r="AO95" s="13">
        <f t="shared" si="852"/>
        <v>23.459384452901233</v>
      </c>
      <c r="AP95" s="13">
        <f t="shared" si="852"/>
        <v>22.518426601725011</v>
      </c>
      <c r="AQ95" s="13">
        <f t="shared" si="852"/>
        <v>21.531248927816961</v>
      </c>
      <c r="AR95" s="13">
        <f t="shared" si="852"/>
        <v>23.945843693859825</v>
      </c>
      <c r="AS95" s="13">
        <f t="shared" si="852"/>
        <v>24.417811463310258</v>
      </c>
      <c r="AT95" s="13">
        <f t="shared" si="852"/>
        <v>26.267880632751165</v>
      </c>
      <c r="AU95" s="13">
        <f t="shared" si="852"/>
        <v>24.505004617727085</v>
      </c>
      <c r="AV95" s="13">
        <f t="shared" si="852"/>
        <v>23.86944864435754</v>
      </c>
      <c r="AW95" s="13">
        <f t="shared" si="852"/>
        <v>23.157447764069776</v>
      </c>
      <c r="AX95" s="13">
        <f t="shared" si="852"/>
        <v>18.89798104655954</v>
      </c>
      <c r="AY95" s="13">
        <f t="shared" si="852"/>
        <v>19.495026167471821</v>
      </c>
      <c r="AZ95" s="13">
        <f t="shared" si="852"/>
        <v>19.56139312901826</v>
      </c>
      <c r="BA95" s="13">
        <f t="shared" si="852"/>
        <v>17.076784135890239</v>
      </c>
      <c r="BB95" s="13">
        <f t="shared" si="852"/>
        <v>17.790863098634407</v>
      </c>
      <c r="BC95" s="13">
        <f t="shared" si="852"/>
        <v>18.908029478720533</v>
      </c>
      <c r="BD95" s="13">
        <f t="shared" si="852"/>
        <v>18.142130581526168</v>
      </c>
      <c r="BE95" s="13">
        <f t="shared" si="852"/>
        <v>19.666823345084214</v>
      </c>
      <c r="BF95" s="13">
        <f t="shared" si="852"/>
        <v>22.811074111360647</v>
      </c>
      <c r="BG95" s="13">
        <f t="shared" si="852"/>
        <v>25.083736820836851</v>
      </c>
      <c r="BH95" s="13">
        <f t="shared" si="852"/>
        <v>27.95097991351653</v>
      </c>
      <c r="BI95" s="13">
        <f t="shared" si="852"/>
        <v>27.200859504132229</v>
      </c>
      <c r="BJ95" s="13">
        <f t="shared" si="852"/>
        <v>24.129499237417392</v>
      </c>
      <c r="BK95" s="13">
        <f t="shared" si="852"/>
        <v>25.701741933484179</v>
      </c>
      <c r="BL95" s="13">
        <f t="shared" si="852"/>
        <v>25.649672879891373</v>
      </c>
      <c r="BM95" s="13">
        <f t="shared" si="852"/>
        <v>25.522133448499243</v>
      </c>
      <c r="BN95" s="13">
        <f t="shared" si="852"/>
        <v>25.296904761904759</v>
      </c>
      <c r="BO95" s="13">
        <f t="shared" si="852"/>
        <v>24.723775506935326</v>
      </c>
      <c r="BP95" s="13">
        <f t="shared" si="852"/>
        <v>29.011798669511741</v>
      </c>
      <c r="BQ95" s="13">
        <f t="shared" si="852"/>
        <v>32.929271825213405</v>
      </c>
      <c r="BR95" s="13">
        <f t="shared" ref="BR95:CH95" si="853">+BR87/BR78</f>
        <v>35.989672491678554</v>
      </c>
      <c r="BS95" s="13">
        <f t="shared" si="853"/>
        <v>34.516326301615798</v>
      </c>
      <c r="BT95" s="13">
        <f t="shared" si="853"/>
        <v>39.402966182782471</v>
      </c>
      <c r="BU95" s="13">
        <f t="shared" si="853"/>
        <v>38.366403697505774</v>
      </c>
      <c r="BV95" s="13">
        <f t="shared" si="853"/>
        <v>38.209904245049181</v>
      </c>
      <c r="BW95" s="13">
        <f t="shared" si="853"/>
        <v>35.787586669072354</v>
      </c>
      <c r="BX95" s="13">
        <f t="shared" si="853"/>
        <v>31.333602666397336</v>
      </c>
      <c r="BY95" s="13">
        <f t="shared" si="853"/>
        <v>30.963675917504489</v>
      </c>
      <c r="BZ95" s="13">
        <f t="shared" si="853"/>
        <v>30.705625548674877</v>
      </c>
      <c r="CA95" s="13">
        <f t="shared" si="853"/>
        <v>27.913218114898381</v>
      </c>
      <c r="CB95" s="13">
        <f t="shared" si="853"/>
        <v>29.452324539794862</v>
      </c>
      <c r="CC95" s="13">
        <f t="shared" si="853"/>
        <v>31.037881895949717</v>
      </c>
      <c r="CD95" s="13">
        <f t="shared" si="853"/>
        <v>32.862008705671485</v>
      </c>
      <c r="CE95" s="13">
        <f t="shared" si="853"/>
        <v>30.749414617829064</v>
      </c>
      <c r="CF95" s="13">
        <f t="shared" si="853"/>
        <v>34.30020868199756</v>
      </c>
      <c r="CG95" s="13">
        <f t="shared" si="853"/>
        <v>33.361934253429858</v>
      </c>
      <c r="CH95" s="13">
        <f t="shared" si="853"/>
        <v>32.221228348402768</v>
      </c>
      <c r="CI95" s="13">
        <f t="shared" ref="CI95:CJ95" si="854">+CI87/CI78</f>
        <v>26.668966776936657</v>
      </c>
      <c r="CJ95" s="13">
        <f t="shared" si="854"/>
        <v>24.979746510064459</v>
      </c>
      <c r="CK95" s="13">
        <f t="shared" ref="CK95:CL95" si="855">+CK87/CK78</f>
        <v>23.06206500516825</v>
      </c>
      <c r="CL95" s="13">
        <f t="shared" si="855"/>
        <v>22.478141283311</v>
      </c>
      <c r="CM95" s="60">
        <f t="shared" ref="CM95" si="856">+CL95</f>
        <v>22.478141283311</v>
      </c>
      <c r="CN95" s="60">
        <f t="shared" ref="CN95:CN96" si="857">+CM95</f>
        <v>22.478141283311</v>
      </c>
      <c r="CO95" s="60">
        <f t="shared" ref="CO95:CO96" si="858">+CN95</f>
        <v>22.478141283311</v>
      </c>
      <c r="CP95" s="60">
        <f t="shared" ref="CP95:CP96" si="859">+CO95</f>
        <v>22.478141283311</v>
      </c>
      <c r="CQ95" s="60">
        <f t="shared" ref="CQ95:CQ96" si="860">+CP95</f>
        <v>22.478141283311</v>
      </c>
      <c r="CR95" s="60">
        <f t="shared" ref="CR95:CR96" si="861">+CQ95</f>
        <v>22.478141283311</v>
      </c>
      <c r="CS95" s="60">
        <f t="shared" ref="CS95:CS96" si="862">+CR95</f>
        <v>22.478141283311</v>
      </c>
      <c r="CT95" s="60">
        <f t="shared" ref="CT95:CT96" si="863">+CS95</f>
        <v>22.478141283311</v>
      </c>
      <c r="CU95" s="60">
        <f t="shared" ref="CU95:CU96" si="864">+CT95</f>
        <v>22.478141283311</v>
      </c>
      <c r="CV95" s="60">
        <f t="shared" ref="CV95:CV96" si="865">+CU95</f>
        <v>22.478141283311</v>
      </c>
      <c r="CW95" s="60">
        <f t="shared" ref="CW95:CW96" si="866">+CV95</f>
        <v>22.478141283311</v>
      </c>
      <c r="CX95" s="60">
        <f t="shared" ref="CX95:CX96" si="867">+CW95</f>
        <v>22.478141283311</v>
      </c>
      <c r="CY95" s="60">
        <f t="shared" ref="CY95:CY96" si="868">+CX95</f>
        <v>22.478141283311</v>
      </c>
      <c r="CZ95" s="60">
        <f t="shared" ref="CZ95:CZ96" si="869">+CY95</f>
        <v>22.478141283311</v>
      </c>
      <c r="DA95" s="60">
        <f t="shared" ref="DA95:DA96" si="870">+CZ95</f>
        <v>22.478141283311</v>
      </c>
      <c r="DB95" s="60">
        <f t="shared" ref="DB95:DB96" si="871">+DA95</f>
        <v>22.478141283311</v>
      </c>
      <c r="DE95" s="136"/>
      <c r="DF95" s="13">
        <v>23.281221008423348</v>
      </c>
    </row>
    <row r="96" spans="1:110" s="13" customFormat="1" x14ac:dyDescent="0.2">
      <c r="A96" s="13" t="s">
        <v>462</v>
      </c>
      <c r="B96" s="13" t="e">
        <f t="shared" ref="B96:D96" si="872">+B88/B78</f>
        <v>#DIV/0!</v>
      </c>
      <c r="C96" s="13" t="e">
        <f t="shared" si="872"/>
        <v>#DIV/0!</v>
      </c>
      <c r="D96" s="13" t="e">
        <f t="shared" si="872"/>
        <v>#DIV/0!</v>
      </c>
      <c r="E96" s="13" t="e">
        <f t="shared" ref="E96:AE96" ca="1" si="873">+E88/E78</f>
        <v>#DIV/0!</v>
      </c>
      <c r="F96" s="13" t="e">
        <f t="shared" ca="1" si="873"/>
        <v>#DIV/0!</v>
      </c>
      <c r="G96" s="13" t="e">
        <f t="shared" ca="1" si="873"/>
        <v>#DIV/0!</v>
      </c>
      <c r="H96" s="13" t="e">
        <f t="shared" ca="1" si="873"/>
        <v>#DIV/0!</v>
      </c>
      <c r="I96" s="13" t="e">
        <f t="shared" ca="1" si="873"/>
        <v>#DIV/0!</v>
      </c>
      <c r="J96" s="13" t="e">
        <f t="shared" ca="1" si="873"/>
        <v>#DIV/0!</v>
      </c>
      <c r="K96" s="13" t="e">
        <f t="shared" ca="1" si="873"/>
        <v>#DIV/0!</v>
      </c>
      <c r="L96" s="13" t="e">
        <f t="shared" ca="1" si="873"/>
        <v>#DIV/0!</v>
      </c>
      <c r="M96" s="13" t="e">
        <f t="shared" ca="1" si="873"/>
        <v>#DIV/0!</v>
      </c>
      <c r="N96" s="13" t="e">
        <f t="shared" ca="1" si="873"/>
        <v>#DIV/0!</v>
      </c>
      <c r="O96" s="13" t="e">
        <f t="shared" ca="1" si="873"/>
        <v>#DIV/0!</v>
      </c>
      <c r="P96" s="13" t="e">
        <f t="shared" ca="1" si="873"/>
        <v>#DIV/0!</v>
      </c>
      <c r="Q96" s="13" t="e">
        <f t="shared" ca="1" si="873"/>
        <v>#DIV/0!</v>
      </c>
      <c r="R96" s="13" t="e">
        <f t="shared" ca="1" si="873"/>
        <v>#DIV/0!</v>
      </c>
      <c r="S96" s="13" t="e">
        <f t="shared" ca="1" si="873"/>
        <v>#DIV/0!</v>
      </c>
      <c r="T96" s="13" t="e">
        <f t="shared" ca="1" si="873"/>
        <v>#DIV/0!</v>
      </c>
      <c r="U96" s="13" t="e">
        <f t="shared" ca="1" si="873"/>
        <v>#DIV/0!</v>
      </c>
      <c r="V96" s="13" t="e">
        <f t="shared" ca="1" si="873"/>
        <v>#DIV/0!</v>
      </c>
      <c r="W96" s="13" t="e">
        <f t="shared" ca="1" si="873"/>
        <v>#DIV/0!</v>
      </c>
      <c r="X96" s="13" t="e">
        <f t="shared" ca="1" si="873"/>
        <v>#DIV/0!</v>
      </c>
      <c r="Y96" s="13" t="e">
        <f t="shared" ca="1" si="873"/>
        <v>#DIV/0!</v>
      </c>
      <c r="Z96" s="13" t="e">
        <f t="shared" ref="Z96:AA96" ca="1" si="874">+Z88/Z78</f>
        <v>#DIV/0!</v>
      </c>
      <c r="AA96" s="13" t="e">
        <f t="shared" ca="1" si="874"/>
        <v>#DIV/0!</v>
      </c>
      <c r="AB96" s="60" t="e">
        <f t="shared" ca="1" si="873"/>
        <v>#DIV/0!</v>
      </c>
      <c r="AC96" s="60" t="e">
        <f t="shared" ca="1" si="873"/>
        <v>#DIV/0!</v>
      </c>
      <c r="AD96" s="60" t="e">
        <f t="shared" ca="1" si="873"/>
        <v>#DIV/0!</v>
      </c>
      <c r="AE96" s="60" t="e">
        <f t="shared" ca="1" si="873"/>
        <v>#DIV/0!</v>
      </c>
      <c r="AL96" s="13">
        <f t="shared" ref="AL96:BQ96" si="875">+AL88/AL78</f>
        <v>16.321760455145427</v>
      </c>
      <c r="AM96" s="13">
        <f t="shared" si="875"/>
        <v>17.098260075226136</v>
      </c>
      <c r="AN96" s="13">
        <f t="shared" si="875"/>
        <v>16.959248220211034</v>
      </c>
      <c r="AO96" s="13">
        <f t="shared" si="875"/>
        <v>19.854843616367901</v>
      </c>
      <c r="AP96" s="13">
        <f t="shared" si="875"/>
        <v>19.028552166133455</v>
      </c>
      <c r="AQ96" s="13">
        <f t="shared" si="875"/>
        <v>17.747533366336146</v>
      </c>
      <c r="AR96" s="13">
        <f t="shared" si="875"/>
        <v>20.121399593113868</v>
      </c>
      <c r="AS96" s="13">
        <f t="shared" si="875"/>
        <v>20.232577900041747</v>
      </c>
      <c r="AT96" s="13">
        <f t="shared" si="875"/>
        <v>22.504375742094361</v>
      </c>
      <c r="AU96" s="13">
        <f t="shared" si="875"/>
        <v>21.703916331777453</v>
      </c>
      <c r="AV96" s="13">
        <f t="shared" si="875"/>
        <v>21.301549072828571</v>
      </c>
      <c r="AW96" s="13">
        <f t="shared" si="875"/>
        <v>19.374395580582249</v>
      </c>
      <c r="AX96" s="13">
        <f t="shared" si="875"/>
        <v>15.803007828594975</v>
      </c>
      <c r="AY96" s="13">
        <f t="shared" si="875"/>
        <v>17.523991545893722</v>
      </c>
      <c r="AZ96" s="13">
        <f t="shared" si="875"/>
        <v>16.327337987614875</v>
      </c>
      <c r="BA96" s="13">
        <f t="shared" si="875"/>
        <v>14.292329272510662</v>
      </c>
      <c r="BB96" s="13">
        <f t="shared" si="875"/>
        <v>14.832374757503137</v>
      </c>
      <c r="BC96" s="13">
        <f t="shared" si="875"/>
        <v>15.748543427094187</v>
      </c>
      <c r="BD96" s="13">
        <f t="shared" si="875"/>
        <v>16.32560034138961</v>
      </c>
      <c r="BE96" s="13">
        <f t="shared" si="875"/>
        <v>17.192518605562086</v>
      </c>
      <c r="BF96" s="13">
        <f t="shared" si="875"/>
        <v>18.381038488345077</v>
      </c>
      <c r="BG96" s="13">
        <f t="shared" si="875"/>
        <v>18.91719628228206</v>
      </c>
      <c r="BH96" s="13">
        <f t="shared" si="875"/>
        <v>23.100917143255685</v>
      </c>
      <c r="BI96" s="13">
        <f t="shared" si="875"/>
        <v>21.349024793388427</v>
      </c>
      <c r="BJ96" s="13">
        <f t="shared" si="875"/>
        <v>20.813964794102695</v>
      </c>
      <c r="BK96" s="13">
        <f t="shared" si="875"/>
        <v>22.50788829309116</v>
      </c>
      <c r="BL96" s="13">
        <f t="shared" si="875"/>
        <v>22.06363411924454</v>
      </c>
      <c r="BM96" s="13">
        <f t="shared" si="875"/>
        <v>21.541104975784311</v>
      </c>
      <c r="BN96" s="13">
        <f t="shared" si="875"/>
        <v>16.839604205318494</v>
      </c>
      <c r="BO96" s="13">
        <f t="shared" si="875"/>
        <v>19.133805298395107</v>
      </c>
      <c r="BP96" s="13">
        <f t="shared" si="875"/>
        <v>23.645070289946034</v>
      </c>
      <c r="BQ96" s="13">
        <f t="shared" si="875"/>
        <v>27.798958429632371</v>
      </c>
      <c r="BR96" s="13">
        <f t="shared" ref="BR96:CH96" si="876">+BR88/BR78</f>
        <v>29.058547313361863</v>
      </c>
      <c r="BS96" s="13">
        <f t="shared" si="876"/>
        <v>30.513285457809697</v>
      </c>
      <c r="BT96" s="13">
        <f t="shared" si="876"/>
        <v>31.007364881489373</v>
      </c>
      <c r="BU96" s="13">
        <f t="shared" si="876"/>
        <v>32.558557122745498</v>
      </c>
      <c r="BV96" s="13">
        <f t="shared" si="876"/>
        <v>31.650324836277296</v>
      </c>
      <c r="BW96" s="13">
        <f t="shared" si="876"/>
        <v>28.209724978735469</v>
      </c>
      <c r="BX96" s="13">
        <f t="shared" si="876"/>
        <v>26.745076254923749</v>
      </c>
      <c r="BY96" s="13">
        <f t="shared" si="876"/>
        <v>26.46281310685578</v>
      </c>
      <c r="BZ96" s="13">
        <f t="shared" si="876"/>
        <v>26.592360073077565</v>
      </c>
      <c r="CA96" s="13">
        <f t="shared" si="876"/>
        <v>25.408604805340282</v>
      </c>
      <c r="CB96" s="13">
        <f t="shared" si="876"/>
        <v>26.347023782863793</v>
      </c>
      <c r="CC96" s="13">
        <f t="shared" si="876"/>
        <v>26.172005935754189</v>
      </c>
      <c r="CD96" s="13">
        <f t="shared" si="876"/>
        <v>28.205118849485764</v>
      </c>
      <c r="CE96" s="13">
        <f t="shared" si="876"/>
        <v>27.194652115738418</v>
      </c>
      <c r="CF96" s="13">
        <f t="shared" si="876"/>
        <v>29.065685241430611</v>
      </c>
      <c r="CG96" s="13">
        <f t="shared" si="876"/>
        <v>29.063634312901176</v>
      </c>
      <c r="CH96" s="13">
        <f t="shared" si="876"/>
        <v>25.777206351821714</v>
      </c>
      <c r="CI96" s="13">
        <f t="shared" ref="CI96:CJ96" si="877">+CI88/CI78</f>
        <v>22.483114484606169</v>
      </c>
      <c r="CJ96" s="13">
        <f t="shared" si="877"/>
        <v>20.657491991932613</v>
      </c>
      <c r="CK96" s="13">
        <f t="shared" ref="CK96:CL96" si="878">+CK88/CK78</f>
        <v>19.870087286091646</v>
      </c>
      <c r="CL96" s="13">
        <f t="shared" si="878"/>
        <v>15.806511463450944</v>
      </c>
      <c r="CM96" s="60">
        <v>14</v>
      </c>
      <c r="CN96" s="60">
        <f t="shared" si="857"/>
        <v>14</v>
      </c>
      <c r="CO96" s="60">
        <f t="shared" si="858"/>
        <v>14</v>
      </c>
      <c r="CP96" s="60">
        <f t="shared" si="859"/>
        <v>14</v>
      </c>
      <c r="CQ96" s="60">
        <f t="shared" si="860"/>
        <v>14</v>
      </c>
      <c r="CR96" s="60">
        <f t="shared" si="861"/>
        <v>14</v>
      </c>
      <c r="CS96" s="60">
        <f t="shared" si="862"/>
        <v>14</v>
      </c>
      <c r="CT96" s="60">
        <f t="shared" si="863"/>
        <v>14</v>
      </c>
      <c r="CU96" s="60">
        <f t="shared" si="864"/>
        <v>14</v>
      </c>
      <c r="CV96" s="60">
        <f t="shared" si="865"/>
        <v>14</v>
      </c>
      <c r="CW96" s="60">
        <f t="shared" si="866"/>
        <v>14</v>
      </c>
      <c r="CX96" s="60">
        <f t="shared" si="867"/>
        <v>14</v>
      </c>
      <c r="CY96" s="60">
        <f t="shared" si="868"/>
        <v>14</v>
      </c>
      <c r="CZ96" s="60">
        <f t="shared" si="869"/>
        <v>14</v>
      </c>
      <c r="DA96" s="60">
        <f t="shared" si="870"/>
        <v>14</v>
      </c>
      <c r="DB96" s="60">
        <f t="shared" si="871"/>
        <v>14</v>
      </c>
      <c r="DE96" s="136"/>
      <c r="DF96" s="13">
        <v>16.371232928676275</v>
      </c>
    </row>
    <row r="97" spans="1:110" s="13" customFormat="1" x14ac:dyDescent="0.2">
      <c r="AB97" s="60"/>
      <c r="AC97" s="60"/>
      <c r="AD97" s="60"/>
      <c r="AE97" s="60"/>
      <c r="CM97" s="60"/>
      <c r="CN97" s="60"/>
      <c r="CO97" s="60"/>
      <c r="CP97" s="60"/>
      <c r="CQ97" s="60"/>
      <c r="CR97" s="60"/>
      <c r="CS97" s="60"/>
      <c r="CT97" s="60"/>
      <c r="CU97" s="60"/>
      <c r="CV97" s="60"/>
      <c r="CW97" s="60"/>
      <c r="CX97" s="60"/>
      <c r="CY97" s="60"/>
      <c r="CZ97" s="60"/>
      <c r="DA97" s="60"/>
      <c r="DB97" s="60"/>
      <c r="DE97" s="136"/>
    </row>
    <row r="98" spans="1:110" s="13" customFormat="1" x14ac:dyDescent="0.2">
      <c r="A98" s="13" t="s">
        <v>463</v>
      </c>
      <c r="B98" s="13" t="e">
        <f t="shared" ref="B98:AD98" si="879">+B87/C78</f>
        <v>#DIV/0!</v>
      </c>
      <c r="C98" s="13" t="e">
        <f t="shared" si="879"/>
        <v>#DIV/0!</v>
      </c>
      <c r="D98" s="13" t="e">
        <f t="shared" ca="1" si="879"/>
        <v>#DIV/0!</v>
      </c>
      <c r="E98" s="13" t="e">
        <f t="shared" ca="1" si="879"/>
        <v>#DIV/0!</v>
      </c>
      <c r="F98" s="13" t="e">
        <f t="shared" ca="1" si="879"/>
        <v>#DIV/0!</v>
      </c>
      <c r="G98" s="13" t="e">
        <f t="shared" ca="1" si="879"/>
        <v>#DIV/0!</v>
      </c>
      <c r="H98" s="13" t="e">
        <f t="shared" ca="1" si="879"/>
        <v>#DIV/0!</v>
      </c>
      <c r="I98" s="13" t="e">
        <f t="shared" ca="1" si="879"/>
        <v>#DIV/0!</v>
      </c>
      <c r="J98" s="13" t="e">
        <f t="shared" ca="1" si="879"/>
        <v>#DIV/0!</v>
      </c>
      <c r="K98" s="13" t="e">
        <f t="shared" ca="1" si="879"/>
        <v>#DIV/0!</v>
      </c>
      <c r="L98" s="13" t="e">
        <f t="shared" ca="1" si="879"/>
        <v>#DIV/0!</v>
      </c>
      <c r="M98" s="13" t="e">
        <f t="shared" ca="1" si="879"/>
        <v>#DIV/0!</v>
      </c>
      <c r="N98" s="13" t="e">
        <f t="shared" ca="1" si="879"/>
        <v>#DIV/0!</v>
      </c>
      <c r="O98" s="13" t="e">
        <f t="shared" ca="1" si="879"/>
        <v>#DIV/0!</v>
      </c>
      <c r="P98" s="13" t="e">
        <f t="shared" ca="1" si="879"/>
        <v>#DIV/0!</v>
      </c>
      <c r="Q98" s="13" t="e">
        <f t="shared" ca="1" si="879"/>
        <v>#DIV/0!</v>
      </c>
      <c r="R98" s="13" t="e">
        <f t="shared" ca="1" si="879"/>
        <v>#DIV/0!</v>
      </c>
      <c r="S98" s="13" t="e">
        <f t="shared" ca="1" si="879"/>
        <v>#DIV/0!</v>
      </c>
      <c r="T98" s="13" t="e">
        <f t="shared" ca="1" si="879"/>
        <v>#DIV/0!</v>
      </c>
      <c r="U98" s="13" t="e">
        <f t="shared" ca="1" si="879"/>
        <v>#DIV/0!</v>
      </c>
      <c r="V98" s="13" t="e">
        <f t="shared" ca="1" si="879"/>
        <v>#DIV/0!</v>
      </c>
      <c r="W98" s="13" t="e">
        <f t="shared" ca="1" si="879"/>
        <v>#DIV/0!</v>
      </c>
      <c r="X98" s="13" t="e">
        <f t="shared" ca="1" si="879"/>
        <v>#DIV/0!</v>
      </c>
      <c r="Y98" s="13" t="e">
        <f t="shared" ca="1" si="879"/>
        <v>#DIV/0!</v>
      </c>
      <c r="Z98" s="13" t="e">
        <f t="shared" ref="Z98:AA98" ca="1" si="880">+Z87/AA78</f>
        <v>#DIV/0!</v>
      </c>
      <c r="AA98" s="13" t="e">
        <f t="shared" ca="1" si="880"/>
        <v>#DIV/0!</v>
      </c>
      <c r="AB98" s="37" t="e">
        <f t="shared" ca="1" si="879"/>
        <v>#DIV/0!</v>
      </c>
      <c r="AC98" s="37" t="e">
        <f t="shared" ca="1" si="879"/>
        <v>#DIV/0!</v>
      </c>
      <c r="AD98" s="37" t="e">
        <f t="shared" ca="1" si="879"/>
        <v>#DIV/0!</v>
      </c>
      <c r="AE98" s="37"/>
      <c r="AL98" s="13">
        <f t="shared" ref="AL98:BQ98" si="881">+AL87/AP78</f>
        <v>15.092880508999484</v>
      </c>
      <c r="AM98" s="13">
        <f t="shared" si="881"/>
        <v>13.972689353651303</v>
      </c>
      <c r="AN98" s="13">
        <f t="shared" si="881"/>
        <v>17.880568212913278</v>
      </c>
      <c r="AO98" s="13">
        <f t="shared" si="881"/>
        <v>19.455412552832652</v>
      </c>
      <c r="AP98" s="13">
        <f t="shared" si="881"/>
        <v>22.28750213687022</v>
      </c>
      <c r="AQ98" s="13">
        <f t="shared" si="881"/>
        <v>21.929810548386296</v>
      </c>
      <c r="AR98" s="13">
        <f t="shared" si="881"/>
        <v>24.121509744384291</v>
      </c>
      <c r="AS98" s="13">
        <f t="shared" si="881"/>
        <v>23.701049824259208</v>
      </c>
      <c r="AT98" s="13">
        <f t="shared" si="881"/>
        <v>20.956324680675731</v>
      </c>
      <c r="AU98" s="13">
        <f t="shared" si="881"/>
        <v>19.761352657004831</v>
      </c>
      <c r="AV98" s="13">
        <f t="shared" si="881"/>
        <v>19.639567309588607</v>
      </c>
      <c r="AW98" s="13">
        <f t="shared" si="881"/>
        <v>19.260943084431805</v>
      </c>
      <c r="AX98" s="13">
        <f t="shared" si="881"/>
        <v>17.446612651679409</v>
      </c>
      <c r="AY98" s="13">
        <f t="shared" si="881"/>
        <v>18.684896014199175</v>
      </c>
      <c r="AZ98" s="13">
        <f t="shared" si="881"/>
        <v>19.239632230282812</v>
      </c>
      <c r="BA98" s="13">
        <f t="shared" si="881"/>
        <v>17.405209557383472</v>
      </c>
      <c r="BB98" s="13">
        <f t="shared" si="881"/>
        <v>18.109811817548206</v>
      </c>
      <c r="BC98" s="13">
        <f t="shared" si="881"/>
        <v>18.002255611476432</v>
      </c>
      <c r="BD98" s="13">
        <f t="shared" si="881"/>
        <v>16.308052029571765</v>
      </c>
      <c r="BE98" s="13">
        <f t="shared" si="881"/>
        <v>16.598148760330577</v>
      </c>
      <c r="BF98" s="13">
        <f t="shared" si="881"/>
        <v>18.718823080833758</v>
      </c>
      <c r="BG98" s="13">
        <f t="shared" si="881"/>
        <v>21.163698354151816</v>
      </c>
      <c r="BH98" s="13">
        <f t="shared" si="881"/>
        <v>24.735288853227999</v>
      </c>
      <c r="BI98" s="13">
        <f t="shared" si="881"/>
        <v>25.382546194897738</v>
      </c>
      <c r="BJ98" s="13">
        <f t="shared" si="881"/>
        <v>23.481867656153373</v>
      </c>
      <c r="BK98" s="13">
        <f t="shared" si="881"/>
        <v>26.562940064708332</v>
      </c>
      <c r="BL98" s="13">
        <f t="shared" si="881"/>
        <v>26.081084473452997</v>
      </c>
      <c r="BM98" s="13">
        <f t="shared" si="881"/>
        <v>25.495393054143172</v>
      </c>
      <c r="BN98" s="13">
        <f t="shared" si="881"/>
        <v>24.313537208749402</v>
      </c>
      <c r="BO98" s="13">
        <f t="shared" si="881"/>
        <v>21.650642392280073</v>
      </c>
      <c r="BP98" s="13">
        <f t="shared" si="881"/>
        <v>25.275376582191964</v>
      </c>
      <c r="BQ98" s="13">
        <f t="shared" si="881"/>
        <v>28.384407788137167</v>
      </c>
      <c r="BR98" s="13">
        <f t="shared" ref="BR98:CL98" si="882">+BR87/BV78</f>
        <v>31.596015863490489</v>
      </c>
      <c r="BS98" s="13">
        <f t="shared" si="882"/>
        <v>31.714771760703147</v>
      </c>
      <c r="BT98" s="13">
        <f t="shared" si="882"/>
        <v>36.393321381678625</v>
      </c>
      <c r="BU98" s="13">
        <f t="shared" si="882"/>
        <v>35.505026916742466</v>
      </c>
      <c r="BV98" s="13">
        <f t="shared" si="882"/>
        <v>34.746743540465516</v>
      </c>
      <c r="BW98" s="13">
        <f t="shared" si="882"/>
        <v>31.741101433372194</v>
      </c>
      <c r="BX98" s="13">
        <f t="shared" si="882"/>
        <v>27.79003000850987</v>
      </c>
      <c r="BY98" s="13">
        <f t="shared" si="882"/>
        <v>27.488506023044692</v>
      </c>
      <c r="BZ98" s="13">
        <f t="shared" si="882"/>
        <v>27.613835189689748</v>
      </c>
      <c r="CA98" s="13">
        <f t="shared" si="882"/>
        <v>25.527009115236659</v>
      </c>
      <c r="CB98" s="13">
        <f t="shared" si="882"/>
        <v>27.173373416806136</v>
      </c>
      <c r="CC98" s="13">
        <f t="shared" si="882"/>
        <v>29.167194389188523</v>
      </c>
      <c r="CD98" s="13">
        <f t="shared" si="882"/>
        <v>31.720200605523853</v>
      </c>
      <c r="CE98" s="13">
        <f t="shared" si="882"/>
        <v>29.850141050879788</v>
      </c>
      <c r="CF98" s="13">
        <f t="shared" si="882"/>
        <v>32.82508403527504</v>
      </c>
      <c r="CG98" s="13">
        <f t="shared" si="882"/>
        <v>31.140231997243593</v>
      </c>
      <c r="CH98" s="13">
        <f t="shared" si="882"/>
        <v>29.113393255917817</v>
      </c>
      <c r="CI98" s="13">
        <f t="shared" si="882"/>
        <v>24.037288484643412</v>
      </c>
      <c r="CJ98" s="13">
        <f t="shared" si="882"/>
        <v>22.709814386838719</v>
      </c>
      <c r="CK98" s="13">
        <f t="shared" si="882"/>
        <v>21.479886201052071</v>
      </c>
      <c r="CL98" s="13">
        <f t="shared" si="882"/>
        <v>21.170767132381876</v>
      </c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E98" s="134"/>
      <c r="DF98" s="13">
        <v>22.273419526124787</v>
      </c>
    </row>
    <row r="99" spans="1:110" s="98" customFormat="1" x14ac:dyDescent="0.2">
      <c r="A99" s="98" t="s">
        <v>426</v>
      </c>
      <c r="AB99" s="99"/>
      <c r="AC99" s="99"/>
      <c r="AD99" s="99"/>
      <c r="AE99" s="99"/>
      <c r="AL99" s="175"/>
      <c r="AM99" s="175"/>
      <c r="AN99" s="175"/>
      <c r="AO99" s="175">
        <f t="shared" ref="AO99:CI99" si="883">+CORREL(AL78:AO78,AL95:AO95)</f>
        <v>0.76815110967821854</v>
      </c>
      <c r="AP99" s="175">
        <f t="shared" si="883"/>
        <v>0.45306580728072365</v>
      </c>
      <c r="AQ99" s="175">
        <f t="shared" si="883"/>
        <v>-0.9825540421796799</v>
      </c>
      <c r="AR99" s="175">
        <f t="shared" si="883"/>
        <v>-0.13522905680823499</v>
      </c>
      <c r="AS99" s="175">
        <f t="shared" si="883"/>
        <v>0.58887156710142996</v>
      </c>
      <c r="AT99" s="175">
        <f t="shared" si="883"/>
        <v>-0.47180848251338281</v>
      </c>
      <c r="AU99" s="175">
        <f t="shared" si="883"/>
        <v>-0.8818685880355257</v>
      </c>
      <c r="AV99" s="175">
        <f t="shared" si="883"/>
        <v>-0.87150047626008575</v>
      </c>
      <c r="AW99" s="175">
        <f t="shared" si="883"/>
        <v>-0.95512476430762394</v>
      </c>
      <c r="AX99" s="175">
        <f t="shared" si="883"/>
        <v>-0.98901209454031247</v>
      </c>
      <c r="AY99" s="175">
        <f t="shared" si="883"/>
        <v>-0.97540972266202097</v>
      </c>
      <c r="AZ99" s="175">
        <f t="shared" si="883"/>
        <v>-0.91405921340531771</v>
      </c>
      <c r="BA99" s="175">
        <f t="shared" si="883"/>
        <v>-0.63735686891917642</v>
      </c>
      <c r="BB99" s="175">
        <f t="shared" si="883"/>
        <v>-0.8604279413348116</v>
      </c>
      <c r="BC99" s="175">
        <f t="shared" si="883"/>
        <v>-0.7799363444092613</v>
      </c>
      <c r="BD99" s="175">
        <f t="shared" si="883"/>
        <v>-0.37781303295411561</v>
      </c>
      <c r="BE99" s="175">
        <f t="shared" si="883"/>
        <v>-0.81207225735325117</v>
      </c>
      <c r="BF99" s="175">
        <f t="shared" si="883"/>
        <v>5.9276526182819006E-2</v>
      </c>
      <c r="BG99" s="175">
        <f t="shared" si="883"/>
        <v>0.80709593971787053</v>
      </c>
      <c r="BH99" s="175">
        <f t="shared" si="883"/>
        <v>0.95639766566461781</v>
      </c>
      <c r="BI99" s="175">
        <f t="shared" si="883"/>
        <v>0.88409951330703329</v>
      </c>
      <c r="BJ99" s="175">
        <f t="shared" si="883"/>
        <v>-0.2292414768477099</v>
      </c>
      <c r="BK99" s="175">
        <f t="shared" si="883"/>
        <v>-0.8017808969964817</v>
      </c>
      <c r="BL99" s="175">
        <f t="shared" si="883"/>
        <v>-0.50198520540382996</v>
      </c>
      <c r="BM99" s="175">
        <f t="shared" si="883"/>
        <v>0.97088557037130507</v>
      </c>
      <c r="BN99" s="175">
        <f t="shared" si="883"/>
        <v>-0.18282364412254684</v>
      </c>
      <c r="BO99" s="175">
        <f t="shared" si="883"/>
        <v>0.9506681481260405</v>
      </c>
      <c r="BP99" s="175">
        <f t="shared" si="883"/>
        <v>5.7553666062397417E-2</v>
      </c>
      <c r="BQ99" s="175">
        <f t="shared" si="883"/>
        <v>0.58320487478909611</v>
      </c>
      <c r="BR99" s="175">
        <f t="shared" si="883"/>
        <v>0.96974513478358337</v>
      </c>
      <c r="BS99" s="175">
        <f t="shared" si="883"/>
        <v>0.68591678077841534</v>
      </c>
      <c r="BT99" s="175">
        <f t="shared" si="883"/>
        <v>0.75791311665967687</v>
      </c>
      <c r="BU99" s="175">
        <f t="shared" si="883"/>
        <v>0.61194198702910541</v>
      </c>
      <c r="BV99" s="175">
        <f t="shared" si="883"/>
        <v>0.62248973552739872</v>
      </c>
      <c r="BW99" s="175">
        <f t="shared" si="883"/>
        <v>-0.87220671856977006</v>
      </c>
      <c r="BX99" s="175">
        <f t="shared" si="883"/>
        <v>-0.93740670519280989</v>
      </c>
      <c r="BY99" s="175">
        <f t="shared" si="883"/>
        <v>-0.9192254587364419</v>
      </c>
      <c r="BZ99" s="175">
        <f t="shared" si="883"/>
        <v>-0.76640775159641428</v>
      </c>
      <c r="CA99" s="175">
        <f t="shared" si="883"/>
        <v>-0.89760352835611812</v>
      </c>
      <c r="CB99" s="175">
        <f t="shared" si="883"/>
        <v>-0.74534835332211768</v>
      </c>
      <c r="CC99" s="175">
        <f t="shared" si="883"/>
        <v>0.12814736075341049</v>
      </c>
      <c r="CD99" s="175">
        <f t="shared" si="883"/>
        <v>0.99877005020172682</v>
      </c>
      <c r="CE99" s="175">
        <f t="shared" si="883"/>
        <v>0.55543524496761032</v>
      </c>
      <c r="CF99" s="175">
        <f t="shared" si="883"/>
        <v>0.52710611807068797</v>
      </c>
      <c r="CG99" s="175">
        <f t="shared" si="883"/>
        <v>0.34990281263375356</v>
      </c>
      <c r="CH99" s="175">
        <f t="shared" si="883"/>
        <v>0.69429096478410623</v>
      </c>
      <c r="CI99" s="175">
        <f t="shared" si="883"/>
        <v>-0.92729628560342381</v>
      </c>
      <c r="CJ99" s="175">
        <f>+CORREL(CG78:CJ78,CG95:CJ95)</f>
        <v>-0.87611065897041318</v>
      </c>
      <c r="CK99" s="175">
        <f>+CORREL(CH78:CK78,CH95:CK95)</f>
        <v>-0.89355619982261547</v>
      </c>
      <c r="CL99" s="175">
        <f>+CORREL(CI78:CL78,CI95:CL95)</f>
        <v>-0.97821565599777616</v>
      </c>
      <c r="CM99" s="99"/>
      <c r="CN99" s="99"/>
      <c r="CO99" s="99"/>
      <c r="CP99" s="99"/>
      <c r="CQ99" s="99"/>
      <c r="CR99" s="99"/>
      <c r="CS99" s="99"/>
      <c r="CT99" s="99"/>
      <c r="CU99" s="99"/>
      <c r="CV99" s="99"/>
      <c r="CW99" s="99"/>
      <c r="CX99" s="99"/>
      <c r="CY99" s="99"/>
      <c r="CZ99" s="99"/>
      <c r="DA99" s="99"/>
      <c r="DB99" s="99"/>
      <c r="DE99" s="137"/>
      <c r="DF99" s="175">
        <v>-0.9983150731825855</v>
      </c>
    </row>
    <row r="100" spans="1:110" s="4" customFormat="1" x14ac:dyDescent="0.2">
      <c r="A100" s="3"/>
      <c r="AB100" s="17"/>
      <c r="AC100" s="17"/>
      <c r="AD100" s="17"/>
      <c r="AE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E100" s="119"/>
    </row>
    <row r="101" spans="1:110" s="162" customFormat="1" x14ac:dyDescent="0.2">
      <c r="A101" s="49" t="s">
        <v>505</v>
      </c>
      <c r="E101" s="162" t="e">
        <f t="shared" ref="E101:AE101" ca="1" si="884">+E$129/E$74</f>
        <v>#DIV/0!</v>
      </c>
      <c r="F101" s="162" t="e">
        <f t="shared" ca="1" si="884"/>
        <v>#DIV/0!</v>
      </c>
      <c r="G101" s="162" t="e">
        <f t="shared" ca="1" si="884"/>
        <v>#DIV/0!</v>
      </c>
      <c r="H101" s="162" t="e">
        <f t="shared" ca="1" si="884"/>
        <v>#DIV/0!</v>
      </c>
      <c r="I101" s="162" t="e">
        <f t="shared" ca="1" si="884"/>
        <v>#DIV/0!</v>
      </c>
      <c r="J101" s="162" t="e">
        <f t="shared" ca="1" si="884"/>
        <v>#DIV/0!</v>
      </c>
      <c r="K101" s="162" t="e">
        <f t="shared" ca="1" si="884"/>
        <v>#DIV/0!</v>
      </c>
      <c r="L101" s="162" t="e">
        <f t="shared" ca="1" si="884"/>
        <v>#DIV/0!</v>
      </c>
      <c r="M101" s="162" t="e">
        <f t="shared" ca="1" si="884"/>
        <v>#DIV/0!</v>
      </c>
      <c r="N101" s="162" t="e">
        <f t="shared" ca="1" si="884"/>
        <v>#DIV/0!</v>
      </c>
      <c r="O101" s="162" t="e">
        <f t="shared" ca="1" si="884"/>
        <v>#DIV/0!</v>
      </c>
      <c r="P101" s="162" t="e">
        <f t="shared" ca="1" si="884"/>
        <v>#DIV/0!</v>
      </c>
      <c r="Q101" s="162" t="e">
        <f t="shared" ca="1" si="884"/>
        <v>#DIV/0!</v>
      </c>
      <c r="R101" s="162" t="e">
        <f t="shared" ca="1" si="884"/>
        <v>#DIV/0!</v>
      </c>
      <c r="S101" s="162" t="e">
        <f t="shared" ca="1" si="884"/>
        <v>#DIV/0!</v>
      </c>
      <c r="T101" s="162" t="e">
        <f t="shared" ca="1" si="884"/>
        <v>#DIV/0!</v>
      </c>
      <c r="U101" s="162" t="e">
        <f t="shared" ca="1" si="884"/>
        <v>#DIV/0!</v>
      </c>
      <c r="V101" s="162" t="e">
        <f t="shared" ca="1" si="884"/>
        <v>#DIV/0!</v>
      </c>
      <c r="W101" s="162" t="e">
        <f t="shared" ca="1" si="884"/>
        <v>#DIV/0!</v>
      </c>
      <c r="X101" s="162" t="e">
        <f t="shared" ca="1" si="884"/>
        <v>#DIV/0!</v>
      </c>
      <c r="Y101" s="162" t="e">
        <f t="shared" ca="1" si="884"/>
        <v>#DIV/0!</v>
      </c>
      <c r="Z101" s="162" t="e">
        <f t="shared" ca="1" si="884"/>
        <v>#DIV/0!</v>
      </c>
      <c r="AA101" s="162" t="e">
        <f t="shared" ca="1" si="884"/>
        <v>#DIV/0!</v>
      </c>
      <c r="AB101" s="21" t="e">
        <f t="shared" ca="1" si="884"/>
        <v>#DIV/0!</v>
      </c>
      <c r="AC101" s="21" t="e">
        <f t="shared" ca="1" si="884"/>
        <v>#DIV/0!</v>
      </c>
      <c r="AD101" s="21" t="e">
        <f t="shared" ca="1" si="884"/>
        <v>#DIV/0!</v>
      </c>
      <c r="AE101" s="21" t="e">
        <f t="shared" ca="1" si="884"/>
        <v>#DIV/0!</v>
      </c>
      <c r="AL101" s="162">
        <f t="shared" ref="AL101:BQ101" si="885">+AL$129/AL$74</f>
        <v>106.75616022099449</v>
      </c>
      <c r="AM101" s="162">
        <f t="shared" si="885"/>
        <v>117.3625138121547</v>
      </c>
      <c r="AN101" s="162">
        <f t="shared" si="885"/>
        <v>121.79660220994477</v>
      </c>
      <c r="AO101" s="162">
        <f t="shared" si="885"/>
        <v>136.52983425414365</v>
      </c>
      <c r="AP101" s="162">
        <f t="shared" si="885"/>
        <v>135.89712707182321</v>
      </c>
      <c r="AQ101" s="162">
        <f t="shared" si="885"/>
        <v>151.27745856353593</v>
      </c>
      <c r="AR101" s="162">
        <f t="shared" si="885"/>
        <v>133.8721270718232</v>
      </c>
      <c r="AS101" s="162">
        <f t="shared" si="885"/>
        <v>148.58911602209946</v>
      </c>
      <c r="AT101" s="162">
        <f t="shared" si="885"/>
        <v>139.87502762430941</v>
      </c>
      <c r="AU101" s="162">
        <f t="shared" si="885"/>
        <v>155.75071823204419</v>
      </c>
      <c r="AV101" s="162">
        <f t="shared" si="885"/>
        <v>166.59395027624311</v>
      </c>
      <c r="AW101" s="162">
        <f t="shared" si="885"/>
        <v>183.4724033149171</v>
      </c>
      <c r="AX101" s="162">
        <f t="shared" si="885"/>
        <v>196.33149171270719</v>
      </c>
      <c r="AY101" s="162">
        <f t="shared" si="885"/>
        <v>213.78176795580112</v>
      </c>
      <c r="AZ101" s="162">
        <f t="shared" si="885"/>
        <v>211.01381215469613</v>
      </c>
      <c r="BA101" s="162">
        <f t="shared" si="885"/>
        <v>229.73756906077347</v>
      </c>
      <c r="BB101" s="162">
        <f t="shared" si="885"/>
        <v>238.16022099447514</v>
      </c>
      <c r="BC101" s="162">
        <f t="shared" si="885"/>
        <v>254.58287292817678</v>
      </c>
      <c r="BD101" s="162">
        <f t="shared" si="885"/>
        <v>207.33149171270719</v>
      </c>
      <c r="BE101" s="162">
        <f t="shared" si="885"/>
        <v>225.37292817679557</v>
      </c>
      <c r="BF101" s="162">
        <f t="shared" si="885"/>
        <v>235.16022099447514</v>
      </c>
      <c r="BG101" s="162">
        <f t="shared" si="885"/>
        <v>255.4364640883978</v>
      </c>
      <c r="BH101" s="162">
        <f t="shared" si="885"/>
        <v>210.35359116022099</v>
      </c>
      <c r="BI101" s="162">
        <f t="shared" si="885"/>
        <v>232.74309392265192</v>
      </c>
      <c r="BJ101" s="162">
        <f t="shared" si="885"/>
        <v>247.08839779005524</v>
      </c>
      <c r="BK101" s="162">
        <f t="shared" si="885"/>
        <v>269.54972375690608</v>
      </c>
      <c r="BL101" s="162">
        <f t="shared" si="885"/>
        <v>262.51933701657458</v>
      </c>
      <c r="BM101" s="162">
        <f t="shared" si="885"/>
        <v>284.9447513812155</v>
      </c>
      <c r="BN101" s="162">
        <f t="shared" si="885"/>
        <v>232.39226519337018</v>
      </c>
      <c r="BO101" s="162">
        <f t="shared" si="885"/>
        <v>251.75138121546962</v>
      </c>
      <c r="BP101" s="162">
        <f t="shared" si="885"/>
        <v>262.80939226519337</v>
      </c>
      <c r="BQ101" s="162">
        <f t="shared" si="885"/>
        <v>286.84530386740329</v>
      </c>
      <c r="BR101" s="162">
        <f t="shared" ref="BR101:DB101" si="886">+BR$129/BR$74</f>
        <v>238.76519337016575</v>
      </c>
      <c r="BS101" s="162">
        <f t="shared" si="886"/>
        <v>263.64917127071823</v>
      </c>
      <c r="BT101" s="162">
        <f t="shared" si="886"/>
        <v>267.83701657458562</v>
      </c>
      <c r="BU101" s="162">
        <f t="shared" si="886"/>
        <v>294.82320441988952</v>
      </c>
      <c r="BV101" s="162">
        <f t="shared" si="886"/>
        <v>246.24033149171271</v>
      </c>
      <c r="BW101" s="162">
        <f t="shared" si="886"/>
        <v>272.42265193370167</v>
      </c>
      <c r="BX101" s="162">
        <f t="shared" si="886"/>
        <v>269.20994475138122</v>
      </c>
      <c r="BY101" s="162">
        <f t="shared" si="886"/>
        <v>299.17127071823205</v>
      </c>
      <c r="BZ101" s="162">
        <f t="shared" si="886"/>
        <v>249.79005524861878</v>
      </c>
      <c r="CA101" s="162">
        <f t="shared" si="886"/>
        <v>280.38121546961327</v>
      </c>
      <c r="CB101" s="162">
        <f t="shared" si="886"/>
        <v>278.12430939226522</v>
      </c>
      <c r="CC101" s="162">
        <f t="shared" si="886"/>
        <v>308.67127071823205</v>
      </c>
      <c r="CD101" s="162">
        <f t="shared" si="886"/>
        <v>249.96961325966851</v>
      </c>
      <c r="CE101" s="162">
        <f t="shared" si="886"/>
        <v>283.2292817679558</v>
      </c>
      <c r="CF101" s="162">
        <f t="shared" si="886"/>
        <v>280.3729281767956</v>
      </c>
      <c r="CG101" s="162">
        <f t="shared" si="886"/>
        <v>314.5718232044199</v>
      </c>
      <c r="CH101" s="162">
        <f t="shared" si="886"/>
        <v>261.75690607734805</v>
      </c>
      <c r="CI101" s="162">
        <f t="shared" si="886"/>
        <v>297.00552486187843</v>
      </c>
      <c r="CJ101" s="162">
        <f t="shared" si="886"/>
        <v>293.96408839779008</v>
      </c>
      <c r="CK101" s="162">
        <f t="shared" si="886"/>
        <v>323.40331491712709</v>
      </c>
      <c r="CL101" s="162">
        <f t="shared" si="886"/>
        <v>296.24309392265195</v>
      </c>
      <c r="CM101" s="21">
        <f t="shared" si="886"/>
        <v>334.06509316178227</v>
      </c>
      <c r="CN101" s="21">
        <f t="shared" si="886"/>
        <v>373.21288179402086</v>
      </c>
      <c r="CO101" s="21">
        <f t="shared" si="886"/>
        <v>413.2930212598352</v>
      </c>
      <c r="CP101" s="21">
        <f t="shared" si="886"/>
        <v>453.85193157768106</v>
      </c>
      <c r="CQ101" s="21">
        <f t="shared" si="886"/>
        <v>495.51304202370306</v>
      </c>
      <c r="CR101" s="21">
        <f t="shared" si="886"/>
        <v>538.11883009190785</v>
      </c>
      <c r="CS101" s="21">
        <f t="shared" si="886"/>
        <v>581.57565652922108</v>
      </c>
      <c r="CT101" s="21">
        <f t="shared" si="886"/>
        <v>625.86718592895943</v>
      </c>
      <c r="CU101" s="21">
        <f t="shared" si="886"/>
        <v>671.09758940763686</v>
      </c>
      <c r="CV101" s="21">
        <f t="shared" si="886"/>
        <v>717.22572509021074</v>
      </c>
      <c r="CW101" s="21">
        <f t="shared" si="886"/>
        <v>764.24263343267364</v>
      </c>
      <c r="CX101" s="21">
        <f t="shared" si="886"/>
        <v>812.16175570281405</v>
      </c>
      <c r="CY101" s="21">
        <f t="shared" si="886"/>
        <v>861.00419274269188</v>
      </c>
      <c r="CZ101" s="21">
        <f t="shared" si="886"/>
        <v>910.76767881464252</v>
      </c>
      <c r="DA101" s="21">
        <f t="shared" si="886"/>
        <v>961.46030641226901</v>
      </c>
      <c r="DB101" s="21">
        <f t="shared" si="886"/>
        <v>1013.0944418855286</v>
      </c>
      <c r="DE101" s="22"/>
      <c r="DF101" s="162">
        <v>356.17787434785731</v>
      </c>
    </row>
    <row r="102" spans="1:110" s="162" customFormat="1" x14ac:dyDescent="0.2">
      <c r="A102" s="49" t="s">
        <v>501</v>
      </c>
      <c r="AB102" s="21"/>
      <c r="AC102" s="21"/>
      <c r="AD102" s="21"/>
      <c r="AE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E102" s="22"/>
    </row>
    <row r="103" spans="1:110" s="162" customFormat="1" x14ac:dyDescent="0.2">
      <c r="A103" s="49" t="s">
        <v>502</v>
      </c>
      <c r="E103" s="162" t="e">
        <f t="shared" ref="E103:AE105" ca="1" si="887">+E86/E$101</f>
        <v>#DIV/0!</v>
      </c>
      <c r="F103" s="162" t="e">
        <f t="shared" ca="1" si="887"/>
        <v>#DIV/0!</v>
      </c>
      <c r="G103" s="162" t="e">
        <f t="shared" ca="1" si="887"/>
        <v>#DIV/0!</v>
      </c>
      <c r="H103" s="162" t="e">
        <f t="shared" ca="1" si="887"/>
        <v>#DIV/0!</v>
      </c>
      <c r="I103" s="162" t="e">
        <f t="shared" ca="1" si="887"/>
        <v>#DIV/0!</v>
      </c>
      <c r="J103" s="162" t="e">
        <f t="shared" ca="1" si="887"/>
        <v>#DIV/0!</v>
      </c>
      <c r="K103" s="162" t="e">
        <f t="shared" ca="1" si="887"/>
        <v>#DIV/0!</v>
      </c>
      <c r="L103" s="162" t="e">
        <f t="shared" ca="1" si="887"/>
        <v>#DIV/0!</v>
      </c>
      <c r="M103" s="162" t="e">
        <f t="shared" ca="1" si="887"/>
        <v>#DIV/0!</v>
      </c>
      <c r="N103" s="162" t="e">
        <f t="shared" ca="1" si="887"/>
        <v>#DIV/0!</v>
      </c>
      <c r="O103" s="162" t="e">
        <f t="shared" ca="1" si="887"/>
        <v>#DIV/0!</v>
      </c>
      <c r="P103" s="162" t="e">
        <f t="shared" ca="1" si="887"/>
        <v>#DIV/0!</v>
      </c>
      <c r="Q103" s="162" t="e">
        <f t="shared" ca="1" si="887"/>
        <v>#DIV/0!</v>
      </c>
      <c r="R103" s="162" t="e">
        <f t="shared" ca="1" si="887"/>
        <v>#DIV/0!</v>
      </c>
      <c r="S103" s="162" t="e">
        <f t="shared" ca="1" si="887"/>
        <v>#DIV/0!</v>
      </c>
      <c r="T103" s="162" t="e">
        <f t="shared" ca="1" si="887"/>
        <v>#DIV/0!</v>
      </c>
      <c r="U103" s="162" t="e">
        <f t="shared" ca="1" si="887"/>
        <v>#DIV/0!</v>
      </c>
      <c r="V103" s="162" t="e">
        <f t="shared" ca="1" si="887"/>
        <v>#DIV/0!</v>
      </c>
      <c r="W103" s="162" t="e">
        <f t="shared" ca="1" si="887"/>
        <v>#DIV/0!</v>
      </c>
      <c r="X103" s="162" t="e">
        <f t="shared" ca="1" si="887"/>
        <v>#DIV/0!</v>
      </c>
      <c r="Y103" s="162" t="e">
        <f t="shared" ca="1" si="887"/>
        <v>#DIV/0!</v>
      </c>
      <c r="Z103" s="162" t="e">
        <f t="shared" ca="1" si="887"/>
        <v>#DIV/0!</v>
      </c>
      <c r="AA103" s="162" t="e">
        <f t="shared" ref="AA103" ca="1" si="888">+AA86/AA$101</f>
        <v>#DIV/0!</v>
      </c>
      <c r="AB103" s="21" t="e">
        <f t="shared" ca="1" si="887"/>
        <v>#DIV/0!</v>
      </c>
      <c r="AC103" s="21" t="e">
        <f t="shared" ca="1" si="887"/>
        <v>#DIV/0!</v>
      </c>
      <c r="AD103" s="21" t="e">
        <f t="shared" ca="1" si="887"/>
        <v>#DIV/0!</v>
      </c>
      <c r="AE103" s="21" t="e">
        <f t="shared" ca="1" si="887"/>
        <v>#DIV/0!</v>
      </c>
      <c r="AL103" s="162">
        <f t="shared" ref="AL103:CI105" si="889">+AL86/AL$101</f>
        <v>7.3616360720835123</v>
      </c>
      <c r="AM103" s="162">
        <f t="shared" si="889"/>
        <v>6.4688457612210177</v>
      </c>
      <c r="AN103" s="162">
        <f t="shared" si="889"/>
        <v>7.9094981511835796</v>
      </c>
      <c r="AO103" s="162">
        <f t="shared" si="889"/>
        <v>7.9504601022179591</v>
      </c>
      <c r="AP103" s="162">
        <f t="shared" si="889"/>
        <v>7.8303715680287898</v>
      </c>
      <c r="AQ103" s="162">
        <f t="shared" si="889"/>
        <v>7.996730058047083</v>
      </c>
      <c r="AR103" s="162">
        <f t="shared" si="889"/>
        <v>10.226923482477197</v>
      </c>
      <c r="AS103" s="162">
        <f t="shared" si="889"/>
        <v>8.5965246593836753</v>
      </c>
      <c r="AT103" s="162">
        <f t="shared" si="889"/>
        <v>9.1047345736407159</v>
      </c>
      <c r="AU103" s="162">
        <f t="shared" si="889"/>
        <v>8.1932206444069848</v>
      </c>
      <c r="AV103" s="162">
        <f t="shared" si="889"/>
        <v>7.7664885060625615</v>
      </c>
      <c r="AW103" s="162">
        <f t="shared" si="889"/>
        <v>6.64732122087399</v>
      </c>
      <c r="AX103" s="162">
        <f t="shared" si="889"/>
        <v>6.4076577273750566</v>
      </c>
      <c r="AY103" s="162">
        <f t="shared" si="889"/>
        <v>5.9658969621005573</v>
      </c>
      <c r="AZ103" s="162">
        <f t="shared" si="889"/>
        <v>5.7512822862528958</v>
      </c>
      <c r="BA103" s="162">
        <f t="shared" si="889"/>
        <v>5.1405392893645159</v>
      </c>
      <c r="BB103" s="162">
        <f t="shared" si="889"/>
        <v>5.1039169972394269</v>
      </c>
      <c r="BC103" s="162">
        <f t="shared" si="889"/>
        <v>4.643576319187491</v>
      </c>
      <c r="BD103" s="162">
        <f t="shared" si="889"/>
        <v>5.877061848802196</v>
      </c>
      <c r="BE103" s="162">
        <f t="shared" si="889"/>
        <v>5.9909591223876939</v>
      </c>
      <c r="BF103" s="162">
        <f t="shared" si="889"/>
        <v>6.0582099896626262</v>
      </c>
      <c r="BG103" s="162">
        <f t="shared" si="889"/>
        <v>7.2315438854522647</v>
      </c>
      <c r="BH103" s="162">
        <f t="shared" si="889"/>
        <v>10.384895204076273</v>
      </c>
      <c r="BI103" s="162">
        <f t="shared" si="889"/>
        <v>8.1357945711131947</v>
      </c>
      <c r="BJ103" s="162">
        <f t="shared" si="889"/>
        <v>8.0958880218232228</v>
      </c>
      <c r="BK103" s="162">
        <f t="shared" si="889"/>
        <v>8.26285395123851</v>
      </c>
      <c r="BL103" s="162">
        <f t="shared" si="889"/>
        <v>7.9963633302466528</v>
      </c>
      <c r="BM103" s="162">
        <f t="shared" si="889"/>
        <v>7.5849791565681048</v>
      </c>
      <c r="BN103" s="162">
        <f t="shared" si="889"/>
        <v>7.844710315479162</v>
      </c>
      <c r="BO103" s="162">
        <f t="shared" si="889"/>
        <v>8.270858296574275</v>
      </c>
      <c r="BP103" s="162">
        <f t="shared" si="889"/>
        <v>9.4802547904600729</v>
      </c>
      <c r="BQ103" s="162">
        <f t="shared" si="889"/>
        <v>10.006090255975655</v>
      </c>
      <c r="BR103" s="162">
        <f t="shared" si="889"/>
        <v>13.308472458436013</v>
      </c>
      <c r="BS103" s="162">
        <f t="shared" si="889"/>
        <v>12.688262905879025</v>
      </c>
      <c r="BT103" s="162">
        <f t="shared" si="889"/>
        <v>14.09252555256454</v>
      </c>
      <c r="BU103" s="162">
        <f t="shared" si="889"/>
        <v>12.674884283117514</v>
      </c>
      <c r="BV103" s="162">
        <f t="shared" si="889"/>
        <v>15.18354031344305</v>
      </c>
      <c r="BW103" s="162">
        <f t="shared" si="889"/>
        <v>11.985970978634514</v>
      </c>
      <c r="BX103" s="162">
        <f t="shared" si="889"/>
        <v>11.160806123914872</v>
      </c>
      <c r="BY103" s="162">
        <f t="shared" si="889"/>
        <v>10.894261311172668</v>
      </c>
      <c r="BZ103" s="162">
        <f t="shared" si="889"/>
        <v>12.833977705034062</v>
      </c>
      <c r="CA103" s="162">
        <f t="shared" si="889"/>
        <v>11.771473329523735</v>
      </c>
      <c r="CB103" s="162">
        <f t="shared" si="889"/>
        <v>12.694862983085189</v>
      </c>
      <c r="CC103" s="162">
        <f t="shared" si="889"/>
        <v>12.294471044129622</v>
      </c>
      <c r="CD103" s="162">
        <f t="shared" si="889"/>
        <v>15.536088364331578</v>
      </c>
      <c r="CE103" s="162">
        <f t="shared" si="889"/>
        <v>13.787239707789992</v>
      </c>
      <c r="CF103" s="162">
        <f t="shared" si="889"/>
        <v>15.224009064485934</v>
      </c>
      <c r="CG103" s="162">
        <f t="shared" si="889"/>
        <v>13.02468847420417</v>
      </c>
      <c r="CH103" s="162">
        <f t="shared" si="889"/>
        <v>13.770219300097091</v>
      </c>
      <c r="CI103" s="162">
        <f t="shared" si="889"/>
        <v>11.653150228803156</v>
      </c>
      <c r="CJ103" s="162">
        <f>+CJ86/CJ$101</f>
        <v>9.8277310529530606</v>
      </c>
      <c r="CK103" s="162">
        <f>+CK86/CK$101</f>
        <v>9.9125452712860458</v>
      </c>
      <c r="CL103" s="162">
        <f>+CL86/CL$101</f>
        <v>7.9632236105930625</v>
      </c>
      <c r="CM103" s="21">
        <f t="shared" ref="CM103:DB103" si="890">+CM86/CM$101</f>
        <v>7.7469931847883124</v>
      </c>
      <c r="CN103" s="21">
        <f t="shared" si="890"/>
        <v>6.9343801520450672</v>
      </c>
      <c r="CO103" s="21">
        <f t="shared" si="890"/>
        <v>6.2619010408427336</v>
      </c>
      <c r="CP103" s="21">
        <f t="shared" si="890"/>
        <v>5.7023002876810258</v>
      </c>
      <c r="CQ103" s="21">
        <f t="shared" si="890"/>
        <v>5.2228695927567577</v>
      </c>
      <c r="CR103" s="21">
        <f t="shared" si="890"/>
        <v>4.8093466633717004</v>
      </c>
      <c r="CS103" s="21">
        <f t="shared" si="890"/>
        <v>4.4499799311492794</v>
      </c>
      <c r="CT103" s="21">
        <f t="shared" si="890"/>
        <v>4.13506261102137</v>
      </c>
      <c r="CU103" s="21">
        <f t="shared" si="890"/>
        <v>3.8563690897539522</v>
      </c>
      <c r="CV103" s="21">
        <f t="shared" si="890"/>
        <v>3.6083479851123412</v>
      </c>
      <c r="CW103" s="21">
        <f t="shared" si="890"/>
        <v>3.3863591047986086</v>
      </c>
      <c r="CX103" s="21">
        <f t="shared" si="890"/>
        <v>3.1865573351954288</v>
      </c>
      <c r="CY103" s="21">
        <f t="shared" si="890"/>
        <v>3.0057925638620144</v>
      </c>
      <c r="CZ103" s="21">
        <f t="shared" si="890"/>
        <v>2.8415588960823279</v>
      </c>
      <c r="DA103" s="21">
        <f t="shared" si="890"/>
        <v>2.6917387881120489</v>
      </c>
      <c r="DB103" s="21">
        <f t="shared" si="890"/>
        <v>2.5545495987356555</v>
      </c>
      <c r="DE103" s="22"/>
      <c r="DF103" s="162">
        <v>6.6232356636955476</v>
      </c>
    </row>
    <row r="104" spans="1:110" s="162" customFormat="1" x14ac:dyDescent="0.2">
      <c r="A104" s="49" t="s">
        <v>503</v>
      </c>
      <c r="E104" s="162" t="e">
        <f t="shared" ca="1" si="887"/>
        <v>#DIV/0!</v>
      </c>
      <c r="F104" s="162" t="e">
        <f t="shared" ca="1" si="887"/>
        <v>#DIV/0!</v>
      </c>
      <c r="G104" s="162" t="e">
        <f t="shared" ca="1" si="887"/>
        <v>#DIV/0!</v>
      </c>
      <c r="H104" s="162" t="e">
        <f t="shared" ca="1" si="887"/>
        <v>#DIV/0!</v>
      </c>
      <c r="I104" s="162" t="e">
        <f t="shared" ca="1" si="887"/>
        <v>#DIV/0!</v>
      </c>
      <c r="J104" s="162" t="e">
        <f t="shared" ca="1" si="887"/>
        <v>#DIV/0!</v>
      </c>
      <c r="K104" s="162" t="e">
        <f t="shared" ca="1" si="887"/>
        <v>#DIV/0!</v>
      </c>
      <c r="L104" s="162" t="e">
        <f t="shared" ca="1" si="887"/>
        <v>#DIV/0!</v>
      </c>
      <c r="M104" s="162" t="e">
        <f t="shared" ca="1" si="887"/>
        <v>#DIV/0!</v>
      </c>
      <c r="N104" s="162" t="e">
        <f t="shared" ca="1" si="887"/>
        <v>#DIV/0!</v>
      </c>
      <c r="O104" s="162" t="e">
        <f t="shared" ca="1" si="887"/>
        <v>#DIV/0!</v>
      </c>
      <c r="P104" s="162" t="e">
        <f t="shared" ca="1" si="887"/>
        <v>#DIV/0!</v>
      </c>
      <c r="Q104" s="162" t="e">
        <f t="shared" ca="1" si="887"/>
        <v>#DIV/0!</v>
      </c>
      <c r="R104" s="162" t="e">
        <f t="shared" ca="1" si="887"/>
        <v>#DIV/0!</v>
      </c>
      <c r="S104" s="162" t="e">
        <f t="shared" ca="1" si="887"/>
        <v>#DIV/0!</v>
      </c>
      <c r="T104" s="162" t="e">
        <f t="shared" ca="1" si="887"/>
        <v>#DIV/0!</v>
      </c>
      <c r="U104" s="162" t="e">
        <f t="shared" ca="1" si="887"/>
        <v>#DIV/0!</v>
      </c>
      <c r="V104" s="162" t="e">
        <f t="shared" ca="1" si="887"/>
        <v>#DIV/0!</v>
      </c>
      <c r="W104" s="162" t="e">
        <f t="shared" ca="1" si="887"/>
        <v>#DIV/0!</v>
      </c>
      <c r="X104" s="162" t="e">
        <f t="shared" ca="1" si="887"/>
        <v>#DIV/0!</v>
      </c>
      <c r="Y104" s="162" t="e">
        <f t="shared" ca="1" si="887"/>
        <v>#DIV/0!</v>
      </c>
      <c r="Z104" s="162" t="e">
        <f t="shared" ca="1" si="887"/>
        <v>#DIV/0!</v>
      </c>
      <c r="AA104" s="162" t="e">
        <f t="shared" ref="AA104" ca="1" si="891">+AA87/AA$101</f>
        <v>#DIV/0!</v>
      </c>
      <c r="AB104" s="21" t="e">
        <f t="shared" ca="1" si="887"/>
        <v>#DIV/0!</v>
      </c>
      <c r="AC104" s="21" t="e">
        <f t="shared" ca="1" si="887"/>
        <v>#DIV/0!</v>
      </c>
      <c r="AD104" s="21" t="e">
        <f t="shared" ca="1" si="887"/>
        <v>#DIV/0!</v>
      </c>
      <c r="AE104" s="21" t="e">
        <f t="shared" ca="1" si="887"/>
        <v>#DIV/0!</v>
      </c>
      <c r="AL104" s="162">
        <f t="shared" si="889"/>
        <v>7.4843456185198196</v>
      </c>
      <c r="AM104" s="162">
        <f t="shared" si="889"/>
        <v>6.709978973869271</v>
      </c>
      <c r="AN104" s="162">
        <f t="shared" si="889"/>
        <v>8.5217894519823698</v>
      </c>
      <c r="AO104" s="162">
        <f t="shared" si="889"/>
        <v>8.2694380035529438</v>
      </c>
      <c r="AP104" s="162">
        <f t="shared" si="889"/>
        <v>8.7720765382329322</v>
      </c>
      <c r="AQ104" s="162">
        <f t="shared" si="889"/>
        <v>8.0216842054517645</v>
      </c>
      <c r="AR104" s="162">
        <f t="shared" si="889"/>
        <v>10.383042612404722</v>
      </c>
      <c r="AS104" s="162">
        <f t="shared" si="889"/>
        <v>9.5363646943646359</v>
      </c>
      <c r="AT104" s="162">
        <f t="shared" si="889"/>
        <v>10.044680768705133</v>
      </c>
      <c r="AU104" s="162">
        <f t="shared" si="889"/>
        <v>8.7062198838773401</v>
      </c>
      <c r="AV104" s="162">
        <f t="shared" si="889"/>
        <v>8.2564522764434845</v>
      </c>
      <c r="AW104" s="162">
        <f t="shared" si="889"/>
        <v>7.5460939900787478</v>
      </c>
      <c r="AX104" s="162">
        <f t="shared" si="889"/>
        <v>6.4533712291760468</v>
      </c>
      <c r="AY104" s="162">
        <f t="shared" si="889"/>
        <v>6.2574325808577438</v>
      </c>
      <c r="AZ104" s="162">
        <f t="shared" si="889"/>
        <v>6.4924659955227986</v>
      </c>
      <c r="BA104" s="162">
        <f t="shared" si="889"/>
        <v>5.3430529669933264</v>
      </c>
      <c r="BB104" s="162">
        <f t="shared" si="889"/>
        <v>5.4249193866425403</v>
      </c>
      <c r="BC104" s="162">
        <f t="shared" si="889"/>
        <v>5.3173254918130626</v>
      </c>
      <c r="BD104" s="162">
        <f t="shared" si="889"/>
        <v>6.2308431262824095</v>
      </c>
      <c r="BE104" s="162">
        <f t="shared" si="889"/>
        <v>6.1542440399583258</v>
      </c>
      <c r="BF104" s="162">
        <f t="shared" si="889"/>
        <v>6.9203881214171608</v>
      </c>
      <c r="BG104" s="162">
        <f t="shared" si="889"/>
        <v>7.3842237314530434</v>
      </c>
      <c r="BH104" s="162">
        <f t="shared" si="889"/>
        <v>10.525848347953985</v>
      </c>
      <c r="BI104" s="162">
        <f t="shared" si="889"/>
        <v>9.7661329566899706</v>
      </c>
      <c r="BJ104" s="162">
        <f t="shared" si="889"/>
        <v>8.4900789303043194</v>
      </c>
      <c r="BK104" s="162">
        <f t="shared" si="889"/>
        <v>8.4980610184777152</v>
      </c>
      <c r="BL104" s="162">
        <f t="shared" si="889"/>
        <v>8.7460223924572773</v>
      </c>
      <c r="BM104" s="162">
        <f t="shared" si="889"/>
        <v>8.0208531265147833</v>
      </c>
      <c r="BN104" s="162">
        <f t="shared" si="889"/>
        <v>9.7247212514561472</v>
      </c>
      <c r="BO104" s="162">
        <f t="shared" si="889"/>
        <v>8.4688711128667684</v>
      </c>
      <c r="BP104" s="162">
        <f t="shared" si="889"/>
        <v>9.7180697310194777</v>
      </c>
      <c r="BQ104" s="162">
        <f t="shared" si="889"/>
        <v>10.290912767965485</v>
      </c>
      <c r="BR104" s="162">
        <f t="shared" si="889"/>
        <v>14.010626728217233</v>
      </c>
      <c r="BS104" s="162">
        <f t="shared" si="889"/>
        <v>12.892132312109052</v>
      </c>
      <c r="BT104" s="162">
        <f t="shared" si="889"/>
        <v>14.865570304361729</v>
      </c>
      <c r="BU104" s="162">
        <f t="shared" si="889"/>
        <v>13.533534471450254</v>
      </c>
      <c r="BV104" s="162">
        <f t="shared" si="889"/>
        <v>16.42907145020698</v>
      </c>
      <c r="BW104" s="162">
        <f t="shared" si="889"/>
        <v>14.079225691310828</v>
      </c>
      <c r="BX104" s="162">
        <f t="shared" si="889"/>
        <v>12.733556344531779</v>
      </c>
      <c r="BY104" s="162">
        <f t="shared" si="889"/>
        <v>11.630963065558634</v>
      </c>
      <c r="BZ104" s="162">
        <f t="shared" si="889"/>
        <v>14.31201893302663</v>
      </c>
      <c r="CA104" s="162">
        <f t="shared" si="889"/>
        <v>12.02987152456206</v>
      </c>
      <c r="CB104" s="162">
        <f t="shared" si="889"/>
        <v>13.062684121135069</v>
      </c>
      <c r="CC104" s="162">
        <f t="shared" si="889"/>
        <v>12.728589838820822</v>
      </c>
      <c r="CD104" s="162">
        <f t="shared" si="889"/>
        <v>17.019868713324271</v>
      </c>
      <c r="CE104" s="162">
        <f t="shared" si="889"/>
        <v>14.345268168030509</v>
      </c>
      <c r="CF104" s="162">
        <f t="shared" si="889"/>
        <v>16.356429380757671</v>
      </c>
      <c r="CG104" s="162">
        <f t="shared" si="889"/>
        <v>14.286085620197584</v>
      </c>
      <c r="CH104" s="162">
        <f t="shared" si="889"/>
        <v>16.510166110853138</v>
      </c>
      <c r="CI104" s="162">
        <f t="shared" si="889"/>
        <v>12.221994865880427</v>
      </c>
      <c r="CJ104" s="162">
        <f t="shared" ref="CJ104:CK105" si="892">+CJ87/CJ$101</f>
        <v>11.871688201851242</v>
      </c>
      <c r="CK104" s="162">
        <f t="shared" si="892"/>
        <v>10.291174661746616</v>
      </c>
      <c r="CL104" s="162">
        <f t="shared" ref="CL104" si="893">+CL87/CL$101</f>
        <v>11.263384930995896</v>
      </c>
      <c r="CM104" s="94">
        <f t="shared" ref="CM104:DB104" si="894">+CL104</f>
        <v>11.263384930995896</v>
      </c>
      <c r="CN104" s="94">
        <f t="shared" si="894"/>
        <v>11.263384930995896</v>
      </c>
      <c r="CO104" s="94">
        <f t="shared" si="894"/>
        <v>11.263384930995896</v>
      </c>
      <c r="CP104" s="94">
        <f t="shared" si="894"/>
        <v>11.263384930995896</v>
      </c>
      <c r="CQ104" s="94">
        <f t="shared" si="894"/>
        <v>11.263384930995896</v>
      </c>
      <c r="CR104" s="94">
        <f t="shared" si="894"/>
        <v>11.263384930995896</v>
      </c>
      <c r="CS104" s="94">
        <f t="shared" si="894"/>
        <v>11.263384930995896</v>
      </c>
      <c r="CT104" s="94">
        <f t="shared" si="894"/>
        <v>11.263384930995896</v>
      </c>
      <c r="CU104" s="94">
        <f t="shared" si="894"/>
        <v>11.263384930995896</v>
      </c>
      <c r="CV104" s="94">
        <f t="shared" si="894"/>
        <v>11.263384930995896</v>
      </c>
      <c r="CW104" s="94">
        <f t="shared" si="894"/>
        <v>11.263384930995896</v>
      </c>
      <c r="CX104" s="94">
        <f t="shared" si="894"/>
        <v>11.263384930995896</v>
      </c>
      <c r="CY104" s="94">
        <f t="shared" si="894"/>
        <v>11.263384930995896</v>
      </c>
      <c r="CZ104" s="94">
        <f t="shared" si="894"/>
        <v>11.263384930995896</v>
      </c>
      <c r="DA104" s="94">
        <f t="shared" si="894"/>
        <v>11.263384930995896</v>
      </c>
      <c r="DB104" s="94">
        <f t="shared" si="894"/>
        <v>11.263384930995896</v>
      </c>
      <c r="DC104" s="94"/>
      <c r="DE104" s="22"/>
      <c r="DF104" s="162">
        <v>9.3680720794611947</v>
      </c>
    </row>
    <row r="105" spans="1:110" s="162" customFormat="1" x14ac:dyDescent="0.2">
      <c r="A105" s="49" t="s">
        <v>504</v>
      </c>
      <c r="E105" s="162" t="e">
        <f t="shared" ca="1" si="887"/>
        <v>#DIV/0!</v>
      </c>
      <c r="F105" s="162" t="e">
        <f t="shared" ca="1" si="887"/>
        <v>#DIV/0!</v>
      </c>
      <c r="G105" s="162" t="e">
        <f t="shared" ca="1" si="887"/>
        <v>#DIV/0!</v>
      </c>
      <c r="H105" s="162" t="e">
        <f t="shared" ca="1" si="887"/>
        <v>#DIV/0!</v>
      </c>
      <c r="I105" s="162" t="e">
        <f t="shared" ca="1" si="887"/>
        <v>#DIV/0!</v>
      </c>
      <c r="J105" s="162" t="e">
        <f t="shared" ca="1" si="887"/>
        <v>#DIV/0!</v>
      </c>
      <c r="K105" s="162" t="e">
        <f t="shared" ca="1" si="887"/>
        <v>#DIV/0!</v>
      </c>
      <c r="L105" s="162" t="e">
        <f t="shared" ca="1" si="887"/>
        <v>#DIV/0!</v>
      </c>
      <c r="M105" s="162" t="e">
        <f t="shared" ca="1" si="887"/>
        <v>#DIV/0!</v>
      </c>
      <c r="N105" s="162" t="e">
        <f t="shared" ca="1" si="887"/>
        <v>#DIV/0!</v>
      </c>
      <c r="O105" s="162" t="e">
        <f t="shared" ca="1" si="887"/>
        <v>#DIV/0!</v>
      </c>
      <c r="P105" s="162" t="e">
        <f t="shared" ca="1" si="887"/>
        <v>#DIV/0!</v>
      </c>
      <c r="Q105" s="162" t="e">
        <f t="shared" ca="1" si="887"/>
        <v>#DIV/0!</v>
      </c>
      <c r="R105" s="162" t="e">
        <f t="shared" ca="1" si="887"/>
        <v>#DIV/0!</v>
      </c>
      <c r="S105" s="162" t="e">
        <f t="shared" ca="1" si="887"/>
        <v>#DIV/0!</v>
      </c>
      <c r="T105" s="162" t="e">
        <f t="shared" ca="1" si="887"/>
        <v>#DIV/0!</v>
      </c>
      <c r="U105" s="162" t="e">
        <f t="shared" ca="1" si="887"/>
        <v>#DIV/0!</v>
      </c>
      <c r="V105" s="162" t="e">
        <f t="shared" ca="1" si="887"/>
        <v>#DIV/0!</v>
      </c>
      <c r="W105" s="162" t="e">
        <f t="shared" ca="1" si="887"/>
        <v>#DIV/0!</v>
      </c>
      <c r="X105" s="162" t="e">
        <f t="shared" ca="1" si="887"/>
        <v>#DIV/0!</v>
      </c>
      <c r="Y105" s="162" t="e">
        <f t="shared" ca="1" si="887"/>
        <v>#DIV/0!</v>
      </c>
      <c r="Z105" s="162" t="e">
        <f t="shared" ca="1" si="887"/>
        <v>#DIV/0!</v>
      </c>
      <c r="AA105" s="162" t="e">
        <f t="shared" ref="AA105" ca="1" si="895">+AA88/AA$101</f>
        <v>#DIV/0!</v>
      </c>
      <c r="AB105" s="21" t="e">
        <f t="shared" ca="1" si="887"/>
        <v>#DIV/0!</v>
      </c>
      <c r="AC105" s="21" t="e">
        <f t="shared" ca="1" si="887"/>
        <v>#DIV/0!</v>
      </c>
      <c r="AD105" s="21" t="e">
        <f t="shared" ca="1" si="887"/>
        <v>#DIV/0!</v>
      </c>
      <c r="AE105" s="21" t="e">
        <f t="shared" ca="1" si="887"/>
        <v>#DIV/0!</v>
      </c>
      <c r="AL105" s="162">
        <f t="shared" si="889"/>
        <v>5.8778809457086192</v>
      </c>
      <c r="AM105" s="162">
        <f t="shared" si="889"/>
        <v>5.8110548065763084</v>
      </c>
      <c r="AN105" s="162">
        <f t="shared" si="889"/>
        <v>6.0151513811292574</v>
      </c>
      <c r="AO105" s="162">
        <f t="shared" si="889"/>
        <v>6.9988365928965388</v>
      </c>
      <c r="AP105" s="162">
        <f t="shared" si="889"/>
        <v>7.4125923167426775</v>
      </c>
      <c r="AQ105" s="162">
        <f t="shared" si="889"/>
        <v>6.6120227659687911</v>
      </c>
      <c r="AR105" s="162">
        <f t="shared" si="889"/>
        <v>8.7247437203515936</v>
      </c>
      <c r="AS105" s="162">
        <f t="shared" si="889"/>
        <v>7.9018237097889052</v>
      </c>
      <c r="AT105" s="162">
        <f t="shared" si="889"/>
        <v>8.6055389617725044</v>
      </c>
      <c r="AU105" s="162">
        <f t="shared" si="889"/>
        <v>7.7110398824016846</v>
      </c>
      <c r="AV105" s="162">
        <f t="shared" si="889"/>
        <v>7.3682147398784981</v>
      </c>
      <c r="AW105" s="162">
        <f t="shared" si="889"/>
        <v>6.3133472885936914</v>
      </c>
      <c r="AX105" s="162">
        <f t="shared" si="889"/>
        <v>5.3964852543899138</v>
      </c>
      <c r="AY105" s="162">
        <f t="shared" si="889"/>
        <v>5.6247780692346447</v>
      </c>
      <c r="AZ105" s="162">
        <f t="shared" si="889"/>
        <v>5.4190765444381901</v>
      </c>
      <c r="BA105" s="162">
        <f t="shared" si="889"/>
        <v>4.4718415198701376</v>
      </c>
      <c r="BB105" s="162">
        <f t="shared" si="889"/>
        <v>4.5227956016424251</v>
      </c>
      <c r="BC105" s="162">
        <f t="shared" si="889"/>
        <v>4.4288132466715133</v>
      </c>
      <c r="BD105" s="162">
        <f t="shared" si="889"/>
        <v>5.606962986649612</v>
      </c>
      <c r="BE105" s="162">
        <f t="shared" si="889"/>
        <v>5.3799718085432371</v>
      </c>
      <c r="BF105" s="162">
        <f t="shared" si="889"/>
        <v>5.5764108166525697</v>
      </c>
      <c r="BG105" s="162">
        <f t="shared" si="889"/>
        <v>5.5688995111822468</v>
      </c>
      <c r="BH105" s="162">
        <f t="shared" si="889"/>
        <v>8.6993998529180026</v>
      </c>
      <c r="BI105" s="162">
        <f t="shared" si="889"/>
        <v>7.6651039132137733</v>
      </c>
      <c r="BJ105" s="162">
        <f t="shared" si="889"/>
        <v>7.3234923864678132</v>
      </c>
      <c r="BK105" s="162">
        <f t="shared" si="889"/>
        <v>7.4420406448240879</v>
      </c>
      <c r="BL105" s="162">
        <f t="shared" si="889"/>
        <v>7.5232553245222666</v>
      </c>
      <c r="BM105" s="162">
        <f t="shared" si="889"/>
        <v>6.7697333979641297</v>
      </c>
      <c r="BN105" s="162">
        <f t="shared" si="889"/>
        <v>6.4735373130780021</v>
      </c>
      <c r="BO105" s="162">
        <f t="shared" si="889"/>
        <v>6.5540851932319439</v>
      </c>
      <c r="BP105" s="162">
        <f t="shared" si="889"/>
        <v>7.9203790323428329</v>
      </c>
      <c r="BQ105" s="162">
        <f t="shared" si="889"/>
        <v>8.6876095456383986</v>
      </c>
      <c r="BR105" s="162">
        <f t="shared" si="889"/>
        <v>11.312369118276584</v>
      </c>
      <c r="BS105" s="162">
        <f t="shared" si="889"/>
        <v>11.396963569116</v>
      </c>
      <c r="BT105" s="162">
        <f t="shared" si="889"/>
        <v>11.698158977691142</v>
      </c>
      <c r="BU105" s="162">
        <f t="shared" si="889"/>
        <v>11.484849052714427</v>
      </c>
      <c r="BV105" s="162">
        <f t="shared" si="889"/>
        <v>13.608656143775452</v>
      </c>
      <c r="BW105" s="162">
        <f t="shared" si="889"/>
        <v>11.098012513055558</v>
      </c>
      <c r="BX105" s="162">
        <f t="shared" si="889"/>
        <v>10.868840683809797</v>
      </c>
      <c r="BY105" s="162">
        <f t="shared" si="889"/>
        <v>9.9402927054478294</v>
      </c>
      <c r="BZ105" s="162">
        <f t="shared" si="889"/>
        <v>12.394808900291958</v>
      </c>
      <c r="CA105" s="162">
        <f t="shared" si="889"/>
        <v>10.950448284695264</v>
      </c>
      <c r="CB105" s="162">
        <f t="shared" si="889"/>
        <v>11.685422274311934</v>
      </c>
      <c r="CC105" s="162">
        <f t="shared" si="889"/>
        <v>10.733101244865265</v>
      </c>
      <c r="CD105" s="162">
        <f t="shared" si="889"/>
        <v>14.60797555503984</v>
      </c>
      <c r="CE105" s="162">
        <f t="shared" si="889"/>
        <v>12.686894439621961</v>
      </c>
      <c r="CF105" s="162">
        <f t="shared" si="889"/>
        <v>13.860289669441844</v>
      </c>
      <c r="CG105" s="162">
        <f t="shared" si="889"/>
        <v>12.44548847420417</v>
      </c>
      <c r="CH105" s="162">
        <f t="shared" si="889"/>
        <v>13.208247498839125</v>
      </c>
      <c r="CI105" s="162">
        <f t="shared" si="889"/>
        <v>10.303680382454706</v>
      </c>
      <c r="CJ105" s="162">
        <f t="shared" si="892"/>
        <v>9.8175257247568481</v>
      </c>
      <c r="CK105" s="162">
        <f t="shared" si="892"/>
        <v>8.8667922304223037</v>
      </c>
      <c r="CL105" s="162">
        <f t="shared" ref="CL105" si="896">+CL88/CL$101</f>
        <v>7.9203534129056319</v>
      </c>
      <c r="CM105" s="94">
        <f t="shared" ref="CM105:DB105" si="897">+CL105</f>
        <v>7.9203534129056319</v>
      </c>
      <c r="CN105" s="94">
        <f t="shared" si="897"/>
        <v>7.9203534129056319</v>
      </c>
      <c r="CO105" s="94">
        <f t="shared" si="897"/>
        <v>7.9203534129056319</v>
      </c>
      <c r="CP105" s="94">
        <f t="shared" si="897"/>
        <v>7.9203534129056319</v>
      </c>
      <c r="CQ105" s="94">
        <f t="shared" si="897"/>
        <v>7.9203534129056319</v>
      </c>
      <c r="CR105" s="94">
        <f t="shared" si="897"/>
        <v>7.9203534129056319</v>
      </c>
      <c r="CS105" s="94">
        <f t="shared" si="897"/>
        <v>7.9203534129056319</v>
      </c>
      <c r="CT105" s="94">
        <f t="shared" si="897"/>
        <v>7.9203534129056319</v>
      </c>
      <c r="CU105" s="94">
        <f t="shared" si="897"/>
        <v>7.9203534129056319</v>
      </c>
      <c r="CV105" s="94">
        <f t="shared" si="897"/>
        <v>7.9203534129056319</v>
      </c>
      <c r="CW105" s="94">
        <f t="shared" si="897"/>
        <v>7.9203534129056319</v>
      </c>
      <c r="CX105" s="94">
        <f t="shared" si="897"/>
        <v>7.9203534129056319</v>
      </c>
      <c r="CY105" s="94">
        <f t="shared" si="897"/>
        <v>7.9203534129056319</v>
      </c>
      <c r="CZ105" s="94">
        <f t="shared" si="897"/>
        <v>7.9203534129056319</v>
      </c>
      <c r="DA105" s="94">
        <f t="shared" si="897"/>
        <v>7.9203534129056319</v>
      </c>
      <c r="DB105" s="94">
        <f t="shared" si="897"/>
        <v>7.9203534129056319</v>
      </c>
      <c r="DC105" s="94"/>
      <c r="DE105" s="22"/>
      <c r="DF105" s="162">
        <v>6.5875793219779348</v>
      </c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77" customFormat="1" x14ac:dyDescent="0.2">
      <c r="A107" s="177" t="s">
        <v>510</v>
      </c>
      <c r="E107" s="177">
        <f t="shared" ref="E107:Y107" si="898">+E19</f>
        <v>0</v>
      </c>
      <c r="F107" s="177">
        <f t="shared" si="898"/>
        <v>9748.4699999999993</v>
      </c>
      <c r="G107" s="177">
        <f t="shared" si="898"/>
        <v>13263.99</v>
      </c>
      <c r="H107" s="177">
        <f t="shared" si="898"/>
        <v>18685.210000000003</v>
      </c>
      <c r="I107" s="177">
        <f t="shared" si="898"/>
        <v>22619.519999999997</v>
      </c>
      <c r="J107" s="177">
        <f t="shared" si="898"/>
        <v>27812.879999999997</v>
      </c>
      <c r="K107" s="177">
        <f t="shared" si="898"/>
        <v>30028.920000000002</v>
      </c>
      <c r="L107" s="177">
        <f t="shared" si="898"/>
        <v>37324.51</v>
      </c>
      <c r="M107" s="177">
        <f t="shared" si="898"/>
        <v>48893.83</v>
      </c>
      <c r="N107" s="177">
        <f t="shared" si="898"/>
        <v>62989.48</v>
      </c>
      <c r="O107" s="177">
        <f t="shared" si="898"/>
        <v>81809.36</v>
      </c>
      <c r="P107" s="177">
        <f t="shared" si="898"/>
        <v>94648.41</v>
      </c>
      <c r="Q107" s="177">
        <f t="shared" si="898"/>
        <v>108646</v>
      </c>
      <c r="R107" s="177">
        <f t="shared" si="898"/>
        <v>117966</v>
      </c>
      <c r="S107" s="177">
        <f t="shared" si="898"/>
        <v>123104</v>
      </c>
      <c r="T107" s="177">
        <f t="shared" si="898"/>
        <v>146463</v>
      </c>
      <c r="U107" s="177">
        <f t="shared" si="898"/>
        <v>156949</v>
      </c>
      <c r="V107" s="177">
        <f t="shared" si="898"/>
        <v>164177</v>
      </c>
      <c r="W107" s="177">
        <f t="shared" si="898"/>
        <v>191754</v>
      </c>
      <c r="X107" s="177">
        <f t="shared" si="898"/>
        <v>225458</v>
      </c>
      <c r="Y107" s="177">
        <f t="shared" si="898"/>
        <v>240893</v>
      </c>
      <c r="Z107" s="177">
        <f>+Z19</f>
        <v>255324</v>
      </c>
      <c r="AA107" s="177">
        <f>+AA19</f>
        <v>267021</v>
      </c>
      <c r="AB107" s="178">
        <f t="shared" ref="AA107:AE107" si="899">+AB19</f>
        <v>286295.75629575975</v>
      </c>
      <c r="AC107" s="178">
        <f t="shared" si="899"/>
        <v>301070.83448721631</v>
      </c>
      <c r="AD107" s="178">
        <f t="shared" si="899"/>
        <v>316608.42113631876</v>
      </c>
      <c r="AE107" s="178">
        <f t="shared" si="899"/>
        <v>332947.8675845929</v>
      </c>
      <c r="AL107" s="177">
        <f t="shared" ref="AL107:BQ107" si="900">+SUM(AI17:AL17)</f>
        <v>62989.479999999996</v>
      </c>
      <c r="AM107" s="177">
        <f t="shared" si="900"/>
        <v>66107.839999999997</v>
      </c>
      <c r="AN107" s="177">
        <f t="shared" si="900"/>
        <v>71464.33</v>
      </c>
      <c r="AO107" s="177">
        <f t="shared" si="900"/>
        <v>76688.360000000015</v>
      </c>
      <c r="AP107" s="177">
        <f t="shared" si="900"/>
        <v>81809.36</v>
      </c>
      <c r="AQ107" s="177">
        <f t="shared" si="900"/>
        <v>85933.319999999992</v>
      </c>
      <c r="AR107" s="177">
        <f t="shared" si="900"/>
        <v>88772.56</v>
      </c>
      <c r="AS107" s="177">
        <f t="shared" si="900"/>
        <v>91979.739999999991</v>
      </c>
      <c r="AT107" s="177">
        <f t="shared" si="900"/>
        <v>94648.409999999989</v>
      </c>
      <c r="AU107" s="177">
        <f t="shared" si="900"/>
        <v>98205.37999999999</v>
      </c>
      <c r="AV107" s="177">
        <f t="shared" si="900"/>
        <v>101553.9</v>
      </c>
      <c r="AW107" s="177">
        <f t="shared" si="900"/>
        <v>104416.76</v>
      </c>
      <c r="AX107" s="177">
        <f t="shared" si="900"/>
        <v>108646</v>
      </c>
      <c r="AY107" s="177">
        <f t="shared" si="900"/>
        <v>112283</v>
      </c>
      <c r="AZ107" s="177">
        <f t="shared" si="900"/>
        <v>114402</v>
      </c>
      <c r="BA107" s="177">
        <f t="shared" si="900"/>
        <v>116773</v>
      </c>
      <c r="BB107" s="177">
        <f t="shared" si="900"/>
        <v>117966</v>
      </c>
      <c r="BC107" s="177">
        <f t="shared" si="900"/>
        <v>118245</v>
      </c>
      <c r="BD107" s="177">
        <f t="shared" si="900"/>
        <v>119502</v>
      </c>
      <c r="BE107" s="177">
        <f t="shared" si="900"/>
        <v>120671</v>
      </c>
      <c r="BF107" s="177">
        <f t="shared" si="900"/>
        <v>123104</v>
      </c>
      <c r="BG107" s="177">
        <f t="shared" si="900"/>
        <v>127781</v>
      </c>
      <c r="BH107" s="177">
        <f t="shared" si="900"/>
        <v>134094</v>
      </c>
      <c r="BI107" s="177">
        <f t="shared" si="900"/>
        <v>140528</v>
      </c>
      <c r="BJ107" s="177">
        <f t="shared" si="900"/>
        <v>146463</v>
      </c>
      <c r="BK107" s="177">
        <f t="shared" si="900"/>
        <v>150374</v>
      </c>
      <c r="BL107" s="177">
        <f t="shared" si="900"/>
        <v>152497</v>
      </c>
      <c r="BM107" s="177">
        <f t="shared" si="900"/>
        <v>155013</v>
      </c>
      <c r="BN107" s="177">
        <f t="shared" si="900"/>
        <v>156949</v>
      </c>
      <c r="BO107" s="177">
        <f t="shared" si="900"/>
        <v>157099</v>
      </c>
      <c r="BP107" s="177">
        <f t="shared" si="900"/>
        <v>158257</v>
      </c>
      <c r="BQ107" s="177">
        <f t="shared" si="900"/>
        <v>160418</v>
      </c>
      <c r="BR107" s="177">
        <f t="shared" ref="BR107:CW107" si="901">+SUM(BO17:BR17)</f>
        <v>164177</v>
      </c>
      <c r="BS107" s="177">
        <f t="shared" si="901"/>
        <v>171266</v>
      </c>
      <c r="BT107" s="177">
        <f t="shared" si="901"/>
        <v>177998</v>
      </c>
      <c r="BU107" s="177">
        <f t="shared" si="901"/>
        <v>184868</v>
      </c>
      <c r="BV107" s="177">
        <f t="shared" si="901"/>
        <v>191754</v>
      </c>
      <c r="BW107" s="177">
        <f t="shared" si="901"/>
        <v>199101</v>
      </c>
      <c r="BX107" s="177">
        <f t="shared" si="901"/>
        <v>207543</v>
      </c>
      <c r="BY107" s="177">
        <f t="shared" si="901"/>
        <v>216887</v>
      </c>
      <c r="BZ107" s="177">
        <f t="shared" si="901"/>
        <v>225458</v>
      </c>
      <c r="CA107" s="177">
        <f t="shared" si="901"/>
        <v>232081</v>
      </c>
      <c r="CB107" s="177">
        <f t="shared" si="901"/>
        <v>236464</v>
      </c>
      <c r="CC107" s="177">
        <f t="shared" si="901"/>
        <v>238818</v>
      </c>
      <c r="CD107" s="177">
        <f t="shared" si="901"/>
        <v>240893</v>
      </c>
      <c r="CE107" s="177">
        <f t="shared" si="901"/>
        <v>244125</v>
      </c>
      <c r="CF107" s="177">
        <f t="shared" si="901"/>
        <v>248692</v>
      </c>
      <c r="CG107" s="177">
        <f t="shared" si="901"/>
        <v>252082</v>
      </c>
      <c r="CH107" s="177">
        <f t="shared" si="901"/>
        <v>255324</v>
      </c>
      <c r="CI107" s="177">
        <f t="shared" si="901"/>
        <v>256148</v>
      </c>
      <c r="CJ107" s="177">
        <f t="shared" si="901"/>
        <v>257688</v>
      </c>
      <c r="CK107" s="177">
        <f t="shared" si="901"/>
        <v>260802</v>
      </c>
      <c r="CL107" s="177">
        <f t="shared" si="901"/>
        <v>267021</v>
      </c>
      <c r="CM107" s="178">
        <f t="shared" si="901"/>
        <v>273813.05067788792</v>
      </c>
      <c r="CN107" s="178">
        <f t="shared" si="901"/>
        <v>279132.16645568161</v>
      </c>
      <c r="CO107" s="178">
        <f t="shared" si="901"/>
        <v>284063.60245849297</v>
      </c>
      <c r="CP107" s="178">
        <f t="shared" si="901"/>
        <v>286295.75629575975</v>
      </c>
      <c r="CQ107" s="178">
        <f t="shared" si="901"/>
        <v>289920.11918713845</v>
      </c>
      <c r="CR107" s="178">
        <f t="shared" si="901"/>
        <v>293590.36472287896</v>
      </c>
      <c r="CS107" s="178">
        <f t="shared" si="901"/>
        <v>297307.07375460031</v>
      </c>
      <c r="CT107" s="178">
        <f t="shared" si="901"/>
        <v>301070.83448721631</v>
      </c>
      <c r="CU107" s="178">
        <f t="shared" si="901"/>
        <v>304882.24257202435</v>
      </c>
      <c r="CV107" s="178">
        <f t="shared" si="901"/>
        <v>308741.9012009732</v>
      </c>
      <c r="CW107" s="178">
        <f t="shared" si="901"/>
        <v>312650.42120212381</v>
      </c>
      <c r="CX107" s="178">
        <f t="shared" ref="CX107:DB107" si="902">+SUM(CU17:CX17)</f>
        <v>316608.42113631876</v>
      </c>
      <c r="CY107" s="178">
        <f t="shared" si="902"/>
        <v>320616.5273950753</v>
      </c>
      <c r="CZ107" s="178">
        <f t="shared" si="902"/>
        <v>324675.37429971813</v>
      </c>
      <c r="DA107" s="178">
        <f t="shared" si="902"/>
        <v>328785.60420176649</v>
      </c>
      <c r="DB107" s="178">
        <f t="shared" si="902"/>
        <v>332947.8675845929</v>
      </c>
      <c r="DE107" s="179"/>
      <c r="DF107" s="177">
        <v>264460.94131200004</v>
      </c>
    </row>
    <row r="108" spans="1:110" s="163" customFormat="1" x14ac:dyDescent="0.2">
      <c r="A108" s="163" t="s">
        <v>511</v>
      </c>
      <c r="E108" s="163" t="e">
        <f t="shared" ref="E108:AE108" ca="1" si="903">+E107/E74</f>
        <v>#DIV/0!</v>
      </c>
      <c r="F108" s="163" t="e">
        <f t="shared" ca="1" si="903"/>
        <v>#DIV/0!</v>
      </c>
      <c r="G108" s="163" t="e">
        <f t="shared" ca="1" si="903"/>
        <v>#DIV/0!</v>
      </c>
      <c r="H108" s="163" t="e">
        <f t="shared" ca="1" si="903"/>
        <v>#DIV/0!</v>
      </c>
      <c r="I108" s="163" t="e">
        <f t="shared" ca="1" si="903"/>
        <v>#DIV/0!</v>
      </c>
      <c r="J108" s="163" t="e">
        <f t="shared" ca="1" si="903"/>
        <v>#DIV/0!</v>
      </c>
      <c r="K108" s="163" t="e">
        <f t="shared" ca="1" si="903"/>
        <v>#DIV/0!</v>
      </c>
      <c r="L108" s="163" t="e">
        <f t="shared" ca="1" si="903"/>
        <v>#DIV/0!</v>
      </c>
      <c r="M108" s="163" t="e">
        <f t="shared" ca="1" si="903"/>
        <v>#DIV/0!</v>
      </c>
      <c r="N108" s="163" t="e">
        <f t="shared" ca="1" si="903"/>
        <v>#DIV/0!</v>
      </c>
      <c r="O108" s="163" t="e">
        <f t="shared" ca="1" si="903"/>
        <v>#DIV/0!</v>
      </c>
      <c r="P108" s="163" t="e">
        <f t="shared" ca="1" si="903"/>
        <v>#DIV/0!</v>
      </c>
      <c r="Q108" s="163" t="e">
        <f t="shared" ca="1" si="903"/>
        <v>#DIV/0!</v>
      </c>
      <c r="R108" s="163" t="e">
        <f t="shared" ca="1" si="903"/>
        <v>#DIV/0!</v>
      </c>
      <c r="S108" s="163" t="e">
        <f t="shared" ca="1" si="903"/>
        <v>#DIV/0!</v>
      </c>
      <c r="T108" s="163" t="e">
        <f t="shared" ca="1" si="903"/>
        <v>#DIV/0!</v>
      </c>
      <c r="U108" s="163" t="e">
        <f t="shared" ca="1" si="903"/>
        <v>#DIV/0!</v>
      </c>
      <c r="V108" s="163" t="e">
        <f t="shared" ca="1" si="903"/>
        <v>#DIV/0!</v>
      </c>
      <c r="W108" s="163" t="e">
        <f t="shared" ca="1" si="903"/>
        <v>#DIV/0!</v>
      </c>
      <c r="X108" s="163" t="e">
        <f t="shared" ca="1" si="903"/>
        <v>#DIV/0!</v>
      </c>
      <c r="Y108" s="163" t="e">
        <f t="shared" ca="1" si="903"/>
        <v>#DIV/0!</v>
      </c>
      <c r="Z108" s="163" t="e">
        <f t="shared" ref="Z108:AA108" ca="1" si="904">+Z107/Z74</f>
        <v>#DIV/0!</v>
      </c>
      <c r="AA108" s="163" t="e">
        <f t="shared" ca="1" si="904"/>
        <v>#DIV/0!</v>
      </c>
      <c r="AB108" s="94" t="e">
        <f t="shared" ca="1" si="903"/>
        <v>#DIV/0!</v>
      </c>
      <c r="AC108" s="94" t="e">
        <f t="shared" ca="1" si="903"/>
        <v>#DIV/0!</v>
      </c>
      <c r="AD108" s="94" t="e">
        <f t="shared" ca="1" si="903"/>
        <v>#DIV/0!</v>
      </c>
      <c r="AE108" s="94" t="e">
        <f t="shared" ca="1" si="903"/>
        <v>#DIV/0!</v>
      </c>
      <c r="AL108" s="163">
        <f t="shared" ref="AL108:BQ108" si="905">+AL107/AL74</f>
        <v>174.00408839779004</v>
      </c>
      <c r="AM108" s="163">
        <f t="shared" si="905"/>
        <v>182.61834254143645</v>
      </c>
      <c r="AN108" s="163">
        <f t="shared" si="905"/>
        <v>197.41527624309393</v>
      </c>
      <c r="AO108" s="163">
        <f t="shared" si="905"/>
        <v>211.84629834254147</v>
      </c>
      <c r="AP108" s="163">
        <f t="shared" si="905"/>
        <v>225.99270718232043</v>
      </c>
      <c r="AQ108" s="163">
        <f t="shared" si="905"/>
        <v>237.38486187845302</v>
      </c>
      <c r="AR108" s="163">
        <f t="shared" si="905"/>
        <v>245.22806629834253</v>
      </c>
      <c r="AS108" s="163">
        <f t="shared" si="905"/>
        <v>254.08767955801102</v>
      </c>
      <c r="AT108" s="163">
        <f t="shared" si="905"/>
        <v>261.45969613259666</v>
      </c>
      <c r="AU108" s="163">
        <f t="shared" si="905"/>
        <v>271.28558011049722</v>
      </c>
      <c r="AV108" s="163">
        <f t="shared" si="905"/>
        <v>280.53563535911599</v>
      </c>
      <c r="AW108" s="163">
        <f t="shared" si="905"/>
        <v>288.44408839779004</v>
      </c>
      <c r="AX108" s="163">
        <f t="shared" si="905"/>
        <v>300.1270718232044</v>
      </c>
      <c r="AY108" s="163">
        <f t="shared" si="905"/>
        <v>310.17403314917129</v>
      </c>
      <c r="AZ108" s="163">
        <f t="shared" si="905"/>
        <v>316.02762430939225</v>
      </c>
      <c r="BA108" s="163">
        <f t="shared" si="905"/>
        <v>322.57734806629833</v>
      </c>
      <c r="BB108" s="163">
        <f t="shared" si="905"/>
        <v>325.8729281767956</v>
      </c>
      <c r="BC108" s="163">
        <f t="shared" si="905"/>
        <v>326.6436464088398</v>
      </c>
      <c r="BD108" s="163">
        <f t="shared" si="905"/>
        <v>330.11602209944749</v>
      </c>
      <c r="BE108" s="163">
        <f t="shared" si="905"/>
        <v>333.34530386740329</v>
      </c>
      <c r="BF108" s="163">
        <f t="shared" si="905"/>
        <v>340.06629834254142</v>
      </c>
      <c r="BG108" s="163">
        <f t="shared" si="905"/>
        <v>352.98618784530385</v>
      </c>
      <c r="BH108" s="163">
        <f t="shared" si="905"/>
        <v>370.42541436464086</v>
      </c>
      <c r="BI108" s="163">
        <f t="shared" si="905"/>
        <v>388.1988950276243</v>
      </c>
      <c r="BJ108" s="163">
        <f t="shared" si="905"/>
        <v>404.59392265193372</v>
      </c>
      <c r="BK108" s="163">
        <f t="shared" si="905"/>
        <v>415.39779005524861</v>
      </c>
      <c r="BL108" s="163">
        <f t="shared" si="905"/>
        <v>421.26243093922653</v>
      </c>
      <c r="BM108" s="163">
        <f t="shared" si="905"/>
        <v>428.21270718232046</v>
      </c>
      <c r="BN108" s="163">
        <f t="shared" si="905"/>
        <v>433.56077348066299</v>
      </c>
      <c r="BO108" s="163">
        <f t="shared" si="905"/>
        <v>433.97513812154693</v>
      </c>
      <c r="BP108" s="163">
        <f t="shared" si="905"/>
        <v>437.17403314917129</v>
      </c>
      <c r="BQ108" s="163">
        <f t="shared" si="905"/>
        <v>443.1436464088398</v>
      </c>
      <c r="BR108" s="163">
        <f t="shared" ref="BR108:CW108" si="906">+BR107/BR74</f>
        <v>453.52762430939225</v>
      </c>
      <c r="BS108" s="163">
        <f t="shared" si="906"/>
        <v>473.11049723756906</v>
      </c>
      <c r="BT108" s="163">
        <f t="shared" si="906"/>
        <v>491.70718232044197</v>
      </c>
      <c r="BU108" s="163">
        <f t="shared" si="906"/>
        <v>510.68508287292815</v>
      </c>
      <c r="BV108" s="163">
        <f t="shared" si="906"/>
        <v>529.70718232044203</v>
      </c>
      <c r="BW108" s="163">
        <f t="shared" si="906"/>
        <v>550.00276243093924</v>
      </c>
      <c r="BX108" s="163">
        <f t="shared" si="906"/>
        <v>573.32320441988952</v>
      </c>
      <c r="BY108" s="163">
        <f t="shared" si="906"/>
        <v>599.13535911602207</v>
      </c>
      <c r="BZ108" s="163">
        <f t="shared" si="906"/>
        <v>622.81215469613255</v>
      </c>
      <c r="CA108" s="163">
        <f t="shared" si="906"/>
        <v>641.10773480662988</v>
      </c>
      <c r="CB108" s="163">
        <f t="shared" si="906"/>
        <v>653.21546961325964</v>
      </c>
      <c r="CC108" s="163">
        <f t="shared" si="906"/>
        <v>659.71823204419888</v>
      </c>
      <c r="CD108" s="163">
        <f t="shared" si="906"/>
        <v>665.45027624309387</v>
      </c>
      <c r="CE108" s="163">
        <f t="shared" si="906"/>
        <v>674.37845303867402</v>
      </c>
      <c r="CF108" s="163">
        <f t="shared" si="906"/>
        <v>686.99447513812152</v>
      </c>
      <c r="CG108" s="163">
        <f t="shared" si="906"/>
        <v>696.35911602209944</v>
      </c>
      <c r="CH108" s="163">
        <f t="shared" si="906"/>
        <v>705.31491712707179</v>
      </c>
      <c r="CI108" s="163">
        <f t="shared" si="906"/>
        <v>707.59116022099442</v>
      </c>
      <c r="CJ108" s="163">
        <f t="shared" si="906"/>
        <v>711.84530386740335</v>
      </c>
      <c r="CK108" s="163">
        <f t="shared" ref="CK108:CL108" si="907">+CK107/CK74</f>
        <v>720.44751381215474</v>
      </c>
      <c r="CL108" s="163">
        <f t="shared" si="907"/>
        <v>737.62707182320446</v>
      </c>
      <c r="CM108" s="50">
        <f t="shared" si="906"/>
        <v>756.38964275659646</v>
      </c>
      <c r="CN108" s="50">
        <f t="shared" si="906"/>
        <v>771.08333275050165</v>
      </c>
      <c r="CO108" s="50">
        <f t="shared" si="906"/>
        <v>784.70608413948332</v>
      </c>
      <c r="CP108" s="50">
        <f t="shared" si="906"/>
        <v>790.8722549606623</v>
      </c>
      <c r="CQ108" s="50">
        <f t="shared" si="906"/>
        <v>800.88430714679134</v>
      </c>
      <c r="CR108" s="50">
        <f t="shared" si="906"/>
        <v>811.02310696927896</v>
      </c>
      <c r="CS108" s="50">
        <f t="shared" si="906"/>
        <v>821.29025899060855</v>
      </c>
      <c r="CT108" s="50">
        <f t="shared" si="906"/>
        <v>831.68738808623289</v>
      </c>
      <c r="CU108" s="50">
        <f t="shared" si="906"/>
        <v>842.21613970172473</v>
      </c>
      <c r="CV108" s="50">
        <f t="shared" si="906"/>
        <v>852.87818011318564</v>
      </c>
      <c r="CW108" s="50">
        <f t="shared" si="906"/>
        <v>863.67519669094975</v>
      </c>
      <c r="CX108" s="50">
        <f t="shared" ref="CX108:DB108" si="908">+CX107/CX74</f>
        <v>874.60889816662643</v>
      </c>
      <c r="CY108" s="50">
        <f t="shared" si="908"/>
        <v>885.68101490352296</v>
      </c>
      <c r="CZ108" s="50">
        <f t="shared" si="908"/>
        <v>896.89329917049201</v>
      </c>
      <c r="DA108" s="50">
        <f t="shared" si="908"/>
        <v>908.24752541924443</v>
      </c>
      <c r="DB108" s="50">
        <f t="shared" si="908"/>
        <v>919.74549056517378</v>
      </c>
      <c r="DE108" s="164"/>
      <c r="DF108" s="163">
        <v>730.55508649723765</v>
      </c>
    </row>
    <row r="109" spans="1:110" s="163" customFormat="1" x14ac:dyDescent="0.2">
      <c r="AB109" s="94"/>
      <c r="AC109" s="94"/>
      <c r="AD109" s="94"/>
      <c r="AE109" s="94"/>
      <c r="CM109" s="94"/>
      <c r="CN109" s="94"/>
      <c r="CO109" s="94"/>
      <c r="CP109" s="94"/>
      <c r="CQ109" s="94"/>
      <c r="CR109" s="94"/>
      <c r="CS109" s="94"/>
      <c r="CT109" s="94"/>
      <c r="CU109" s="94"/>
      <c r="CV109" s="94"/>
      <c r="CW109" s="94"/>
      <c r="CX109" s="94"/>
      <c r="CY109" s="94"/>
      <c r="CZ109" s="94"/>
      <c r="DA109" s="94"/>
      <c r="DB109" s="94"/>
      <c r="DE109" s="164"/>
    </row>
    <row r="110" spans="1:110" s="163" customFormat="1" x14ac:dyDescent="0.2">
      <c r="A110" s="163" t="s">
        <v>506</v>
      </c>
      <c r="AB110" s="94"/>
      <c r="AC110" s="94"/>
      <c r="AD110" s="94"/>
      <c r="AE110" s="94"/>
      <c r="CM110" s="94"/>
      <c r="CN110" s="94"/>
      <c r="CO110" s="94"/>
      <c r="CP110" s="94"/>
      <c r="CQ110" s="94"/>
      <c r="CR110" s="94"/>
      <c r="CS110" s="94"/>
      <c r="CT110" s="94"/>
      <c r="CU110" s="94"/>
      <c r="CV110" s="94"/>
      <c r="CW110" s="94"/>
      <c r="CX110" s="94"/>
      <c r="CY110" s="94"/>
      <c r="CZ110" s="94"/>
      <c r="DA110" s="94"/>
      <c r="DB110" s="94"/>
      <c r="DE110" s="164"/>
    </row>
    <row r="111" spans="1:110" s="163" customFormat="1" x14ac:dyDescent="0.2">
      <c r="A111" s="163" t="s">
        <v>507</v>
      </c>
      <c r="E111" s="163" t="e">
        <f t="shared" ref="E111:AE113" ca="1" si="909">+E86/E$108</f>
        <v>#DIV/0!</v>
      </c>
      <c r="F111" s="163" t="e">
        <f t="shared" ca="1" si="909"/>
        <v>#DIV/0!</v>
      </c>
      <c r="G111" s="163" t="e">
        <f t="shared" ca="1" si="909"/>
        <v>#DIV/0!</v>
      </c>
      <c r="H111" s="163" t="e">
        <f t="shared" ca="1" si="909"/>
        <v>#DIV/0!</v>
      </c>
      <c r="I111" s="163" t="e">
        <f t="shared" ca="1" si="909"/>
        <v>#DIV/0!</v>
      </c>
      <c r="J111" s="163" t="e">
        <f t="shared" ca="1" si="909"/>
        <v>#DIV/0!</v>
      </c>
      <c r="K111" s="163" t="e">
        <f t="shared" ca="1" si="909"/>
        <v>#DIV/0!</v>
      </c>
      <c r="L111" s="163" t="e">
        <f t="shared" ca="1" si="909"/>
        <v>#DIV/0!</v>
      </c>
      <c r="M111" s="163" t="e">
        <f t="shared" ca="1" si="909"/>
        <v>#DIV/0!</v>
      </c>
      <c r="N111" s="163" t="e">
        <f t="shared" ca="1" si="909"/>
        <v>#DIV/0!</v>
      </c>
      <c r="O111" s="163" t="e">
        <f t="shared" ca="1" si="909"/>
        <v>#DIV/0!</v>
      </c>
      <c r="P111" s="163" t="e">
        <f t="shared" ca="1" si="909"/>
        <v>#DIV/0!</v>
      </c>
      <c r="Q111" s="163" t="e">
        <f t="shared" ca="1" si="909"/>
        <v>#DIV/0!</v>
      </c>
      <c r="R111" s="163" t="e">
        <f t="shared" ca="1" si="909"/>
        <v>#DIV/0!</v>
      </c>
      <c r="S111" s="163" t="e">
        <f t="shared" ca="1" si="909"/>
        <v>#DIV/0!</v>
      </c>
      <c r="T111" s="163" t="e">
        <f t="shared" ca="1" si="909"/>
        <v>#DIV/0!</v>
      </c>
      <c r="U111" s="163" t="e">
        <f t="shared" ca="1" si="909"/>
        <v>#DIV/0!</v>
      </c>
      <c r="V111" s="163" t="e">
        <f t="shared" ca="1" si="909"/>
        <v>#DIV/0!</v>
      </c>
      <c r="W111" s="163" t="e">
        <f t="shared" ca="1" si="909"/>
        <v>#DIV/0!</v>
      </c>
      <c r="X111" s="163" t="e">
        <f t="shared" ca="1" si="909"/>
        <v>#DIV/0!</v>
      </c>
      <c r="Y111" s="163" t="e">
        <f t="shared" ca="1" si="909"/>
        <v>#DIV/0!</v>
      </c>
      <c r="Z111" s="163" t="e">
        <f ca="1">+Z86/Z$108</f>
        <v>#DIV/0!</v>
      </c>
      <c r="AA111" s="163" t="e">
        <f ca="1">+AA86/AA$108</f>
        <v>#DIV/0!</v>
      </c>
      <c r="AB111" s="50" t="e">
        <f t="shared" ref="AA111:AE111" ca="1" si="910">+AB86/AB$108</f>
        <v>#DIV/0!</v>
      </c>
      <c r="AC111" s="50" t="e">
        <f t="shared" ca="1" si="910"/>
        <v>#DIV/0!</v>
      </c>
      <c r="AD111" s="50" t="e">
        <f t="shared" ca="1" si="910"/>
        <v>#DIV/0!</v>
      </c>
      <c r="AE111" s="50" t="e">
        <f t="shared" ca="1" si="910"/>
        <v>#DIV/0!</v>
      </c>
      <c r="AL111" s="163">
        <f t="shared" ref="AL111:BQ111" si="911">+AL86/AL108</f>
        <v>4.5165605431256139</v>
      </c>
      <c r="AM111" s="163">
        <f t="shared" si="911"/>
        <v>4.1573041866138727</v>
      </c>
      <c r="AN111" s="163">
        <f t="shared" si="911"/>
        <v>4.879814867081242</v>
      </c>
      <c r="AO111" s="163">
        <f t="shared" si="911"/>
        <v>5.1238799473609804</v>
      </c>
      <c r="AP111" s="163">
        <f t="shared" si="911"/>
        <v>4.7086696436691353</v>
      </c>
      <c r="AQ111" s="163">
        <f t="shared" si="911"/>
        <v>5.0960494718463103</v>
      </c>
      <c r="AR111" s="163">
        <f t="shared" si="911"/>
        <v>5.5829661778369353</v>
      </c>
      <c r="AS111" s="163">
        <f t="shared" si="911"/>
        <v>5.0272016424486523</v>
      </c>
      <c r="AT111" s="163">
        <f t="shared" si="911"/>
        <v>4.870827201428952</v>
      </c>
      <c r="AU111" s="163">
        <f t="shared" si="911"/>
        <v>4.703899114284777</v>
      </c>
      <c r="AV111" s="163">
        <f t="shared" si="911"/>
        <v>4.612070043592615</v>
      </c>
      <c r="AW111" s="163">
        <f t="shared" si="911"/>
        <v>4.2282024456610223</v>
      </c>
      <c r="AX111" s="163">
        <f t="shared" si="911"/>
        <v>4.1916412017009375</v>
      </c>
      <c r="AY111" s="163">
        <f t="shared" si="911"/>
        <v>4.1118851473508897</v>
      </c>
      <c r="AZ111" s="163">
        <f t="shared" si="911"/>
        <v>3.8401706263876503</v>
      </c>
      <c r="BA111" s="163">
        <f t="shared" si="911"/>
        <v>3.6610599196732121</v>
      </c>
      <c r="BB111" s="163">
        <f t="shared" si="911"/>
        <v>3.7301349541393281</v>
      </c>
      <c r="BC111" s="163">
        <f t="shared" si="911"/>
        <v>3.6191581039367411</v>
      </c>
      <c r="BD111" s="163">
        <f t="shared" si="911"/>
        <v>3.6911265083429567</v>
      </c>
      <c r="BE111" s="163">
        <f t="shared" si="911"/>
        <v>4.0504545416877296</v>
      </c>
      <c r="BF111" s="163">
        <f t="shared" si="911"/>
        <v>4.1893301598648307</v>
      </c>
      <c r="BG111" s="163">
        <f t="shared" si="911"/>
        <v>5.2330659487717268</v>
      </c>
      <c r="BH111" s="163">
        <f t="shared" si="911"/>
        <v>5.8972735543723065</v>
      </c>
      <c r="BI111" s="163">
        <f t="shared" si="911"/>
        <v>4.877783075259023</v>
      </c>
      <c r="BJ111" s="163">
        <f t="shared" si="911"/>
        <v>4.9442166280903708</v>
      </c>
      <c r="BK111" s="163">
        <f t="shared" si="911"/>
        <v>5.3617280912923775</v>
      </c>
      <c r="BL111" s="163">
        <f t="shared" si="911"/>
        <v>4.9831170449254731</v>
      </c>
      <c r="BM111" s="163">
        <f t="shared" si="911"/>
        <v>5.0472579719120336</v>
      </c>
      <c r="BN111" s="163">
        <f t="shared" si="911"/>
        <v>4.2048315057757613</v>
      </c>
      <c r="BO111" s="163">
        <f t="shared" si="911"/>
        <v>4.7979707063698687</v>
      </c>
      <c r="BP111" s="163">
        <f t="shared" si="911"/>
        <v>5.6991033571974699</v>
      </c>
      <c r="BQ111" s="163">
        <f t="shared" si="911"/>
        <v>6.476906581555685</v>
      </c>
      <c r="BR111" s="163">
        <f t="shared" ref="BR111:DB111" si="912">+BR86/BR108</f>
        <v>7.0064089366963707</v>
      </c>
      <c r="BS111" s="163">
        <f t="shared" si="912"/>
        <v>7.0707583525042912</v>
      </c>
      <c r="BT111" s="163">
        <f t="shared" si="912"/>
        <v>7.6763165878268298</v>
      </c>
      <c r="BU111" s="163">
        <f t="shared" si="912"/>
        <v>7.3173274985394983</v>
      </c>
      <c r="BV111" s="163">
        <f t="shared" si="912"/>
        <v>7.0582392023112943</v>
      </c>
      <c r="BW111" s="163">
        <f t="shared" si="912"/>
        <v>5.9367883636948076</v>
      </c>
      <c r="BX111" s="163">
        <f t="shared" si="912"/>
        <v>5.2406739808136145</v>
      </c>
      <c r="BY111" s="163">
        <f t="shared" si="912"/>
        <v>5.4399226325229266</v>
      </c>
      <c r="BZ111" s="163">
        <f t="shared" si="912"/>
        <v>5.1472983881698591</v>
      </c>
      <c r="CA111" s="163">
        <f t="shared" si="912"/>
        <v>5.1481206992386275</v>
      </c>
      <c r="CB111" s="163">
        <f t="shared" si="912"/>
        <v>5.4051842986670273</v>
      </c>
      <c r="CC111" s="163">
        <f t="shared" si="912"/>
        <v>5.7523800551047239</v>
      </c>
      <c r="CD111" s="163">
        <f t="shared" si="912"/>
        <v>5.8359732329291436</v>
      </c>
      <c r="CE111" s="163">
        <f t="shared" si="912"/>
        <v>5.7904430107526883</v>
      </c>
      <c r="CF111" s="163">
        <f t="shared" si="912"/>
        <v>6.2131504029080142</v>
      </c>
      <c r="CG111" s="163">
        <f t="shared" si="912"/>
        <v>5.8837457652668572</v>
      </c>
      <c r="CH111" s="163">
        <f t="shared" si="912"/>
        <v>5.1104122605003841</v>
      </c>
      <c r="CI111" s="163">
        <f t="shared" si="912"/>
        <v>4.8913132251667015</v>
      </c>
      <c r="CJ111" s="163">
        <f t="shared" si="912"/>
        <v>4.0584660519698241</v>
      </c>
      <c r="CK111" s="163">
        <f t="shared" ref="CK111:CL111" si="913">+CK86/CK108</f>
        <v>4.4496648798705527</v>
      </c>
      <c r="CL111" s="163">
        <f t="shared" si="913"/>
        <v>3.1981608188120036</v>
      </c>
      <c r="CM111" s="50">
        <f t="shared" si="912"/>
        <v>3.4215169718192575</v>
      </c>
      <c r="CN111" s="50">
        <f t="shared" si="912"/>
        <v>3.3563168727411665</v>
      </c>
      <c r="CO111" s="50">
        <f t="shared" si="912"/>
        <v>3.2980501264215722</v>
      </c>
      <c r="CP111" s="50">
        <f t="shared" si="912"/>
        <v>3.2723363144516004</v>
      </c>
      <c r="CQ111" s="50">
        <f t="shared" si="912"/>
        <v>3.231428031371895</v>
      </c>
      <c r="CR111" s="50">
        <f t="shared" si="912"/>
        <v>3.1910311528251336</v>
      </c>
      <c r="CS111" s="50">
        <f t="shared" si="912"/>
        <v>3.1511392856171616</v>
      </c>
      <c r="CT111" s="50">
        <f t="shared" si="912"/>
        <v>3.1117461164767177</v>
      </c>
      <c r="CU111" s="50">
        <f t="shared" si="912"/>
        <v>3.0728454110563042</v>
      </c>
      <c r="CV111" s="50">
        <f t="shared" si="912"/>
        <v>3.0344310129455367</v>
      </c>
      <c r="CW111" s="50">
        <f t="shared" si="912"/>
        <v>2.9964968426968364</v>
      </c>
      <c r="CX111" s="50">
        <f t="shared" si="912"/>
        <v>2.959036896863295</v>
      </c>
      <c r="CY111" s="50">
        <f t="shared" si="912"/>
        <v>2.9220452470485778</v>
      </c>
      <c r="CZ111" s="50">
        <f t="shared" si="912"/>
        <v>2.8855160389686918</v>
      </c>
      <c r="DA111" s="50">
        <f t="shared" si="912"/>
        <v>2.8494434915254923</v>
      </c>
      <c r="DB111" s="50">
        <f t="shared" si="912"/>
        <v>2.8138218958917665</v>
      </c>
      <c r="DE111" s="106"/>
      <c r="DF111" s="163">
        <v>3.2291199440015399</v>
      </c>
    </row>
    <row r="112" spans="1:110" s="163" customFormat="1" x14ac:dyDescent="0.2">
      <c r="A112" s="163" t="s">
        <v>508</v>
      </c>
      <c r="E112" s="163" t="e">
        <f t="shared" ca="1" si="909"/>
        <v>#DIV/0!</v>
      </c>
      <c r="F112" s="163" t="e">
        <f t="shared" ca="1" si="909"/>
        <v>#DIV/0!</v>
      </c>
      <c r="G112" s="163" t="e">
        <f t="shared" ca="1" si="909"/>
        <v>#DIV/0!</v>
      </c>
      <c r="H112" s="163" t="e">
        <f t="shared" ca="1" si="909"/>
        <v>#DIV/0!</v>
      </c>
      <c r="I112" s="163" t="e">
        <f t="shared" ca="1" si="909"/>
        <v>#DIV/0!</v>
      </c>
      <c r="J112" s="163" t="e">
        <f t="shared" ca="1" si="909"/>
        <v>#DIV/0!</v>
      </c>
      <c r="K112" s="163" t="e">
        <f t="shared" ca="1" si="909"/>
        <v>#DIV/0!</v>
      </c>
      <c r="L112" s="163" t="e">
        <f t="shared" ca="1" si="909"/>
        <v>#DIV/0!</v>
      </c>
      <c r="M112" s="163" t="e">
        <f t="shared" ca="1" si="909"/>
        <v>#DIV/0!</v>
      </c>
      <c r="N112" s="163" t="e">
        <f t="shared" ca="1" si="909"/>
        <v>#DIV/0!</v>
      </c>
      <c r="O112" s="163" t="e">
        <f t="shared" ca="1" si="909"/>
        <v>#DIV/0!</v>
      </c>
      <c r="P112" s="163" t="e">
        <f t="shared" ca="1" si="909"/>
        <v>#DIV/0!</v>
      </c>
      <c r="Q112" s="163" t="e">
        <f t="shared" ca="1" si="909"/>
        <v>#DIV/0!</v>
      </c>
      <c r="R112" s="163" t="e">
        <f t="shared" ca="1" si="909"/>
        <v>#DIV/0!</v>
      </c>
      <c r="S112" s="163" t="e">
        <f t="shared" ca="1" si="909"/>
        <v>#DIV/0!</v>
      </c>
      <c r="T112" s="163" t="e">
        <f t="shared" ca="1" si="909"/>
        <v>#DIV/0!</v>
      </c>
      <c r="U112" s="163" t="e">
        <f t="shared" ca="1" si="909"/>
        <v>#DIV/0!</v>
      </c>
      <c r="V112" s="163" t="e">
        <f t="shared" ca="1" si="909"/>
        <v>#DIV/0!</v>
      </c>
      <c r="W112" s="163" t="e">
        <f t="shared" ca="1" si="909"/>
        <v>#DIV/0!</v>
      </c>
      <c r="X112" s="163" t="e">
        <f t="shared" ca="1" si="909"/>
        <v>#DIV/0!</v>
      </c>
      <c r="Y112" s="163" t="e">
        <f t="shared" ca="1" si="909"/>
        <v>#DIV/0!</v>
      </c>
      <c r="Z112" s="163" t="e">
        <f t="shared" ref="Z112:AA113" ca="1" si="914">+Z87/Z$108</f>
        <v>#DIV/0!</v>
      </c>
      <c r="AA112" s="163" t="e">
        <f t="shared" ca="1" si="914"/>
        <v>#DIV/0!</v>
      </c>
      <c r="AB112" s="94" t="e">
        <f t="shared" ca="1" si="909"/>
        <v>#DIV/0!</v>
      </c>
      <c r="AC112" s="94" t="e">
        <f t="shared" ca="1" si="909"/>
        <v>#DIV/0!</v>
      </c>
      <c r="AD112" s="94" t="e">
        <f t="shared" ca="1" si="909"/>
        <v>#DIV/0!</v>
      </c>
      <c r="AE112" s="94" t="e">
        <f t="shared" ca="1" si="909"/>
        <v>#DIV/0!</v>
      </c>
      <c r="AL112" s="163">
        <f t="shared" ref="AL112:BQ112" si="915">+AL87/AL108</f>
        <v>4.5918461304967115</v>
      </c>
      <c r="AM112" s="163">
        <f t="shared" si="915"/>
        <v>4.3122721904088834</v>
      </c>
      <c r="AN112" s="163">
        <f t="shared" si="915"/>
        <v>5.257571854378261</v>
      </c>
      <c r="AO112" s="163">
        <f t="shared" si="915"/>
        <v>5.3294535181088758</v>
      </c>
      <c r="AP112" s="163">
        <f t="shared" si="915"/>
        <v>5.2749489789432404</v>
      </c>
      <c r="AQ112" s="163">
        <f t="shared" si="915"/>
        <v>5.1119519180685682</v>
      </c>
      <c r="AR112" s="163">
        <f t="shared" si="915"/>
        <v>5.6681929641321602</v>
      </c>
      <c r="AS112" s="163">
        <f t="shared" si="915"/>
        <v>5.5768150681878428</v>
      </c>
      <c r="AT112" s="163">
        <f t="shared" si="915"/>
        <v>5.373677170065509</v>
      </c>
      <c r="AU112" s="163">
        <f t="shared" si="915"/>
        <v>4.9984226933392044</v>
      </c>
      <c r="AV112" s="163">
        <f t="shared" si="915"/>
        <v>4.9030312966808758</v>
      </c>
      <c r="AW112" s="163">
        <f t="shared" si="915"/>
        <v>4.7998903624284077</v>
      </c>
      <c r="AX112" s="163">
        <f t="shared" si="915"/>
        <v>4.2215452018482047</v>
      </c>
      <c r="AY112" s="163">
        <f t="shared" si="915"/>
        <v>4.3128207297631871</v>
      </c>
      <c r="AZ112" s="163">
        <f t="shared" si="915"/>
        <v>4.3350640723064284</v>
      </c>
      <c r="BA112" s="163">
        <f t="shared" si="915"/>
        <v>3.8052888938367602</v>
      </c>
      <c r="BB112" s="163">
        <f t="shared" si="915"/>
        <v>3.9647356017835644</v>
      </c>
      <c r="BC112" s="163">
        <f t="shared" si="915"/>
        <v>4.1442716393927856</v>
      </c>
      <c r="BD112" s="163">
        <f t="shared" si="915"/>
        <v>3.9133211159645862</v>
      </c>
      <c r="BE112" s="163">
        <f t="shared" si="915"/>
        <v>4.1608505771892172</v>
      </c>
      <c r="BF112" s="163">
        <f t="shared" si="915"/>
        <v>4.7855374317650119</v>
      </c>
      <c r="BG112" s="163">
        <f t="shared" si="915"/>
        <v>5.3435518582574879</v>
      </c>
      <c r="BH112" s="163">
        <f t="shared" si="915"/>
        <v>5.9773166584634669</v>
      </c>
      <c r="BI112" s="163">
        <f t="shared" si="915"/>
        <v>5.8552459296367987</v>
      </c>
      <c r="BJ112" s="163">
        <f t="shared" si="915"/>
        <v>5.1849518308378224</v>
      </c>
      <c r="BK112" s="163">
        <f t="shared" si="915"/>
        <v>5.5143528801521544</v>
      </c>
      <c r="BL112" s="163">
        <f t="shared" si="915"/>
        <v>5.4502842678872367</v>
      </c>
      <c r="BM112" s="163">
        <f t="shared" si="915"/>
        <v>5.3373007425183694</v>
      </c>
      <c r="BN112" s="163">
        <f t="shared" si="915"/>
        <v>5.2125333707127792</v>
      </c>
      <c r="BO112" s="163">
        <f t="shared" si="915"/>
        <v>4.9128390378041882</v>
      </c>
      <c r="BP112" s="163">
        <f t="shared" si="915"/>
        <v>5.8420670175726821</v>
      </c>
      <c r="BQ112" s="163">
        <f t="shared" si="915"/>
        <v>6.6612711790447454</v>
      </c>
      <c r="BR112" s="163">
        <f t="shared" ref="BR112:CJ112" si="916">+BR87/BR108</f>
        <v>7.3760666841274967</v>
      </c>
      <c r="BS112" s="163">
        <f t="shared" si="916"/>
        <v>7.1843681758200697</v>
      </c>
      <c r="BT112" s="163">
        <f t="shared" si="916"/>
        <v>8.0974005325902549</v>
      </c>
      <c r="BU112" s="163">
        <f t="shared" si="916"/>
        <v>7.8130341649176716</v>
      </c>
      <c r="BV112" s="163">
        <f t="shared" si="916"/>
        <v>7.6372383366187924</v>
      </c>
      <c r="BW112" s="163">
        <f t="shared" si="916"/>
        <v>6.9736013380143742</v>
      </c>
      <c r="BX112" s="163">
        <f t="shared" si="916"/>
        <v>5.9791753997966683</v>
      </c>
      <c r="BY112" s="163">
        <f t="shared" si="916"/>
        <v>5.8077860821533802</v>
      </c>
      <c r="BZ112" s="163">
        <f t="shared" si="916"/>
        <v>5.7400934985673615</v>
      </c>
      <c r="CA112" s="163">
        <f t="shared" si="916"/>
        <v>5.2611282267828896</v>
      </c>
      <c r="CB112" s="163">
        <f t="shared" si="916"/>
        <v>5.5617941843155831</v>
      </c>
      <c r="CC112" s="163">
        <f t="shared" si="916"/>
        <v>5.9554970730849428</v>
      </c>
      <c r="CD112" s="163">
        <f t="shared" si="916"/>
        <v>6.3933401966848358</v>
      </c>
      <c r="CE112" s="163">
        <f t="shared" si="916"/>
        <v>6.0248069636456734</v>
      </c>
      <c r="CF112" s="163">
        <f t="shared" si="916"/>
        <v>6.6753084136200602</v>
      </c>
      <c r="CG112" s="163">
        <f t="shared" si="916"/>
        <v>6.453566696551122</v>
      </c>
      <c r="CH112" s="163">
        <f t="shared" si="916"/>
        <v>6.1272630070028669</v>
      </c>
      <c r="CI112" s="163">
        <f t="shared" si="916"/>
        <v>5.1300810468947642</v>
      </c>
      <c r="CJ112" s="163">
        <f t="shared" si="916"/>
        <v>4.9025398932041844</v>
      </c>
      <c r="CK112" s="163">
        <f t="shared" ref="CK112:CL112" si="917">+CK87/CK108</f>
        <v>4.6196286838291112</v>
      </c>
      <c r="CL112" s="163">
        <f t="shared" si="917"/>
        <v>4.5235595702210682</v>
      </c>
      <c r="CM112" s="94">
        <f t="shared" ref="CM112:DB112" si="918">+CL112</f>
        <v>4.5235595702210682</v>
      </c>
      <c r="CN112" s="94">
        <f t="shared" si="918"/>
        <v>4.5235595702210682</v>
      </c>
      <c r="CO112" s="94">
        <f t="shared" si="918"/>
        <v>4.5235595702210682</v>
      </c>
      <c r="CP112" s="94">
        <f t="shared" si="918"/>
        <v>4.5235595702210682</v>
      </c>
      <c r="CQ112" s="94">
        <f t="shared" si="918"/>
        <v>4.5235595702210682</v>
      </c>
      <c r="CR112" s="94">
        <f t="shared" si="918"/>
        <v>4.5235595702210682</v>
      </c>
      <c r="CS112" s="94">
        <f t="shared" si="918"/>
        <v>4.5235595702210682</v>
      </c>
      <c r="CT112" s="94">
        <f t="shared" si="918"/>
        <v>4.5235595702210682</v>
      </c>
      <c r="CU112" s="94">
        <f t="shared" si="918"/>
        <v>4.5235595702210682</v>
      </c>
      <c r="CV112" s="94">
        <f t="shared" si="918"/>
        <v>4.5235595702210682</v>
      </c>
      <c r="CW112" s="94">
        <f t="shared" si="918"/>
        <v>4.5235595702210682</v>
      </c>
      <c r="CX112" s="94">
        <f t="shared" si="918"/>
        <v>4.5235595702210682</v>
      </c>
      <c r="CY112" s="94">
        <f t="shared" si="918"/>
        <v>4.5235595702210682</v>
      </c>
      <c r="CZ112" s="94">
        <f t="shared" si="918"/>
        <v>4.5235595702210682</v>
      </c>
      <c r="DA112" s="94">
        <f t="shared" si="918"/>
        <v>4.5235595702210682</v>
      </c>
      <c r="DB112" s="94">
        <f t="shared" si="918"/>
        <v>4.5235595702210682</v>
      </c>
      <c r="DE112" s="164"/>
      <c r="DF112" s="163">
        <v>4.5673489401029803</v>
      </c>
    </row>
    <row r="113" spans="1:110" s="163" customFormat="1" x14ac:dyDescent="0.2">
      <c r="A113" s="163" t="s">
        <v>509</v>
      </c>
      <c r="E113" s="163" t="e">
        <f t="shared" ca="1" si="909"/>
        <v>#DIV/0!</v>
      </c>
      <c r="F113" s="163" t="e">
        <f t="shared" ca="1" si="909"/>
        <v>#DIV/0!</v>
      </c>
      <c r="G113" s="163" t="e">
        <f t="shared" ca="1" si="909"/>
        <v>#DIV/0!</v>
      </c>
      <c r="H113" s="163" t="e">
        <f t="shared" ca="1" si="909"/>
        <v>#DIV/0!</v>
      </c>
      <c r="I113" s="163" t="e">
        <f t="shared" ca="1" si="909"/>
        <v>#DIV/0!</v>
      </c>
      <c r="J113" s="163" t="e">
        <f t="shared" ca="1" si="909"/>
        <v>#DIV/0!</v>
      </c>
      <c r="K113" s="163" t="e">
        <f t="shared" ca="1" si="909"/>
        <v>#DIV/0!</v>
      </c>
      <c r="L113" s="163" t="e">
        <f t="shared" ca="1" si="909"/>
        <v>#DIV/0!</v>
      </c>
      <c r="M113" s="163" t="e">
        <f t="shared" ca="1" si="909"/>
        <v>#DIV/0!</v>
      </c>
      <c r="N113" s="163" t="e">
        <f t="shared" ca="1" si="909"/>
        <v>#DIV/0!</v>
      </c>
      <c r="O113" s="163" t="e">
        <f t="shared" ca="1" si="909"/>
        <v>#DIV/0!</v>
      </c>
      <c r="P113" s="163" t="e">
        <f t="shared" ca="1" si="909"/>
        <v>#DIV/0!</v>
      </c>
      <c r="Q113" s="163" t="e">
        <f t="shared" ca="1" si="909"/>
        <v>#DIV/0!</v>
      </c>
      <c r="R113" s="163" t="e">
        <f t="shared" ca="1" si="909"/>
        <v>#DIV/0!</v>
      </c>
      <c r="S113" s="163" t="e">
        <f t="shared" ca="1" si="909"/>
        <v>#DIV/0!</v>
      </c>
      <c r="T113" s="163" t="e">
        <f t="shared" ca="1" si="909"/>
        <v>#DIV/0!</v>
      </c>
      <c r="U113" s="163" t="e">
        <f t="shared" ca="1" si="909"/>
        <v>#DIV/0!</v>
      </c>
      <c r="V113" s="163" t="e">
        <f t="shared" ca="1" si="909"/>
        <v>#DIV/0!</v>
      </c>
      <c r="W113" s="163" t="e">
        <f t="shared" ca="1" si="909"/>
        <v>#DIV/0!</v>
      </c>
      <c r="X113" s="163" t="e">
        <f t="shared" ca="1" si="909"/>
        <v>#DIV/0!</v>
      </c>
      <c r="Y113" s="163" t="e">
        <f t="shared" ca="1" si="909"/>
        <v>#DIV/0!</v>
      </c>
      <c r="Z113" s="163" t="e">
        <f t="shared" ca="1" si="914"/>
        <v>#DIV/0!</v>
      </c>
      <c r="AA113" s="163" t="e">
        <f t="shared" ca="1" si="914"/>
        <v>#DIV/0!</v>
      </c>
      <c r="AB113" s="94" t="e">
        <f t="shared" ca="1" si="909"/>
        <v>#DIV/0!</v>
      </c>
      <c r="AC113" s="94" t="e">
        <f t="shared" ca="1" si="909"/>
        <v>#DIV/0!</v>
      </c>
      <c r="AD113" s="94" t="e">
        <f t="shared" ca="1" si="909"/>
        <v>#DIV/0!</v>
      </c>
      <c r="AE113" s="94" t="e">
        <f t="shared" ca="1" si="909"/>
        <v>#DIV/0!</v>
      </c>
      <c r="AL113" s="163">
        <f t="shared" ref="AL113:BQ113" si="919">+AL88/AL108</f>
        <v>3.6062371049895954</v>
      </c>
      <c r="AM113" s="163">
        <f t="shared" si="919"/>
        <v>3.7345646144239475</v>
      </c>
      <c r="AN113" s="163">
        <f t="shared" si="919"/>
        <v>3.7110856562987435</v>
      </c>
      <c r="AO113" s="163">
        <f t="shared" si="919"/>
        <v>4.5105815276268775</v>
      </c>
      <c r="AP113" s="163">
        <f t="shared" si="919"/>
        <v>4.4574447227065468</v>
      </c>
      <c r="AQ113" s="163">
        <f t="shared" si="919"/>
        <v>4.2136216778311368</v>
      </c>
      <c r="AR113" s="163">
        <f t="shared" si="919"/>
        <v>4.7629132245369519</v>
      </c>
      <c r="AS113" s="163">
        <f t="shared" si="919"/>
        <v>4.6209442427212783</v>
      </c>
      <c r="AT113" s="163">
        <f t="shared" si="919"/>
        <v>4.6037688324611059</v>
      </c>
      <c r="AU113" s="163">
        <f t="shared" si="919"/>
        <v>4.4270690668881887</v>
      </c>
      <c r="AV113" s="163">
        <f t="shared" si="919"/>
        <v>4.3755582011129075</v>
      </c>
      <c r="AW113" s="163">
        <f t="shared" si="919"/>
        <v>4.0157695948428209</v>
      </c>
      <c r="AX113" s="163">
        <f t="shared" si="919"/>
        <v>3.530171382287429</v>
      </c>
      <c r="AY113" s="163">
        <f t="shared" si="919"/>
        <v>3.8767752019450845</v>
      </c>
      <c r="AZ113" s="163">
        <f t="shared" si="919"/>
        <v>3.6183545742207306</v>
      </c>
      <c r="BA113" s="163">
        <f t="shared" si="919"/>
        <v>3.1848175520026034</v>
      </c>
      <c r="BB113" s="163">
        <f t="shared" si="919"/>
        <v>3.3054295305426988</v>
      </c>
      <c r="BC113" s="163">
        <f t="shared" si="919"/>
        <v>3.4517738593598035</v>
      </c>
      <c r="BD113" s="163">
        <f t="shared" si="919"/>
        <v>3.5214891800974044</v>
      </c>
      <c r="BE113" s="163">
        <f t="shared" si="919"/>
        <v>3.6373693762378703</v>
      </c>
      <c r="BF113" s="163">
        <f t="shared" si="919"/>
        <v>3.856159832336886</v>
      </c>
      <c r="BG113" s="163">
        <f t="shared" si="919"/>
        <v>4.0299027241921728</v>
      </c>
      <c r="BH113" s="163">
        <f t="shared" si="919"/>
        <v>4.9401308037645242</v>
      </c>
      <c r="BI113" s="163">
        <f t="shared" si="919"/>
        <v>4.5955823750426958</v>
      </c>
      <c r="BJ113" s="163">
        <f t="shared" si="919"/>
        <v>4.4725090978608932</v>
      </c>
      <c r="BK113" s="163">
        <f t="shared" si="919"/>
        <v>4.8291060954686316</v>
      </c>
      <c r="BL113" s="163">
        <f t="shared" si="919"/>
        <v>4.6882889499465561</v>
      </c>
      <c r="BM113" s="163">
        <f t="shared" si="919"/>
        <v>4.5047705676298113</v>
      </c>
      <c r="BN113" s="163">
        <f t="shared" si="919"/>
        <v>3.469871104626344</v>
      </c>
      <c r="BO113" s="163">
        <f t="shared" si="919"/>
        <v>3.802061120694594</v>
      </c>
      <c r="BP113" s="163">
        <f t="shared" si="919"/>
        <v>4.7613761160643762</v>
      </c>
      <c r="BQ113" s="163">
        <f t="shared" si="919"/>
        <v>5.6234587141093888</v>
      </c>
      <c r="BR113" s="163">
        <f t="shared" ref="BR113:CJ113" si="920">+BR88/BR108</f>
        <v>5.9555357936860833</v>
      </c>
      <c r="BS113" s="163">
        <f t="shared" si="920"/>
        <v>6.3511590157999844</v>
      </c>
      <c r="BT113" s="163">
        <f t="shared" si="920"/>
        <v>6.3720850796076363</v>
      </c>
      <c r="BU113" s="163">
        <f t="shared" si="920"/>
        <v>6.6303091935867755</v>
      </c>
      <c r="BV113" s="163">
        <f t="shared" si="920"/>
        <v>6.3261366125348095</v>
      </c>
      <c r="BW113" s="163">
        <f t="shared" si="920"/>
        <v>5.4969723908970822</v>
      </c>
      <c r="BX113" s="163">
        <f t="shared" si="920"/>
        <v>5.1035785355323959</v>
      </c>
      <c r="BY113" s="163">
        <f t="shared" si="920"/>
        <v>4.963569508545925</v>
      </c>
      <c r="BZ113" s="163">
        <f t="shared" si="920"/>
        <v>4.9711618128431905</v>
      </c>
      <c r="CA113" s="163">
        <f t="shared" si="920"/>
        <v>4.7890546834941246</v>
      </c>
      <c r="CB113" s="163">
        <f t="shared" si="920"/>
        <v>4.9753873739765888</v>
      </c>
      <c r="CC113" s="163">
        <f t="shared" si="920"/>
        <v>5.0218408997646744</v>
      </c>
      <c r="CD113" s="163">
        <f t="shared" si="920"/>
        <v>5.4873371164791012</v>
      </c>
      <c r="CE113" s="163">
        <f t="shared" si="920"/>
        <v>5.3283137736815158</v>
      </c>
      <c r="CF113" s="163">
        <f t="shared" si="920"/>
        <v>5.6565957087481706</v>
      </c>
      <c r="CG113" s="163">
        <f t="shared" si="920"/>
        <v>5.6220991582104238</v>
      </c>
      <c r="CH113" s="163">
        <f t="shared" si="920"/>
        <v>4.9018529397941437</v>
      </c>
      <c r="CI113" s="163">
        <f t="shared" si="920"/>
        <v>4.3248844418070806</v>
      </c>
      <c r="CJ113" s="163">
        <f t="shared" si="920"/>
        <v>4.0542516531619635</v>
      </c>
      <c r="CK113" s="163">
        <f t="shared" ref="CK113:CL113" si="921">+CK88/CK108</f>
        <v>3.9802344307175557</v>
      </c>
      <c r="CL113" s="163">
        <f t="shared" si="921"/>
        <v>3.1809434463956014</v>
      </c>
      <c r="CM113" s="94">
        <f t="shared" ref="CM113:DB113" si="922">+CL113</f>
        <v>3.1809434463956014</v>
      </c>
      <c r="CN113" s="94">
        <f t="shared" si="922"/>
        <v>3.1809434463956014</v>
      </c>
      <c r="CO113" s="94">
        <f t="shared" si="922"/>
        <v>3.1809434463956014</v>
      </c>
      <c r="CP113" s="94">
        <f t="shared" si="922"/>
        <v>3.1809434463956014</v>
      </c>
      <c r="CQ113" s="94">
        <f t="shared" si="922"/>
        <v>3.1809434463956014</v>
      </c>
      <c r="CR113" s="94">
        <f t="shared" si="922"/>
        <v>3.1809434463956014</v>
      </c>
      <c r="CS113" s="94">
        <f t="shared" si="922"/>
        <v>3.1809434463956014</v>
      </c>
      <c r="CT113" s="94">
        <f t="shared" si="922"/>
        <v>3.1809434463956014</v>
      </c>
      <c r="CU113" s="94">
        <f t="shared" si="922"/>
        <v>3.1809434463956014</v>
      </c>
      <c r="CV113" s="94">
        <f t="shared" si="922"/>
        <v>3.1809434463956014</v>
      </c>
      <c r="CW113" s="94">
        <f t="shared" si="922"/>
        <v>3.1809434463956014</v>
      </c>
      <c r="CX113" s="94">
        <f t="shared" si="922"/>
        <v>3.1809434463956014</v>
      </c>
      <c r="CY113" s="94">
        <f t="shared" si="922"/>
        <v>3.1809434463956014</v>
      </c>
      <c r="CZ113" s="94">
        <f t="shared" si="922"/>
        <v>3.1809434463956014</v>
      </c>
      <c r="DA113" s="94">
        <f t="shared" si="922"/>
        <v>3.1809434463956014</v>
      </c>
      <c r="DB113" s="94">
        <f t="shared" si="922"/>
        <v>3.1809434463956014</v>
      </c>
      <c r="DE113" s="164"/>
      <c r="DF113" s="163">
        <v>3.2117359024217427</v>
      </c>
    </row>
    <row r="114" spans="1:110" s="4" customFormat="1" x14ac:dyDescent="0.2">
      <c r="A114" s="3"/>
      <c r="AB114" s="17"/>
      <c r="AC114" s="17"/>
      <c r="AD114" s="17"/>
      <c r="AE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E114" s="119"/>
    </row>
    <row r="115" spans="1:110" s="4" customFormat="1" x14ac:dyDescent="0.2">
      <c r="A115" s="3"/>
      <c r="AB115" s="17"/>
      <c r="AC115" s="17"/>
      <c r="AD115" s="17"/>
      <c r="AE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E115" s="119"/>
    </row>
    <row r="116" spans="1:110" s="162" customFormat="1" x14ac:dyDescent="0.2">
      <c r="A116" s="49" t="s">
        <v>340</v>
      </c>
      <c r="B116" s="162" t="e">
        <f t="shared" ref="B116:AE116" si="923">+B87*B74</f>
        <v>#DIV/0!</v>
      </c>
      <c r="C116" s="162" t="e">
        <f t="shared" si="923"/>
        <v>#DIV/0!</v>
      </c>
      <c r="D116" s="162" t="e">
        <f t="shared" si="923"/>
        <v>#DIV/0!</v>
      </c>
      <c r="E116" s="162" t="e">
        <f t="shared" ca="1" si="923"/>
        <v>#DIV/0!</v>
      </c>
      <c r="F116" s="162" t="e">
        <f t="shared" ca="1" si="923"/>
        <v>#DIV/0!</v>
      </c>
      <c r="G116" s="162" t="e">
        <f t="shared" ca="1" si="923"/>
        <v>#DIV/0!</v>
      </c>
      <c r="H116" s="162" t="e">
        <f t="shared" ca="1" si="923"/>
        <v>#DIV/0!</v>
      </c>
      <c r="I116" s="162" t="e">
        <f t="shared" ca="1" si="923"/>
        <v>#DIV/0!</v>
      </c>
      <c r="J116" s="162" t="e">
        <f t="shared" ca="1" si="923"/>
        <v>#DIV/0!</v>
      </c>
      <c r="K116" s="162" t="e">
        <f t="shared" ca="1" si="923"/>
        <v>#DIV/0!</v>
      </c>
      <c r="L116" s="162" t="e">
        <f t="shared" ca="1" si="923"/>
        <v>#DIV/0!</v>
      </c>
      <c r="M116" s="162" t="e">
        <f t="shared" ca="1" si="923"/>
        <v>#DIV/0!</v>
      </c>
      <c r="N116" s="162" t="e">
        <f t="shared" ca="1" si="923"/>
        <v>#DIV/0!</v>
      </c>
      <c r="O116" s="162" t="e">
        <f t="shared" ca="1" si="923"/>
        <v>#DIV/0!</v>
      </c>
      <c r="P116" s="162" t="e">
        <f t="shared" ca="1" si="923"/>
        <v>#DIV/0!</v>
      </c>
      <c r="Q116" s="162" t="e">
        <f t="shared" ca="1" si="923"/>
        <v>#DIV/0!</v>
      </c>
      <c r="R116" s="162" t="e">
        <f t="shared" ca="1" si="923"/>
        <v>#DIV/0!</v>
      </c>
      <c r="S116" s="162" t="e">
        <f t="shared" ca="1" si="923"/>
        <v>#DIV/0!</v>
      </c>
      <c r="T116" s="162" t="e">
        <f t="shared" ca="1" si="923"/>
        <v>#DIV/0!</v>
      </c>
      <c r="U116" s="162" t="e">
        <f t="shared" ca="1" si="923"/>
        <v>#DIV/0!</v>
      </c>
      <c r="V116" s="162" t="e">
        <f t="shared" ca="1" si="923"/>
        <v>#DIV/0!</v>
      </c>
      <c r="W116" s="162" t="e">
        <f t="shared" ca="1" si="923"/>
        <v>#DIV/0!</v>
      </c>
      <c r="X116" s="162" t="e">
        <f t="shared" ca="1" si="923"/>
        <v>#DIV/0!</v>
      </c>
      <c r="Y116" s="162" t="e">
        <f t="shared" ca="1" si="923"/>
        <v>#DIV/0!</v>
      </c>
      <c r="Z116" s="162" t="e">
        <f t="shared" ca="1" si="923"/>
        <v>#DIV/0!</v>
      </c>
      <c r="AA116" s="162" t="e">
        <f t="shared" ref="AA116" ca="1" si="924">+AA87*AA74</f>
        <v>#DIV/0!</v>
      </c>
      <c r="AB116" s="21" t="e">
        <f t="shared" ca="1" si="923"/>
        <v>#DIV/0!</v>
      </c>
      <c r="AC116" s="21" t="e">
        <f t="shared" ca="1" si="923"/>
        <v>#DIV/0!</v>
      </c>
      <c r="AD116" s="21" t="e">
        <f t="shared" ca="1" si="923"/>
        <v>#DIV/0!</v>
      </c>
      <c r="AE116" s="21" t="e">
        <f t="shared" ca="1" si="923"/>
        <v>#DIV/0!</v>
      </c>
      <c r="AL116" s="162">
        <f t="shared" ref="AL116:BQ116" si="925">+AL87*AL74</f>
        <v>289238</v>
      </c>
      <c r="AM116" s="162">
        <f t="shared" si="925"/>
        <v>285075</v>
      </c>
      <c r="AN116" s="162">
        <f t="shared" si="925"/>
        <v>375728.85</v>
      </c>
      <c r="AO116" s="162">
        <f t="shared" si="925"/>
        <v>408707.05000000005</v>
      </c>
      <c r="AP116" s="162">
        <f t="shared" si="925"/>
        <v>431540.19999999995</v>
      </c>
      <c r="AQ116" s="162">
        <f t="shared" si="925"/>
        <v>439287</v>
      </c>
      <c r="AR116" s="162">
        <f t="shared" si="925"/>
        <v>503180</v>
      </c>
      <c r="AS116" s="162">
        <f t="shared" si="925"/>
        <v>512954</v>
      </c>
      <c r="AT116" s="162">
        <f t="shared" si="925"/>
        <v>508610</v>
      </c>
      <c r="AU116" s="162">
        <f t="shared" si="925"/>
        <v>490872</v>
      </c>
      <c r="AV116" s="162">
        <f t="shared" si="925"/>
        <v>497921.94999999995</v>
      </c>
      <c r="AW116" s="162">
        <f t="shared" si="925"/>
        <v>501189</v>
      </c>
      <c r="AX116" s="162">
        <f t="shared" si="925"/>
        <v>458654</v>
      </c>
      <c r="AY116" s="162">
        <f t="shared" si="925"/>
        <v>484256.44999999995</v>
      </c>
      <c r="AZ116" s="162">
        <f t="shared" si="925"/>
        <v>495940</v>
      </c>
      <c r="BA116" s="162">
        <f t="shared" si="925"/>
        <v>444355</v>
      </c>
      <c r="BB116" s="162">
        <f t="shared" si="925"/>
        <v>467704</v>
      </c>
      <c r="BC116" s="162">
        <f t="shared" si="925"/>
        <v>490039.4</v>
      </c>
      <c r="BD116" s="162">
        <f t="shared" si="925"/>
        <v>467649.69999999995</v>
      </c>
      <c r="BE116" s="162">
        <f t="shared" si="925"/>
        <v>502094</v>
      </c>
      <c r="BF116" s="162">
        <f t="shared" si="925"/>
        <v>589118.80000000005</v>
      </c>
      <c r="BG116" s="162">
        <f t="shared" si="925"/>
        <v>682804.4</v>
      </c>
      <c r="BH116" s="162">
        <f t="shared" si="925"/>
        <v>801522.3</v>
      </c>
      <c r="BI116" s="162">
        <f t="shared" si="925"/>
        <v>822826</v>
      </c>
      <c r="BJ116" s="162">
        <f t="shared" si="925"/>
        <v>759403.60000000009</v>
      </c>
      <c r="BK116" s="162">
        <f t="shared" si="925"/>
        <v>829215.3</v>
      </c>
      <c r="BL116" s="162">
        <f t="shared" si="925"/>
        <v>831152</v>
      </c>
      <c r="BM116" s="162">
        <f t="shared" si="925"/>
        <v>827351</v>
      </c>
      <c r="BN116" s="162">
        <f t="shared" si="925"/>
        <v>818101.89999999991</v>
      </c>
      <c r="BO116" s="162">
        <f t="shared" si="925"/>
        <v>771802.10000000009</v>
      </c>
      <c r="BP116" s="162">
        <f t="shared" si="925"/>
        <v>924548</v>
      </c>
      <c r="BQ116" s="162">
        <f t="shared" si="925"/>
        <v>1068587.8</v>
      </c>
      <c r="BR116" s="162">
        <f t="shared" ref="BR116:CJ116" si="926">+BR87*BR74</f>
        <v>1210980.5</v>
      </c>
      <c r="BS116" s="162">
        <f t="shared" si="926"/>
        <v>1230438</v>
      </c>
      <c r="BT116" s="162">
        <f t="shared" si="926"/>
        <v>1441321.1</v>
      </c>
      <c r="BU116" s="162">
        <f t="shared" si="926"/>
        <v>1444380</v>
      </c>
      <c r="BV116" s="162">
        <f t="shared" si="926"/>
        <v>1464471</v>
      </c>
      <c r="BW116" s="162">
        <f t="shared" si="926"/>
        <v>1388451</v>
      </c>
      <c r="BX116" s="162">
        <f t="shared" si="926"/>
        <v>1240936</v>
      </c>
      <c r="BY116" s="162">
        <f t="shared" si="926"/>
        <v>1259633.3</v>
      </c>
      <c r="BZ116" s="162">
        <f t="shared" si="926"/>
        <v>1294150</v>
      </c>
      <c r="CA116" s="162">
        <f t="shared" si="926"/>
        <v>1221007.8999999999</v>
      </c>
      <c r="CB116" s="162">
        <f t="shared" si="926"/>
        <v>1315164.1000000001</v>
      </c>
      <c r="CC116" s="162">
        <f t="shared" si="926"/>
        <v>1422279.9</v>
      </c>
      <c r="CD116" s="162">
        <f t="shared" si="926"/>
        <v>1540110.9</v>
      </c>
      <c r="CE116" s="162">
        <f t="shared" si="926"/>
        <v>1470806</v>
      </c>
      <c r="CF116" s="162">
        <f t="shared" si="926"/>
        <v>1660095.7999999998</v>
      </c>
      <c r="CG116" s="162">
        <f t="shared" si="926"/>
        <v>1626828</v>
      </c>
      <c r="CH116" s="162">
        <f t="shared" si="926"/>
        <v>1564437.2999999998</v>
      </c>
      <c r="CI116" s="162">
        <f t="shared" si="926"/>
        <v>1314060</v>
      </c>
      <c r="CJ116" s="162">
        <f t="shared" si="926"/>
        <v>1263325.7</v>
      </c>
      <c r="CK116" s="162">
        <f t="shared" ref="CK116:CL116" si="927">+CK87*CK74</f>
        <v>1204808.3999999999</v>
      </c>
      <c r="CL116" s="162">
        <f t="shared" si="927"/>
        <v>1207885.3999999999</v>
      </c>
      <c r="CM116" s="21">
        <f t="shared" ref="CM116:DB116" si="928">+CM87*CM74</f>
        <v>1228825.221015183</v>
      </c>
      <c r="CN116" s="21">
        <f t="shared" si="928"/>
        <v>1250437.9422799302</v>
      </c>
      <c r="CO116" s="21">
        <f t="shared" si="928"/>
        <v>1260800.6011313701</v>
      </c>
      <c r="CP116" s="21">
        <f t="shared" si="928"/>
        <v>1282476.8467515574</v>
      </c>
      <c r="CQ116" s="21">
        <f t="shared" si="928"/>
        <v>1313716.0291996866</v>
      </c>
      <c r="CR116" s="21">
        <f t="shared" si="928"/>
        <v>1341854.0719559775</v>
      </c>
      <c r="CS116" s="21">
        <f t="shared" si="928"/>
        <v>1369330.4681029601</v>
      </c>
      <c r="CT116" s="21">
        <f t="shared" si="928"/>
        <v>1399703.1148497616</v>
      </c>
      <c r="CU116" s="21">
        <f t="shared" si="928"/>
        <v>1428746.7633009446</v>
      </c>
      <c r="CV116" s="21">
        <f t="shared" si="928"/>
        <v>1457408.4127924948</v>
      </c>
      <c r="CW116" s="21">
        <f t="shared" si="928"/>
        <v>1486377.1094964633</v>
      </c>
      <c r="CX116" s="21">
        <f t="shared" si="928"/>
        <v>1515895.1488079049</v>
      </c>
      <c r="CY116" s="21">
        <f t="shared" si="928"/>
        <v>1545286.5806644636</v>
      </c>
      <c r="CZ116" s="21">
        <f t="shared" si="928"/>
        <v>1574867.7435838259</v>
      </c>
      <c r="DA116" s="21">
        <f t="shared" si="928"/>
        <v>1604777.3914820242</v>
      </c>
      <c r="DB116" s="21">
        <f t="shared" si="928"/>
        <v>1635006.777658991</v>
      </c>
      <c r="DE116" s="22"/>
      <c r="DF116" s="162">
        <v>1207885.3999999999</v>
      </c>
    </row>
    <row r="117" spans="1:110" s="162" customFormat="1" x14ac:dyDescent="0.2">
      <c r="A117" s="49" t="s">
        <v>341</v>
      </c>
      <c r="B117" s="162" t="e">
        <f t="shared" ref="B117:AE117" si="929">+B88*B74</f>
        <v>#DIV/0!</v>
      </c>
      <c r="C117" s="162" t="e">
        <f t="shared" si="929"/>
        <v>#DIV/0!</v>
      </c>
      <c r="D117" s="162" t="e">
        <f t="shared" si="929"/>
        <v>#DIV/0!</v>
      </c>
      <c r="E117" s="162" t="e">
        <f t="shared" ca="1" si="929"/>
        <v>#DIV/0!</v>
      </c>
      <c r="F117" s="162" t="e">
        <f t="shared" ca="1" si="929"/>
        <v>#DIV/0!</v>
      </c>
      <c r="G117" s="162" t="e">
        <f t="shared" ca="1" si="929"/>
        <v>#DIV/0!</v>
      </c>
      <c r="H117" s="162" t="e">
        <f t="shared" ca="1" si="929"/>
        <v>#DIV/0!</v>
      </c>
      <c r="I117" s="162" t="e">
        <f t="shared" ca="1" si="929"/>
        <v>#DIV/0!</v>
      </c>
      <c r="J117" s="162" t="e">
        <f t="shared" ca="1" si="929"/>
        <v>#DIV/0!</v>
      </c>
      <c r="K117" s="162" t="e">
        <f t="shared" ca="1" si="929"/>
        <v>#DIV/0!</v>
      </c>
      <c r="L117" s="162" t="e">
        <f t="shared" ca="1" si="929"/>
        <v>#DIV/0!</v>
      </c>
      <c r="M117" s="162" t="e">
        <f t="shared" ca="1" si="929"/>
        <v>#DIV/0!</v>
      </c>
      <c r="N117" s="162" t="e">
        <f t="shared" ca="1" si="929"/>
        <v>#DIV/0!</v>
      </c>
      <c r="O117" s="162" t="e">
        <f t="shared" ca="1" si="929"/>
        <v>#DIV/0!</v>
      </c>
      <c r="P117" s="162" t="e">
        <f t="shared" ca="1" si="929"/>
        <v>#DIV/0!</v>
      </c>
      <c r="Q117" s="162" t="e">
        <f t="shared" ca="1" si="929"/>
        <v>#DIV/0!</v>
      </c>
      <c r="R117" s="162" t="e">
        <f t="shared" ca="1" si="929"/>
        <v>#DIV/0!</v>
      </c>
      <c r="S117" s="162" t="e">
        <f t="shared" ca="1" si="929"/>
        <v>#DIV/0!</v>
      </c>
      <c r="T117" s="162" t="e">
        <f t="shared" ca="1" si="929"/>
        <v>#DIV/0!</v>
      </c>
      <c r="U117" s="162" t="e">
        <f t="shared" ca="1" si="929"/>
        <v>#DIV/0!</v>
      </c>
      <c r="V117" s="162" t="e">
        <f t="shared" ca="1" si="929"/>
        <v>#DIV/0!</v>
      </c>
      <c r="W117" s="162" t="e">
        <f t="shared" ca="1" si="929"/>
        <v>#DIV/0!</v>
      </c>
      <c r="X117" s="162" t="e">
        <f t="shared" ca="1" si="929"/>
        <v>#DIV/0!</v>
      </c>
      <c r="Y117" s="162" t="e">
        <f t="shared" ca="1" si="929"/>
        <v>#DIV/0!</v>
      </c>
      <c r="Z117" s="162" t="e">
        <f t="shared" ca="1" si="929"/>
        <v>#DIV/0!</v>
      </c>
      <c r="AA117" s="162" t="e">
        <f t="shared" ref="AA117" ca="1" si="930">+AA88*AA74</f>
        <v>#DIV/0!</v>
      </c>
      <c r="AB117" s="21" t="e">
        <f t="shared" ca="1" si="929"/>
        <v>#DIV/0!</v>
      </c>
      <c r="AC117" s="21" t="e">
        <f t="shared" ca="1" si="929"/>
        <v>#DIV/0!</v>
      </c>
      <c r="AD117" s="21" t="e">
        <f t="shared" ca="1" si="929"/>
        <v>#DIV/0!</v>
      </c>
      <c r="AE117" s="21" t="e">
        <f t="shared" ca="1" si="929"/>
        <v>#DIV/0!</v>
      </c>
      <c r="AL117" s="162">
        <f t="shared" ref="AL117:BQ117" si="931">+AL88*AL74</f>
        <v>227155</v>
      </c>
      <c r="AM117" s="162">
        <f t="shared" si="931"/>
        <v>246884</v>
      </c>
      <c r="AN117" s="162">
        <f t="shared" si="931"/>
        <v>265210.25</v>
      </c>
      <c r="AO117" s="162">
        <f t="shared" si="931"/>
        <v>345909.1</v>
      </c>
      <c r="AP117" s="162">
        <f t="shared" si="931"/>
        <v>364660.7</v>
      </c>
      <c r="AQ117" s="162">
        <f t="shared" si="931"/>
        <v>362090.5</v>
      </c>
      <c r="AR117" s="162">
        <f t="shared" si="931"/>
        <v>422816</v>
      </c>
      <c r="AS117" s="162">
        <f t="shared" si="931"/>
        <v>425033.25</v>
      </c>
      <c r="AT117" s="162">
        <f t="shared" si="931"/>
        <v>435739.4</v>
      </c>
      <c r="AU117" s="162">
        <f t="shared" si="931"/>
        <v>434762</v>
      </c>
      <c r="AV117" s="162">
        <f t="shared" si="931"/>
        <v>444355</v>
      </c>
      <c r="AW117" s="162">
        <f t="shared" si="931"/>
        <v>419313.65</v>
      </c>
      <c r="AX117" s="162">
        <f t="shared" si="931"/>
        <v>383539</v>
      </c>
      <c r="AY117" s="162">
        <f t="shared" si="931"/>
        <v>435295.94999999995</v>
      </c>
      <c r="AZ117" s="162">
        <f t="shared" si="931"/>
        <v>413947</v>
      </c>
      <c r="BA117" s="162">
        <f t="shared" si="931"/>
        <v>371900.69999999995</v>
      </c>
      <c r="BB117" s="162">
        <f t="shared" si="931"/>
        <v>389928.30000000005</v>
      </c>
      <c r="BC117" s="162">
        <f t="shared" si="931"/>
        <v>408155</v>
      </c>
      <c r="BD117" s="162">
        <f t="shared" si="931"/>
        <v>420825</v>
      </c>
      <c r="BE117" s="162">
        <f t="shared" si="931"/>
        <v>438925</v>
      </c>
      <c r="BF117" s="162">
        <f t="shared" si="931"/>
        <v>474708.69999999995</v>
      </c>
      <c r="BG117" s="162">
        <f t="shared" si="931"/>
        <v>514945</v>
      </c>
      <c r="BH117" s="162">
        <f t="shared" si="931"/>
        <v>662441.9</v>
      </c>
      <c r="BI117" s="162">
        <f t="shared" si="931"/>
        <v>645808</v>
      </c>
      <c r="BJ117" s="162">
        <f t="shared" si="931"/>
        <v>655057.1</v>
      </c>
      <c r="BK117" s="162">
        <f t="shared" si="931"/>
        <v>726172</v>
      </c>
      <c r="BL117" s="162">
        <f t="shared" si="931"/>
        <v>714950</v>
      </c>
      <c r="BM117" s="162">
        <f t="shared" si="931"/>
        <v>698298</v>
      </c>
      <c r="BN117" s="162">
        <f t="shared" si="931"/>
        <v>544592.80000000005</v>
      </c>
      <c r="BO117" s="162">
        <f t="shared" si="931"/>
        <v>597300</v>
      </c>
      <c r="BP117" s="162">
        <f t="shared" si="931"/>
        <v>753521.10000000009</v>
      </c>
      <c r="BQ117" s="162">
        <f t="shared" si="931"/>
        <v>902104</v>
      </c>
      <c r="BR117" s="162">
        <f t="shared" ref="BR117:CJ117" si="932">+BR88*BR74</f>
        <v>977762</v>
      </c>
      <c r="BS117" s="162">
        <f t="shared" si="932"/>
        <v>1087737.6000000001</v>
      </c>
      <c r="BT117" s="162">
        <f t="shared" si="932"/>
        <v>1134218.3999999999</v>
      </c>
      <c r="BU117" s="162">
        <f t="shared" si="932"/>
        <v>1225732</v>
      </c>
      <c r="BV117" s="162">
        <f t="shared" si="932"/>
        <v>1213062</v>
      </c>
      <c r="BW117" s="162">
        <f t="shared" si="932"/>
        <v>1094452.7</v>
      </c>
      <c r="BX117" s="162">
        <f t="shared" si="932"/>
        <v>1059212</v>
      </c>
      <c r="BY117" s="162">
        <f t="shared" si="932"/>
        <v>1076533.7</v>
      </c>
      <c r="BZ117" s="162">
        <f t="shared" si="932"/>
        <v>1120788.2</v>
      </c>
      <c r="CA117" s="162">
        <f t="shared" si="932"/>
        <v>1111448.6000000001</v>
      </c>
      <c r="CB117" s="162">
        <f t="shared" si="932"/>
        <v>1176500</v>
      </c>
      <c r="CC117" s="162">
        <f t="shared" si="932"/>
        <v>1199306</v>
      </c>
      <c r="CD117" s="162">
        <f t="shared" si="932"/>
        <v>1321861.1000000001</v>
      </c>
      <c r="CE117" s="162">
        <f t="shared" si="932"/>
        <v>1300774.6000000001</v>
      </c>
      <c r="CF117" s="162">
        <f t="shared" si="932"/>
        <v>1406750.1</v>
      </c>
      <c r="CG117" s="162">
        <f t="shared" si="932"/>
        <v>1417230</v>
      </c>
      <c r="CH117" s="162">
        <f t="shared" si="932"/>
        <v>1251560.7</v>
      </c>
      <c r="CI117" s="162">
        <f t="shared" si="932"/>
        <v>1107810.5</v>
      </c>
      <c r="CJ117" s="162">
        <f t="shared" si="932"/>
        <v>1044732</v>
      </c>
      <c r="CK117" s="162">
        <f t="shared" ref="CK117:CL117" si="933">+CK88*CK74</f>
        <v>1038053.1000000001</v>
      </c>
      <c r="CL117" s="162">
        <f t="shared" si="933"/>
        <v>849378.7</v>
      </c>
      <c r="CM117" s="21">
        <f t="shared" ref="CM117:DB117" si="934">+CM88*CM74</f>
        <v>765345.89214391226</v>
      </c>
      <c r="CN117" s="21">
        <f t="shared" si="934"/>
        <v>778806.88493209775</v>
      </c>
      <c r="CO117" s="21">
        <f t="shared" si="934"/>
        <v>785261.03174484451</v>
      </c>
      <c r="CP117" s="21">
        <f t="shared" si="934"/>
        <v>798761.58923568728</v>
      </c>
      <c r="CQ117" s="21">
        <f t="shared" si="934"/>
        <v>818218.20483221416</v>
      </c>
      <c r="CR117" s="21">
        <f t="shared" si="934"/>
        <v>835743.34597369074</v>
      </c>
      <c r="CS117" s="21">
        <f t="shared" si="934"/>
        <v>852856.39554524736</v>
      </c>
      <c r="CT117" s="21">
        <f t="shared" si="934"/>
        <v>871773.3090522784</v>
      </c>
      <c r="CU117" s="21">
        <f t="shared" si="934"/>
        <v>889862.4861417762</v>
      </c>
      <c r="CV117" s="21">
        <f t="shared" si="934"/>
        <v>907713.74385139928</v>
      </c>
      <c r="CW117" s="21">
        <f t="shared" si="934"/>
        <v>925756.23894669767</v>
      </c>
      <c r="CX117" s="21">
        <f t="shared" si="934"/>
        <v>944140.87961389567</v>
      </c>
      <c r="CY117" s="21">
        <f t="shared" si="934"/>
        <v>962446.66570205963</v>
      </c>
      <c r="CZ117" s="21">
        <f t="shared" si="934"/>
        <v>980870.62147542019</v>
      </c>
      <c r="DA117" s="21">
        <f t="shared" si="934"/>
        <v>999499.16666058963</v>
      </c>
      <c r="DB117" s="21">
        <f t="shared" si="934"/>
        <v>1018326.8535739976</v>
      </c>
      <c r="DE117" s="22"/>
      <c r="DF117" s="162">
        <v>849378.7</v>
      </c>
    </row>
    <row r="118" spans="1:110" s="162" customFormat="1" x14ac:dyDescent="0.2">
      <c r="A118" s="49" t="s">
        <v>80</v>
      </c>
      <c r="B118" s="162">
        <f>+B177</f>
        <v>0</v>
      </c>
      <c r="C118" s="162">
        <f t="shared" ref="C118:W118" si="935">+C177</f>
        <v>0</v>
      </c>
      <c r="D118" s="162">
        <f t="shared" si="935"/>
        <v>0</v>
      </c>
      <c r="E118" s="162">
        <f t="shared" si="935"/>
        <v>389.16</v>
      </c>
      <c r="F118" s="162">
        <f t="shared" si="935"/>
        <v>-484.6</v>
      </c>
      <c r="G118" s="162">
        <f t="shared" si="935"/>
        <v>-992.15000000000009</v>
      </c>
      <c r="H118" s="162">
        <f t="shared" si="935"/>
        <v>-2128.0100000000002</v>
      </c>
      <c r="I118" s="162">
        <f t="shared" si="935"/>
        <v>-3359.65</v>
      </c>
      <c r="J118" s="162">
        <f t="shared" si="935"/>
        <v>-3718.6899999999996</v>
      </c>
      <c r="K118" s="162">
        <f t="shared" si="935"/>
        <v>-7074.7800000000007</v>
      </c>
      <c r="L118" s="162">
        <f t="shared" si="935"/>
        <v>-5310.04</v>
      </c>
      <c r="M118" s="162">
        <f t="shared" si="935"/>
        <v>-6462.3</v>
      </c>
      <c r="N118" s="162">
        <f t="shared" si="935"/>
        <v>-7465.9299999999994</v>
      </c>
      <c r="O118" s="162">
        <f t="shared" si="935"/>
        <v>-15303.439999999999</v>
      </c>
      <c r="P118" s="162">
        <f t="shared" si="935"/>
        <v>-19690.939999999999</v>
      </c>
      <c r="Q118" s="162">
        <f t="shared" si="935"/>
        <v>-29022</v>
      </c>
      <c r="R118" s="162">
        <f t="shared" si="935"/>
        <v>-45496</v>
      </c>
      <c r="S118" s="162">
        <f t="shared" si="935"/>
        <v>-42621</v>
      </c>
      <c r="T118" s="162">
        <f t="shared" si="935"/>
        <v>-41921</v>
      </c>
      <c r="U118" s="162">
        <f t="shared" si="935"/>
        <v>-35806</v>
      </c>
      <c r="V118" s="162">
        <f t="shared" si="935"/>
        <v>-38489</v>
      </c>
      <c r="W118" s="162">
        <f t="shared" si="935"/>
        <v>-48483</v>
      </c>
      <c r="X118" s="162">
        <f t="shared" ref="X118:Y118" si="936">+X177</f>
        <v>-47929</v>
      </c>
      <c r="Y118" s="162">
        <f t="shared" si="936"/>
        <v>-44767</v>
      </c>
      <c r="Z118" s="162">
        <f t="shared" ref="Z118:AA118" si="937">+Z177</f>
        <v>-46152</v>
      </c>
      <c r="AA118" s="162">
        <f t="shared" si="937"/>
        <v>-46678</v>
      </c>
      <c r="AB118" s="21">
        <f t="shared" ref="AA118:AD118" si="938">+AB177</f>
        <v>-104457.05225455794</v>
      </c>
      <c r="AC118" s="21">
        <f t="shared" si="938"/>
        <v>-165852.01584905566</v>
      </c>
      <c r="AD118" s="21">
        <f t="shared" si="938"/>
        <v>-231862.95485164126</v>
      </c>
      <c r="AE118" s="21">
        <f t="shared" ref="AE118" si="939">+AE177</f>
        <v>-302821.29159164039</v>
      </c>
      <c r="AL118" s="162">
        <f t="shared" ref="AL118:AM118" si="940">+AL177</f>
        <v>-7487.2</v>
      </c>
      <c r="AM118" s="162">
        <f t="shared" si="940"/>
        <v>-10178.43776963486</v>
      </c>
      <c r="AN118" s="162">
        <f t="shared" ref="AN118:AO118" si="941">+AN177</f>
        <v>-6145.7500000000009</v>
      </c>
      <c r="AO118" s="162">
        <f t="shared" si="941"/>
        <v>-11293.732649595464</v>
      </c>
      <c r="AP118" s="162">
        <f t="shared" ref="AP118:CD118" si="942">+AP177</f>
        <v>-15345.96</v>
      </c>
      <c r="AQ118" s="162">
        <f t="shared" si="942"/>
        <v>-20479.34599965013</v>
      </c>
      <c r="AR118" s="162">
        <f t="shared" si="942"/>
        <v>-12337.66</v>
      </c>
      <c r="AS118" s="162">
        <f t="shared" si="942"/>
        <v>-17146.114734360417</v>
      </c>
      <c r="AT118" s="162">
        <f t="shared" si="942"/>
        <v>-19748.809999999998</v>
      </c>
      <c r="AU118" s="162">
        <f t="shared" si="942"/>
        <v>-24571.955274833432</v>
      </c>
      <c r="AV118" s="162">
        <f t="shared" si="942"/>
        <v>-21219.880000000005</v>
      </c>
      <c r="AW118" s="162">
        <f t="shared" si="942"/>
        <v>-27180.777098104176</v>
      </c>
      <c r="AX118" s="162">
        <f t="shared" si="942"/>
        <v>-29071</v>
      </c>
      <c r="AY118" s="162">
        <f t="shared" si="942"/>
        <v>-34769.97335582973</v>
      </c>
      <c r="AZ118" s="162">
        <f t="shared" si="942"/>
        <v>-32326</v>
      </c>
      <c r="BA118" s="162">
        <f t="shared" si="942"/>
        <v>-38743.480296407601</v>
      </c>
      <c r="BB118" s="162">
        <f t="shared" si="942"/>
        <v>-45514</v>
      </c>
      <c r="BC118" s="162">
        <f t="shared" si="942"/>
        <v>-51503.888266648675</v>
      </c>
      <c r="BD118" s="162">
        <f t="shared" si="942"/>
        <v>-33563</v>
      </c>
      <c r="BE118" s="162">
        <f t="shared" si="942"/>
        <v>-39782.429259028853</v>
      </c>
      <c r="BF118" s="162">
        <f t="shared" si="942"/>
        <v>-42633</v>
      </c>
      <c r="BG118" s="162">
        <f t="shared" si="942"/>
        <v>-48162.794356975835</v>
      </c>
      <c r="BH118" s="162">
        <f t="shared" si="942"/>
        <v>-34079</v>
      </c>
      <c r="BI118" s="162">
        <f t="shared" si="942"/>
        <v>-41818.879036196886</v>
      </c>
      <c r="BJ118" s="162">
        <f t="shared" si="942"/>
        <v>-41939</v>
      </c>
      <c r="BK118" s="162">
        <f t="shared" si="942"/>
        <v>-49958.245146014211</v>
      </c>
      <c r="BL118" s="162">
        <f t="shared" si="942"/>
        <v>-46648</v>
      </c>
      <c r="BM118" s="162">
        <f t="shared" si="942"/>
        <v>-54150.387715832418</v>
      </c>
      <c r="BN118" s="162">
        <f t="shared" si="942"/>
        <v>-35806</v>
      </c>
      <c r="BO118" s="162">
        <f t="shared" si="942"/>
        <v>-44014.498072397735</v>
      </c>
      <c r="BP118" s="162">
        <f t="shared" si="942"/>
        <v>-46980</v>
      </c>
      <c r="BQ118" s="162">
        <f t="shared" si="942"/>
        <v>-54361.744487355179</v>
      </c>
      <c r="BR118" s="162">
        <f t="shared" si="942"/>
        <v>-38489</v>
      </c>
      <c r="BS118" s="162">
        <f t="shared" si="942"/>
        <v>-46372.417915570317</v>
      </c>
      <c r="BT118" s="162">
        <f t="shared" si="942"/>
        <v>-49046</v>
      </c>
      <c r="BU118" s="162">
        <f t="shared" si="942"/>
        <v>-57465.217338425762</v>
      </c>
      <c r="BV118" s="162">
        <f t="shared" si="942"/>
        <v>-48483</v>
      </c>
      <c r="BW118" s="162">
        <f t="shared" si="942"/>
        <v>-56513.863256310411</v>
      </c>
      <c r="BX118" s="162">
        <f t="shared" si="942"/>
        <v>-50211</v>
      </c>
      <c r="BY118" s="162">
        <f t="shared" si="942"/>
        <v>-59196.845594749495</v>
      </c>
      <c r="BZ118" s="162">
        <f t="shared" si="942"/>
        <v>-47929</v>
      </c>
      <c r="CA118" s="162">
        <f t="shared" si="942"/>
        <v>-58856.904989689341</v>
      </c>
      <c r="CB118" s="162">
        <f t="shared" si="942"/>
        <v>-57168</v>
      </c>
      <c r="CC118" s="162">
        <f t="shared" si="942"/>
        <v>-67619.217834885756</v>
      </c>
      <c r="CD118" s="162">
        <f t="shared" si="942"/>
        <v>-44767</v>
      </c>
      <c r="CE118" s="162">
        <f t="shared" ref="CE118:CF118" si="943">+CE177</f>
        <v>-55826.765435929265</v>
      </c>
      <c r="CF118" s="162">
        <f t="shared" si="943"/>
        <v>-52525</v>
      </c>
      <c r="CG118" s="162">
        <f t="shared" ref="CG118:CH118" si="944">+CG177</f>
        <v>-65104.446489985843</v>
      </c>
      <c r="CH118" s="162">
        <f t="shared" si="944"/>
        <v>-46152</v>
      </c>
      <c r="CI118" s="162">
        <f t="shared" ref="CI118:CJ118" si="945">+CI177</f>
        <v>-60630.902169698675</v>
      </c>
      <c r="CJ118" s="162">
        <f t="shared" si="945"/>
        <v>-53282</v>
      </c>
      <c r="CK118" s="162">
        <f t="shared" ref="CK118:CL118" si="946">+CK177</f>
        <v>-64623.469429626595</v>
      </c>
      <c r="CL118" s="162">
        <f t="shared" si="946"/>
        <v>-46678</v>
      </c>
      <c r="CM118" s="21">
        <f t="shared" ref="CM118:DB118" si="947">+CM177</f>
        <v>-61172.770586849176</v>
      </c>
      <c r="CN118" s="21">
        <f t="shared" si="947"/>
        <v>-75389.010442173749</v>
      </c>
      <c r="CO118" s="21">
        <f t="shared" si="947"/>
        <v>-89868.665495465233</v>
      </c>
      <c r="CP118" s="21">
        <f t="shared" si="947"/>
        <v>-104457.05225455794</v>
      </c>
      <c r="CQ118" s="21">
        <f t="shared" si="947"/>
        <v>-119388.0222468987</v>
      </c>
      <c r="CR118" s="21">
        <f t="shared" si="947"/>
        <v>-134611.56787184963</v>
      </c>
      <c r="CS118" s="21">
        <f t="shared" si="947"/>
        <v>-150099.81415114345</v>
      </c>
      <c r="CT118" s="21">
        <f t="shared" si="947"/>
        <v>-165852.01584905566</v>
      </c>
      <c r="CU118" s="21">
        <f t="shared" si="947"/>
        <v>-181910.31626795762</v>
      </c>
      <c r="CV118" s="21">
        <f t="shared" si="947"/>
        <v>-198263.62329256529</v>
      </c>
      <c r="CW118" s="21">
        <f t="shared" si="947"/>
        <v>-214911.95102733982</v>
      </c>
      <c r="CX118" s="21">
        <f t="shared" si="947"/>
        <v>-231862.95485164126</v>
      </c>
      <c r="CY118" s="21">
        <f t="shared" si="947"/>
        <v>-249126.66042213576</v>
      </c>
      <c r="CZ118" s="21">
        <f t="shared" si="947"/>
        <v>-266704.28838923405</v>
      </c>
      <c r="DA118" s="21">
        <f t="shared" si="947"/>
        <v>-284600.51109682157</v>
      </c>
      <c r="DB118" s="21">
        <f t="shared" si="947"/>
        <v>-302821.29159164039</v>
      </c>
      <c r="DE118" s="22"/>
      <c r="DF118" s="162">
        <v>-75616.443666648673</v>
      </c>
    </row>
    <row r="119" spans="1:110" s="162" customFormat="1" x14ac:dyDescent="0.2">
      <c r="A119" s="49" t="s">
        <v>342</v>
      </c>
      <c r="B119" s="162" t="e">
        <f>+B116+B118</f>
        <v>#DIV/0!</v>
      </c>
      <c r="C119" s="162" t="e">
        <f t="shared" ref="C119:W119" si="948">+C116+C118</f>
        <v>#DIV/0!</v>
      </c>
      <c r="D119" s="162" t="e">
        <f t="shared" si="948"/>
        <v>#DIV/0!</v>
      </c>
      <c r="E119" s="162" t="e">
        <f t="shared" ca="1" si="948"/>
        <v>#DIV/0!</v>
      </c>
      <c r="F119" s="162" t="e">
        <f t="shared" ca="1" si="948"/>
        <v>#DIV/0!</v>
      </c>
      <c r="G119" s="162" t="e">
        <f t="shared" ca="1" si="948"/>
        <v>#DIV/0!</v>
      </c>
      <c r="H119" s="162" t="e">
        <f t="shared" ca="1" si="948"/>
        <v>#DIV/0!</v>
      </c>
      <c r="I119" s="162" t="e">
        <f t="shared" ca="1" si="948"/>
        <v>#DIV/0!</v>
      </c>
      <c r="J119" s="162" t="e">
        <f t="shared" ca="1" si="948"/>
        <v>#DIV/0!</v>
      </c>
      <c r="K119" s="162" t="e">
        <f t="shared" ca="1" si="948"/>
        <v>#DIV/0!</v>
      </c>
      <c r="L119" s="162" t="e">
        <f t="shared" ca="1" si="948"/>
        <v>#DIV/0!</v>
      </c>
      <c r="M119" s="162" t="e">
        <f t="shared" ca="1" si="948"/>
        <v>#DIV/0!</v>
      </c>
      <c r="N119" s="162" t="e">
        <f t="shared" ca="1" si="948"/>
        <v>#DIV/0!</v>
      </c>
      <c r="O119" s="162" t="e">
        <f t="shared" ca="1" si="948"/>
        <v>#DIV/0!</v>
      </c>
      <c r="P119" s="162" t="e">
        <f t="shared" ca="1" si="948"/>
        <v>#DIV/0!</v>
      </c>
      <c r="Q119" s="162" t="e">
        <f t="shared" ca="1" si="948"/>
        <v>#DIV/0!</v>
      </c>
      <c r="R119" s="162" t="e">
        <f t="shared" ca="1" si="948"/>
        <v>#DIV/0!</v>
      </c>
      <c r="S119" s="162" t="e">
        <f t="shared" ca="1" si="948"/>
        <v>#DIV/0!</v>
      </c>
      <c r="T119" s="162" t="e">
        <f t="shared" ca="1" si="948"/>
        <v>#DIV/0!</v>
      </c>
      <c r="U119" s="162" t="e">
        <f t="shared" ca="1" si="948"/>
        <v>#DIV/0!</v>
      </c>
      <c r="V119" s="162" t="e">
        <f t="shared" ca="1" si="948"/>
        <v>#DIV/0!</v>
      </c>
      <c r="W119" s="162" t="e">
        <f t="shared" ca="1" si="948"/>
        <v>#DIV/0!</v>
      </c>
      <c r="X119" s="162" t="e">
        <f t="shared" ref="X119:Y119" ca="1" si="949">+X116+X118</f>
        <v>#DIV/0!</v>
      </c>
      <c r="Y119" s="162" t="e">
        <f t="shared" ca="1" si="949"/>
        <v>#DIV/0!</v>
      </c>
      <c r="Z119" s="162" t="e">
        <f t="shared" ref="Z119:AA119" ca="1" si="950">+Z116+Z118</f>
        <v>#DIV/0!</v>
      </c>
      <c r="AA119" s="162" t="e">
        <f t="shared" ca="1" si="950"/>
        <v>#DIV/0!</v>
      </c>
      <c r="AB119" s="21" t="e">
        <f t="shared" ref="AA119:AD119" ca="1" si="951">+AB116+AB118</f>
        <v>#DIV/0!</v>
      </c>
      <c r="AC119" s="21" t="e">
        <f t="shared" ca="1" si="951"/>
        <v>#DIV/0!</v>
      </c>
      <c r="AD119" s="21" t="e">
        <f t="shared" ca="1" si="951"/>
        <v>#DIV/0!</v>
      </c>
      <c r="AE119" s="21" t="e">
        <f t="shared" ref="AE119" ca="1" si="952">+AE116+AE118</f>
        <v>#DIV/0!</v>
      </c>
      <c r="AL119" s="162">
        <f t="shared" ref="AL119" si="953">+AL116+AL118</f>
        <v>281750.8</v>
      </c>
      <c r="AM119" s="162">
        <f t="shared" ref="AM119:AO119" si="954">+AM116+AM118</f>
        <v>274896.56223036512</v>
      </c>
      <c r="AN119" s="162">
        <f t="shared" si="954"/>
        <v>369583.1</v>
      </c>
      <c r="AO119" s="162">
        <f t="shared" si="954"/>
        <v>397413.31735040457</v>
      </c>
      <c r="AP119" s="162">
        <f t="shared" ref="AP119:CD119" si="955">+AP116+AP118</f>
        <v>416194.23999999993</v>
      </c>
      <c r="AQ119" s="162">
        <f t="shared" si="955"/>
        <v>418807.65400034987</v>
      </c>
      <c r="AR119" s="162">
        <f t="shared" si="955"/>
        <v>490842.34</v>
      </c>
      <c r="AS119" s="162">
        <f t="shared" si="955"/>
        <v>495807.88526563958</v>
      </c>
      <c r="AT119" s="162">
        <f t="shared" si="955"/>
        <v>488861.19</v>
      </c>
      <c r="AU119" s="162">
        <f t="shared" si="955"/>
        <v>466300.04472516658</v>
      </c>
      <c r="AV119" s="162">
        <f t="shared" si="955"/>
        <v>476702.06999999995</v>
      </c>
      <c r="AW119" s="162">
        <f t="shared" si="955"/>
        <v>474008.22290189582</v>
      </c>
      <c r="AX119" s="162">
        <f t="shared" si="955"/>
        <v>429583</v>
      </c>
      <c r="AY119" s="162">
        <f t="shared" si="955"/>
        <v>449486.47664417024</v>
      </c>
      <c r="AZ119" s="162">
        <f t="shared" si="955"/>
        <v>463614</v>
      </c>
      <c r="BA119" s="162">
        <f t="shared" si="955"/>
        <v>405611.51970359241</v>
      </c>
      <c r="BB119" s="162">
        <f t="shared" si="955"/>
        <v>422190</v>
      </c>
      <c r="BC119" s="162">
        <f t="shared" si="955"/>
        <v>438535.51173335133</v>
      </c>
      <c r="BD119" s="162">
        <f t="shared" si="955"/>
        <v>434086.69999999995</v>
      </c>
      <c r="BE119" s="162">
        <f t="shared" si="955"/>
        <v>462311.57074097113</v>
      </c>
      <c r="BF119" s="162">
        <f t="shared" si="955"/>
        <v>546485.80000000005</v>
      </c>
      <c r="BG119" s="162">
        <f t="shared" si="955"/>
        <v>634641.6056430242</v>
      </c>
      <c r="BH119" s="162">
        <f t="shared" si="955"/>
        <v>767443.3</v>
      </c>
      <c r="BI119" s="162">
        <f t="shared" si="955"/>
        <v>781007.12096380314</v>
      </c>
      <c r="BJ119" s="162">
        <f t="shared" si="955"/>
        <v>717464.60000000009</v>
      </c>
      <c r="BK119" s="162">
        <f t="shared" si="955"/>
        <v>779257.05485398578</v>
      </c>
      <c r="BL119" s="162">
        <f t="shared" si="955"/>
        <v>784504</v>
      </c>
      <c r="BM119" s="162">
        <f t="shared" si="955"/>
        <v>773200.61228416755</v>
      </c>
      <c r="BN119" s="162">
        <f t="shared" si="955"/>
        <v>782295.89999999991</v>
      </c>
      <c r="BO119" s="162">
        <f t="shared" si="955"/>
        <v>727787.60192760231</v>
      </c>
      <c r="BP119" s="162">
        <f t="shared" si="955"/>
        <v>877568</v>
      </c>
      <c r="BQ119" s="162">
        <f t="shared" si="955"/>
        <v>1014226.0555126448</v>
      </c>
      <c r="BR119" s="162">
        <f t="shared" si="955"/>
        <v>1172491.5</v>
      </c>
      <c r="BS119" s="162">
        <f t="shared" si="955"/>
        <v>1184065.5820844297</v>
      </c>
      <c r="BT119" s="162">
        <f t="shared" si="955"/>
        <v>1392275.1</v>
      </c>
      <c r="BU119" s="162">
        <f t="shared" si="955"/>
        <v>1386914.7826615742</v>
      </c>
      <c r="BV119" s="162">
        <f t="shared" si="955"/>
        <v>1415988</v>
      </c>
      <c r="BW119" s="162">
        <f t="shared" si="955"/>
        <v>1331937.1367436897</v>
      </c>
      <c r="BX119" s="162">
        <f t="shared" si="955"/>
        <v>1190725</v>
      </c>
      <c r="BY119" s="162">
        <f t="shared" si="955"/>
        <v>1200436.4544052505</v>
      </c>
      <c r="BZ119" s="162">
        <f t="shared" si="955"/>
        <v>1246221</v>
      </c>
      <c r="CA119" s="162">
        <f t="shared" si="955"/>
        <v>1162150.9950103106</v>
      </c>
      <c r="CB119" s="162">
        <f t="shared" si="955"/>
        <v>1257996.1000000001</v>
      </c>
      <c r="CC119" s="162">
        <f t="shared" si="955"/>
        <v>1354660.6821651142</v>
      </c>
      <c r="CD119" s="162">
        <f t="shared" si="955"/>
        <v>1495343.9</v>
      </c>
      <c r="CE119" s="162">
        <f t="shared" ref="CE119:CF119" si="956">+CE116+CE118</f>
        <v>1414979.2345640708</v>
      </c>
      <c r="CF119" s="162">
        <f t="shared" si="956"/>
        <v>1607570.7999999998</v>
      </c>
      <c r="CG119" s="162">
        <f t="shared" ref="CG119:CH119" si="957">+CG116+CG118</f>
        <v>1561723.5535100142</v>
      </c>
      <c r="CH119" s="162">
        <f t="shared" si="957"/>
        <v>1518285.2999999998</v>
      </c>
      <c r="CI119" s="162">
        <f t="shared" ref="CI119:CJ119" si="958">+CI116+CI118</f>
        <v>1253429.0978303014</v>
      </c>
      <c r="CJ119" s="162">
        <f t="shared" si="958"/>
        <v>1210043.7</v>
      </c>
      <c r="CK119" s="162">
        <f t="shared" ref="CK119:CL119" si="959">+CK116+CK118</f>
        <v>1140184.9305703733</v>
      </c>
      <c r="CL119" s="162">
        <f t="shared" si="959"/>
        <v>1161207.3999999999</v>
      </c>
      <c r="CM119" s="21">
        <f t="shared" ref="CM119:DB119" si="960">+CM116+CM118</f>
        <v>1167652.4504283338</v>
      </c>
      <c r="CN119" s="21">
        <f t="shared" si="960"/>
        <v>1175048.9318377564</v>
      </c>
      <c r="CO119" s="21">
        <f t="shared" si="960"/>
        <v>1170931.9356359048</v>
      </c>
      <c r="CP119" s="21">
        <f t="shared" si="960"/>
        <v>1178019.7944969996</v>
      </c>
      <c r="CQ119" s="21">
        <f t="shared" si="960"/>
        <v>1194328.006952788</v>
      </c>
      <c r="CR119" s="21">
        <f t="shared" si="960"/>
        <v>1207242.504084128</v>
      </c>
      <c r="CS119" s="21">
        <f t="shared" si="960"/>
        <v>1219230.6539518167</v>
      </c>
      <c r="CT119" s="21">
        <f t="shared" si="960"/>
        <v>1233851.0990007059</v>
      </c>
      <c r="CU119" s="21">
        <f t="shared" si="960"/>
        <v>1246836.4470329869</v>
      </c>
      <c r="CV119" s="21">
        <f t="shared" si="960"/>
        <v>1259144.7894999294</v>
      </c>
      <c r="CW119" s="21">
        <f t="shared" si="960"/>
        <v>1271465.1584691235</v>
      </c>
      <c r="CX119" s="21">
        <f t="shared" si="960"/>
        <v>1284032.1939562636</v>
      </c>
      <c r="CY119" s="21">
        <f t="shared" si="960"/>
        <v>1296159.9202423277</v>
      </c>
      <c r="CZ119" s="21">
        <f t="shared" si="960"/>
        <v>1308163.4551945918</v>
      </c>
      <c r="DA119" s="21">
        <f t="shared" si="960"/>
        <v>1320176.8803852026</v>
      </c>
      <c r="DB119" s="21">
        <f t="shared" si="960"/>
        <v>1332185.4860673507</v>
      </c>
      <c r="DE119" s="22"/>
      <c r="DF119" s="162">
        <v>1132268.9563333513</v>
      </c>
    </row>
    <row r="120" spans="1:110" s="162" customFormat="1" x14ac:dyDescent="0.2">
      <c r="A120" s="49" t="s">
        <v>345</v>
      </c>
      <c r="B120" s="162" t="e">
        <f>+B117+B118</f>
        <v>#DIV/0!</v>
      </c>
      <c r="C120" s="162" t="e">
        <f t="shared" ref="C120:W120" si="961">+C117+C118</f>
        <v>#DIV/0!</v>
      </c>
      <c r="D120" s="162" t="e">
        <f t="shared" si="961"/>
        <v>#DIV/0!</v>
      </c>
      <c r="E120" s="162" t="e">
        <f t="shared" ca="1" si="961"/>
        <v>#DIV/0!</v>
      </c>
      <c r="F120" s="162" t="e">
        <f t="shared" ca="1" si="961"/>
        <v>#DIV/0!</v>
      </c>
      <c r="G120" s="162" t="e">
        <f t="shared" ca="1" si="961"/>
        <v>#DIV/0!</v>
      </c>
      <c r="H120" s="162" t="e">
        <f t="shared" ca="1" si="961"/>
        <v>#DIV/0!</v>
      </c>
      <c r="I120" s="162" t="e">
        <f t="shared" ca="1" si="961"/>
        <v>#DIV/0!</v>
      </c>
      <c r="J120" s="162" t="e">
        <f t="shared" ca="1" si="961"/>
        <v>#DIV/0!</v>
      </c>
      <c r="K120" s="162" t="e">
        <f t="shared" ca="1" si="961"/>
        <v>#DIV/0!</v>
      </c>
      <c r="L120" s="162" t="e">
        <f t="shared" ca="1" si="961"/>
        <v>#DIV/0!</v>
      </c>
      <c r="M120" s="162" t="e">
        <f t="shared" ca="1" si="961"/>
        <v>#DIV/0!</v>
      </c>
      <c r="N120" s="162" t="e">
        <f t="shared" ca="1" si="961"/>
        <v>#DIV/0!</v>
      </c>
      <c r="O120" s="162" t="e">
        <f t="shared" ca="1" si="961"/>
        <v>#DIV/0!</v>
      </c>
      <c r="P120" s="162" t="e">
        <f t="shared" ca="1" si="961"/>
        <v>#DIV/0!</v>
      </c>
      <c r="Q120" s="162" t="e">
        <f t="shared" ca="1" si="961"/>
        <v>#DIV/0!</v>
      </c>
      <c r="R120" s="162" t="e">
        <f t="shared" ca="1" si="961"/>
        <v>#DIV/0!</v>
      </c>
      <c r="S120" s="162" t="e">
        <f t="shared" ca="1" si="961"/>
        <v>#DIV/0!</v>
      </c>
      <c r="T120" s="162" t="e">
        <f t="shared" ca="1" si="961"/>
        <v>#DIV/0!</v>
      </c>
      <c r="U120" s="162" t="e">
        <f t="shared" ca="1" si="961"/>
        <v>#DIV/0!</v>
      </c>
      <c r="V120" s="162" t="e">
        <f t="shared" ca="1" si="961"/>
        <v>#DIV/0!</v>
      </c>
      <c r="W120" s="162" t="e">
        <f t="shared" ca="1" si="961"/>
        <v>#DIV/0!</v>
      </c>
      <c r="X120" s="162" t="e">
        <f t="shared" ref="X120:Y120" ca="1" si="962">+X117+X118</f>
        <v>#DIV/0!</v>
      </c>
      <c r="Y120" s="162" t="e">
        <f t="shared" ca="1" si="962"/>
        <v>#DIV/0!</v>
      </c>
      <c r="Z120" s="162" t="e">
        <f t="shared" ref="Z120:AA120" ca="1" si="963">+Z117+Z118</f>
        <v>#DIV/0!</v>
      </c>
      <c r="AA120" s="162" t="e">
        <f t="shared" ca="1" si="963"/>
        <v>#DIV/0!</v>
      </c>
      <c r="AB120" s="21" t="e">
        <f t="shared" ref="AA120:AD120" ca="1" si="964">+AB117+AB118</f>
        <v>#DIV/0!</v>
      </c>
      <c r="AC120" s="21" t="e">
        <f t="shared" ca="1" si="964"/>
        <v>#DIV/0!</v>
      </c>
      <c r="AD120" s="21" t="e">
        <f t="shared" ca="1" si="964"/>
        <v>#DIV/0!</v>
      </c>
      <c r="AE120" s="21" t="e">
        <f t="shared" ref="AE120" ca="1" si="965">+AE117+AE118</f>
        <v>#DIV/0!</v>
      </c>
      <c r="AL120" s="162">
        <f t="shared" ref="AL120:AM120" si="966">+AL117+AL118</f>
        <v>219667.8</v>
      </c>
      <c r="AM120" s="162">
        <f t="shared" si="966"/>
        <v>236705.56223036515</v>
      </c>
      <c r="AN120" s="162">
        <f t="shared" ref="AN120:AO120" si="967">+AN117+AN118</f>
        <v>259064.5</v>
      </c>
      <c r="AO120" s="162">
        <f t="shared" si="967"/>
        <v>334615.3673504045</v>
      </c>
      <c r="AP120" s="162">
        <f t="shared" ref="AP120:CD120" si="968">+AP117+AP118</f>
        <v>349314.74</v>
      </c>
      <c r="AQ120" s="162">
        <f t="shared" si="968"/>
        <v>341611.15400034987</v>
      </c>
      <c r="AR120" s="162">
        <f t="shared" si="968"/>
        <v>410478.34</v>
      </c>
      <c r="AS120" s="162">
        <f t="shared" si="968"/>
        <v>407887.13526563958</v>
      </c>
      <c r="AT120" s="162">
        <f t="shared" si="968"/>
        <v>415990.59</v>
      </c>
      <c r="AU120" s="162">
        <f t="shared" si="968"/>
        <v>410190.04472516658</v>
      </c>
      <c r="AV120" s="162">
        <f t="shared" si="968"/>
        <v>423135.12</v>
      </c>
      <c r="AW120" s="162">
        <f t="shared" si="968"/>
        <v>392132.87290189584</v>
      </c>
      <c r="AX120" s="162">
        <f t="shared" si="968"/>
        <v>354468</v>
      </c>
      <c r="AY120" s="162">
        <f t="shared" si="968"/>
        <v>400525.97664417024</v>
      </c>
      <c r="AZ120" s="162">
        <f t="shared" si="968"/>
        <v>381621</v>
      </c>
      <c r="BA120" s="162">
        <f t="shared" si="968"/>
        <v>333157.21970359236</v>
      </c>
      <c r="BB120" s="162">
        <f t="shared" si="968"/>
        <v>344414.30000000005</v>
      </c>
      <c r="BC120" s="162">
        <f t="shared" si="968"/>
        <v>356651.11173335131</v>
      </c>
      <c r="BD120" s="162">
        <f t="shared" si="968"/>
        <v>387262</v>
      </c>
      <c r="BE120" s="162">
        <f t="shared" si="968"/>
        <v>399142.57074097113</v>
      </c>
      <c r="BF120" s="162">
        <f t="shared" si="968"/>
        <v>432075.69999999995</v>
      </c>
      <c r="BG120" s="162">
        <f t="shared" si="968"/>
        <v>466782.20564302418</v>
      </c>
      <c r="BH120" s="162">
        <f t="shared" si="968"/>
        <v>628362.9</v>
      </c>
      <c r="BI120" s="162">
        <f t="shared" si="968"/>
        <v>603989.12096380314</v>
      </c>
      <c r="BJ120" s="162">
        <f t="shared" si="968"/>
        <v>613118.1</v>
      </c>
      <c r="BK120" s="162">
        <f t="shared" si="968"/>
        <v>676213.75485398574</v>
      </c>
      <c r="BL120" s="162">
        <f t="shared" si="968"/>
        <v>668302</v>
      </c>
      <c r="BM120" s="162">
        <f t="shared" si="968"/>
        <v>644147.61228416755</v>
      </c>
      <c r="BN120" s="162">
        <f t="shared" si="968"/>
        <v>508786.80000000005</v>
      </c>
      <c r="BO120" s="162">
        <f t="shared" si="968"/>
        <v>553285.50192760222</v>
      </c>
      <c r="BP120" s="162">
        <f t="shared" si="968"/>
        <v>706541.10000000009</v>
      </c>
      <c r="BQ120" s="162">
        <f t="shared" si="968"/>
        <v>847742.25551264477</v>
      </c>
      <c r="BR120" s="162">
        <f t="shared" si="968"/>
        <v>939273</v>
      </c>
      <c r="BS120" s="162">
        <f t="shared" si="968"/>
        <v>1041365.1820844298</v>
      </c>
      <c r="BT120" s="162">
        <f t="shared" si="968"/>
        <v>1085172.3999999999</v>
      </c>
      <c r="BU120" s="162">
        <f t="shared" si="968"/>
        <v>1168266.7826615742</v>
      </c>
      <c r="BV120" s="162">
        <f t="shared" si="968"/>
        <v>1164579</v>
      </c>
      <c r="BW120" s="162">
        <f t="shared" si="968"/>
        <v>1037938.8367436895</v>
      </c>
      <c r="BX120" s="162">
        <f t="shared" si="968"/>
        <v>1009001</v>
      </c>
      <c r="BY120" s="162">
        <f t="shared" si="968"/>
        <v>1017336.8544052504</v>
      </c>
      <c r="BZ120" s="162">
        <f t="shared" si="968"/>
        <v>1072859.2</v>
      </c>
      <c r="CA120" s="162">
        <f t="shared" si="968"/>
        <v>1052591.6950103107</v>
      </c>
      <c r="CB120" s="162">
        <f t="shared" si="968"/>
        <v>1119332</v>
      </c>
      <c r="CC120" s="162">
        <f t="shared" si="968"/>
        <v>1131686.7821651143</v>
      </c>
      <c r="CD120" s="162">
        <f t="shared" si="968"/>
        <v>1277094.1000000001</v>
      </c>
      <c r="CE120" s="162">
        <f t="shared" ref="CE120:CF120" si="969">+CE117+CE118</f>
        <v>1244947.8345640709</v>
      </c>
      <c r="CF120" s="162">
        <f t="shared" si="969"/>
        <v>1354225.1</v>
      </c>
      <c r="CG120" s="162">
        <f t="shared" ref="CG120:CH120" si="970">+CG117+CG118</f>
        <v>1352125.5535100142</v>
      </c>
      <c r="CH120" s="162">
        <f t="shared" si="970"/>
        <v>1205408.7</v>
      </c>
      <c r="CI120" s="162">
        <f t="shared" ref="CI120:CJ120" si="971">+CI117+CI118</f>
        <v>1047179.5978303014</v>
      </c>
      <c r="CJ120" s="162">
        <f t="shared" si="971"/>
        <v>991450</v>
      </c>
      <c r="CK120" s="162">
        <f t="shared" ref="CK120:CL120" si="972">+CK117+CK118</f>
        <v>973429.6305703735</v>
      </c>
      <c r="CL120" s="162">
        <f t="shared" si="972"/>
        <v>802700.7</v>
      </c>
      <c r="CM120" s="21">
        <f t="shared" ref="CM120:DB120" si="973">+CM117+CM118</f>
        <v>704173.12155706307</v>
      </c>
      <c r="CN120" s="21">
        <f t="shared" si="973"/>
        <v>703417.87448992394</v>
      </c>
      <c r="CO120" s="21">
        <f t="shared" si="973"/>
        <v>695392.36624937924</v>
      </c>
      <c r="CP120" s="21">
        <f t="shared" si="973"/>
        <v>694304.53698112932</v>
      </c>
      <c r="CQ120" s="21">
        <f t="shared" si="973"/>
        <v>698830.18258531543</v>
      </c>
      <c r="CR120" s="21">
        <f t="shared" si="973"/>
        <v>701131.7781018411</v>
      </c>
      <c r="CS120" s="21">
        <f t="shared" si="973"/>
        <v>702756.58139410394</v>
      </c>
      <c r="CT120" s="21">
        <f t="shared" si="973"/>
        <v>705921.2932032228</v>
      </c>
      <c r="CU120" s="21">
        <f t="shared" si="973"/>
        <v>707952.16987381852</v>
      </c>
      <c r="CV120" s="21">
        <f t="shared" si="973"/>
        <v>709450.12055883394</v>
      </c>
      <c r="CW120" s="21">
        <f t="shared" si="973"/>
        <v>710844.28791935788</v>
      </c>
      <c r="CX120" s="21">
        <f t="shared" si="973"/>
        <v>712277.92476225435</v>
      </c>
      <c r="CY120" s="21">
        <f t="shared" si="973"/>
        <v>713320.00527992391</v>
      </c>
      <c r="CZ120" s="21">
        <f t="shared" si="973"/>
        <v>714166.33308618609</v>
      </c>
      <c r="DA120" s="21">
        <f t="shared" si="973"/>
        <v>714898.655563768</v>
      </c>
      <c r="DB120" s="21">
        <f t="shared" si="973"/>
        <v>715505.56198235718</v>
      </c>
      <c r="DE120" s="22"/>
      <c r="DF120" s="162">
        <v>773762.25633335125</v>
      </c>
    </row>
    <row r="121" spans="1:110" s="162" customFormat="1" x14ac:dyDescent="0.2">
      <c r="A121" s="49" t="s">
        <v>13</v>
      </c>
      <c r="B121" s="162">
        <f t="shared" ref="B121:AE121" si="974">+B37</f>
        <v>0</v>
      </c>
      <c r="C121" s="162">
        <f t="shared" si="974"/>
        <v>0</v>
      </c>
      <c r="D121" s="162">
        <f t="shared" si="974"/>
        <v>0</v>
      </c>
      <c r="E121" s="162">
        <f t="shared" si="974"/>
        <v>-0.03</v>
      </c>
      <c r="F121" s="162">
        <f t="shared" si="974"/>
        <v>2711.829999999999</v>
      </c>
      <c r="G121" s="162">
        <f t="shared" si="974"/>
        <v>3684.2999999999993</v>
      </c>
      <c r="H121" s="162">
        <f t="shared" si="974"/>
        <v>5138.850000000004</v>
      </c>
      <c r="I121" s="162">
        <f t="shared" si="974"/>
        <v>5709.9299999999967</v>
      </c>
      <c r="J121" s="162">
        <f t="shared" si="974"/>
        <v>6388.4399999999987</v>
      </c>
      <c r="K121" s="162">
        <f t="shared" si="974"/>
        <v>8499.7700000000041</v>
      </c>
      <c r="L121" s="162">
        <f t="shared" si="974"/>
        <v>11038.009999999998</v>
      </c>
      <c r="M121" s="162">
        <f t="shared" si="974"/>
        <v>13982.200000000004</v>
      </c>
      <c r="N121" s="162">
        <f t="shared" si="974"/>
        <v>18039.690000000002</v>
      </c>
      <c r="O121" s="162">
        <f t="shared" si="974"/>
        <v>25146.959999999999</v>
      </c>
      <c r="P121" s="162">
        <f t="shared" si="974"/>
        <v>24481.710000000006</v>
      </c>
      <c r="Q121" s="162">
        <f t="shared" si="974"/>
        <v>30677</v>
      </c>
      <c r="R121" s="162">
        <f t="shared" si="974"/>
        <v>32311</v>
      </c>
      <c r="S121" s="162">
        <f t="shared" si="974"/>
        <v>32516</v>
      </c>
      <c r="T121" s="162">
        <f t="shared" si="974"/>
        <v>39506</v>
      </c>
      <c r="U121" s="162">
        <f t="shared" si="974"/>
        <v>42109</v>
      </c>
      <c r="V121" s="162">
        <f t="shared" si="974"/>
        <v>46546</v>
      </c>
      <c r="W121" s="162">
        <f t="shared" si="974"/>
        <v>53048</v>
      </c>
      <c r="X121" s="162">
        <f t="shared" si="974"/>
        <v>59098</v>
      </c>
      <c r="Y121" s="162">
        <f t="shared" si="974"/>
        <v>64296</v>
      </c>
      <c r="Z121" s="162">
        <f t="shared" si="974"/>
        <v>67407</v>
      </c>
      <c r="AA121" s="162">
        <f t="shared" ref="AA121" si="975">+AA37</f>
        <v>71787</v>
      </c>
      <c r="AB121" s="21">
        <f t="shared" si="974"/>
        <v>77835.960215589817</v>
      </c>
      <c r="AC121" s="21">
        <f t="shared" si="974"/>
        <v>81887.487592025544</v>
      </c>
      <c r="AD121" s="21">
        <f t="shared" si="974"/>
        <v>86118.009557702055</v>
      </c>
      <c r="AE121" s="21">
        <f t="shared" si="974"/>
        <v>90562.7902886417</v>
      </c>
      <c r="AL121" s="162">
        <f t="shared" ref="AL121:BQ121" si="976">+SUM(AI37:AL37)</f>
        <v>17872.730000000003</v>
      </c>
      <c r="AM121" s="162">
        <f t="shared" si="976"/>
        <v>18682.300000000003</v>
      </c>
      <c r="AN121" s="162">
        <f t="shared" si="976"/>
        <v>20499.800000000003</v>
      </c>
      <c r="AO121" s="162">
        <f t="shared" si="976"/>
        <v>22599.5</v>
      </c>
      <c r="AP121" s="162">
        <f t="shared" si="976"/>
        <v>24671.040000000005</v>
      </c>
      <c r="AQ121" s="162">
        <f t="shared" si="976"/>
        <v>25983.88</v>
      </c>
      <c r="AR121" s="162">
        <f t="shared" si="976"/>
        <v>26528.670000000002</v>
      </c>
      <c r="AS121" s="162">
        <f t="shared" si="976"/>
        <v>26889.919999999998</v>
      </c>
      <c r="AT121" s="162">
        <f t="shared" si="976"/>
        <v>24481.709999999995</v>
      </c>
      <c r="AU121" s="162">
        <f t="shared" si="976"/>
        <v>25330.159999999996</v>
      </c>
      <c r="AV121" s="162">
        <f t="shared" si="976"/>
        <v>26351.759999999998</v>
      </c>
      <c r="AW121" s="162">
        <f t="shared" si="976"/>
        <v>27050.75</v>
      </c>
      <c r="AX121" s="162">
        <f t="shared" si="976"/>
        <v>30677</v>
      </c>
      <c r="AY121" s="162">
        <f t="shared" si="976"/>
        <v>31313</v>
      </c>
      <c r="AZ121" s="162">
        <f t="shared" si="976"/>
        <v>31604</v>
      </c>
      <c r="BA121" s="162">
        <f t="shared" si="976"/>
        <v>32086</v>
      </c>
      <c r="BB121" s="162">
        <f t="shared" si="976"/>
        <v>32311</v>
      </c>
      <c r="BC121" s="162">
        <f t="shared" si="976"/>
        <v>31887</v>
      </c>
      <c r="BD121" s="162">
        <f t="shared" si="976"/>
        <v>31938</v>
      </c>
      <c r="BE121" s="162">
        <f t="shared" si="976"/>
        <v>31996</v>
      </c>
      <c r="BF121" s="162">
        <f t="shared" si="976"/>
        <v>32516</v>
      </c>
      <c r="BG121" s="162">
        <f t="shared" si="976"/>
        <v>34174</v>
      </c>
      <c r="BH121" s="162">
        <f t="shared" si="976"/>
        <v>36288</v>
      </c>
      <c r="BI121" s="162">
        <f t="shared" si="976"/>
        <v>38084</v>
      </c>
      <c r="BJ121" s="162">
        <f t="shared" si="976"/>
        <v>39506</v>
      </c>
      <c r="BK121" s="162">
        <f t="shared" si="976"/>
        <v>40472</v>
      </c>
      <c r="BL121" s="162">
        <f t="shared" si="976"/>
        <v>40419</v>
      </c>
      <c r="BM121" s="162">
        <f t="shared" si="976"/>
        <v>41207</v>
      </c>
      <c r="BN121" s="162">
        <f t="shared" si="976"/>
        <v>42109</v>
      </c>
      <c r="BO121" s="162">
        <f t="shared" si="976"/>
        <v>42096</v>
      </c>
      <c r="BP121" s="162">
        <f t="shared" si="976"/>
        <v>43384</v>
      </c>
      <c r="BQ121" s="162">
        <f t="shared" si="976"/>
        <v>44721</v>
      </c>
      <c r="BR121" s="162">
        <f t="shared" ref="BR121:CW121" si="977">+SUM(BO37:BR37)</f>
        <v>46546</v>
      </c>
      <c r="BS121" s="162">
        <f t="shared" si="977"/>
        <v>49185</v>
      </c>
      <c r="BT121" s="162">
        <f t="shared" si="977"/>
        <v>50788</v>
      </c>
      <c r="BU121" s="162">
        <f t="shared" si="977"/>
        <v>52013</v>
      </c>
      <c r="BV121" s="162">
        <f t="shared" si="977"/>
        <v>53057</v>
      </c>
      <c r="BW121" s="162">
        <f t="shared" si="977"/>
        <v>53810</v>
      </c>
      <c r="BX121" s="162">
        <f t="shared" si="977"/>
        <v>55210</v>
      </c>
      <c r="BY121" s="162">
        <f t="shared" si="977"/>
        <v>57330</v>
      </c>
      <c r="BZ121" s="162">
        <f t="shared" si="977"/>
        <v>59259</v>
      </c>
      <c r="CA121" s="162">
        <f t="shared" si="977"/>
        <v>60841</v>
      </c>
      <c r="CB121" s="162">
        <f t="shared" si="977"/>
        <v>62071</v>
      </c>
      <c r="CC121" s="162">
        <f t="shared" si="977"/>
        <v>62906</v>
      </c>
      <c r="CD121" s="162">
        <f t="shared" si="977"/>
        <v>64296</v>
      </c>
      <c r="CE121" s="162">
        <f t="shared" si="977"/>
        <v>65960</v>
      </c>
      <c r="CF121" s="162">
        <f t="shared" si="977"/>
        <v>66945</v>
      </c>
      <c r="CG121" s="162">
        <f t="shared" si="977"/>
        <v>67591</v>
      </c>
      <c r="CH121" s="162">
        <f t="shared" si="977"/>
        <v>67407</v>
      </c>
      <c r="CI121" s="162">
        <f t="shared" si="977"/>
        <v>67620</v>
      </c>
      <c r="CJ121" s="162">
        <f t="shared" si="977"/>
        <v>68867</v>
      </c>
      <c r="CK121" s="162">
        <f t="shared" si="977"/>
        <v>70102</v>
      </c>
      <c r="CL121" s="162">
        <f t="shared" si="977"/>
        <v>72398</v>
      </c>
      <c r="CM121" s="21">
        <f t="shared" si="977"/>
        <v>74558.737149576627</v>
      </c>
      <c r="CN121" s="21">
        <f t="shared" si="977"/>
        <v>75947.070231886988</v>
      </c>
      <c r="CO121" s="21">
        <f t="shared" si="977"/>
        <v>77273.11888839367</v>
      </c>
      <c r="CP121" s="21">
        <f t="shared" si="977"/>
        <v>77835.960215589788</v>
      </c>
      <c r="CQ121" s="21">
        <f t="shared" si="977"/>
        <v>78878.629141782207</v>
      </c>
      <c r="CR121" s="21">
        <f t="shared" si="977"/>
        <v>79860.144979058037</v>
      </c>
      <c r="CS121" s="21">
        <f t="shared" si="977"/>
        <v>80865.997960557404</v>
      </c>
      <c r="CT121" s="21">
        <f t="shared" si="977"/>
        <v>81887.4875920255</v>
      </c>
      <c r="CU121" s="21">
        <f t="shared" si="977"/>
        <v>82932.899476588849</v>
      </c>
      <c r="CV121" s="21">
        <f t="shared" si="977"/>
        <v>83978.6174308802</v>
      </c>
      <c r="CW121" s="21">
        <f t="shared" si="977"/>
        <v>85041.003611410881</v>
      </c>
      <c r="CX121" s="21">
        <f t="shared" ref="CX121:DB121" si="978">+SUM(CU37:CX37)</f>
        <v>86118.00955770204</v>
      </c>
      <c r="CY121" s="21">
        <f t="shared" si="978"/>
        <v>87209.358612377473</v>
      </c>
      <c r="CZ121" s="21">
        <f t="shared" si="978"/>
        <v>88312.494698464987</v>
      </c>
      <c r="DA121" s="21">
        <f t="shared" si="978"/>
        <v>89430.469611325563</v>
      </c>
      <c r="DB121" s="21">
        <f t="shared" si="978"/>
        <v>90562.790288641656</v>
      </c>
      <c r="DE121" s="22"/>
      <c r="DF121" s="162">
        <v>69015.532248700532</v>
      </c>
    </row>
    <row r="122" spans="1:110" s="162" customFormat="1" x14ac:dyDescent="0.2">
      <c r="A122" s="49" t="s">
        <v>343</v>
      </c>
      <c r="B122" s="162" t="e">
        <f>+B119/B121</f>
        <v>#DIV/0!</v>
      </c>
      <c r="C122" s="162" t="e">
        <f t="shared" ref="C122:W122" si="979">+C119/C121</f>
        <v>#DIV/0!</v>
      </c>
      <c r="D122" s="162" t="e">
        <f t="shared" si="979"/>
        <v>#DIV/0!</v>
      </c>
      <c r="E122" s="162" t="e">
        <f t="shared" ca="1" si="979"/>
        <v>#DIV/0!</v>
      </c>
      <c r="F122" s="162" t="e">
        <f t="shared" ca="1" si="979"/>
        <v>#DIV/0!</v>
      </c>
      <c r="G122" s="162" t="e">
        <f t="shared" ca="1" si="979"/>
        <v>#DIV/0!</v>
      </c>
      <c r="H122" s="162" t="e">
        <f t="shared" ca="1" si="979"/>
        <v>#DIV/0!</v>
      </c>
      <c r="I122" s="162" t="e">
        <f t="shared" ca="1" si="979"/>
        <v>#DIV/0!</v>
      </c>
      <c r="J122" s="162" t="e">
        <f t="shared" ca="1" si="979"/>
        <v>#DIV/0!</v>
      </c>
      <c r="K122" s="162" t="e">
        <f t="shared" ca="1" si="979"/>
        <v>#DIV/0!</v>
      </c>
      <c r="L122" s="162" t="e">
        <f t="shared" ca="1" si="979"/>
        <v>#DIV/0!</v>
      </c>
      <c r="M122" s="162" t="e">
        <f t="shared" ca="1" si="979"/>
        <v>#DIV/0!</v>
      </c>
      <c r="N122" s="162" t="e">
        <f t="shared" ca="1" si="979"/>
        <v>#DIV/0!</v>
      </c>
      <c r="O122" s="162" t="e">
        <f t="shared" ca="1" si="979"/>
        <v>#DIV/0!</v>
      </c>
      <c r="P122" s="162" t="e">
        <f t="shared" ca="1" si="979"/>
        <v>#DIV/0!</v>
      </c>
      <c r="Q122" s="162" t="e">
        <f t="shared" ca="1" si="979"/>
        <v>#DIV/0!</v>
      </c>
      <c r="R122" s="162" t="e">
        <f t="shared" ca="1" si="979"/>
        <v>#DIV/0!</v>
      </c>
      <c r="S122" s="162" t="e">
        <f t="shared" ca="1" si="979"/>
        <v>#DIV/0!</v>
      </c>
      <c r="T122" s="162" t="e">
        <f t="shared" ca="1" si="979"/>
        <v>#DIV/0!</v>
      </c>
      <c r="U122" s="162" t="e">
        <f t="shared" ca="1" si="979"/>
        <v>#DIV/0!</v>
      </c>
      <c r="V122" s="162" t="e">
        <f t="shared" ca="1" si="979"/>
        <v>#DIV/0!</v>
      </c>
      <c r="W122" s="162" t="e">
        <f t="shared" ca="1" si="979"/>
        <v>#DIV/0!</v>
      </c>
      <c r="X122" s="162" t="e">
        <f t="shared" ref="X122:Y122" ca="1" si="980">+X119/X121</f>
        <v>#DIV/0!</v>
      </c>
      <c r="Y122" s="162" t="e">
        <f t="shared" ca="1" si="980"/>
        <v>#DIV/0!</v>
      </c>
      <c r="Z122" s="162" t="e">
        <f t="shared" ref="Z122:AA122" ca="1" si="981">+Z119/Z121</f>
        <v>#DIV/0!</v>
      </c>
      <c r="AA122" s="162" t="e">
        <f t="shared" ca="1" si="981"/>
        <v>#DIV/0!</v>
      </c>
      <c r="AB122" s="21" t="e">
        <f t="shared" ref="AA122:AD122" ca="1" si="982">+AB119/AB121</f>
        <v>#DIV/0!</v>
      </c>
      <c r="AC122" s="21" t="e">
        <f t="shared" ca="1" si="982"/>
        <v>#DIV/0!</v>
      </c>
      <c r="AD122" s="21" t="e">
        <f t="shared" ca="1" si="982"/>
        <v>#DIV/0!</v>
      </c>
      <c r="AE122" s="21" t="e">
        <f t="shared" ref="AE122" ca="1" si="983">+AE119/AE121</f>
        <v>#DIV/0!</v>
      </c>
      <c r="AL122" s="162">
        <f t="shared" ref="AL122" si="984">+AL119/AL121</f>
        <v>15.764284471370626</v>
      </c>
      <c r="AM122" s="162">
        <f t="shared" ref="AM122:AO122" si="985">+AM119/AM121</f>
        <v>14.714278339945567</v>
      </c>
      <c r="AN122" s="162">
        <f t="shared" si="985"/>
        <v>18.028619791412595</v>
      </c>
      <c r="AO122" s="162">
        <f t="shared" si="985"/>
        <v>17.585049109511473</v>
      </c>
      <c r="AP122" s="162">
        <f t="shared" ref="AP122:CD122" si="986">+AP119/AP121</f>
        <v>16.869748498644558</v>
      </c>
      <c r="AQ122" s="162">
        <f t="shared" si="986"/>
        <v>16.117979839821839</v>
      </c>
      <c r="AR122" s="162">
        <f t="shared" si="986"/>
        <v>18.502335020941494</v>
      </c>
      <c r="AS122" s="162">
        <f t="shared" si="986"/>
        <v>18.438429168463113</v>
      </c>
      <c r="AT122" s="162">
        <f t="shared" si="986"/>
        <v>19.968424999724288</v>
      </c>
      <c r="AU122" s="162">
        <f t="shared" si="986"/>
        <v>18.408886668112899</v>
      </c>
      <c r="AV122" s="162">
        <f t="shared" si="986"/>
        <v>18.089951866592592</v>
      </c>
      <c r="AW122" s="162">
        <f t="shared" si="986"/>
        <v>17.522923501266909</v>
      </c>
      <c r="AX122" s="162">
        <f t="shared" si="986"/>
        <v>14.003422759722268</v>
      </c>
      <c r="AY122" s="162">
        <f t="shared" si="986"/>
        <v>14.354628321916463</v>
      </c>
      <c r="AZ122" s="162">
        <f t="shared" si="986"/>
        <v>14.669472218706494</v>
      </c>
      <c r="BA122" s="162">
        <f t="shared" si="986"/>
        <v>12.641386265149674</v>
      </c>
      <c r="BB122" s="162">
        <f t="shared" si="986"/>
        <v>13.066447958899445</v>
      </c>
      <c r="BC122" s="162">
        <f t="shared" si="986"/>
        <v>13.752799314245658</v>
      </c>
      <c r="BD122" s="162">
        <f t="shared" si="986"/>
        <v>13.591542989542237</v>
      </c>
      <c r="BE122" s="162">
        <f t="shared" si="986"/>
        <v>14.449042715994848</v>
      </c>
      <c r="BF122" s="162">
        <f t="shared" si="986"/>
        <v>16.8066736375938</v>
      </c>
      <c r="BG122" s="162">
        <f t="shared" si="986"/>
        <v>18.570890315532985</v>
      </c>
      <c r="BH122" s="162">
        <f t="shared" si="986"/>
        <v>21.148680004409172</v>
      </c>
      <c r="BI122" s="162">
        <f t="shared" si="986"/>
        <v>20.507486633856821</v>
      </c>
      <c r="BJ122" s="162">
        <f t="shared" si="986"/>
        <v>18.160902141446872</v>
      </c>
      <c r="BK122" s="162">
        <f t="shared" si="986"/>
        <v>19.254226498665393</v>
      </c>
      <c r="BL122" s="162">
        <f t="shared" si="986"/>
        <v>19.40928771122492</v>
      </c>
      <c r="BM122" s="162">
        <f t="shared" si="986"/>
        <v>18.763817125346847</v>
      </c>
      <c r="BN122" s="162">
        <f t="shared" si="986"/>
        <v>18.577878838253103</v>
      </c>
      <c r="BO122" s="162">
        <f t="shared" si="986"/>
        <v>17.288759072776564</v>
      </c>
      <c r="BP122" s="162">
        <f t="shared" si="986"/>
        <v>20.227918126498249</v>
      </c>
      <c r="BQ122" s="162">
        <f t="shared" si="986"/>
        <v>22.678966380730412</v>
      </c>
      <c r="BR122" s="162">
        <f t="shared" si="986"/>
        <v>25.18995187556396</v>
      </c>
      <c r="BS122" s="162">
        <f t="shared" si="986"/>
        <v>24.073713166299271</v>
      </c>
      <c r="BT122" s="162">
        <f t="shared" si="986"/>
        <v>27.413465779317949</v>
      </c>
      <c r="BU122" s="162">
        <f t="shared" si="986"/>
        <v>26.664771935123415</v>
      </c>
      <c r="BV122" s="162">
        <f t="shared" si="986"/>
        <v>26.688052471869877</v>
      </c>
      <c r="BW122" s="162">
        <f t="shared" si="986"/>
        <v>24.752594996165946</v>
      </c>
      <c r="BX122" s="162">
        <f t="shared" si="986"/>
        <v>21.567197971381997</v>
      </c>
      <c r="BY122" s="162">
        <f t="shared" si="986"/>
        <v>20.939062522331248</v>
      </c>
      <c r="BZ122" s="162">
        <f t="shared" si="986"/>
        <v>21.030071381562294</v>
      </c>
      <c r="CA122" s="162">
        <f t="shared" si="986"/>
        <v>19.101444667416882</v>
      </c>
      <c r="CB122" s="162">
        <f t="shared" si="986"/>
        <v>20.267050635562502</v>
      </c>
      <c r="CC122" s="162">
        <f t="shared" si="986"/>
        <v>21.534681622819988</v>
      </c>
      <c r="CD122" s="162">
        <f t="shared" si="986"/>
        <v>23.257183961677242</v>
      </c>
      <c r="CE122" s="162">
        <f t="shared" ref="CE122:CF122" si="987">+CE119/CE121</f>
        <v>21.45208057252988</v>
      </c>
      <c r="CF122" s="162">
        <f t="shared" si="987"/>
        <v>24.013306445589659</v>
      </c>
      <c r="CG122" s="162">
        <f t="shared" ref="CG122:CH122" si="988">+CG119/CG121</f>
        <v>23.105495606072026</v>
      </c>
      <c r="CH122" s="162">
        <f t="shared" si="988"/>
        <v>22.52414882727313</v>
      </c>
      <c r="CI122" s="162">
        <f t="shared" ref="CI122:CJ122" si="989">+CI119/CI121</f>
        <v>18.536366427540688</v>
      </c>
      <c r="CJ122" s="162">
        <f t="shared" si="989"/>
        <v>17.570733442722929</v>
      </c>
      <c r="CK122" s="162">
        <f t="shared" ref="CK122:CL122" si="990">+CK119/CK121</f>
        <v>16.26465622336557</v>
      </c>
      <c r="CL122" s="162">
        <f t="shared" si="990"/>
        <v>16.039219315450701</v>
      </c>
      <c r="CM122" s="21">
        <f t="shared" ref="CM122:DB122" si="991">+CM119/CM121</f>
        <v>15.660839964145827</v>
      </c>
      <c r="CN122" s="21">
        <f t="shared" si="991"/>
        <v>15.471945504283623</v>
      </c>
      <c r="CO122" s="21">
        <f t="shared" si="991"/>
        <v>15.153160018390009</v>
      </c>
      <c r="CP122" s="21">
        <f t="shared" si="991"/>
        <v>15.134647163523443</v>
      </c>
      <c r="CQ122" s="21">
        <f t="shared" si="991"/>
        <v>15.141338280689636</v>
      </c>
      <c r="CR122" s="21">
        <f t="shared" si="991"/>
        <v>15.116958583041725</v>
      </c>
      <c r="CS122" s="21">
        <f t="shared" si="991"/>
        <v>15.077173159311032</v>
      </c>
      <c r="CT122" s="21">
        <f t="shared" si="991"/>
        <v>15.067638967602942</v>
      </c>
      <c r="CU122" s="21">
        <f t="shared" si="991"/>
        <v>15.034280181955495</v>
      </c>
      <c r="CV122" s="21">
        <f t="shared" si="991"/>
        <v>14.993635618451167</v>
      </c>
      <c r="CW122" s="21">
        <f t="shared" si="991"/>
        <v>14.951201237922799</v>
      </c>
      <c r="CX122" s="21">
        <f t="shared" si="991"/>
        <v>14.91014714054576</v>
      </c>
      <c r="CY122" s="21">
        <f t="shared" si="991"/>
        <v>14.86262415944848</v>
      </c>
      <c r="CZ122" s="21">
        <f t="shared" si="991"/>
        <v>14.812892101635192</v>
      </c>
      <c r="DA122" s="21">
        <f t="shared" si="991"/>
        <v>14.762047947671897</v>
      </c>
      <c r="DB122" s="21">
        <f t="shared" si="991"/>
        <v>14.710075537882723</v>
      </c>
      <c r="DE122" s="22"/>
      <c r="DF122" s="162">
        <v>16.406001945376151</v>
      </c>
    </row>
    <row r="123" spans="1:110" s="162" customFormat="1" x14ac:dyDescent="0.2">
      <c r="A123" s="49" t="s">
        <v>344</v>
      </c>
      <c r="B123" s="162" t="e">
        <f>+B120/B121</f>
        <v>#DIV/0!</v>
      </c>
      <c r="C123" s="162" t="e">
        <f t="shared" ref="C123:W123" si="992">+C120/C121</f>
        <v>#DIV/0!</v>
      </c>
      <c r="D123" s="162" t="e">
        <f t="shared" si="992"/>
        <v>#DIV/0!</v>
      </c>
      <c r="E123" s="162" t="e">
        <f t="shared" ca="1" si="992"/>
        <v>#DIV/0!</v>
      </c>
      <c r="F123" s="162" t="e">
        <f t="shared" ca="1" si="992"/>
        <v>#DIV/0!</v>
      </c>
      <c r="G123" s="162" t="e">
        <f t="shared" ca="1" si="992"/>
        <v>#DIV/0!</v>
      </c>
      <c r="H123" s="162" t="e">
        <f t="shared" ca="1" si="992"/>
        <v>#DIV/0!</v>
      </c>
      <c r="I123" s="162" t="e">
        <f t="shared" ca="1" si="992"/>
        <v>#DIV/0!</v>
      </c>
      <c r="J123" s="162" t="e">
        <f t="shared" ca="1" si="992"/>
        <v>#DIV/0!</v>
      </c>
      <c r="K123" s="162" t="e">
        <f t="shared" ca="1" si="992"/>
        <v>#DIV/0!</v>
      </c>
      <c r="L123" s="162" t="e">
        <f t="shared" ca="1" si="992"/>
        <v>#DIV/0!</v>
      </c>
      <c r="M123" s="162" t="e">
        <f t="shared" ca="1" si="992"/>
        <v>#DIV/0!</v>
      </c>
      <c r="N123" s="162" t="e">
        <f t="shared" ca="1" si="992"/>
        <v>#DIV/0!</v>
      </c>
      <c r="O123" s="162" t="e">
        <f t="shared" ca="1" si="992"/>
        <v>#DIV/0!</v>
      </c>
      <c r="P123" s="162" t="e">
        <f t="shared" ca="1" si="992"/>
        <v>#DIV/0!</v>
      </c>
      <c r="Q123" s="162" t="e">
        <f t="shared" ca="1" si="992"/>
        <v>#DIV/0!</v>
      </c>
      <c r="R123" s="162" t="e">
        <f t="shared" ca="1" si="992"/>
        <v>#DIV/0!</v>
      </c>
      <c r="S123" s="162" t="e">
        <f t="shared" ca="1" si="992"/>
        <v>#DIV/0!</v>
      </c>
      <c r="T123" s="162" t="e">
        <f t="shared" ca="1" si="992"/>
        <v>#DIV/0!</v>
      </c>
      <c r="U123" s="162" t="e">
        <f t="shared" ca="1" si="992"/>
        <v>#DIV/0!</v>
      </c>
      <c r="V123" s="162" t="e">
        <f t="shared" ca="1" si="992"/>
        <v>#DIV/0!</v>
      </c>
      <c r="W123" s="162" t="e">
        <f t="shared" ca="1" si="992"/>
        <v>#DIV/0!</v>
      </c>
      <c r="X123" s="162" t="e">
        <f t="shared" ref="X123:Y123" ca="1" si="993">+X120/X121</f>
        <v>#DIV/0!</v>
      </c>
      <c r="Y123" s="162" t="e">
        <f t="shared" ca="1" si="993"/>
        <v>#DIV/0!</v>
      </c>
      <c r="Z123" s="162" t="e">
        <f t="shared" ref="Z123:AA123" ca="1" si="994">+Z120/Z121</f>
        <v>#DIV/0!</v>
      </c>
      <c r="AA123" s="162" t="e">
        <f t="shared" ca="1" si="994"/>
        <v>#DIV/0!</v>
      </c>
      <c r="AB123" s="21" t="e">
        <f t="shared" ref="AA123:AD123" ca="1" si="995">+AB120/AB121</f>
        <v>#DIV/0!</v>
      </c>
      <c r="AC123" s="21" t="e">
        <f t="shared" ca="1" si="995"/>
        <v>#DIV/0!</v>
      </c>
      <c r="AD123" s="21" t="e">
        <f t="shared" ca="1" si="995"/>
        <v>#DIV/0!</v>
      </c>
      <c r="AE123" s="21" t="e">
        <f t="shared" ref="AE123" ca="1" si="996">+AE120/AE121</f>
        <v>#DIV/0!</v>
      </c>
      <c r="AL123" s="162">
        <f t="shared" ref="AL123:AM123" si="997">+AL120/AL121</f>
        <v>12.290668521261159</v>
      </c>
      <c r="AM123" s="162">
        <f t="shared" si="997"/>
        <v>12.670043957669296</v>
      </c>
      <c r="AN123" s="162">
        <f t="shared" ref="AN123:AO123" si="998">+AN120/AN121</f>
        <v>12.637415974789997</v>
      </c>
      <c r="AO123" s="162">
        <f t="shared" si="998"/>
        <v>14.806317279161242</v>
      </c>
      <c r="AP123" s="162">
        <f t="shared" ref="AP123:CD123" si="999">+AP120/AP121</f>
        <v>14.158898044022463</v>
      </c>
      <c r="AQ123" s="162">
        <f t="shared" si="999"/>
        <v>13.147041704331681</v>
      </c>
      <c r="AR123" s="162">
        <f t="shared" si="999"/>
        <v>15.473008635562959</v>
      </c>
      <c r="AS123" s="162">
        <f t="shared" si="999"/>
        <v>15.168774591580771</v>
      </c>
      <c r="AT123" s="162">
        <f t="shared" si="999"/>
        <v>16.99189272317988</v>
      </c>
      <c r="AU123" s="162">
        <f t="shared" si="999"/>
        <v>16.193740770889985</v>
      </c>
      <c r="AV123" s="162">
        <f t="shared" si="999"/>
        <v>16.057186313172252</v>
      </c>
      <c r="AW123" s="162">
        <f t="shared" si="999"/>
        <v>14.496192264609885</v>
      </c>
      <c r="AX123" s="162">
        <f t="shared" si="999"/>
        <v>11.554845649835382</v>
      </c>
      <c r="AY123" s="162">
        <f t="shared" si="999"/>
        <v>12.791044506887562</v>
      </c>
      <c r="AZ123" s="162">
        <f t="shared" si="999"/>
        <v>12.075085432223769</v>
      </c>
      <c r="BA123" s="162">
        <f t="shared" si="999"/>
        <v>10.383258109567798</v>
      </c>
      <c r="BB123" s="162">
        <f t="shared" si="999"/>
        <v>10.659351304509302</v>
      </c>
      <c r="BC123" s="162">
        <f t="shared" si="999"/>
        <v>11.184843721057211</v>
      </c>
      <c r="BD123" s="162">
        <f t="shared" si="999"/>
        <v>12.125430521635669</v>
      </c>
      <c r="BE123" s="162">
        <f t="shared" si="999"/>
        <v>12.474764681240503</v>
      </c>
      <c r="BF123" s="162">
        <f t="shared" si="999"/>
        <v>13.288095091647188</v>
      </c>
      <c r="BG123" s="162">
        <f t="shared" si="999"/>
        <v>13.658986529028624</v>
      </c>
      <c r="BH123" s="162">
        <f t="shared" si="999"/>
        <v>17.315997023809526</v>
      </c>
      <c r="BI123" s="162">
        <f t="shared" si="999"/>
        <v>15.859392946218968</v>
      </c>
      <c r="BJ123" s="162">
        <f t="shared" si="999"/>
        <v>15.519619804586645</v>
      </c>
      <c r="BK123" s="162">
        <f t="shared" si="999"/>
        <v>16.708187261662033</v>
      </c>
      <c r="BL123" s="162">
        <f t="shared" si="999"/>
        <v>16.53435265592914</v>
      </c>
      <c r="BM123" s="162">
        <f t="shared" si="999"/>
        <v>15.631994862139141</v>
      </c>
      <c r="BN123" s="162">
        <f t="shared" si="999"/>
        <v>12.082614167992592</v>
      </c>
      <c r="BO123" s="162">
        <f t="shared" si="999"/>
        <v>13.143422223669759</v>
      </c>
      <c r="BP123" s="162">
        <f t="shared" si="999"/>
        <v>16.285752812096629</v>
      </c>
      <c r="BQ123" s="162">
        <f t="shared" si="999"/>
        <v>18.956245511340192</v>
      </c>
      <c r="BR123" s="162">
        <f t="shared" si="999"/>
        <v>20.179456881364672</v>
      </c>
      <c r="BS123" s="162">
        <f t="shared" si="999"/>
        <v>21.172413989721047</v>
      </c>
      <c r="BT123" s="162">
        <f t="shared" si="999"/>
        <v>21.366708671339683</v>
      </c>
      <c r="BU123" s="162">
        <f t="shared" si="999"/>
        <v>22.461053633929485</v>
      </c>
      <c r="BV123" s="162">
        <f t="shared" si="999"/>
        <v>21.949582524454833</v>
      </c>
      <c r="BW123" s="162">
        <f t="shared" si="999"/>
        <v>19.288958125695771</v>
      </c>
      <c r="BX123" s="162">
        <f t="shared" si="999"/>
        <v>18.275692809273682</v>
      </c>
      <c r="BY123" s="162">
        <f t="shared" si="999"/>
        <v>17.745279162833601</v>
      </c>
      <c r="BZ123" s="162">
        <f t="shared" si="999"/>
        <v>18.104578207529656</v>
      </c>
      <c r="CA123" s="162">
        <f t="shared" si="999"/>
        <v>17.300696816461116</v>
      </c>
      <c r="CB123" s="162">
        <f t="shared" si="999"/>
        <v>18.03309113756827</v>
      </c>
      <c r="CC123" s="162">
        <f t="shared" si="999"/>
        <v>17.990124664819163</v>
      </c>
      <c r="CD123" s="162">
        <f t="shared" si="999"/>
        <v>19.862730185392561</v>
      </c>
      <c r="CE123" s="162">
        <f t="shared" ref="CE123:CF123" si="1000">+CE120/CE121</f>
        <v>18.874284938812476</v>
      </c>
      <c r="CF123" s="162">
        <f t="shared" si="1000"/>
        <v>20.228920755844353</v>
      </c>
      <c r="CG123" s="162">
        <f t="shared" ref="CG123:CH123" si="1001">+CG120/CG121</f>
        <v>20.004520624195738</v>
      </c>
      <c r="CH123" s="162">
        <f t="shared" si="1001"/>
        <v>17.882544839556722</v>
      </c>
      <c r="CI123" s="162">
        <f t="shared" ref="CI123:CJ123" si="1002">+CI120/CI121</f>
        <v>15.486240725085795</v>
      </c>
      <c r="CJ123" s="162">
        <f t="shared" si="1002"/>
        <v>14.396590529571492</v>
      </c>
      <c r="CK123" s="162">
        <f t="shared" ref="CK123:CL123" si="1003">+CK120/CK121</f>
        <v>13.885903833990094</v>
      </c>
      <c r="CL123" s="162">
        <f t="shared" si="1003"/>
        <v>11.087332522997873</v>
      </c>
      <c r="CM123" s="21">
        <f t="shared" ref="CM123:DB123" si="1004">+CM120/CM121</f>
        <v>9.4445419608486709</v>
      </c>
      <c r="CN123" s="21">
        <f t="shared" si="1004"/>
        <v>9.2619487801464704</v>
      </c>
      <c r="CO123" s="21">
        <f t="shared" si="1004"/>
        <v>8.9991497205353035</v>
      </c>
      <c r="CP123" s="21">
        <f t="shared" si="1004"/>
        <v>8.9200998491962693</v>
      </c>
      <c r="CQ123" s="21">
        <f t="shared" si="1004"/>
        <v>8.859562979082547</v>
      </c>
      <c r="CR123" s="21">
        <f t="shared" si="1004"/>
        <v>8.7794954327430901</v>
      </c>
      <c r="CS123" s="21">
        <f t="shared" si="1004"/>
        <v>8.6903840812905724</v>
      </c>
      <c r="CT123" s="21">
        <f t="shared" si="1004"/>
        <v>8.6206246395080264</v>
      </c>
      <c r="CU123" s="21">
        <f t="shared" si="1004"/>
        <v>8.5364454196330914</v>
      </c>
      <c r="CV123" s="21">
        <f t="shared" si="1004"/>
        <v>8.4479852403233124</v>
      </c>
      <c r="CW123" s="21">
        <f t="shared" si="1004"/>
        <v>8.358841708495266</v>
      </c>
      <c r="CX123" s="21">
        <f t="shared" si="1004"/>
        <v>8.2709520159659924</v>
      </c>
      <c r="CY123" s="21">
        <f t="shared" si="1004"/>
        <v>8.1793974480473199</v>
      </c>
      <c r="CZ123" s="21">
        <f t="shared" si="1004"/>
        <v>8.0868096357671959</v>
      </c>
      <c r="DA123" s="21">
        <f t="shared" si="1004"/>
        <v>7.9939047471269511</v>
      </c>
      <c r="DB123" s="21">
        <f t="shared" si="1004"/>
        <v>7.9006572092345921</v>
      </c>
      <c r="DE123" s="22"/>
      <c r="DF123" s="162">
        <v>11.211421996211877</v>
      </c>
    </row>
    <row r="124" spans="1:110" s="10" customFormat="1" x14ac:dyDescent="0.2">
      <c r="A124" s="149" t="s">
        <v>490</v>
      </c>
      <c r="AB124" s="20"/>
      <c r="AC124" s="20"/>
      <c r="AD124" s="20"/>
      <c r="AE124" s="20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E124" s="126"/>
      <c r="DF124" s="215"/>
    </row>
    <row r="125" spans="1:110" x14ac:dyDescent="0.2">
      <c r="A125" s="152" t="s">
        <v>491</v>
      </c>
      <c r="AA125" s="2"/>
      <c r="DF125" s="111"/>
    </row>
    <row r="126" spans="1:110" s="23" customFormat="1" outlineLevel="1" x14ac:dyDescent="0.2">
      <c r="A126" s="23" t="s">
        <v>41</v>
      </c>
      <c r="B126" s="23">
        <f>'Annual Raw'!C41</f>
        <v>0</v>
      </c>
      <c r="C126" s="23">
        <f>'Annual Raw'!D41</f>
        <v>0</v>
      </c>
      <c r="D126" s="23">
        <f>'Annual Raw'!E41</f>
        <v>0</v>
      </c>
      <c r="E126" s="23">
        <f>'Annual Raw'!F41</f>
        <v>36.44</v>
      </c>
      <c r="F126" s="23">
        <f>'Annual Raw'!G41</f>
        <v>48.01</v>
      </c>
      <c r="G126" s="23">
        <f>'Annual Raw'!H41</f>
        <v>48.93</v>
      </c>
      <c r="H126" s="23">
        <f>'Annual Raw'!I41</f>
        <v>97.86</v>
      </c>
      <c r="I126" s="23">
        <f>'Annual Raw'!J41</f>
        <v>197.86</v>
      </c>
      <c r="J126" s="23">
        <f>'Annual Raw'!K41</f>
        <v>197.86</v>
      </c>
      <c r="K126" s="23">
        <f>'Annual Raw'!L41</f>
        <v>295.72000000000003</v>
      </c>
      <c r="L126" s="23">
        <f>'Annual Raw'!M41</f>
        <v>295.72000000000003</v>
      </c>
      <c r="M126" s="23">
        <f>'Annual Raw'!N41</f>
        <v>295.72000000000003</v>
      </c>
      <c r="N126" s="23">
        <f>'Annual Raw'!O41</f>
        <v>295.72000000000003</v>
      </c>
      <c r="O126" s="23">
        <f>'Annual Raw'!P41</f>
        <v>195.87</v>
      </c>
      <c r="P126" s="23">
        <f>'Annual Raw'!Q41</f>
        <v>195.87</v>
      </c>
      <c r="Q126" s="23">
        <f>'Annual Raw'!R41</f>
        <v>197</v>
      </c>
      <c r="R126" s="23">
        <f>'Annual Raw'!S41</f>
        <v>197</v>
      </c>
      <c r="S126" s="23">
        <f>'Annual Raw'!T41</f>
        <v>191</v>
      </c>
      <c r="T126" s="23">
        <f>'Annual Raw'!U41</f>
        <v>375</v>
      </c>
      <c r="U126" s="23">
        <f>'Annual Raw'!V41</f>
        <v>375</v>
      </c>
      <c r="V126" s="23">
        <f>'Annual Raw'!W41</f>
        <v>370</v>
      </c>
      <c r="W126" s="23">
        <f>'Annual Raw'!X41</f>
        <v>366</v>
      </c>
      <c r="X126" s="23">
        <f>'Annual Raw'!Y41</f>
        <v>366</v>
      </c>
      <c r="Y126" s="23">
        <f>'Annual Raw'!Z41</f>
        <v>362</v>
      </c>
      <c r="Z126" s="23">
        <f>'Annual Raw'!AA41</f>
        <v>362</v>
      </c>
      <c r="AA126" s="23">
        <f>'Annual Raw'!AB41</f>
        <v>362</v>
      </c>
      <c r="AB126" s="24">
        <f>+CP126</f>
        <v>362</v>
      </c>
      <c r="AC126" s="24">
        <f>+CT126</f>
        <v>362</v>
      </c>
      <c r="AD126" s="24">
        <f>+CX126</f>
        <v>362</v>
      </c>
      <c r="AE126" s="24">
        <f>+DB126</f>
        <v>362</v>
      </c>
      <c r="AJ126" s="23">
        <f>+'QTR Raw'!D56</f>
        <v>295.72000000000003</v>
      </c>
      <c r="AK126" s="23">
        <f t="shared" ref="AK126:CE126" si="1005">+AJ126</f>
        <v>295.72000000000003</v>
      </c>
      <c r="AL126" s="23">
        <f>+'QTR Raw'!F56</f>
        <v>295.72000000000003</v>
      </c>
      <c r="AM126" s="23">
        <f t="shared" si="1005"/>
        <v>295.72000000000003</v>
      </c>
      <c r="AN126" s="23">
        <f>+'QTR Raw'!H56</f>
        <v>295.87</v>
      </c>
      <c r="AO126" s="23">
        <f t="shared" si="1005"/>
        <v>295.87</v>
      </c>
      <c r="AP126" s="23">
        <f>+'QTR Raw'!J56</f>
        <v>195.87</v>
      </c>
      <c r="AQ126" s="23">
        <f t="shared" si="1005"/>
        <v>195.87</v>
      </c>
      <c r="AR126" s="23">
        <f>+'QTR Raw'!L56</f>
        <v>195.87</v>
      </c>
      <c r="AS126" s="23">
        <f t="shared" si="1005"/>
        <v>195.87</v>
      </c>
      <c r="AT126" s="23">
        <f>+'QTR Raw'!N56</f>
        <v>195.87</v>
      </c>
      <c r="AU126" s="23">
        <f t="shared" si="1005"/>
        <v>195.87</v>
      </c>
      <c r="AV126" s="23">
        <f>+'QTR Raw'!P56</f>
        <v>197.04</v>
      </c>
      <c r="AW126" s="23">
        <f t="shared" si="1005"/>
        <v>197.04</v>
      </c>
      <c r="AX126" s="23">
        <f>+'QTR Raw'!R56</f>
        <v>197</v>
      </c>
      <c r="AY126" s="23">
        <f t="shared" si="1005"/>
        <v>197</v>
      </c>
      <c r="AZ126" s="23">
        <f>+'QTR Raw'!T56</f>
        <v>197</v>
      </c>
      <c r="BA126" s="23">
        <f t="shared" si="1005"/>
        <v>197</v>
      </c>
      <c r="BB126" s="23">
        <f>+'QTR Raw'!V56</f>
        <v>197</v>
      </c>
      <c r="BC126" s="23">
        <f t="shared" si="1005"/>
        <v>197</v>
      </c>
      <c r="BD126" s="23">
        <f>+'QTR Raw'!X56</f>
        <v>191</v>
      </c>
      <c r="BE126" s="23">
        <f t="shared" si="1005"/>
        <v>191</v>
      </c>
      <c r="BF126" s="23">
        <f>+'QTR Raw'!Z56</f>
        <v>191</v>
      </c>
      <c r="BG126" s="23">
        <f t="shared" si="1005"/>
        <v>191</v>
      </c>
      <c r="BH126" s="23">
        <f>+'QTR Raw'!AB56</f>
        <v>375</v>
      </c>
      <c r="BI126" s="23">
        <f t="shared" si="1005"/>
        <v>375</v>
      </c>
      <c r="BJ126" s="23">
        <f>+'QTR Raw'!AD56</f>
        <v>375</v>
      </c>
      <c r="BK126" s="23">
        <f t="shared" si="1005"/>
        <v>375</v>
      </c>
      <c r="BL126" s="23">
        <f>+'QTR Raw'!AF56</f>
        <v>375</v>
      </c>
      <c r="BM126" s="23">
        <f t="shared" si="1005"/>
        <v>375</v>
      </c>
      <c r="BN126" s="23">
        <f>+'QTR Raw'!AH56</f>
        <v>375</v>
      </c>
      <c r="BO126" s="23">
        <f t="shared" si="1005"/>
        <v>375</v>
      </c>
      <c r="BP126" s="23">
        <f>+'QTR Raw'!AJ56</f>
        <v>375</v>
      </c>
      <c r="BQ126" s="23">
        <f t="shared" si="1005"/>
        <v>375</v>
      </c>
      <c r="BR126" s="23">
        <f>+'QTR Raw'!AL56</f>
        <v>370</v>
      </c>
      <c r="BS126" s="23">
        <f t="shared" si="1005"/>
        <v>370</v>
      </c>
      <c r="BT126" s="23">
        <f>+'QTR Raw'!AN56</f>
        <v>370</v>
      </c>
      <c r="BU126" s="23">
        <f t="shared" si="1005"/>
        <v>370</v>
      </c>
      <c r="BV126" s="23">
        <f>+'QTR Raw'!AP56</f>
        <v>366</v>
      </c>
      <c r="BW126" s="23">
        <f t="shared" si="1005"/>
        <v>366</v>
      </c>
      <c r="BX126" s="23">
        <f>+'QTR Raw'!AR56</f>
        <v>366</v>
      </c>
      <c r="BY126" s="23">
        <f t="shared" si="1005"/>
        <v>366</v>
      </c>
      <c r="BZ126" s="23">
        <f>+'QTR Raw'!AT56</f>
        <v>366</v>
      </c>
      <c r="CA126" s="23">
        <f t="shared" si="1005"/>
        <v>366</v>
      </c>
      <c r="CB126" s="23">
        <f>+'QTR Raw'!AV56</f>
        <v>366</v>
      </c>
      <c r="CC126" s="23">
        <f t="shared" si="1005"/>
        <v>366</v>
      </c>
      <c r="CD126" s="23">
        <f>+'QTR Raw'!AX56</f>
        <v>362</v>
      </c>
      <c r="CE126" s="23">
        <f t="shared" si="1005"/>
        <v>362</v>
      </c>
      <c r="CF126" s="23">
        <f>+'QTR Raw'!AZ56</f>
        <v>362</v>
      </c>
      <c r="CG126" s="23">
        <f t="shared" ref="CG126:CG127" si="1006">+CF126</f>
        <v>362</v>
      </c>
      <c r="CH126" s="23">
        <f>Z126</f>
        <v>362</v>
      </c>
      <c r="CI126" s="23">
        <f>CH126</f>
        <v>362</v>
      </c>
      <c r="CJ126" s="23">
        <f>+'QTR Raw'!BD56</f>
        <v>362</v>
      </c>
      <c r="CK126" s="23">
        <f>CJ126</f>
        <v>362</v>
      </c>
      <c r="CL126" s="23">
        <f>+'QTR Raw'!BF56</f>
        <v>362</v>
      </c>
      <c r="CM126" s="24">
        <f t="shared" ref="CM126:DB126" si="1007">CL126</f>
        <v>362</v>
      </c>
      <c r="CN126" s="24">
        <f t="shared" si="1007"/>
        <v>362</v>
      </c>
      <c r="CO126" s="24">
        <f t="shared" si="1007"/>
        <v>362</v>
      </c>
      <c r="CP126" s="24">
        <f t="shared" si="1007"/>
        <v>362</v>
      </c>
      <c r="CQ126" s="24">
        <f t="shared" si="1007"/>
        <v>362</v>
      </c>
      <c r="CR126" s="24">
        <f t="shared" si="1007"/>
        <v>362</v>
      </c>
      <c r="CS126" s="24">
        <f t="shared" si="1007"/>
        <v>362</v>
      </c>
      <c r="CT126" s="24">
        <f t="shared" si="1007"/>
        <v>362</v>
      </c>
      <c r="CU126" s="24">
        <f t="shared" si="1007"/>
        <v>362</v>
      </c>
      <c r="CV126" s="24">
        <f t="shared" si="1007"/>
        <v>362</v>
      </c>
      <c r="CW126" s="24">
        <f t="shared" si="1007"/>
        <v>362</v>
      </c>
      <c r="CX126" s="24">
        <f t="shared" si="1007"/>
        <v>362</v>
      </c>
      <c r="CY126" s="24">
        <f t="shared" si="1007"/>
        <v>362</v>
      </c>
      <c r="CZ126" s="24">
        <f t="shared" si="1007"/>
        <v>362</v>
      </c>
      <c r="DA126" s="24">
        <f t="shared" si="1007"/>
        <v>362</v>
      </c>
      <c r="DB126" s="24">
        <f t="shared" si="1007"/>
        <v>362</v>
      </c>
      <c r="DE126" s="123"/>
      <c r="DF126" s="23">
        <v>362</v>
      </c>
    </row>
    <row r="127" spans="1:110" s="23" customFormat="1" outlineLevel="1" x14ac:dyDescent="0.2">
      <c r="A127" s="23" t="s">
        <v>42</v>
      </c>
      <c r="B127" s="23">
        <f>'Annual Raw'!C42</f>
        <v>0</v>
      </c>
      <c r="C127" s="23">
        <f>'Annual Raw'!D42</f>
        <v>0</v>
      </c>
      <c r="D127" s="23">
        <f>'Annual Raw'!E42</f>
        <v>0</v>
      </c>
      <c r="E127" s="23">
        <f>'Annual Raw'!F42</f>
        <v>0</v>
      </c>
      <c r="F127" s="23">
        <f>'Annual Raw'!G42</f>
        <v>0</v>
      </c>
      <c r="G127" s="23">
        <f>'Annual Raw'!H42</f>
        <v>0</v>
      </c>
      <c r="H127" s="23">
        <f>'Annual Raw'!I42</f>
        <v>0</v>
      </c>
      <c r="I127" s="23">
        <f>'Annual Raw'!J42</f>
        <v>0</v>
      </c>
      <c r="J127" s="23">
        <f>'Annual Raw'!K42</f>
        <v>0</v>
      </c>
      <c r="K127" s="23">
        <f>'Annual Raw'!L42</f>
        <v>0</v>
      </c>
      <c r="L127" s="23">
        <f>'Annual Raw'!M42</f>
        <v>0</v>
      </c>
      <c r="M127" s="23">
        <f>'Annual Raw'!N42</f>
        <v>0</v>
      </c>
      <c r="N127" s="23">
        <f>'Annual Raw'!O42</f>
        <v>0</v>
      </c>
      <c r="O127" s="23">
        <f>'Annual Raw'!P42</f>
        <v>0</v>
      </c>
      <c r="P127" s="23">
        <f>'Annual Raw'!Q42</f>
        <v>0</v>
      </c>
      <c r="Q127" s="23">
        <f>'Annual Raw'!R42</f>
        <v>0</v>
      </c>
      <c r="R127" s="23">
        <f>'Annual Raw'!S42</f>
        <v>0</v>
      </c>
      <c r="S127" s="23">
        <f>'Annual Raw'!T42</f>
        <v>0</v>
      </c>
      <c r="T127" s="23">
        <f>'Annual Raw'!U42</f>
        <v>0</v>
      </c>
      <c r="U127" s="23">
        <f>'Annual Raw'!V42</f>
        <v>0</v>
      </c>
      <c r="V127" s="23">
        <f>'Annual Raw'!W42</f>
        <v>0</v>
      </c>
      <c r="W127" s="23">
        <f>'Annual Raw'!X42</f>
        <v>0</v>
      </c>
      <c r="X127" s="23">
        <f>'Annual Raw'!Y42</f>
        <v>0</v>
      </c>
      <c r="Y127" s="23">
        <f>'Annual Raw'!Z42</f>
        <v>0</v>
      </c>
      <c r="Z127" s="23">
        <f>'Annual Raw'!AA42</f>
        <v>0</v>
      </c>
      <c r="AA127" s="23">
        <f>'Annual Raw'!AB42</f>
        <v>0</v>
      </c>
      <c r="AB127" s="24">
        <f t="shared" ref="AB127:AB128" si="1008">+CP127</f>
        <v>0</v>
      </c>
      <c r="AC127" s="24">
        <f t="shared" ref="AC127:AC128" si="1009">+CT127</f>
        <v>0</v>
      </c>
      <c r="AD127" s="24">
        <f t="shared" ref="AD127:AD128" si="1010">+CX127</f>
        <v>0</v>
      </c>
      <c r="AE127" s="24">
        <f t="shared" ref="AE127:AE128" si="1011">+DB127</f>
        <v>0</v>
      </c>
      <c r="AJ127" s="23">
        <f>+'QTR Raw'!D57</f>
        <v>0</v>
      </c>
      <c r="AK127" s="23">
        <f t="shared" ref="AK127:CE127" si="1012">+AJ127</f>
        <v>0</v>
      </c>
      <c r="AL127" s="23">
        <f>+'QTR Raw'!F57</f>
        <v>0</v>
      </c>
      <c r="AM127" s="23">
        <f t="shared" si="1012"/>
        <v>0</v>
      </c>
      <c r="AN127" s="23">
        <f>+'QTR Raw'!H57</f>
        <v>0</v>
      </c>
      <c r="AO127" s="23">
        <f t="shared" si="1012"/>
        <v>0</v>
      </c>
      <c r="AP127" s="23">
        <f>+'QTR Raw'!J57</f>
        <v>0</v>
      </c>
      <c r="AQ127" s="23">
        <f t="shared" si="1012"/>
        <v>0</v>
      </c>
      <c r="AR127" s="23">
        <f>+'QTR Raw'!L57</f>
        <v>0</v>
      </c>
      <c r="AS127" s="23">
        <f t="shared" si="1012"/>
        <v>0</v>
      </c>
      <c r="AT127" s="23">
        <f>+'QTR Raw'!N57</f>
        <v>0</v>
      </c>
      <c r="AU127" s="23">
        <f t="shared" si="1012"/>
        <v>0</v>
      </c>
      <c r="AV127" s="23">
        <f>+'QTR Raw'!P57</f>
        <v>0</v>
      </c>
      <c r="AW127" s="23">
        <f t="shared" si="1012"/>
        <v>0</v>
      </c>
      <c r="AX127" s="23">
        <f>+'QTR Raw'!R57</f>
        <v>0</v>
      </c>
      <c r="AY127" s="23">
        <f t="shared" si="1012"/>
        <v>0</v>
      </c>
      <c r="AZ127" s="23">
        <f>+'QTR Raw'!T57</f>
        <v>0</v>
      </c>
      <c r="BA127" s="23">
        <f t="shared" si="1012"/>
        <v>0</v>
      </c>
      <c r="BB127" s="23">
        <f>+'QTR Raw'!V57</f>
        <v>0</v>
      </c>
      <c r="BC127" s="23">
        <f t="shared" si="1012"/>
        <v>0</v>
      </c>
      <c r="BD127" s="23">
        <f>+'QTR Raw'!X57</f>
        <v>0</v>
      </c>
      <c r="BE127" s="23">
        <f t="shared" si="1012"/>
        <v>0</v>
      </c>
      <c r="BF127" s="23">
        <f>+'QTR Raw'!Z57</f>
        <v>0</v>
      </c>
      <c r="BG127" s="23">
        <f t="shared" si="1012"/>
        <v>0</v>
      </c>
      <c r="BH127" s="23">
        <f>+'QTR Raw'!AB57</f>
        <v>0</v>
      </c>
      <c r="BI127" s="23">
        <f t="shared" si="1012"/>
        <v>0</v>
      </c>
      <c r="BJ127" s="23">
        <f>+'QTR Raw'!AD57</f>
        <v>0</v>
      </c>
      <c r="BK127" s="23">
        <f t="shared" si="1012"/>
        <v>0</v>
      </c>
      <c r="BL127" s="23">
        <f>+'QTR Raw'!AF57</f>
        <v>0</v>
      </c>
      <c r="BM127" s="23">
        <f t="shared" si="1012"/>
        <v>0</v>
      </c>
      <c r="BN127" s="23">
        <f>+'QTR Raw'!AH57</f>
        <v>0</v>
      </c>
      <c r="BO127" s="23">
        <f t="shared" si="1012"/>
        <v>0</v>
      </c>
      <c r="BP127" s="23">
        <f>+'QTR Raw'!AJ57</f>
        <v>0</v>
      </c>
      <c r="BQ127" s="23">
        <f t="shared" si="1012"/>
        <v>0</v>
      </c>
      <c r="BR127" s="23">
        <f>+'QTR Raw'!AL57</f>
        <v>0</v>
      </c>
      <c r="BS127" s="23">
        <f t="shared" si="1012"/>
        <v>0</v>
      </c>
      <c r="BT127" s="23">
        <f>+'QTR Raw'!AN57</f>
        <v>0</v>
      </c>
      <c r="BU127" s="23">
        <f t="shared" si="1012"/>
        <v>0</v>
      </c>
      <c r="BV127" s="23">
        <f>+'QTR Raw'!AP57</f>
        <v>0</v>
      </c>
      <c r="BW127" s="23">
        <f t="shared" si="1012"/>
        <v>0</v>
      </c>
      <c r="BX127" s="23">
        <f>+'QTR Raw'!AR57</f>
        <v>0</v>
      </c>
      <c r="BY127" s="23">
        <f t="shared" si="1012"/>
        <v>0</v>
      </c>
      <c r="BZ127" s="23">
        <f>+'QTR Raw'!AT57</f>
        <v>0</v>
      </c>
      <c r="CA127" s="23">
        <f t="shared" si="1012"/>
        <v>0</v>
      </c>
      <c r="CB127" s="23">
        <f>+'QTR Raw'!AV57</f>
        <v>0</v>
      </c>
      <c r="CC127" s="23">
        <f t="shared" si="1012"/>
        <v>0</v>
      </c>
      <c r="CD127" s="23">
        <f>+'QTR Raw'!AX57</f>
        <v>0</v>
      </c>
      <c r="CE127" s="23">
        <f t="shared" si="1012"/>
        <v>0</v>
      </c>
      <c r="CF127" s="23">
        <f>+'QTR Raw'!AZ57</f>
        <v>0</v>
      </c>
      <c r="CG127" s="23">
        <f t="shared" si="1006"/>
        <v>0</v>
      </c>
      <c r="CH127" s="23">
        <f t="shared" ref="CH127:CH128" si="1013">Z127</f>
        <v>0</v>
      </c>
      <c r="CI127" s="23">
        <f>CH127</f>
        <v>0</v>
      </c>
      <c r="CJ127" s="23">
        <f>+'QTR Raw'!BD57</f>
        <v>0</v>
      </c>
      <c r="CK127" s="23">
        <f>CJ127</f>
        <v>0</v>
      </c>
      <c r="CL127" s="23">
        <f>+'QTR Raw'!BF57</f>
        <v>0</v>
      </c>
      <c r="CM127" s="24">
        <f t="shared" ref="CM127:DB127" si="1014">CL127</f>
        <v>0</v>
      </c>
      <c r="CN127" s="24">
        <f t="shared" si="1014"/>
        <v>0</v>
      </c>
      <c r="CO127" s="24">
        <f t="shared" si="1014"/>
        <v>0</v>
      </c>
      <c r="CP127" s="24">
        <f t="shared" si="1014"/>
        <v>0</v>
      </c>
      <c r="CQ127" s="24">
        <f t="shared" si="1014"/>
        <v>0</v>
      </c>
      <c r="CR127" s="24">
        <f t="shared" si="1014"/>
        <v>0</v>
      </c>
      <c r="CS127" s="24">
        <f t="shared" si="1014"/>
        <v>0</v>
      </c>
      <c r="CT127" s="24">
        <f t="shared" si="1014"/>
        <v>0</v>
      </c>
      <c r="CU127" s="24">
        <f t="shared" si="1014"/>
        <v>0</v>
      </c>
      <c r="CV127" s="24">
        <f t="shared" si="1014"/>
        <v>0</v>
      </c>
      <c r="CW127" s="24">
        <f t="shared" si="1014"/>
        <v>0</v>
      </c>
      <c r="CX127" s="24">
        <f t="shared" si="1014"/>
        <v>0</v>
      </c>
      <c r="CY127" s="24">
        <f t="shared" si="1014"/>
        <v>0</v>
      </c>
      <c r="CZ127" s="24">
        <f t="shared" si="1014"/>
        <v>0</v>
      </c>
      <c r="DA127" s="24">
        <f t="shared" si="1014"/>
        <v>0</v>
      </c>
      <c r="DB127" s="24">
        <f t="shared" si="1014"/>
        <v>0</v>
      </c>
      <c r="DE127" s="123"/>
      <c r="DF127" s="23">
        <v>0</v>
      </c>
    </row>
    <row r="128" spans="1:110" s="23" customFormat="1" outlineLevel="1" x14ac:dyDescent="0.2">
      <c r="A128" s="23" t="s">
        <v>43</v>
      </c>
      <c r="B128" s="23">
        <f>'Annual Raw'!C43</f>
        <v>0</v>
      </c>
      <c r="C128" s="23">
        <f>'Annual Raw'!D43</f>
        <v>0</v>
      </c>
      <c r="D128" s="23">
        <f>'Annual Raw'!E43</f>
        <v>0</v>
      </c>
      <c r="E128" s="23">
        <f>'Annual Raw'!F43</f>
        <v>10.64</v>
      </c>
      <c r="F128" s="23">
        <f>'Annual Raw'!G43</f>
        <v>3429.53</v>
      </c>
      <c r="G128" s="23">
        <f>'Annual Raw'!H43</f>
        <v>5949.88</v>
      </c>
      <c r="H128" s="23">
        <f>'Annual Raw'!I43</f>
        <v>8752.24</v>
      </c>
      <c r="I128" s="23">
        <f>'Annual Raw'!J43</f>
        <v>12102.26</v>
      </c>
      <c r="J128" s="23">
        <f>'Annual Raw'!K43</f>
        <v>15502.15</v>
      </c>
      <c r="K128" s="23">
        <f>'Annual Raw'!L43</f>
        <v>18171</v>
      </c>
      <c r="L128" s="23">
        <f>'Annual Raw'!M43</f>
        <v>24209.09</v>
      </c>
      <c r="M128" s="23">
        <f>'Annual Raw'!N43</f>
        <v>29283.51</v>
      </c>
      <c r="N128" s="23">
        <f>'Annual Raw'!O43</f>
        <v>38350.01</v>
      </c>
      <c r="O128" s="23">
        <f>'Annual Raw'!P43</f>
        <v>48998.89</v>
      </c>
      <c r="P128" s="23">
        <f>'Annual Raw'!Q43</f>
        <v>50438.89</v>
      </c>
      <c r="Q128" s="23">
        <f>'Annual Raw'!R43</f>
        <v>70875</v>
      </c>
      <c r="R128" s="23">
        <f>'Annual Raw'!S43</f>
        <v>86017</v>
      </c>
      <c r="S128" s="23">
        <f>'Annual Raw'!T43</f>
        <v>84937</v>
      </c>
      <c r="T128" s="23">
        <f>'Annual Raw'!U43</f>
        <v>89071</v>
      </c>
      <c r="U128" s="23">
        <f>'Annual Raw'!V43</f>
        <v>83751</v>
      </c>
      <c r="V128" s="23">
        <f>'Annual Raw'!W43</f>
        <v>86063</v>
      </c>
      <c r="W128" s="23">
        <f>'Annual Raw'!X43</f>
        <v>88773</v>
      </c>
      <c r="X128" s="23">
        <f>'Annual Raw'!Y43</f>
        <v>90058</v>
      </c>
      <c r="Y128" s="23">
        <f>'Annual Raw'!Z43</f>
        <v>90127</v>
      </c>
      <c r="Z128" s="23">
        <f>'Annual Raw'!AA43</f>
        <v>94394</v>
      </c>
      <c r="AA128" s="23">
        <f>'Annual Raw'!AB43</f>
        <v>106878</v>
      </c>
      <c r="AB128" s="24">
        <f t="shared" si="1008"/>
        <v>163932.39923112054</v>
      </c>
      <c r="AC128" s="24">
        <f t="shared" si="1009"/>
        <v>226201.9213062833</v>
      </c>
      <c r="AD128" s="24">
        <f t="shared" si="1010"/>
        <v>293640.55556441867</v>
      </c>
      <c r="AE128" s="24">
        <f t="shared" si="1011"/>
        <v>366378.18796256132</v>
      </c>
      <c r="AJ128" s="23">
        <f>+'QTR Raw'!D58</f>
        <v>34880.629999999997</v>
      </c>
      <c r="AK128" s="23">
        <f>+AJ128+AK57</f>
        <v>38430.25</v>
      </c>
      <c r="AL128" s="23">
        <f>+'QTR Raw'!F58</f>
        <v>38350.01</v>
      </c>
      <c r="AM128" s="23">
        <f>+AL128+AM57</f>
        <v>42189.51</v>
      </c>
      <c r="AN128" s="23">
        <f>+'QTR Raw'!H58</f>
        <v>43794.5</v>
      </c>
      <c r="AO128" s="23">
        <f>+AN128+AO57</f>
        <v>49127.93</v>
      </c>
      <c r="AP128" s="23">
        <f>+'QTR Raw'!J58</f>
        <v>48998.89</v>
      </c>
      <c r="AQ128" s="23">
        <f>+AP128+AQ57</f>
        <v>54566.57</v>
      </c>
      <c r="AR128" s="23">
        <f>+'QTR Raw'!L58</f>
        <v>48265.84</v>
      </c>
      <c r="AS128" s="23">
        <f>+AR128+AS57</f>
        <v>53593.39</v>
      </c>
      <c r="AT128" s="23">
        <f>+'QTR Raw'!N58</f>
        <v>50438.89</v>
      </c>
      <c r="AU128" s="23">
        <f>+AT128+AU57</f>
        <v>56185.89</v>
      </c>
      <c r="AV128" s="23">
        <f>+'QTR Raw'!P58</f>
        <v>60109.97</v>
      </c>
      <c r="AW128" s="23">
        <f>+AV128+AW57</f>
        <v>66219.97</v>
      </c>
      <c r="AX128" s="23">
        <f>+'QTR Raw'!R58</f>
        <v>70875</v>
      </c>
      <c r="AY128" s="23">
        <f>+AX128+AY57</f>
        <v>77192</v>
      </c>
      <c r="AZ128" s="23">
        <f>+'QTR Raw'!T58</f>
        <v>76190</v>
      </c>
      <c r="BA128" s="23">
        <f>+AZ128+BA57</f>
        <v>82968</v>
      </c>
      <c r="BB128" s="23">
        <f>+'QTR Raw'!V58</f>
        <v>86017</v>
      </c>
      <c r="BC128" s="23">
        <f>+BB128+BC57</f>
        <v>91962</v>
      </c>
      <c r="BD128" s="23">
        <f>+'QTR Raw'!X58</f>
        <v>74863</v>
      </c>
      <c r="BE128" s="23">
        <f>+BD128+BE57</f>
        <v>81394</v>
      </c>
      <c r="BF128" s="23">
        <f>+'QTR Raw'!Z58</f>
        <v>84937</v>
      </c>
      <c r="BG128" s="23">
        <f>+BF128+BG57</f>
        <v>92277</v>
      </c>
      <c r="BH128" s="23">
        <f>+'QTR Raw'!AB58</f>
        <v>75773</v>
      </c>
      <c r="BI128" s="23">
        <f>+BH128+BI57</f>
        <v>83878</v>
      </c>
      <c r="BJ128" s="23">
        <f>+'QTR Raw'!AD58</f>
        <v>89071</v>
      </c>
      <c r="BK128" s="23">
        <f>+BJ128+BK57</f>
        <v>97202</v>
      </c>
      <c r="BL128" s="23">
        <f>+'QTR Raw'!AF58</f>
        <v>94657</v>
      </c>
      <c r="BM128" s="23">
        <f>+BL128+BM57</f>
        <v>102775</v>
      </c>
      <c r="BN128" s="23">
        <f>+'QTR Raw'!AH58</f>
        <v>83751</v>
      </c>
      <c r="BO128" s="23">
        <f>+BN128+BO57</f>
        <v>90759</v>
      </c>
      <c r="BP128" s="23">
        <f>+'QTR Raw'!AJ58</f>
        <v>94762</v>
      </c>
      <c r="BQ128" s="23">
        <f>+BP128+BQ57</f>
        <v>103463</v>
      </c>
      <c r="BR128" s="23">
        <f>+'QTR Raw'!AL58</f>
        <v>86063</v>
      </c>
      <c r="BS128" s="23">
        <f>+BR128+BS57</f>
        <v>95071</v>
      </c>
      <c r="BT128" s="23">
        <f>+'QTR Raw'!AN58</f>
        <v>96587</v>
      </c>
      <c r="BU128" s="23">
        <f>+BT128+BU57</f>
        <v>106356</v>
      </c>
      <c r="BV128" s="23">
        <f>+'QTR Raw'!AP58</f>
        <v>88773</v>
      </c>
      <c r="BW128" s="23">
        <f>+BV128+BW57</f>
        <v>98251</v>
      </c>
      <c r="BX128" s="23">
        <f>+'QTR Raw'!AR58</f>
        <v>97088</v>
      </c>
      <c r="BY128" s="23">
        <f>+BX128+BY57</f>
        <v>107934</v>
      </c>
      <c r="BZ128" s="23">
        <f>+'QTR Raw'!AT58</f>
        <v>90058</v>
      </c>
      <c r="CA128" s="23">
        <f>+BZ128+CA57</f>
        <v>101132</v>
      </c>
      <c r="CB128" s="23">
        <f>+'QTR Raw'!AV58</f>
        <v>100315</v>
      </c>
      <c r="CC128" s="23">
        <f>+CB128+CC57</f>
        <v>111373</v>
      </c>
      <c r="CD128" s="23">
        <f>+'QTR Raw'!AX58</f>
        <v>90127</v>
      </c>
      <c r="CE128" s="23">
        <f>+CD128+CE57</f>
        <v>102167</v>
      </c>
      <c r="CF128" s="23">
        <f>+'QTR Raw'!AZ58</f>
        <v>101133</v>
      </c>
      <c r="CG128" s="23">
        <f>+CF128+CG57</f>
        <v>113513</v>
      </c>
      <c r="CH128" s="23">
        <f t="shared" si="1013"/>
        <v>94394</v>
      </c>
      <c r="CI128" s="23">
        <f>CH128+CI57</f>
        <v>107154</v>
      </c>
      <c r="CJ128" s="23">
        <f>+'QTR Raw'!BD58</f>
        <v>106053</v>
      </c>
      <c r="CK128" s="23">
        <f>CJ128+CK57</f>
        <v>116710</v>
      </c>
      <c r="CL128" s="23">
        <f>+'QTR Raw'!BF58</f>
        <v>106878</v>
      </c>
      <c r="CM128" s="24">
        <f t="shared" ref="CM128:DB128" si="1015">CL128+CM57</f>
        <v>120569.56372456517</v>
      </c>
      <c r="CN128" s="24">
        <f t="shared" si="1015"/>
        <v>134741.06320943555</v>
      </c>
      <c r="CO128" s="24">
        <f t="shared" si="1015"/>
        <v>149250.07369606034</v>
      </c>
      <c r="CP128" s="24">
        <f t="shared" si="1015"/>
        <v>163932.39923112054</v>
      </c>
      <c r="CQ128" s="24">
        <f t="shared" si="1015"/>
        <v>179013.72121258051</v>
      </c>
      <c r="CR128" s="24">
        <f t="shared" si="1015"/>
        <v>194437.01649327064</v>
      </c>
      <c r="CS128" s="24">
        <f t="shared" si="1015"/>
        <v>210168.38766357803</v>
      </c>
      <c r="CT128" s="24">
        <f t="shared" si="1015"/>
        <v>226201.9213062833</v>
      </c>
      <c r="CU128" s="24">
        <f t="shared" si="1015"/>
        <v>242575.32736556453</v>
      </c>
      <c r="CV128" s="24">
        <f t="shared" si="1015"/>
        <v>259273.71248265629</v>
      </c>
      <c r="CW128" s="24">
        <f t="shared" si="1015"/>
        <v>276293.83330262784</v>
      </c>
      <c r="CX128" s="24">
        <f t="shared" si="1015"/>
        <v>293640.55556441867</v>
      </c>
      <c r="CY128" s="24">
        <f t="shared" si="1015"/>
        <v>311321.51777285448</v>
      </c>
      <c r="CZ128" s="24">
        <f t="shared" si="1015"/>
        <v>329335.89973090059</v>
      </c>
      <c r="DA128" s="24">
        <f t="shared" si="1015"/>
        <v>347686.63092124136</v>
      </c>
      <c r="DB128" s="24">
        <f t="shared" si="1015"/>
        <v>366378.18796256132</v>
      </c>
      <c r="DE128" s="123"/>
      <c r="DF128" s="23">
        <v>128574.39051392434</v>
      </c>
    </row>
    <row r="129" spans="1:110" s="22" customFormat="1" x14ac:dyDescent="0.2">
      <c r="A129" s="22" t="s">
        <v>44</v>
      </c>
      <c r="B129" s="22">
        <f>B126+B127+B128</f>
        <v>0</v>
      </c>
      <c r="C129" s="22">
        <f t="shared" ref="C129:V129" si="1016">C126+C127+C128</f>
        <v>0</v>
      </c>
      <c r="D129" s="22">
        <f t="shared" si="1016"/>
        <v>0</v>
      </c>
      <c r="E129" s="22">
        <f t="shared" si="1016"/>
        <v>47.08</v>
      </c>
      <c r="F129" s="22">
        <f t="shared" si="1016"/>
        <v>3477.5400000000004</v>
      </c>
      <c r="G129" s="22">
        <f t="shared" si="1016"/>
        <v>5998.81</v>
      </c>
      <c r="H129" s="22">
        <f t="shared" si="1016"/>
        <v>8850.1</v>
      </c>
      <c r="I129" s="22">
        <f t="shared" si="1016"/>
        <v>12300.12</v>
      </c>
      <c r="J129" s="22">
        <f t="shared" si="1016"/>
        <v>15700.01</v>
      </c>
      <c r="K129" s="22">
        <f t="shared" si="1016"/>
        <v>18466.72</v>
      </c>
      <c r="L129" s="22">
        <f t="shared" si="1016"/>
        <v>24504.81</v>
      </c>
      <c r="M129" s="22">
        <f>M126+M127+M128</f>
        <v>29579.23</v>
      </c>
      <c r="N129" s="22">
        <f t="shared" si="1016"/>
        <v>38645.730000000003</v>
      </c>
      <c r="O129" s="22">
        <f t="shared" si="1016"/>
        <v>49194.76</v>
      </c>
      <c r="P129" s="22">
        <f t="shared" si="1016"/>
        <v>50634.76</v>
      </c>
      <c r="Q129" s="22">
        <f t="shared" si="1016"/>
        <v>71072</v>
      </c>
      <c r="R129" s="22">
        <f t="shared" si="1016"/>
        <v>86214</v>
      </c>
      <c r="S129" s="22">
        <f t="shared" si="1016"/>
        <v>85128</v>
      </c>
      <c r="T129" s="22">
        <f t="shared" si="1016"/>
        <v>89446</v>
      </c>
      <c r="U129" s="22">
        <f t="shared" si="1016"/>
        <v>84126</v>
      </c>
      <c r="V129" s="22">
        <f t="shared" si="1016"/>
        <v>86433</v>
      </c>
      <c r="W129" s="22">
        <f t="shared" ref="W129" si="1017">W126+W127+W128</f>
        <v>89139</v>
      </c>
      <c r="X129" s="22">
        <f t="shared" ref="X129:Y129" si="1018">X126+X127+X128</f>
        <v>90424</v>
      </c>
      <c r="Y129" s="22">
        <f t="shared" si="1018"/>
        <v>90489</v>
      </c>
      <c r="Z129" s="22">
        <f t="shared" ref="Z129:AA129" si="1019">Z126+Z127+Z128</f>
        <v>94756</v>
      </c>
      <c r="AA129" s="22">
        <f t="shared" si="1019"/>
        <v>107240</v>
      </c>
      <c r="AB129" s="21">
        <f t="shared" ref="AA129:AD129" si="1020">AB126+AB127+AB128</f>
        <v>164294.39923112054</v>
      </c>
      <c r="AC129" s="21">
        <f t="shared" si="1020"/>
        <v>226563.9213062833</v>
      </c>
      <c r="AD129" s="21">
        <f t="shared" si="1020"/>
        <v>294002.55556441867</v>
      </c>
      <c r="AE129" s="21">
        <f t="shared" ref="AE129" si="1021">AE126+AE127+AE128</f>
        <v>366740.18796256132</v>
      </c>
      <c r="AJ129" s="22">
        <f t="shared" ref="AJ129" si="1022">AJ126+AJ127+AJ128</f>
        <v>35176.35</v>
      </c>
      <c r="AK129" s="22">
        <f t="shared" ref="AK129" si="1023">AK126+AK127+AK128</f>
        <v>38725.97</v>
      </c>
      <c r="AL129" s="22">
        <f t="shared" ref="AL129:AM129" si="1024">AL126+AL127+AL128</f>
        <v>38645.730000000003</v>
      </c>
      <c r="AM129" s="22">
        <f t="shared" si="1024"/>
        <v>42485.23</v>
      </c>
      <c r="AN129" s="22">
        <f t="shared" ref="AN129:AO129" si="1025">AN126+AN127+AN128</f>
        <v>44090.37</v>
      </c>
      <c r="AO129" s="22">
        <f t="shared" si="1025"/>
        <v>49423.8</v>
      </c>
      <c r="AP129" s="22">
        <f t="shared" ref="AP129:CE129" si="1026">AP126+AP127+AP128</f>
        <v>49194.76</v>
      </c>
      <c r="AQ129" s="22">
        <f t="shared" si="1026"/>
        <v>54762.44</v>
      </c>
      <c r="AR129" s="22">
        <f t="shared" si="1026"/>
        <v>48461.71</v>
      </c>
      <c r="AS129" s="22">
        <f t="shared" si="1026"/>
        <v>53789.26</v>
      </c>
      <c r="AT129" s="22">
        <f t="shared" si="1026"/>
        <v>50634.76</v>
      </c>
      <c r="AU129" s="22">
        <f t="shared" si="1026"/>
        <v>56381.760000000002</v>
      </c>
      <c r="AV129" s="22">
        <f t="shared" si="1026"/>
        <v>60307.01</v>
      </c>
      <c r="AW129" s="22">
        <f t="shared" si="1026"/>
        <v>66417.009999999995</v>
      </c>
      <c r="AX129" s="22">
        <f t="shared" si="1026"/>
        <v>71072</v>
      </c>
      <c r="AY129" s="22">
        <f t="shared" si="1026"/>
        <v>77389</v>
      </c>
      <c r="AZ129" s="22">
        <f t="shared" si="1026"/>
        <v>76387</v>
      </c>
      <c r="BA129" s="22">
        <f t="shared" si="1026"/>
        <v>83165</v>
      </c>
      <c r="BB129" s="22">
        <f t="shared" si="1026"/>
        <v>86214</v>
      </c>
      <c r="BC129" s="22">
        <f t="shared" si="1026"/>
        <v>92159</v>
      </c>
      <c r="BD129" s="22">
        <f t="shared" si="1026"/>
        <v>75054</v>
      </c>
      <c r="BE129" s="22">
        <f t="shared" si="1026"/>
        <v>81585</v>
      </c>
      <c r="BF129" s="22">
        <f t="shared" si="1026"/>
        <v>85128</v>
      </c>
      <c r="BG129" s="22">
        <f t="shared" si="1026"/>
        <v>92468</v>
      </c>
      <c r="BH129" s="22">
        <f t="shared" si="1026"/>
        <v>76148</v>
      </c>
      <c r="BI129" s="22">
        <f t="shared" si="1026"/>
        <v>84253</v>
      </c>
      <c r="BJ129" s="22">
        <f t="shared" si="1026"/>
        <v>89446</v>
      </c>
      <c r="BK129" s="22">
        <f t="shared" si="1026"/>
        <v>97577</v>
      </c>
      <c r="BL129" s="22">
        <f t="shared" si="1026"/>
        <v>95032</v>
      </c>
      <c r="BM129" s="22">
        <f t="shared" si="1026"/>
        <v>103150</v>
      </c>
      <c r="BN129" s="22">
        <f t="shared" si="1026"/>
        <v>84126</v>
      </c>
      <c r="BO129" s="22">
        <f t="shared" si="1026"/>
        <v>91134</v>
      </c>
      <c r="BP129" s="22">
        <f t="shared" si="1026"/>
        <v>95137</v>
      </c>
      <c r="BQ129" s="22">
        <f t="shared" si="1026"/>
        <v>103838</v>
      </c>
      <c r="BR129" s="22">
        <f t="shared" si="1026"/>
        <v>86433</v>
      </c>
      <c r="BS129" s="22">
        <f t="shared" si="1026"/>
        <v>95441</v>
      </c>
      <c r="BT129" s="22">
        <f t="shared" si="1026"/>
        <v>96957</v>
      </c>
      <c r="BU129" s="22">
        <f t="shared" si="1026"/>
        <v>106726</v>
      </c>
      <c r="BV129" s="22">
        <f t="shared" si="1026"/>
        <v>89139</v>
      </c>
      <c r="BW129" s="22">
        <f t="shared" si="1026"/>
        <v>98617</v>
      </c>
      <c r="BX129" s="22">
        <f t="shared" si="1026"/>
        <v>97454</v>
      </c>
      <c r="BY129" s="22">
        <f t="shared" si="1026"/>
        <v>108300</v>
      </c>
      <c r="BZ129" s="22">
        <f t="shared" si="1026"/>
        <v>90424</v>
      </c>
      <c r="CA129" s="22">
        <f t="shared" si="1026"/>
        <v>101498</v>
      </c>
      <c r="CB129" s="22">
        <f t="shared" si="1026"/>
        <v>100681</v>
      </c>
      <c r="CC129" s="22">
        <f t="shared" si="1026"/>
        <v>111739</v>
      </c>
      <c r="CD129" s="22">
        <f t="shared" si="1026"/>
        <v>90489</v>
      </c>
      <c r="CE129" s="22">
        <f t="shared" si="1026"/>
        <v>102529</v>
      </c>
      <c r="CF129" s="22">
        <f t="shared" ref="CF129:CG129" si="1027">CF126+CF127+CF128</f>
        <v>101495</v>
      </c>
      <c r="CG129" s="22">
        <f t="shared" si="1027"/>
        <v>113875</v>
      </c>
      <c r="CH129" s="22">
        <f t="shared" ref="CH129:CI129" si="1028">CH126+CH127+CH128</f>
        <v>94756</v>
      </c>
      <c r="CI129" s="22">
        <f t="shared" si="1028"/>
        <v>107516</v>
      </c>
      <c r="CJ129" s="22">
        <f t="shared" ref="CJ129:DB129" si="1029">CJ126+CJ127+CJ128</f>
        <v>106415</v>
      </c>
      <c r="CK129" s="22">
        <f t="shared" si="1029"/>
        <v>117072</v>
      </c>
      <c r="CL129" s="22">
        <f t="shared" ref="CL129" si="1030">CL126+CL127+CL128</f>
        <v>107240</v>
      </c>
      <c r="CM129" s="21">
        <f t="shared" si="1029"/>
        <v>120931.56372456517</v>
      </c>
      <c r="CN129" s="21">
        <f t="shared" si="1029"/>
        <v>135103.06320943555</v>
      </c>
      <c r="CO129" s="21">
        <f t="shared" si="1029"/>
        <v>149612.07369606034</v>
      </c>
      <c r="CP129" s="21">
        <f t="shared" si="1029"/>
        <v>164294.39923112054</v>
      </c>
      <c r="CQ129" s="21">
        <f t="shared" si="1029"/>
        <v>179375.72121258051</v>
      </c>
      <c r="CR129" s="21">
        <f t="shared" si="1029"/>
        <v>194799.01649327064</v>
      </c>
      <c r="CS129" s="21">
        <f t="shared" si="1029"/>
        <v>210530.38766357803</v>
      </c>
      <c r="CT129" s="21">
        <f t="shared" si="1029"/>
        <v>226563.9213062833</v>
      </c>
      <c r="CU129" s="21">
        <f t="shared" si="1029"/>
        <v>242937.32736556453</v>
      </c>
      <c r="CV129" s="21">
        <f t="shared" si="1029"/>
        <v>259635.71248265629</v>
      </c>
      <c r="CW129" s="21">
        <f t="shared" si="1029"/>
        <v>276655.83330262784</v>
      </c>
      <c r="CX129" s="21">
        <f t="shared" si="1029"/>
        <v>294002.55556441867</v>
      </c>
      <c r="CY129" s="21">
        <f t="shared" si="1029"/>
        <v>311683.51777285448</v>
      </c>
      <c r="CZ129" s="21">
        <f t="shared" si="1029"/>
        <v>329697.89973090059</v>
      </c>
      <c r="DA129" s="21">
        <f t="shared" si="1029"/>
        <v>348048.63092124136</v>
      </c>
      <c r="DB129" s="21">
        <f t="shared" si="1029"/>
        <v>366740.18796256132</v>
      </c>
      <c r="DE129" s="126"/>
      <c r="DF129" s="22">
        <v>128936.39051392434</v>
      </c>
    </row>
    <row r="130" spans="1:110" s="22" customFormat="1" x14ac:dyDescent="0.2">
      <c r="AB130" s="21"/>
      <c r="AC130" s="21"/>
      <c r="AD130" s="21"/>
      <c r="AE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E130" s="126"/>
    </row>
    <row r="131" spans="1:110" s="23" customFormat="1" x14ac:dyDescent="0.2">
      <c r="A131" s="23" t="s">
        <v>23</v>
      </c>
      <c r="B131" s="23">
        <f>'Annual Raw'!C45</f>
        <v>0</v>
      </c>
      <c r="C131" s="23">
        <f>'Annual Raw'!D45</f>
        <v>0</v>
      </c>
      <c r="D131" s="23">
        <f>'Annual Raw'!E45</f>
        <v>0</v>
      </c>
      <c r="E131" s="23">
        <f>'Annual Raw'!F45</f>
        <v>80.069999999999993</v>
      </c>
      <c r="F131" s="23">
        <f>'Annual Raw'!G45</f>
        <v>89.74</v>
      </c>
      <c r="G131" s="23">
        <f>'Annual Raw'!H45</f>
        <v>164.72</v>
      </c>
      <c r="H131" s="23">
        <f>'Annual Raw'!I45</f>
        <v>211.8</v>
      </c>
      <c r="I131" s="23">
        <f>'Annual Raw'!J45</f>
        <v>212.73</v>
      </c>
      <c r="J131" s="23">
        <f>'Annual Raw'!K45</f>
        <v>277.16000000000003</v>
      </c>
      <c r="K131" s="23">
        <f>'Annual Raw'!L45</f>
        <v>361.71</v>
      </c>
      <c r="L131" s="23">
        <f>'Annual Raw'!M45</f>
        <v>458.17</v>
      </c>
      <c r="M131" s="23">
        <f>'Annual Raw'!N45</f>
        <v>558.77</v>
      </c>
      <c r="N131" s="23">
        <f>'Annual Raw'!O45</f>
        <v>695.31</v>
      </c>
      <c r="O131" s="23">
        <f>'Annual Raw'!P45</f>
        <v>707.99</v>
      </c>
      <c r="P131" s="23">
        <f>'Annual Raw'!Q45</f>
        <v>1127.76</v>
      </c>
      <c r="Q131" s="23">
        <f>'Annual Raw'!R45</f>
        <v>355</v>
      </c>
      <c r="R131" s="23">
        <f>'Annual Raw'!S45</f>
        <v>366</v>
      </c>
      <c r="S131" s="23">
        <f>'Annual Raw'!T45</f>
        <v>402</v>
      </c>
      <c r="T131" s="23">
        <f>'Annual Raw'!U45</f>
        <v>453</v>
      </c>
      <c r="U131" s="23">
        <f>'Annual Raw'!V45</f>
        <v>623</v>
      </c>
      <c r="V131" s="23">
        <f>'Annual Raw'!W45</f>
        <v>675</v>
      </c>
      <c r="W131" s="23">
        <f>'Annual Raw'!X45</f>
        <v>707</v>
      </c>
      <c r="X131" s="23">
        <f>'Annual Raw'!Y45</f>
        <v>782</v>
      </c>
      <c r="Y131" s="23">
        <f>'Annual Raw'!Z45</f>
        <v>830</v>
      </c>
      <c r="Z131" s="23">
        <f>'Annual Raw'!AA45</f>
        <v>1015</v>
      </c>
      <c r="AA131" s="23">
        <f>'Annual Raw'!AB45</f>
        <v>1238</v>
      </c>
      <c r="AB131" s="24">
        <f>+CP131</f>
        <v>1238</v>
      </c>
      <c r="AC131" s="24">
        <f>+CT131</f>
        <v>1238</v>
      </c>
      <c r="AD131" s="24">
        <f>+CX131</f>
        <v>1238</v>
      </c>
      <c r="AE131" s="24">
        <f>+DB131</f>
        <v>1238</v>
      </c>
      <c r="AJ131" s="23">
        <f>+'QTR Raw'!D60</f>
        <v>616.35</v>
      </c>
      <c r="AK131" s="23">
        <f t="shared" ref="AK131:CE131" si="1031">+AJ131</f>
        <v>616.35</v>
      </c>
      <c r="AL131" s="23">
        <f>+'QTR Raw'!F60</f>
        <v>695.31</v>
      </c>
      <c r="AM131" s="23">
        <f t="shared" si="1031"/>
        <v>695.31</v>
      </c>
      <c r="AN131" s="23">
        <f>+'QTR Raw'!H60</f>
        <v>629.96</v>
      </c>
      <c r="AO131" s="23">
        <f t="shared" si="1031"/>
        <v>629.96</v>
      </c>
      <c r="AP131" s="23">
        <f>+'QTR Raw'!J60</f>
        <v>707.99</v>
      </c>
      <c r="AQ131" s="23">
        <f t="shared" si="1031"/>
        <v>707.99</v>
      </c>
      <c r="AR131" s="23">
        <f>+'QTR Raw'!L60</f>
        <v>1079.32</v>
      </c>
      <c r="AS131" s="23">
        <f t="shared" si="1031"/>
        <v>1079.32</v>
      </c>
      <c r="AT131" s="23">
        <f>+'QTR Raw'!N60</f>
        <v>1127.76</v>
      </c>
      <c r="AU131" s="23">
        <f t="shared" si="1031"/>
        <v>1127.76</v>
      </c>
      <c r="AV131" s="23">
        <f>+'QTR Raw'!P60</f>
        <v>455.67</v>
      </c>
      <c r="AW131" s="23">
        <f t="shared" si="1031"/>
        <v>455.67</v>
      </c>
      <c r="AX131" s="23">
        <f>+'QTR Raw'!R60</f>
        <v>355</v>
      </c>
      <c r="AY131" s="23">
        <f t="shared" si="1031"/>
        <v>355</v>
      </c>
      <c r="AZ131" s="23">
        <f>+'QTR Raw'!T60</f>
        <v>356</v>
      </c>
      <c r="BA131" s="23">
        <f t="shared" si="1031"/>
        <v>356</v>
      </c>
      <c r="BB131" s="23">
        <f>+'QTR Raw'!V60</f>
        <v>366</v>
      </c>
      <c r="BC131" s="23">
        <f t="shared" si="1031"/>
        <v>366</v>
      </c>
      <c r="BD131" s="23">
        <f>+'QTR Raw'!X60</f>
        <v>358</v>
      </c>
      <c r="BE131" s="23">
        <f t="shared" si="1031"/>
        <v>358</v>
      </c>
      <c r="BF131" s="23">
        <f>+'QTR Raw'!Z60</f>
        <v>402</v>
      </c>
      <c r="BG131" s="23">
        <f t="shared" si="1031"/>
        <v>402</v>
      </c>
      <c r="BH131" s="22">
        <f>+'QTR Raw'!AB60</f>
        <v>421</v>
      </c>
      <c r="BI131" s="23">
        <f t="shared" si="1031"/>
        <v>421</v>
      </c>
      <c r="BJ131" s="23">
        <f>+'QTR Raw'!AD60</f>
        <v>453</v>
      </c>
      <c r="BK131" s="23">
        <f t="shared" si="1031"/>
        <v>453</v>
      </c>
      <c r="BL131" s="23">
        <f>+'QTR Raw'!AF60</f>
        <v>527</v>
      </c>
      <c r="BM131" s="23">
        <f t="shared" si="1031"/>
        <v>527</v>
      </c>
      <c r="BN131" s="23">
        <f>+'QTR Raw'!AH60</f>
        <v>623</v>
      </c>
      <c r="BO131" s="23">
        <f t="shared" si="1031"/>
        <v>623</v>
      </c>
      <c r="BP131" s="23">
        <f>+'QTR Raw'!AJ60</f>
        <v>638</v>
      </c>
      <c r="BQ131" s="23">
        <f t="shared" si="1031"/>
        <v>638</v>
      </c>
      <c r="BR131" s="23">
        <f>+'QTR Raw'!AL60</f>
        <v>675</v>
      </c>
      <c r="BS131" s="23">
        <f t="shared" si="1031"/>
        <v>675</v>
      </c>
      <c r="BT131" s="23">
        <f>+'QTR Raw'!AN60</f>
        <v>669</v>
      </c>
      <c r="BU131" s="23">
        <f t="shared" si="1031"/>
        <v>669</v>
      </c>
      <c r="BV131" s="23">
        <f>+'QTR Raw'!AP60</f>
        <v>707</v>
      </c>
      <c r="BW131" s="23">
        <f t="shared" si="1031"/>
        <v>707</v>
      </c>
      <c r="BX131" s="23">
        <f>+'QTR Raw'!AR60</f>
        <v>658</v>
      </c>
      <c r="BY131" s="23">
        <f t="shared" si="1031"/>
        <v>658</v>
      </c>
      <c r="BZ131" s="23">
        <f>+'QTR Raw'!AT60</f>
        <v>782</v>
      </c>
      <c r="CA131" s="23">
        <f t="shared" si="1031"/>
        <v>782</v>
      </c>
      <c r="CB131" s="23">
        <f>+'QTR Raw'!AV60</f>
        <v>731</v>
      </c>
      <c r="CC131" s="23">
        <f t="shared" si="1031"/>
        <v>731</v>
      </c>
      <c r="CD131" s="23">
        <f>+'QTR Raw'!AX60</f>
        <v>830</v>
      </c>
      <c r="CE131" s="23">
        <f t="shared" si="1031"/>
        <v>830</v>
      </c>
      <c r="CF131" s="23">
        <f>+'QTR Raw'!AZ60</f>
        <v>888</v>
      </c>
      <c r="CG131" s="23">
        <f t="shared" ref="CG131:CK131" si="1032">+CF131</f>
        <v>888</v>
      </c>
      <c r="CH131" s="23">
        <f t="shared" ref="CH131:CH136" si="1033">Z131</f>
        <v>1015</v>
      </c>
      <c r="CI131" s="23">
        <f t="shared" si="1032"/>
        <v>1015</v>
      </c>
      <c r="CJ131" s="23">
        <f>+'QTR Raw'!BD60</f>
        <v>1046</v>
      </c>
      <c r="CK131" s="23">
        <f t="shared" si="1032"/>
        <v>1046</v>
      </c>
      <c r="CL131" s="23">
        <f>+'QTR Raw'!BF60</f>
        <v>1238</v>
      </c>
      <c r="CM131" s="24">
        <f t="shared" ref="CM131" si="1034">+CL131</f>
        <v>1238</v>
      </c>
      <c r="CN131" s="24">
        <f t="shared" ref="CN131" si="1035">+CM131</f>
        <v>1238</v>
      </c>
      <c r="CO131" s="24">
        <f t="shared" ref="CO131" si="1036">+CN131</f>
        <v>1238</v>
      </c>
      <c r="CP131" s="24">
        <f t="shared" ref="CP131" si="1037">+CO131</f>
        <v>1238</v>
      </c>
      <c r="CQ131" s="24">
        <f t="shared" ref="CQ131" si="1038">+CP131</f>
        <v>1238</v>
      </c>
      <c r="CR131" s="24">
        <f t="shared" ref="CR131" si="1039">+CQ131</f>
        <v>1238</v>
      </c>
      <c r="CS131" s="24">
        <f t="shared" ref="CS131" si="1040">+CR131</f>
        <v>1238</v>
      </c>
      <c r="CT131" s="24">
        <f t="shared" ref="CT131" si="1041">+CS131</f>
        <v>1238</v>
      </c>
      <c r="CU131" s="24">
        <f t="shared" ref="CU131" si="1042">+CT131</f>
        <v>1238</v>
      </c>
      <c r="CV131" s="24">
        <f t="shared" ref="CV131" si="1043">+CU131</f>
        <v>1238</v>
      </c>
      <c r="CW131" s="24">
        <f t="shared" ref="CW131" si="1044">+CV131</f>
        <v>1238</v>
      </c>
      <c r="CX131" s="24">
        <f t="shared" ref="CX131" si="1045">+CW131</f>
        <v>1238</v>
      </c>
      <c r="CY131" s="24">
        <f t="shared" ref="CY131" si="1046">+CX131</f>
        <v>1238</v>
      </c>
      <c r="CZ131" s="24">
        <f t="shared" ref="CZ131" si="1047">+CY131</f>
        <v>1238</v>
      </c>
      <c r="DA131" s="24">
        <f t="shared" ref="DA131" si="1048">+CZ131</f>
        <v>1238</v>
      </c>
      <c r="DB131" s="24">
        <f t="shared" ref="DB131" si="1049">+DA131</f>
        <v>1238</v>
      </c>
      <c r="DE131" s="123"/>
      <c r="DF131" s="23">
        <v>0</v>
      </c>
    </row>
    <row r="132" spans="1:110" s="23" customFormat="1" x14ac:dyDescent="0.2">
      <c r="AB132" s="24"/>
      <c r="AC132" s="24"/>
      <c r="AD132" s="24"/>
      <c r="AE132" s="24"/>
      <c r="BH132" s="22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  <c r="DE132" s="123"/>
    </row>
    <row r="133" spans="1:110" s="23" customFormat="1" outlineLevel="1" x14ac:dyDescent="0.2">
      <c r="A133" s="23" t="s">
        <v>45</v>
      </c>
      <c r="B133" s="23">
        <f>'Annual Raw'!C47</f>
        <v>0</v>
      </c>
      <c r="C133" s="23">
        <f>'Annual Raw'!D47</f>
        <v>0</v>
      </c>
      <c r="D133" s="23">
        <f>'Annual Raw'!E47</f>
        <v>0</v>
      </c>
      <c r="E133" s="23">
        <f>'Annual Raw'!F47</f>
        <v>17.420000000000002</v>
      </c>
      <c r="F133" s="23">
        <f>'Annual Raw'!G47</f>
        <v>127.8</v>
      </c>
      <c r="G133" s="23">
        <f>'Annual Raw'!H47</f>
        <v>86.07</v>
      </c>
      <c r="H133" s="23">
        <f>'Annual Raw'!I47</f>
        <v>63.09</v>
      </c>
      <c r="I133" s="23">
        <f>'Annual Raw'!J47</f>
        <v>18.07</v>
      </c>
      <c r="J133" s="23">
        <f>'Annual Raw'!K47</f>
        <v>37.89</v>
      </c>
      <c r="K133" s="23">
        <f>'Annual Raw'!L47</f>
        <v>31.21</v>
      </c>
      <c r="L133" s="23">
        <f>'Annual Raw'!M47</f>
        <v>33.700000000000003</v>
      </c>
      <c r="M133" s="23">
        <f>'Annual Raw'!N47</f>
        <v>112.61</v>
      </c>
      <c r="N133" s="23">
        <f>'Annual Raw'!O47</f>
        <v>129.46</v>
      </c>
      <c r="O133" s="23">
        <f>'Annual Raw'!P47</f>
        <v>126.21</v>
      </c>
      <c r="P133" s="23">
        <f>'Annual Raw'!Q47</f>
        <v>113.69</v>
      </c>
      <c r="Q133" s="23">
        <f>'Annual Raw'!R47</f>
        <v>83</v>
      </c>
      <c r="R133" s="23">
        <f>'Annual Raw'!S47</f>
        <v>71</v>
      </c>
      <c r="S133" s="23">
        <f>'Annual Raw'!T47</f>
        <v>54</v>
      </c>
      <c r="T133" s="23">
        <f>'Annual Raw'!U47</f>
        <v>0</v>
      </c>
      <c r="U133" s="23">
        <f>'Annual Raw'!V47</f>
        <v>0</v>
      </c>
      <c r="V133" s="23">
        <f>'Annual Raw'!W47</f>
        <v>0</v>
      </c>
      <c r="W133" s="23">
        <f>'Annual Raw'!X47</f>
        <v>0</v>
      </c>
      <c r="X133" s="23">
        <f>'Annual Raw'!Y47</f>
        <v>0</v>
      </c>
      <c r="Y133" s="23">
        <f>'Annual Raw'!Z47</f>
        <v>0</v>
      </c>
      <c r="Z133" s="23">
        <f>'Annual Raw'!AA47</f>
        <v>0</v>
      </c>
      <c r="AA133" s="23">
        <f>'Annual Raw'!AB47</f>
        <v>0</v>
      </c>
      <c r="AB133" s="24">
        <f t="shared" ref="AB133:AB136" si="1050">+CP133</f>
        <v>0</v>
      </c>
      <c r="AC133" s="24">
        <f t="shared" ref="AC133:AC136" si="1051">+CT133</f>
        <v>0</v>
      </c>
      <c r="AD133" s="24">
        <f t="shared" ref="AD133:AD136" si="1052">+CX133</f>
        <v>0</v>
      </c>
      <c r="AE133" s="24">
        <f t="shared" ref="AE133:AE136" si="1053">+DB133</f>
        <v>0</v>
      </c>
      <c r="AJ133" s="23">
        <f>+'QTR Raw'!D62</f>
        <v>0</v>
      </c>
      <c r="AK133" s="23">
        <f t="shared" ref="AK133:CC136" si="1054">+AJ133</f>
        <v>0</v>
      </c>
      <c r="AL133" s="23">
        <f>+'QTR Raw'!F62</f>
        <v>0</v>
      </c>
      <c r="AM133" s="23">
        <f t="shared" si="1054"/>
        <v>0</v>
      </c>
      <c r="AN133" s="23">
        <f>+'QTR Raw'!H62</f>
        <v>0</v>
      </c>
      <c r="AO133" s="23">
        <f t="shared" si="1054"/>
        <v>0</v>
      </c>
      <c r="AP133" s="23">
        <f>+'QTR Raw'!J62</f>
        <v>0</v>
      </c>
      <c r="AQ133" s="23">
        <f t="shared" si="1054"/>
        <v>0</v>
      </c>
      <c r="AR133" s="23">
        <f>+'QTR Raw'!L62</f>
        <v>0</v>
      </c>
      <c r="AS133" s="23">
        <f t="shared" si="1054"/>
        <v>0</v>
      </c>
      <c r="AT133" s="23">
        <f>+'QTR Raw'!N62</f>
        <v>0</v>
      </c>
      <c r="AU133" s="23">
        <f t="shared" si="1054"/>
        <v>0</v>
      </c>
      <c r="AV133" s="23">
        <f>+'QTR Raw'!P62</f>
        <v>0</v>
      </c>
      <c r="AW133" s="23">
        <f t="shared" si="1054"/>
        <v>0</v>
      </c>
      <c r="AX133" s="23">
        <f>+'QTR Raw'!R62</f>
        <v>0</v>
      </c>
      <c r="AY133" s="23">
        <f t="shared" si="1054"/>
        <v>0</v>
      </c>
      <c r="AZ133" s="23">
        <f>+'QTR Raw'!T62</f>
        <v>0</v>
      </c>
      <c r="BA133" s="23">
        <f t="shared" si="1054"/>
        <v>0</v>
      </c>
      <c r="BB133" s="23">
        <f>+'QTR Raw'!V62</f>
        <v>0</v>
      </c>
      <c r="BC133" s="23">
        <f t="shared" si="1054"/>
        <v>0</v>
      </c>
      <c r="BD133" s="23">
        <f>+'QTR Raw'!X62</f>
        <v>0</v>
      </c>
      <c r="BE133" s="23">
        <f t="shared" si="1054"/>
        <v>0</v>
      </c>
      <c r="BF133" s="23">
        <f>+'QTR Raw'!Z62</f>
        <v>0</v>
      </c>
      <c r="BG133" s="23">
        <f t="shared" si="1054"/>
        <v>0</v>
      </c>
      <c r="BH133" s="22">
        <f>+'QTR Raw'!AB62</f>
        <v>0</v>
      </c>
      <c r="BI133" s="23">
        <f t="shared" si="1054"/>
        <v>0</v>
      </c>
      <c r="BJ133" s="23">
        <f>+'QTR Raw'!AD62</f>
        <v>0</v>
      </c>
      <c r="BK133" s="23">
        <f t="shared" si="1054"/>
        <v>0</v>
      </c>
      <c r="BL133" s="23">
        <f>+'QTR Raw'!AF62</f>
        <v>0</v>
      </c>
      <c r="BM133" s="23">
        <f t="shared" si="1054"/>
        <v>0</v>
      </c>
      <c r="BN133" s="23">
        <f>+'QTR Raw'!AH62</f>
        <v>0</v>
      </c>
      <c r="BO133" s="23">
        <f t="shared" si="1054"/>
        <v>0</v>
      </c>
      <c r="BP133" s="23">
        <f>+'QTR Raw'!AJ62</f>
        <v>0</v>
      </c>
      <c r="BQ133" s="23">
        <f t="shared" si="1054"/>
        <v>0</v>
      </c>
      <c r="BR133" s="23">
        <f>+'QTR Raw'!AL62</f>
        <v>0</v>
      </c>
      <c r="BS133" s="23">
        <f t="shared" si="1054"/>
        <v>0</v>
      </c>
      <c r="BT133" s="23">
        <f>+'QTR Raw'!AN62</f>
        <v>0</v>
      </c>
      <c r="BU133" s="23">
        <f t="shared" si="1054"/>
        <v>0</v>
      </c>
      <c r="BV133" s="23">
        <f>+'QTR Raw'!AP62</f>
        <v>0</v>
      </c>
      <c r="BW133" s="23">
        <f t="shared" si="1054"/>
        <v>0</v>
      </c>
      <c r="BX133" s="23">
        <f>+'QTR Raw'!AR62</f>
        <v>0</v>
      </c>
      <c r="BY133" s="23">
        <f t="shared" si="1054"/>
        <v>0</v>
      </c>
      <c r="BZ133" s="23">
        <f>+'QTR Raw'!AT62</f>
        <v>0</v>
      </c>
      <c r="CA133" s="23">
        <f t="shared" si="1054"/>
        <v>0</v>
      </c>
      <c r="CB133" s="23">
        <f>+'QTR Raw'!AV62</f>
        <v>0</v>
      </c>
      <c r="CC133" s="23">
        <f t="shared" si="1054"/>
        <v>0</v>
      </c>
      <c r="CD133" s="23">
        <f>+'QTR Raw'!AX62</f>
        <v>0</v>
      </c>
      <c r="CE133" s="23">
        <f t="shared" ref="CE133:CE136" si="1055">+CD133</f>
        <v>0</v>
      </c>
      <c r="CF133" s="23">
        <f>+'QTR Raw'!AZ62</f>
        <v>0</v>
      </c>
      <c r="CG133" s="23">
        <f t="shared" ref="CG133:CK136" si="1056">+CF133</f>
        <v>0</v>
      </c>
      <c r="CH133" s="23">
        <f t="shared" si="1033"/>
        <v>0</v>
      </c>
      <c r="CI133" s="23">
        <f t="shared" si="1056"/>
        <v>0</v>
      </c>
      <c r="CJ133" s="23">
        <f>+'QTR Raw'!BD62</f>
        <v>0</v>
      </c>
      <c r="CK133" s="23">
        <f t="shared" si="1056"/>
        <v>0</v>
      </c>
      <c r="CL133" s="23">
        <f>+'QTR Raw'!BF62</f>
        <v>0</v>
      </c>
      <c r="CM133" s="24">
        <f t="shared" ref="CM133:CM136" si="1057">+CL133</f>
        <v>0</v>
      </c>
      <c r="CN133" s="24">
        <f t="shared" ref="CN133:CN136" si="1058">+CM133</f>
        <v>0</v>
      </c>
      <c r="CO133" s="24">
        <f t="shared" ref="CO133:CO136" si="1059">+CN133</f>
        <v>0</v>
      </c>
      <c r="CP133" s="24">
        <f t="shared" ref="CP133:CP136" si="1060">+CO133</f>
        <v>0</v>
      </c>
      <c r="CQ133" s="24">
        <f t="shared" ref="CQ133:CQ136" si="1061">+CP133</f>
        <v>0</v>
      </c>
      <c r="CR133" s="24">
        <f t="shared" ref="CR133:CR136" si="1062">+CQ133</f>
        <v>0</v>
      </c>
      <c r="CS133" s="24">
        <f t="shared" ref="CS133:CS136" si="1063">+CR133</f>
        <v>0</v>
      </c>
      <c r="CT133" s="24">
        <f t="shared" ref="CT133:CT136" si="1064">+CS133</f>
        <v>0</v>
      </c>
      <c r="CU133" s="24">
        <f t="shared" ref="CU133:CU136" si="1065">+CT133</f>
        <v>0</v>
      </c>
      <c r="CV133" s="24">
        <f t="shared" ref="CV133:CV136" si="1066">+CU133</f>
        <v>0</v>
      </c>
      <c r="CW133" s="24">
        <f t="shared" ref="CW133:CW136" si="1067">+CV133</f>
        <v>0</v>
      </c>
      <c r="CX133" s="24">
        <f t="shared" ref="CX133:CX136" si="1068">+CW133</f>
        <v>0</v>
      </c>
      <c r="CY133" s="24">
        <f t="shared" ref="CY133:CY136" si="1069">+CX133</f>
        <v>0</v>
      </c>
      <c r="CZ133" s="24">
        <f t="shared" ref="CZ133:CZ136" si="1070">+CY133</f>
        <v>0</v>
      </c>
      <c r="DA133" s="24">
        <f t="shared" ref="DA133:DA136" si="1071">+CZ133</f>
        <v>0</v>
      </c>
      <c r="DB133" s="24">
        <f t="shared" ref="DB133:DB136" si="1072">+DA133</f>
        <v>0</v>
      </c>
      <c r="DE133" s="123"/>
      <c r="DF133" s="23">
        <v>0</v>
      </c>
    </row>
    <row r="134" spans="1:110" s="23" customFormat="1" outlineLevel="1" x14ac:dyDescent="0.2">
      <c r="A134" s="23" t="s">
        <v>46</v>
      </c>
      <c r="B134" s="23">
        <f>'Annual Raw'!C48</f>
        <v>0</v>
      </c>
      <c r="C134" s="23">
        <f>'Annual Raw'!D48</f>
        <v>0</v>
      </c>
      <c r="D134" s="23">
        <f>'Annual Raw'!E48</f>
        <v>0</v>
      </c>
      <c r="E134" s="23">
        <f>'Annual Raw'!F48</f>
        <v>423.76</v>
      </c>
      <c r="F134" s="23">
        <f>'Annual Raw'!G48</f>
        <v>75.209999999999994</v>
      </c>
      <c r="G134" s="23">
        <f>'Annual Raw'!H48</f>
        <v>30.62</v>
      </c>
      <c r="H134" s="23">
        <f>'Annual Raw'!I48</f>
        <v>443.66</v>
      </c>
      <c r="I134" s="23">
        <f>'Annual Raw'!J48</f>
        <v>436.95</v>
      </c>
      <c r="J134" s="23">
        <f>'Annual Raw'!K48</f>
        <v>525.99</v>
      </c>
      <c r="K134" s="23">
        <f>'Annual Raw'!L48</f>
        <v>72.040000000000006</v>
      </c>
      <c r="L134" s="23">
        <f>'Annual Raw'!M48</f>
        <v>4</v>
      </c>
      <c r="M134" s="23">
        <f>'Annual Raw'!N48</f>
        <v>2.76</v>
      </c>
      <c r="N134" s="23">
        <f>'Annual Raw'!O48</f>
        <v>1.52</v>
      </c>
      <c r="O134" s="23">
        <f>'Annual Raw'!P48</f>
        <v>1.05</v>
      </c>
      <c r="P134" s="23">
        <f>'Annual Raw'!Q48</f>
        <v>0.57999999999999996</v>
      </c>
      <c r="Q134" s="23">
        <f>'Annual Raw'!R48</f>
        <v>0</v>
      </c>
      <c r="R134" s="23">
        <f>'Annual Raw'!S48</f>
        <v>0</v>
      </c>
      <c r="S134" s="23">
        <f>'Annual Raw'!T48</f>
        <v>0</v>
      </c>
      <c r="T134" s="23">
        <f>'Annual Raw'!U48</f>
        <v>0</v>
      </c>
      <c r="U134" s="23">
        <f>'Annual Raw'!V48</f>
        <v>0</v>
      </c>
      <c r="V134" s="23">
        <f>'Annual Raw'!W48</f>
        <v>0</v>
      </c>
      <c r="W134" s="23">
        <f>'Annual Raw'!X48</f>
        <v>0</v>
      </c>
      <c r="X134" s="23">
        <f>'Annual Raw'!Y48</f>
        <v>0</v>
      </c>
      <c r="Y134" s="23">
        <f>'Annual Raw'!Z48</f>
        <v>0</v>
      </c>
      <c r="Z134" s="23">
        <f>'Annual Raw'!AA48</f>
        <v>0</v>
      </c>
      <c r="AA134" s="23">
        <f>'Annual Raw'!AB48</f>
        <v>0</v>
      </c>
      <c r="AB134" s="24">
        <f t="shared" si="1050"/>
        <v>0</v>
      </c>
      <c r="AC134" s="24">
        <f t="shared" si="1051"/>
        <v>0</v>
      </c>
      <c r="AD134" s="24">
        <f t="shared" si="1052"/>
        <v>0</v>
      </c>
      <c r="AE134" s="24">
        <f t="shared" si="1053"/>
        <v>0</v>
      </c>
      <c r="AJ134" s="23">
        <f>+'QTR Raw'!D63</f>
        <v>118.36</v>
      </c>
      <c r="AK134" s="23">
        <f t="shared" si="1054"/>
        <v>118.36</v>
      </c>
      <c r="AL134" s="23">
        <f>+'QTR Raw'!F63</f>
        <v>130.97999999999999</v>
      </c>
      <c r="AM134" s="23">
        <f t="shared" si="1054"/>
        <v>130.97999999999999</v>
      </c>
      <c r="AN134" s="23">
        <f>+'QTR Raw'!H63</f>
        <v>129.04</v>
      </c>
      <c r="AO134" s="23">
        <f t="shared" si="1054"/>
        <v>129.04</v>
      </c>
      <c r="AP134" s="23">
        <f>+'QTR Raw'!J63</f>
        <v>127.26</v>
      </c>
      <c r="AQ134" s="23">
        <f t="shared" si="1054"/>
        <v>127.26</v>
      </c>
      <c r="AR134" s="23">
        <f>+'QTR Raw'!L63</f>
        <v>140.97</v>
      </c>
      <c r="AS134" s="23">
        <f t="shared" si="1054"/>
        <v>140.97</v>
      </c>
      <c r="AT134" s="23">
        <f>+'QTR Raw'!N63</f>
        <v>114.27</v>
      </c>
      <c r="AU134" s="23">
        <f t="shared" si="1054"/>
        <v>114.27</v>
      </c>
      <c r="AV134" s="23">
        <f>+'QTR Raw'!P63</f>
        <v>91.96</v>
      </c>
      <c r="AW134" s="23">
        <f t="shared" si="1054"/>
        <v>91.96</v>
      </c>
      <c r="AX134" s="23">
        <f>+'QTR Raw'!R63</f>
        <v>83</v>
      </c>
      <c r="AY134" s="23">
        <f t="shared" si="1054"/>
        <v>83</v>
      </c>
      <c r="AZ134" s="23">
        <f>+'QTR Raw'!T63</f>
        <v>60</v>
      </c>
      <c r="BA134" s="23">
        <f t="shared" si="1054"/>
        <v>60</v>
      </c>
      <c r="BB134" s="23">
        <f>+'QTR Raw'!V63</f>
        <v>71</v>
      </c>
      <c r="BC134" s="23">
        <f t="shared" si="1054"/>
        <v>71</v>
      </c>
      <c r="BD134" s="23">
        <f>+'QTR Raw'!X63</f>
        <v>59</v>
      </c>
      <c r="BE134" s="23">
        <f t="shared" si="1054"/>
        <v>59</v>
      </c>
      <c r="BF134" s="23">
        <f>+'QTR Raw'!Z63</f>
        <v>54</v>
      </c>
      <c r="BG134" s="23">
        <f t="shared" si="1054"/>
        <v>54</v>
      </c>
      <c r="BH134" s="23">
        <f>+'QTR Raw'!AB63</f>
        <v>46</v>
      </c>
      <c r="BI134" s="23">
        <f t="shared" si="1054"/>
        <v>46</v>
      </c>
      <c r="BJ134" s="23">
        <f>+'QTR Raw'!AD63</f>
        <v>0</v>
      </c>
      <c r="BK134" s="23">
        <f t="shared" si="1054"/>
        <v>0</v>
      </c>
      <c r="BL134" s="23">
        <f>+'QTR Raw'!AF63</f>
        <v>0</v>
      </c>
      <c r="BM134" s="23">
        <f t="shared" si="1054"/>
        <v>0</v>
      </c>
      <c r="BN134" s="23">
        <f>+'QTR Raw'!AH63</f>
        <v>0</v>
      </c>
      <c r="BO134" s="23">
        <f t="shared" si="1054"/>
        <v>0</v>
      </c>
      <c r="BP134" s="23">
        <f>+'QTR Raw'!AJ63</f>
        <v>0</v>
      </c>
      <c r="BQ134" s="23">
        <f t="shared" si="1054"/>
        <v>0</v>
      </c>
      <c r="BR134" s="23">
        <f>+'QTR Raw'!AL63</f>
        <v>0</v>
      </c>
      <c r="BS134" s="23">
        <f t="shared" si="1054"/>
        <v>0</v>
      </c>
      <c r="BT134" s="23">
        <f>+'QTR Raw'!AN63</f>
        <v>0</v>
      </c>
      <c r="BU134" s="23">
        <f t="shared" si="1054"/>
        <v>0</v>
      </c>
      <c r="BV134" s="23">
        <f>+'QTR Raw'!AP63</f>
        <v>0</v>
      </c>
      <c r="BW134" s="23">
        <f t="shared" si="1054"/>
        <v>0</v>
      </c>
      <c r="BX134" s="23">
        <f>+'QTR Raw'!AR63</f>
        <v>0</v>
      </c>
      <c r="BY134" s="23">
        <f t="shared" si="1054"/>
        <v>0</v>
      </c>
      <c r="BZ134" s="23">
        <f>+'QTR Raw'!AT63</f>
        <v>0</v>
      </c>
      <c r="CA134" s="23">
        <f t="shared" si="1054"/>
        <v>0</v>
      </c>
      <c r="CB134" s="23">
        <f>+'QTR Raw'!AV63</f>
        <v>0</v>
      </c>
      <c r="CC134" s="23">
        <f t="shared" si="1054"/>
        <v>0</v>
      </c>
      <c r="CD134" s="23">
        <f>+'QTR Raw'!AX63</f>
        <v>0</v>
      </c>
      <c r="CE134" s="23">
        <f t="shared" si="1055"/>
        <v>0</v>
      </c>
      <c r="CF134" s="23">
        <f>+'QTR Raw'!AZ63</f>
        <v>0</v>
      </c>
      <c r="CG134" s="23">
        <f t="shared" si="1056"/>
        <v>0</v>
      </c>
      <c r="CH134" s="23">
        <f t="shared" si="1033"/>
        <v>0</v>
      </c>
      <c r="CI134" s="23">
        <f t="shared" si="1056"/>
        <v>0</v>
      </c>
      <c r="CJ134" s="23">
        <f>+'QTR Raw'!BD63</f>
        <v>0</v>
      </c>
      <c r="CK134" s="23">
        <f t="shared" si="1056"/>
        <v>0</v>
      </c>
      <c r="CL134" s="23">
        <f>+'QTR Raw'!BF63</f>
        <v>0</v>
      </c>
      <c r="CM134" s="24">
        <f t="shared" si="1057"/>
        <v>0</v>
      </c>
      <c r="CN134" s="24">
        <f t="shared" si="1058"/>
        <v>0</v>
      </c>
      <c r="CO134" s="24">
        <f t="shared" si="1059"/>
        <v>0</v>
      </c>
      <c r="CP134" s="24">
        <f t="shared" si="1060"/>
        <v>0</v>
      </c>
      <c r="CQ134" s="24">
        <f t="shared" si="1061"/>
        <v>0</v>
      </c>
      <c r="CR134" s="24">
        <f t="shared" si="1062"/>
        <v>0</v>
      </c>
      <c r="CS134" s="24">
        <f t="shared" si="1063"/>
        <v>0</v>
      </c>
      <c r="CT134" s="24">
        <f t="shared" si="1064"/>
        <v>0</v>
      </c>
      <c r="CU134" s="24">
        <f t="shared" si="1065"/>
        <v>0</v>
      </c>
      <c r="CV134" s="24">
        <f t="shared" si="1066"/>
        <v>0</v>
      </c>
      <c r="CW134" s="24">
        <f t="shared" si="1067"/>
        <v>0</v>
      </c>
      <c r="CX134" s="24">
        <f t="shared" si="1068"/>
        <v>0</v>
      </c>
      <c r="CY134" s="24">
        <f t="shared" si="1069"/>
        <v>0</v>
      </c>
      <c r="CZ134" s="24">
        <f t="shared" si="1070"/>
        <v>0</v>
      </c>
      <c r="DA134" s="24">
        <f t="shared" si="1071"/>
        <v>0</v>
      </c>
      <c r="DB134" s="24">
        <f t="shared" si="1072"/>
        <v>0</v>
      </c>
      <c r="DE134" s="123"/>
      <c r="DF134" s="23">
        <v>0</v>
      </c>
    </row>
    <row r="135" spans="1:110" s="23" customFormat="1" outlineLevel="1" x14ac:dyDescent="0.2">
      <c r="A135" s="23" t="s">
        <v>47</v>
      </c>
      <c r="B135" s="23">
        <f>'Annual Raw'!C87+'Annual Raw'!C88+'Annual Raw'!C89+'Annual Raw'!C90</f>
        <v>0</v>
      </c>
      <c r="C135" s="23">
        <f>'Annual Raw'!D87+'Annual Raw'!D88+'Annual Raw'!D89+'Annual Raw'!D90</f>
        <v>0</v>
      </c>
      <c r="D135" s="23">
        <f>'Annual Raw'!E87+'Annual Raw'!E88+'Annual Raw'!E89+'Annual Raw'!E90</f>
        <v>0</v>
      </c>
      <c r="E135" s="23">
        <f>'Annual Raw'!F87+'Annual Raw'!F88+'Annual Raw'!F89+'Annual Raw'!F90</f>
        <v>0</v>
      </c>
      <c r="F135" s="23">
        <f>'Annual Raw'!G87+'Annual Raw'!G88+'Annual Raw'!G89+'Annual Raw'!G90</f>
        <v>0</v>
      </c>
      <c r="G135" s="23">
        <f>'Annual Raw'!H87+'Annual Raw'!H88+'Annual Raw'!H89+'Annual Raw'!H90</f>
        <v>0</v>
      </c>
      <c r="H135" s="23">
        <f>'Annual Raw'!I87+'Annual Raw'!I88+'Annual Raw'!I89+'Annual Raw'!I90</f>
        <v>0</v>
      </c>
      <c r="I135" s="23">
        <f>'Annual Raw'!J87+'Annual Raw'!J88+'Annual Raw'!J89+'Annual Raw'!J90</f>
        <v>0</v>
      </c>
      <c r="J135" s="23">
        <f>'Annual Raw'!K87+'Annual Raw'!K88+'Annual Raw'!K89+'Annual Raw'!K90</f>
        <v>0</v>
      </c>
      <c r="K135" s="23">
        <f>'Annual Raw'!L87+'Annual Raw'!L88+'Annual Raw'!L89+'Annual Raw'!L90</f>
        <v>0</v>
      </c>
      <c r="L135" s="23">
        <f>'Annual Raw'!M87+'Annual Raw'!M88+'Annual Raw'!M89+'Annual Raw'!M90</f>
        <v>5.53</v>
      </c>
      <c r="M135" s="23">
        <f>'Annual Raw'!N87+'Annual Raw'!N88+'Annual Raw'!N89+'Annual Raw'!N90</f>
        <v>10.290000000000001</v>
      </c>
      <c r="N135" s="23">
        <f>'Annual Raw'!O87+'Annual Raw'!O88+'Annual Raw'!O89+'Annual Raw'!O90</f>
        <v>21.27</v>
      </c>
      <c r="O135" s="23">
        <f>'Annual Raw'!P87+'Annual Raw'!P88+'Annual Raw'!P89+'Annual Raw'!P90</f>
        <v>42.519999999999996</v>
      </c>
      <c r="P135" s="23">
        <f>'Annual Raw'!Q87+'Annual Raw'!Q88+'Annual Raw'!Q89+'Annual Raw'!Q90</f>
        <v>57.87</v>
      </c>
      <c r="Q135" s="23">
        <f>'Annual Raw'!R87+'Annual Raw'!R88+'Annual Raw'!R89+'Annual Raw'!R90</f>
        <v>49</v>
      </c>
      <c r="R135" s="23">
        <f>'Annual Raw'!S87+'Annual Raw'!S88+'Annual Raw'!S89+'Annual Raw'!S90</f>
        <v>18</v>
      </c>
      <c r="S135" s="23">
        <f>'Annual Raw'!T87+'Annual Raw'!T88+'Annual Raw'!T89+'Annual Raw'!T90</f>
        <v>12</v>
      </c>
      <c r="T135" s="23">
        <f>'Annual Raw'!U87+'Annual Raw'!U88+'Annual Raw'!U89+'Annual Raw'!U90</f>
        <v>18</v>
      </c>
      <c r="U135" s="23">
        <f>'Annual Raw'!V87+'Annual Raw'!V88+'Annual Raw'!V89+'Annual Raw'!V90</f>
        <v>0</v>
      </c>
      <c r="V135" s="23">
        <f>'Annual Raw'!W87+'Annual Raw'!W88+'Annual Raw'!W89+'Annual Raw'!W90</f>
        <v>0</v>
      </c>
      <c r="W135" s="23">
        <f>'Annual Raw'!X87+'Annual Raw'!X88+'Annual Raw'!X89+'Annual Raw'!X90</f>
        <v>0</v>
      </c>
      <c r="X135" s="23">
        <f>'Annual Raw'!Y87+'Annual Raw'!Y88+'Annual Raw'!Y89+'Annual Raw'!Y90</f>
        <v>0</v>
      </c>
      <c r="Y135" s="23">
        <f>'Annual Raw'!Z87+'Annual Raw'!Z88+'Annual Raw'!Z89+'Annual Raw'!Z90</f>
        <v>0</v>
      </c>
      <c r="Z135" s="23">
        <f>'Annual Raw'!AA87+'Annual Raw'!AA88+'Annual Raw'!AA89+'Annual Raw'!AA90</f>
        <v>0</v>
      </c>
      <c r="AA135" s="23">
        <f>'Annual Raw'!AB87+'Annual Raw'!AB88+'Annual Raw'!AB89+'Annual Raw'!AB90</f>
        <v>0</v>
      </c>
      <c r="AB135" s="24">
        <f t="shared" si="1050"/>
        <v>0</v>
      </c>
      <c r="AC135" s="24">
        <f t="shared" si="1051"/>
        <v>0</v>
      </c>
      <c r="AD135" s="24">
        <f t="shared" si="1052"/>
        <v>0</v>
      </c>
      <c r="AE135" s="24">
        <f t="shared" si="1053"/>
        <v>0</v>
      </c>
      <c r="AJ135" s="23">
        <f>+'QTR Raw'!D90</f>
        <v>0</v>
      </c>
      <c r="AK135" s="23">
        <f t="shared" si="1054"/>
        <v>0</v>
      </c>
      <c r="AL135" s="23">
        <f>+'QTR Raw'!F90</f>
        <v>0</v>
      </c>
      <c r="AM135" s="23">
        <f t="shared" si="1054"/>
        <v>0</v>
      </c>
      <c r="AN135" s="23">
        <f>+'QTR Raw'!H90</f>
        <v>0</v>
      </c>
      <c r="AO135" s="23">
        <f t="shared" si="1054"/>
        <v>0</v>
      </c>
      <c r="AP135" s="23">
        <f>+'QTR Raw'!J90</f>
        <v>0</v>
      </c>
      <c r="AQ135" s="23">
        <f t="shared" si="1054"/>
        <v>0</v>
      </c>
      <c r="AR135" s="23">
        <f>+'QTR Raw'!L90</f>
        <v>0</v>
      </c>
      <c r="AS135" s="23">
        <f t="shared" si="1054"/>
        <v>0</v>
      </c>
      <c r="AT135" s="23">
        <f>+'QTR Raw'!N90</f>
        <v>0</v>
      </c>
      <c r="AU135" s="23">
        <f t="shared" si="1054"/>
        <v>0</v>
      </c>
      <c r="AV135" s="23">
        <f>+'QTR Raw'!P90</f>
        <v>0</v>
      </c>
      <c r="AW135" s="23">
        <f t="shared" si="1054"/>
        <v>0</v>
      </c>
      <c r="AX135" s="23">
        <f>+'QTR Raw'!R90</f>
        <v>0</v>
      </c>
      <c r="AY135" s="23">
        <f t="shared" si="1054"/>
        <v>0</v>
      </c>
      <c r="AZ135" s="23">
        <f>+'QTR Raw'!T90</f>
        <v>0</v>
      </c>
      <c r="BA135" s="23">
        <f t="shared" si="1054"/>
        <v>0</v>
      </c>
      <c r="BB135" s="23">
        <f>+'QTR Raw'!V90</f>
        <v>0</v>
      </c>
      <c r="BC135" s="23">
        <f t="shared" si="1054"/>
        <v>0</v>
      </c>
      <c r="BD135" s="23">
        <f>+'QTR Raw'!X90</f>
        <v>0</v>
      </c>
      <c r="BE135" s="23">
        <f t="shared" si="1054"/>
        <v>0</v>
      </c>
      <c r="BF135" s="23">
        <f>+'QTR Raw'!Z90</f>
        <v>0</v>
      </c>
      <c r="BG135" s="23">
        <f t="shared" si="1054"/>
        <v>0</v>
      </c>
      <c r="BH135" s="22">
        <f>+'QTR Raw'!AB90</f>
        <v>0</v>
      </c>
      <c r="BI135" s="23">
        <f t="shared" si="1054"/>
        <v>0</v>
      </c>
      <c r="BJ135" s="23">
        <f>+'QTR Raw'!AD90</f>
        <v>0</v>
      </c>
      <c r="BK135" s="23">
        <f t="shared" si="1054"/>
        <v>0</v>
      </c>
      <c r="BL135" s="23">
        <f>+'QTR Raw'!AF90</f>
        <v>0</v>
      </c>
      <c r="BM135" s="23">
        <f t="shared" si="1054"/>
        <v>0</v>
      </c>
      <c r="BN135" s="23">
        <f>+'QTR Raw'!AH90</f>
        <v>0</v>
      </c>
      <c r="BO135" s="23">
        <f t="shared" si="1054"/>
        <v>0</v>
      </c>
      <c r="BP135" s="23">
        <f>+'QTR Raw'!AJ90</f>
        <v>0</v>
      </c>
      <c r="BQ135" s="23">
        <f t="shared" si="1054"/>
        <v>0</v>
      </c>
      <c r="BR135" s="23">
        <f>+'QTR Raw'!AL90</f>
        <v>0</v>
      </c>
      <c r="BS135" s="23">
        <f t="shared" si="1054"/>
        <v>0</v>
      </c>
      <c r="BT135" s="23">
        <f>+'QTR Raw'!AN90</f>
        <v>0</v>
      </c>
      <c r="BU135" s="23">
        <f t="shared" si="1054"/>
        <v>0</v>
      </c>
      <c r="BV135" s="23">
        <f>+'QTR Raw'!AP90</f>
        <v>0</v>
      </c>
      <c r="BW135" s="23">
        <f t="shared" si="1054"/>
        <v>0</v>
      </c>
      <c r="BX135" s="23">
        <f>+'QTR Raw'!AR90</f>
        <v>0</v>
      </c>
      <c r="BY135" s="23">
        <f t="shared" si="1054"/>
        <v>0</v>
      </c>
      <c r="BZ135" s="23">
        <f>+'QTR Raw'!AT90</f>
        <v>0</v>
      </c>
      <c r="CA135" s="23">
        <f t="shared" si="1054"/>
        <v>0</v>
      </c>
      <c r="CB135" s="23">
        <f>+'QTR Raw'!AV90</f>
        <v>0</v>
      </c>
      <c r="CC135" s="23">
        <f t="shared" si="1054"/>
        <v>0</v>
      </c>
      <c r="CD135" s="23">
        <f>+'QTR Raw'!AX90</f>
        <v>0</v>
      </c>
      <c r="CE135" s="23">
        <f t="shared" si="1055"/>
        <v>0</v>
      </c>
      <c r="CF135" s="23">
        <f>+'QTR Raw'!AZ90</f>
        <v>0</v>
      </c>
      <c r="CG135" s="23">
        <f t="shared" si="1056"/>
        <v>0</v>
      </c>
      <c r="CH135" s="23">
        <f>+Z135</f>
        <v>0</v>
      </c>
      <c r="CI135" s="23">
        <f t="shared" si="1056"/>
        <v>0</v>
      </c>
      <c r="CJ135" s="23">
        <f>+'QTR Raw'!BD90</f>
        <v>0</v>
      </c>
      <c r="CK135" s="23">
        <f t="shared" si="1056"/>
        <v>0</v>
      </c>
      <c r="CL135" s="23">
        <f>+'QTR Raw'!BF90</f>
        <v>0</v>
      </c>
      <c r="CM135" s="24">
        <f t="shared" si="1057"/>
        <v>0</v>
      </c>
      <c r="CN135" s="24">
        <f t="shared" si="1058"/>
        <v>0</v>
      </c>
      <c r="CO135" s="24">
        <f t="shared" si="1059"/>
        <v>0</v>
      </c>
      <c r="CP135" s="24">
        <f t="shared" si="1060"/>
        <v>0</v>
      </c>
      <c r="CQ135" s="24">
        <f t="shared" si="1061"/>
        <v>0</v>
      </c>
      <c r="CR135" s="24">
        <f t="shared" si="1062"/>
        <v>0</v>
      </c>
      <c r="CS135" s="24">
        <f t="shared" si="1063"/>
        <v>0</v>
      </c>
      <c r="CT135" s="24">
        <f t="shared" si="1064"/>
        <v>0</v>
      </c>
      <c r="CU135" s="24">
        <f t="shared" si="1065"/>
        <v>0</v>
      </c>
      <c r="CV135" s="24">
        <f t="shared" si="1066"/>
        <v>0</v>
      </c>
      <c r="CW135" s="24">
        <f t="shared" si="1067"/>
        <v>0</v>
      </c>
      <c r="CX135" s="24">
        <f t="shared" si="1068"/>
        <v>0</v>
      </c>
      <c r="CY135" s="24">
        <f t="shared" si="1069"/>
        <v>0</v>
      </c>
      <c r="CZ135" s="24">
        <f t="shared" si="1070"/>
        <v>0</v>
      </c>
      <c r="DA135" s="24">
        <f t="shared" si="1071"/>
        <v>0</v>
      </c>
      <c r="DB135" s="24">
        <f t="shared" si="1072"/>
        <v>0</v>
      </c>
      <c r="DE135" s="123"/>
      <c r="DF135" s="23">
        <v>0</v>
      </c>
    </row>
    <row r="136" spans="1:110" s="23" customFormat="1" outlineLevel="1" x14ac:dyDescent="0.2">
      <c r="A136" s="23" t="s">
        <v>48</v>
      </c>
      <c r="B136" s="23">
        <f>'Annual Raw'!C56</f>
        <v>0</v>
      </c>
      <c r="C136" s="23">
        <f>'Annual Raw'!D56</f>
        <v>0</v>
      </c>
      <c r="D136" s="23">
        <f>'Annual Raw'!E56</f>
        <v>0</v>
      </c>
      <c r="E136" s="23">
        <f>'Annual Raw'!F56</f>
        <v>0</v>
      </c>
      <c r="F136" s="23">
        <f>'Annual Raw'!G56</f>
        <v>0</v>
      </c>
      <c r="G136" s="23">
        <f>'Annual Raw'!H56</f>
        <v>0</v>
      </c>
      <c r="H136" s="23">
        <f>'Annual Raw'!I56</f>
        <v>0</v>
      </c>
      <c r="I136" s="23">
        <f>'Annual Raw'!J56</f>
        <v>0</v>
      </c>
      <c r="J136" s="23">
        <f>'Annual Raw'!K56</f>
        <v>0</v>
      </c>
      <c r="K136" s="23">
        <f>'Annual Raw'!L56</f>
        <v>0</v>
      </c>
      <c r="L136" s="23">
        <f>'Annual Raw'!M56</f>
        <v>31.57</v>
      </c>
      <c r="M136" s="23">
        <f>'Annual Raw'!N56</f>
        <v>0.89</v>
      </c>
      <c r="N136" s="23">
        <f>'Annual Raw'!O56</f>
        <v>80.02</v>
      </c>
      <c r="O136" s="23">
        <f>'Annual Raw'!P56</f>
        <v>127.09</v>
      </c>
      <c r="P136" s="23">
        <f>'Annual Raw'!Q56</f>
        <v>185.56</v>
      </c>
      <c r="Q136" s="23">
        <f>'Annual Raw'!R56</f>
        <v>113</v>
      </c>
      <c r="R136" s="23">
        <f>'Annual Raw'!S56</f>
        <v>200</v>
      </c>
      <c r="S136" s="23">
        <f>'Annual Raw'!T56</f>
        <v>181</v>
      </c>
      <c r="T136" s="23">
        <f>'Annual Raw'!U56</f>
        <v>0</v>
      </c>
      <c r="U136" s="23">
        <f>'Annual Raw'!V56</f>
        <v>0</v>
      </c>
      <c r="V136" s="23">
        <f>'Annual Raw'!W56</f>
        <v>0</v>
      </c>
      <c r="W136" s="23">
        <f>'Annual Raw'!X56</f>
        <v>0</v>
      </c>
      <c r="X136" s="23">
        <f>'Annual Raw'!Y56</f>
        <v>0</v>
      </c>
      <c r="Y136" s="23">
        <f>'Annual Raw'!Z56</f>
        <v>0</v>
      </c>
      <c r="Z136" s="23">
        <f>'Annual Raw'!AA56</f>
        <v>0</v>
      </c>
      <c r="AA136" s="23">
        <f>'Annual Raw'!AB56</f>
        <v>0</v>
      </c>
      <c r="AB136" s="24">
        <f t="shared" si="1050"/>
        <v>0</v>
      </c>
      <c r="AC136" s="24">
        <f t="shared" si="1051"/>
        <v>0</v>
      </c>
      <c r="AD136" s="24">
        <f t="shared" si="1052"/>
        <v>0</v>
      </c>
      <c r="AE136" s="24">
        <f t="shared" si="1053"/>
        <v>0</v>
      </c>
      <c r="AJ136" s="23">
        <f>+'QTR Raw'!D88</f>
        <v>168.13</v>
      </c>
      <c r="AK136" s="23">
        <f t="shared" si="1054"/>
        <v>168.13</v>
      </c>
      <c r="AL136" s="23">
        <f>+'QTR Raw'!F88</f>
        <v>80.02</v>
      </c>
      <c r="AM136" s="23">
        <f t="shared" si="1054"/>
        <v>80.02</v>
      </c>
      <c r="AN136" s="23">
        <f>+'QTR Raw'!H88</f>
        <v>57.33</v>
      </c>
      <c r="AO136" s="23">
        <f t="shared" si="1054"/>
        <v>57.33</v>
      </c>
      <c r="AP136" s="23">
        <f>+'QTR Raw'!J88</f>
        <v>127.09</v>
      </c>
      <c r="AQ136" s="23">
        <f t="shared" si="1054"/>
        <v>127.09</v>
      </c>
      <c r="AR136" s="23">
        <f>+'QTR Raw'!L88</f>
        <v>57.69</v>
      </c>
      <c r="AS136" s="23">
        <f t="shared" si="1054"/>
        <v>57.69</v>
      </c>
      <c r="AT136" s="23">
        <f>+'QTR Raw'!N88</f>
        <v>185.56</v>
      </c>
      <c r="AU136" s="23">
        <f t="shared" si="1054"/>
        <v>185.56</v>
      </c>
      <c r="AV136" s="23">
        <f>+'QTR Raw'!P88</f>
        <v>0.64</v>
      </c>
      <c r="AW136" s="23">
        <f t="shared" si="1054"/>
        <v>0.64</v>
      </c>
      <c r="AX136" s="23">
        <f>+'QTR Raw'!R88</f>
        <v>113</v>
      </c>
      <c r="AY136" s="23">
        <f t="shared" si="1054"/>
        <v>113</v>
      </c>
      <c r="AZ136" s="23">
        <f>+'QTR Raw'!T88</f>
        <v>1</v>
      </c>
      <c r="BA136" s="23">
        <f t="shared" si="1054"/>
        <v>1</v>
      </c>
      <c r="BB136" s="23">
        <f>+'QTR Raw'!V88</f>
        <v>200</v>
      </c>
      <c r="BC136" s="23">
        <f t="shared" si="1054"/>
        <v>200</v>
      </c>
      <c r="BD136" s="23">
        <f>+'QTR Raw'!X88</f>
        <v>0</v>
      </c>
      <c r="BE136" s="23">
        <f t="shared" si="1054"/>
        <v>0</v>
      </c>
      <c r="BF136" s="23">
        <f>+'QTR Raw'!Z88</f>
        <v>181</v>
      </c>
      <c r="BG136" s="23">
        <f t="shared" si="1054"/>
        <v>181</v>
      </c>
      <c r="BH136" s="23">
        <f>+'QTR Raw'!AB88</f>
        <v>0</v>
      </c>
      <c r="BI136" s="23">
        <f t="shared" si="1054"/>
        <v>0</v>
      </c>
      <c r="BJ136" s="23">
        <f>+'QTR Raw'!AD88</f>
        <v>0</v>
      </c>
      <c r="BK136" s="23">
        <f t="shared" si="1054"/>
        <v>0</v>
      </c>
      <c r="BL136" s="23">
        <f>+'QTR Raw'!AF88</f>
        <v>0</v>
      </c>
      <c r="BM136" s="23">
        <f t="shared" si="1054"/>
        <v>0</v>
      </c>
      <c r="BN136" s="23">
        <f>+'QTR Raw'!AH88</f>
        <v>0</v>
      </c>
      <c r="BO136" s="23">
        <f t="shared" si="1054"/>
        <v>0</v>
      </c>
      <c r="BP136" s="23">
        <f>+'QTR Raw'!AJ88</f>
        <v>0</v>
      </c>
      <c r="BQ136" s="23">
        <f t="shared" si="1054"/>
        <v>0</v>
      </c>
      <c r="BR136" s="23">
        <f>+'QTR Raw'!AL88</f>
        <v>0</v>
      </c>
      <c r="BS136" s="23">
        <f t="shared" si="1054"/>
        <v>0</v>
      </c>
      <c r="BT136" s="23">
        <f>+'QTR Raw'!AN88</f>
        <v>0</v>
      </c>
      <c r="BU136" s="23">
        <f t="shared" si="1054"/>
        <v>0</v>
      </c>
      <c r="BV136" s="23">
        <f>+'QTR Raw'!AP88</f>
        <v>0</v>
      </c>
      <c r="BW136" s="23">
        <f t="shared" si="1054"/>
        <v>0</v>
      </c>
      <c r="BX136" s="23">
        <f>+'QTR Raw'!AR88</f>
        <v>0</v>
      </c>
      <c r="BY136" s="23">
        <f t="shared" si="1054"/>
        <v>0</v>
      </c>
      <c r="BZ136" s="23">
        <f>+'QTR Raw'!AT88</f>
        <v>0</v>
      </c>
      <c r="CA136" s="23">
        <f t="shared" si="1054"/>
        <v>0</v>
      </c>
      <c r="CB136" s="23">
        <f>+'QTR Raw'!AV88</f>
        <v>0</v>
      </c>
      <c r="CC136" s="23">
        <f t="shared" si="1054"/>
        <v>0</v>
      </c>
      <c r="CD136" s="23">
        <f>+'QTR Raw'!AX88</f>
        <v>0</v>
      </c>
      <c r="CE136" s="23">
        <f t="shared" si="1055"/>
        <v>0</v>
      </c>
      <c r="CF136" s="23">
        <f>+'QTR Raw'!AZ88</f>
        <v>0</v>
      </c>
      <c r="CG136" s="23">
        <f t="shared" si="1056"/>
        <v>0</v>
      </c>
      <c r="CH136" s="23">
        <f t="shared" si="1033"/>
        <v>0</v>
      </c>
      <c r="CI136" s="23">
        <f t="shared" si="1056"/>
        <v>0</v>
      </c>
      <c r="CJ136" s="23">
        <f>+'QTR Raw'!BD88</f>
        <v>0</v>
      </c>
      <c r="CK136" s="23">
        <f t="shared" si="1056"/>
        <v>0</v>
      </c>
      <c r="CL136" s="23">
        <f>+'QTR Raw'!BF88</f>
        <v>0</v>
      </c>
      <c r="CM136" s="24">
        <f t="shared" si="1057"/>
        <v>0</v>
      </c>
      <c r="CN136" s="24">
        <f t="shared" si="1058"/>
        <v>0</v>
      </c>
      <c r="CO136" s="24">
        <f t="shared" si="1059"/>
        <v>0</v>
      </c>
      <c r="CP136" s="24">
        <f t="shared" si="1060"/>
        <v>0</v>
      </c>
      <c r="CQ136" s="24">
        <f t="shared" si="1061"/>
        <v>0</v>
      </c>
      <c r="CR136" s="24">
        <f t="shared" si="1062"/>
        <v>0</v>
      </c>
      <c r="CS136" s="24">
        <f t="shared" si="1063"/>
        <v>0</v>
      </c>
      <c r="CT136" s="24">
        <f t="shared" si="1064"/>
        <v>0</v>
      </c>
      <c r="CU136" s="24">
        <f t="shared" si="1065"/>
        <v>0</v>
      </c>
      <c r="CV136" s="24">
        <f t="shared" si="1066"/>
        <v>0</v>
      </c>
      <c r="CW136" s="24">
        <f t="shared" si="1067"/>
        <v>0</v>
      </c>
      <c r="CX136" s="24">
        <f t="shared" si="1068"/>
        <v>0</v>
      </c>
      <c r="CY136" s="24">
        <f t="shared" si="1069"/>
        <v>0</v>
      </c>
      <c r="CZ136" s="24">
        <f t="shared" si="1070"/>
        <v>0</v>
      </c>
      <c r="DA136" s="24">
        <f t="shared" si="1071"/>
        <v>0</v>
      </c>
      <c r="DB136" s="24">
        <f t="shared" si="1072"/>
        <v>0</v>
      </c>
      <c r="DE136" s="123"/>
      <c r="DF136" s="23">
        <v>0</v>
      </c>
    </row>
    <row r="137" spans="1:110" s="22" customFormat="1" x14ac:dyDescent="0.2">
      <c r="A137" s="22" t="s">
        <v>49</v>
      </c>
      <c r="B137" s="22">
        <f>SUM(B133:B136)</f>
        <v>0</v>
      </c>
      <c r="C137" s="22">
        <f t="shared" ref="C137:V137" si="1073">SUM(C133:C136)</f>
        <v>0</v>
      </c>
      <c r="D137" s="22">
        <f t="shared" si="1073"/>
        <v>0</v>
      </c>
      <c r="E137" s="22">
        <f t="shared" si="1073"/>
        <v>441.18</v>
      </c>
      <c r="F137" s="22">
        <f t="shared" si="1073"/>
        <v>203.01</v>
      </c>
      <c r="G137" s="22">
        <f t="shared" si="1073"/>
        <v>116.69</v>
      </c>
      <c r="H137" s="22">
        <f t="shared" si="1073"/>
        <v>506.75</v>
      </c>
      <c r="I137" s="22">
        <f t="shared" si="1073"/>
        <v>455.02</v>
      </c>
      <c r="J137" s="22">
        <f t="shared" si="1073"/>
        <v>563.88</v>
      </c>
      <c r="K137" s="22">
        <f t="shared" si="1073"/>
        <v>103.25</v>
      </c>
      <c r="L137" s="22">
        <f t="shared" si="1073"/>
        <v>74.800000000000011</v>
      </c>
      <c r="M137" s="22">
        <f t="shared" si="1073"/>
        <v>126.55000000000001</v>
      </c>
      <c r="N137" s="22">
        <f t="shared" si="1073"/>
        <v>232.27000000000004</v>
      </c>
      <c r="O137" s="22">
        <f t="shared" si="1073"/>
        <v>296.87</v>
      </c>
      <c r="P137" s="22">
        <f t="shared" si="1073"/>
        <v>357.7</v>
      </c>
      <c r="Q137" s="22">
        <f t="shared" si="1073"/>
        <v>245</v>
      </c>
      <c r="R137" s="22">
        <f t="shared" si="1073"/>
        <v>289</v>
      </c>
      <c r="S137" s="22">
        <f t="shared" si="1073"/>
        <v>247</v>
      </c>
      <c r="T137" s="22">
        <f t="shared" si="1073"/>
        <v>18</v>
      </c>
      <c r="U137" s="22">
        <f t="shared" si="1073"/>
        <v>0</v>
      </c>
      <c r="V137" s="22">
        <f t="shared" si="1073"/>
        <v>0</v>
      </c>
      <c r="W137" s="22">
        <f t="shared" ref="W137" si="1074">SUM(W133:W136)</f>
        <v>0</v>
      </c>
      <c r="X137" s="22">
        <f t="shared" ref="X137:Y137" si="1075">SUM(X133:X136)</f>
        <v>0</v>
      </c>
      <c r="Y137" s="22">
        <f t="shared" si="1075"/>
        <v>0</v>
      </c>
      <c r="Z137" s="22">
        <f t="shared" ref="Z137:AA137" si="1076">SUM(Z133:Z136)</f>
        <v>0</v>
      </c>
      <c r="AA137" s="22">
        <f t="shared" si="1076"/>
        <v>0</v>
      </c>
      <c r="AB137" s="21">
        <f t="shared" ref="AA137:AD137" si="1077">SUM(AB133:AB136)</f>
        <v>0</v>
      </c>
      <c r="AC137" s="21">
        <f t="shared" si="1077"/>
        <v>0</v>
      </c>
      <c r="AD137" s="21">
        <f t="shared" si="1077"/>
        <v>0</v>
      </c>
      <c r="AE137" s="21">
        <f t="shared" ref="AE137" si="1078">SUM(AE133:AE136)</f>
        <v>0</v>
      </c>
      <c r="AJ137" s="22">
        <f t="shared" ref="AJ137" si="1079">SUM(AJ133:AJ136)</f>
        <v>286.49</v>
      </c>
      <c r="AK137" s="22">
        <f t="shared" ref="AK137" si="1080">SUM(AK133:AK136)</f>
        <v>286.49</v>
      </c>
      <c r="AL137" s="22">
        <f t="shared" ref="AL137:AM137" si="1081">SUM(AL133:AL136)</f>
        <v>211</v>
      </c>
      <c r="AM137" s="22">
        <f t="shared" si="1081"/>
        <v>211</v>
      </c>
      <c r="AN137" s="22">
        <f t="shared" ref="AN137:AO137" si="1082">SUM(AN133:AN136)</f>
        <v>186.37</v>
      </c>
      <c r="AO137" s="22">
        <f t="shared" si="1082"/>
        <v>186.37</v>
      </c>
      <c r="AP137" s="22">
        <f t="shared" ref="AP137:CE137" si="1083">SUM(AP133:AP136)</f>
        <v>254.35000000000002</v>
      </c>
      <c r="AQ137" s="22">
        <f t="shared" si="1083"/>
        <v>254.35000000000002</v>
      </c>
      <c r="AR137" s="22">
        <f t="shared" si="1083"/>
        <v>198.66</v>
      </c>
      <c r="AS137" s="22">
        <f t="shared" si="1083"/>
        <v>198.66</v>
      </c>
      <c r="AT137" s="22">
        <f t="shared" si="1083"/>
        <v>299.83</v>
      </c>
      <c r="AU137" s="22">
        <f t="shared" si="1083"/>
        <v>299.83</v>
      </c>
      <c r="AV137" s="22">
        <f t="shared" si="1083"/>
        <v>92.6</v>
      </c>
      <c r="AW137" s="22">
        <f t="shared" si="1083"/>
        <v>92.6</v>
      </c>
      <c r="AX137" s="22">
        <f t="shared" si="1083"/>
        <v>196</v>
      </c>
      <c r="AY137" s="22">
        <f t="shared" si="1083"/>
        <v>196</v>
      </c>
      <c r="AZ137" s="22">
        <f t="shared" si="1083"/>
        <v>61</v>
      </c>
      <c r="BA137" s="22">
        <f t="shared" si="1083"/>
        <v>61</v>
      </c>
      <c r="BB137" s="22">
        <f t="shared" si="1083"/>
        <v>271</v>
      </c>
      <c r="BC137" s="22">
        <f t="shared" si="1083"/>
        <v>271</v>
      </c>
      <c r="BD137" s="22">
        <f t="shared" si="1083"/>
        <v>59</v>
      </c>
      <c r="BE137" s="22">
        <f t="shared" si="1083"/>
        <v>59</v>
      </c>
      <c r="BF137" s="22">
        <f t="shared" si="1083"/>
        <v>235</v>
      </c>
      <c r="BG137" s="22">
        <f t="shared" si="1083"/>
        <v>235</v>
      </c>
      <c r="BH137" s="22">
        <f t="shared" ref="BH137" si="1084">SUM(BH133:BH136)</f>
        <v>46</v>
      </c>
      <c r="BI137" s="22">
        <f t="shared" si="1083"/>
        <v>46</v>
      </c>
      <c r="BJ137" s="22">
        <f t="shared" si="1083"/>
        <v>0</v>
      </c>
      <c r="BK137" s="22">
        <f t="shared" si="1083"/>
        <v>0</v>
      </c>
      <c r="BL137" s="22">
        <f t="shared" si="1083"/>
        <v>0</v>
      </c>
      <c r="BM137" s="22">
        <f t="shared" si="1083"/>
        <v>0</v>
      </c>
      <c r="BN137" s="22">
        <f t="shared" si="1083"/>
        <v>0</v>
      </c>
      <c r="BO137" s="22">
        <f t="shared" si="1083"/>
        <v>0</v>
      </c>
      <c r="BP137" s="22">
        <f t="shared" si="1083"/>
        <v>0</v>
      </c>
      <c r="BQ137" s="22">
        <f t="shared" si="1083"/>
        <v>0</v>
      </c>
      <c r="BR137" s="22">
        <f t="shared" si="1083"/>
        <v>0</v>
      </c>
      <c r="BS137" s="22">
        <f t="shared" si="1083"/>
        <v>0</v>
      </c>
      <c r="BT137" s="22">
        <f t="shared" si="1083"/>
        <v>0</v>
      </c>
      <c r="BU137" s="22">
        <f t="shared" si="1083"/>
        <v>0</v>
      </c>
      <c r="BV137" s="22">
        <f t="shared" si="1083"/>
        <v>0</v>
      </c>
      <c r="BW137" s="22">
        <f t="shared" si="1083"/>
        <v>0</v>
      </c>
      <c r="BX137" s="22">
        <f t="shared" si="1083"/>
        <v>0</v>
      </c>
      <c r="BY137" s="22">
        <f t="shared" si="1083"/>
        <v>0</v>
      </c>
      <c r="BZ137" s="22">
        <f t="shared" si="1083"/>
        <v>0</v>
      </c>
      <c r="CA137" s="22">
        <f t="shared" si="1083"/>
        <v>0</v>
      </c>
      <c r="CB137" s="22">
        <f t="shared" si="1083"/>
        <v>0</v>
      </c>
      <c r="CC137" s="22">
        <f t="shared" si="1083"/>
        <v>0</v>
      </c>
      <c r="CD137" s="22">
        <f t="shared" si="1083"/>
        <v>0</v>
      </c>
      <c r="CE137" s="22">
        <f t="shared" si="1083"/>
        <v>0</v>
      </c>
      <c r="CF137" s="22">
        <f t="shared" ref="CF137:CG137" si="1085">SUM(CF133:CF136)</f>
        <v>0</v>
      </c>
      <c r="CG137" s="22">
        <f t="shared" si="1085"/>
        <v>0</v>
      </c>
      <c r="CH137" s="22">
        <f t="shared" ref="CH137:CI137" si="1086">SUM(CH133:CH136)</f>
        <v>0</v>
      </c>
      <c r="CI137" s="22">
        <f t="shared" si="1086"/>
        <v>0</v>
      </c>
      <c r="CJ137" s="22">
        <f t="shared" ref="CJ137:DB137" si="1087">SUM(CJ133:CJ136)</f>
        <v>0</v>
      </c>
      <c r="CK137" s="22">
        <f t="shared" si="1087"/>
        <v>0</v>
      </c>
      <c r="CL137" s="22">
        <f t="shared" ref="CL137" si="1088">SUM(CL133:CL136)</f>
        <v>0</v>
      </c>
      <c r="CM137" s="21">
        <f t="shared" si="1087"/>
        <v>0</v>
      </c>
      <c r="CN137" s="21">
        <f t="shared" si="1087"/>
        <v>0</v>
      </c>
      <c r="CO137" s="21">
        <f t="shared" si="1087"/>
        <v>0</v>
      </c>
      <c r="CP137" s="21">
        <f t="shared" si="1087"/>
        <v>0</v>
      </c>
      <c r="CQ137" s="21">
        <f t="shared" si="1087"/>
        <v>0</v>
      </c>
      <c r="CR137" s="21">
        <f t="shared" si="1087"/>
        <v>0</v>
      </c>
      <c r="CS137" s="21">
        <f t="shared" si="1087"/>
        <v>0</v>
      </c>
      <c r="CT137" s="21">
        <f t="shared" si="1087"/>
        <v>0</v>
      </c>
      <c r="CU137" s="21">
        <f t="shared" si="1087"/>
        <v>0</v>
      </c>
      <c r="CV137" s="21">
        <f t="shared" si="1087"/>
        <v>0</v>
      </c>
      <c r="CW137" s="21">
        <f t="shared" si="1087"/>
        <v>0</v>
      </c>
      <c r="CX137" s="21">
        <f t="shared" si="1087"/>
        <v>0</v>
      </c>
      <c r="CY137" s="21">
        <f t="shared" si="1087"/>
        <v>0</v>
      </c>
      <c r="CZ137" s="21">
        <f t="shared" si="1087"/>
        <v>0</v>
      </c>
      <c r="DA137" s="21">
        <f t="shared" si="1087"/>
        <v>0</v>
      </c>
      <c r="DB137" s="21">
        <f t="shared" si="1087"/>
        <v>0</v>
      </c>
      <c r="DE137" s="126"/>
      <c r="DF137" s="22">
        <v>0</v>
      </c>
    </row>
    <row r="138" spans="1:110" s="26" customFormat="1" x14ac:dyDescent="0.2">
      <c r="A138" s="26" t="s">
        <v>437</v>
      </c>
      <c r="B138" s="26">
        <f>B137+B129+B131</f>
        <v>0</v>
      </c>
      <c r="C138" s="26">
        <f t="shared" ref="C138:V138" si="1089">C137+C129+C131</f>
        <v>0</v>
      </c>
      <c r="D138" s="26">
        <f>D137+D129+D131</f>
        <v>0</v>
      </c>
      <c r="E138" s="26">
        <f t="shared" si="1089"/>
        <v>568.32999999999993</v>
      </c>
      <c r="F138" s="26">
        <f t="shared" si="1089"/>
        <v>3770.29</v>
      </c>
      <c r="G138" s="26">
        <f t="shared" si="1089"/>
        <v>6280.22</v>
      </c>
      <c r="H138" s="26">
        <f t="shared" si="1089"/>
        <v>9568.65</v>
      </c>
      <c r="I138" s="26">
        <f t="shared" si="1089"/>
        <v>12967.87</v>
      </c>
      <c r="J138" s="26">
        <f t="shared" si="1089"/>
        <v>16541.05</v>
      </c>
      <c r="K138" s="26">
        <f t="shared" si="1089"/>
        <v>18931.68</v>
      </c>
      <c r="L138" s="26">
        <f t="shared" si="1089"/>
        <v>25037.78</v>
      </c>
      <c r="M138" s="26">
        <f t="shared" si="1089"/>
        <v>30264.55</v>
      </c>
      <c r="N138" s="26">
        <f t="shared" si="1089"/>
        <v>39573.31</v>
      </c>
      <c r="O138" s="26">
        <f t="shared" si="1089"/>
        <v>50199.62</v>
      </c>
      <c r="P138" s="26">
        <f t="shared" si="1089"/>
        <v>52120.22</v>
      </c>
      <c r="Q138" s="26">
        <f t="shared" si="1089"/>
        <v>71672</v>
      </c>
      <c r="R138" s="26">
        <f t="shared" si="1089"/>
        <v>86869</v>
      </c>
      <c r="S138" s="26">
        <f t="shared" si="1089"/>
        <v>85777</v>
      </c>
      <c r="T138" s="26">
        <f t="shared" si="1089"/>
        <v>89917</v>
      </c>
      <c r="U138" s="26">
        <f t="shared" si="1089"/>
        <v>84749</v>
      </c>
      <c r="V138" s="26">
        <f t="shared" si="1089"/>
        <v>87108</v>
      </c>
      <c r="W138" s="26">
        <f t="shared" ref="W138" si="1090">W137+W129+W131</f>
        <v>89846</v>
      </c>
      <c r="X138" s="26">
        <f t="shared" ref="X138:Y138" si="1091">X137+X129+X131</f>
        <v>91206</v>
      </c>
      <c r="Y138" s="26">
        <f t="shared" si="1091"/>
        <v>91319</v>
      </c>
      <c r="Z138" s="26">
        <f t="shared" ref="Z138:AA138" si="1092">Z137+Z129+Z131</f>
        <v>95771</v>
      </c>
      <c r="AA138" s="26">
        <f t="shared" si="1092"/>
        <v>108478</v>
      </c>
      <c r="AB138" s="27">
        <f t="shared" ref="AA138:AD138" si="1093">AB137+AB129+AB131</f>
        <v>165532.39923112054</v>
      </c>
      <c r="AC138" s="27">
        <f t="shared" si="1093"/>
        <v>227801.9213062833</v>
      </c>
      <c r="AD138" s="27">
        <f t="shared" si="1093"/>
        <v>295240.55556441867</v>
      </c>
      <c r="AE138" s="27">
        <f t="shared" ref="AE138" si="1094">AE137+AE129+AE131</f>
        <v>367978.18796256132</v>
      </c>
      <c r="AJ138" s="26">
        <f t="shared" ref="AJ138" si="1095">AJ137+AJ129+AJ131</f>
        <v>36079.189999999995</v>
      </c>
      <c r="AK138" s="26">
        <f t="shared" ref="AK138" si="1096">AK137+AK129+AK131</f>
        <v>39628.81</v>
      </c>
      <c r="AL138" s="26">
        <f t="shared" ref="AL138" si="1097">AL137+AL129+AL131</f>
        <v>39552.04</v>
      </c>
      <c r="AM138" s="26">
        <f t="shared" ref="AM138:AO138" si="1098">AM137+AM129+AM131</f>
        <v>43391.54</v>
      </c>
      <c r="AN138" s="26">
        <f t="shared" si="1098"/>
        <v>44906.700000000004</v>
      </c>
      <c r="AO138" s="26">
        <f t="shared" si="1098"/>
        <v>50240.130000000005</v>
      </c>
      <c r="AP138" s="26">
        <f t="shared" ref="AP138:CE138" si="1099">AP137+AP129+AP131</f>
        <v>50157.1</v>
      </c>
      <c r="AQ138" s="26">
        <f t="shared" si="1099"/>
        <v>55724.78</v>
      </c>
      <c r="AR138" s="26">
        <f t="shared" si="1099"/>
        <v>49739.69</v>
      </c>
      <c r="AS138" s="26">
        <f t="shared" si="1099"/>
        <v>55067.240000000005</v>
      </c>
      <c r="AT138" s="26">
        <f t="shared" si="1099"/>
        <v>52062.350000000006</v>
      </c>
      <c r="AU138" s="26">
        <f t="shared" si="1099"/>
        <v>57809.350000000006</v>
      </c>
      <c r="AV138" s="26">
        <f t="shared" si="1099"/>
        <v>60855.28</v>
      </c>
      <c r="AW138" s="26">
        <f t="shared" si="1099"/>
        <v>66965.279999999999</v>
      </c>
      <c r="AX138" s="26">
        <f t="shared" si="1099"/>
        <v>71623</v>
      </c>
      <c r="AY138" s="26">
        <f t="shared" si="1099"/>
        <v>77940</v>
      </c>
      <c r="AZ138" s="26">
        <f t="shared" si="1099"/>
        <v>76804</v>
      </c>
      <c r="BA138" s="26">
        <f t="shared" si="1099"/>
        <v>83582</v>
      </c>
      <c r="BB138" s="26">
        <f t="shared" si="1099"/>
        <v>86851</v>
      </c>
      <c r="BC138" s="26">
        <f t="shared" si="1099"/>
        <v>92796</v>
      </c>
      <c r="BD138" s="26">
        <f t="shared" si="1099"/>
        <v>75471</v>
      </c>
      <c r="BE138" s="26">
        <f t="shared" si="1099"/>
        <v>82002</v>
      </c>
      <c r="BF138" s="26">
        <f t="shared" si="1099"/>
        <v>85765</v>
      </c>
      <c r="BG138" s="26">
        <f t="shared" si="1099"/>
        <v>93105</v>
      </c>
      <c r="BH138" s="26">
        <f t="shared" ref="BH138" si="1100">BH137+BH129+BH131</f>
        <v>76615</v>
      </c>
      <c r="BI138" s="26">
        <f t="shared" si="1099"/>
        <v>84720</v>
      </c>
      <c r="BJ138" s="26">
        <f t="shared" si="1099"/>
        <v>89899</v>
      </c>
      <c r="BK138" s="26">
        <f t="shared" si="1099"/>
        <v>98030</v>
      </c>
      <c r="BL138" s="26">
        <f t="shared" si="1099"/>
        <v>95559</v>
      </c>
      <c r="BM138" s="26">
        <f t="shared" si="1099"/>
        <v>103677</v>
      </c>
      <c r="BN138" s="26">
        <f t="shared" si="1099"/>
        <v>84749</v>
      </c>
      <c r="BO138" s="26">
        <f t="shared" si="1099"/>
        <v>91757</v>
      </c>
      <c r="BP138" s="26">
        <f t="shared" si="1099"/>
        <v>95775</v>
      </c>
      <c r="BQ138" s="26">
        <f t="shared" si="1099"/>
        <v>104476</v>
      </c>
      <c r="BR138" s="26">
        <f t="shared" si="1099"/>
        <v>87108</v>
      </c>
      <c r="BS138" s="26">
        <f t="shared" si="1099"/>
        <v>96116</v>
      </c>
      <c r="BT138" s="26">
        <f t="shared" si="1099"/>
        <v>97626</v>
      </c>
      <c r="BU138" s="26">
        <f t="shared" si="1099"/>
        <v>107395</v>
      </c>
      <c r="BV138" s="26">
        <f t="shared" si="1099"/>
        <v>89846</v>
      </c>
      <c r="BW138" s="26">
        <f t="shared" si="1099"/>
        <v>99324</v>
      </c>
      <c r="BX138" s="26">
        <f t="shared" si="1099"/>
        <v>98112</v>
      </c>
      <c r="BY138" s="26">
        <f t="shared" si="1099"/>
        <v>108958</v>
      </c>
      <c r="BZ138" s="26">
        <f t="shared" si="1099"/>
        <v>91206</v>
      </c>
      <c r="CA138" s="26">
        <f t="shared" si="1099"/>
        <v>102280</v>
      </c>
      <c r="CB138" s="26">
        <f t="shared" si="1099"/>
        <v>101412</v>
      </c>
      <c r="CC138" s="26">
        <f t="shared" si="1099"/>
        <v>112470</v>
      </c>
      <c r="CD138" s="26">
        <f t="shared" si="1099"/>
        <v>91319</v>
      </c>
      <c r="CE138" s="26">
        <f t="shared" si="1099"/>
        <v>103359</v>
      </c>
      <c r="CF138" s="26">
        <f t="shared" ref="CF138:CG138" si="1101">CF137+CF129+CF131</f>
        <v>102383</v>
      </c>
      <c r="CG138" s="26">
        <f t="shared" si="1101"/>
        <v>114763</v>
      </c>
      <c r="CH138" s="26">
        <f t="shared" ref="CH138:CI138" si="1102">CH137+CH129+CH131</f>
        <v>95771</v>
      </c>
      <c r="CI138" s="26">
        <f t="shared" si="1102"/>
        <v>108531</v>
      </c>
      <c r="CJ138" s="26">
        <f t="shared" ref="CJ138:DB138" si="1103">CJ137+CJ129+CJ131</f>
        <v>107461</v>
      </c>
      <c r="CK138" s="26">
        <f t="shared" si="1103"/>
        <v>118118</v>
      </c>
      <c r="CL138" s="26">
        <f t="shared" ref="CL138" si="1104">CL137+CL129+CL131</f>
        <v>108478</v>
      </c>
      <c r="CM138" s="27">
        <f t="shared" si="1103"/>
        <v>122169.56372456517</v>
      </c>
      <c r="CN138" s="27">
        <f t="shared" si="1103"/>
        <v>136341.06320943555</v>
      </c>
      <c r="CO138" s="27">
        <f t="shared" si="1103"/>
        <v>150850.07369606034</v>
      </c>
      <c r="CP138" s="27">
        <f t="shared" si="1103"/>
        <v>165532.39923112054</v>
      </c>
      <c r="CQ138" s="27">
        <f t="shared" si="1103"/>
        <v>180613.72121258051</v>
      </c>
      <c r="CR138" s="27">
        <f t="shared" si="1103"/>
        <v>196037.01649327064</v>
      </c>
      <c r="CS138" s="27">
        <f t="shared" si="1103"/>
        <v>211768.38766357803</v>
      </c>
      <c r="CT138" s="27">
        <f t="shared" si="1103"/>
        <v>227801.9213062833</v>
      </c>
      <c r="CU138" s="27">
        <f t="shared" si="1103"/>
        <v>244175.32736556453</v>
      </c>
      <c r="CV138" s="27">
        <f t="shared" si="1103"/>
        <v>260873.71248265629</v>
      </c>
      <c r="CW138" s="27">
        <f t="shared" si="1103"/>
        <v>277893.83330262784</v>
      </c>
      <c r="CX138" s="27">
        <f t="shared" si="1103"/>
        <v>295240.55556441867</v>
      </c>
      <c r="CY138" s="27">
        <f t="shared" si="1103"/>
        <v>312921.51777285448</v>
      </c>
      <c r="CZ138" s="27">
        <f t="shared" si="1103"/>
        <v>330935.89973090059</v>
      </c>
      <c r="DA138" s="27">
        <f t="shared" si="1103"/>
        <v>349286.63092124136</v>
      </c>
      <c r="DB138" s="27">
        <f t="shared" si="1103"/>
        <v>367978.18796256132</v>
      </c>
      <c r="DE138" s="121"/>
      <c r="DF138" s="26">
        <v>128936.39051392434</v>
      </c>
    </row>
    <row r="139" spans="1:110" s="23" customFormat="1" x14ac:dyDescent="0.2">
      <c r="AB139" s="24"/>
      <c r="AC139" s="24"/>
      <c r="AD139" s="24"/>
      <c r="AE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outlineLevel="1" x14ac:dyDescent="0.2">
      <c r="A140" s="23" t="s">
        <v>50</v>
      </c>
      <c r="B140" s="23">
        <f>'Annual Raw'!C62</f>
        <v>0</v>
      </c>
      <c r="C140" s="23">
        <f>'Annual Raw'!D62</f>
        <v>0</v>
      </c>
      <c r="D140" s="23">
        <f>'Annual Raw'!E62</f>
        <v>0</v>
      </c>
      <c r="E140" s="23">
        <f>'Annual Raw'!F62-E144</f>
        <v>281.99</v>
      </c>
      <c r="F140" s="23">
        <f>'Annual Raw'!G62-F144</f>
        <v>1170.6500000000001</v>
      </c>
      <c r="G140" s="23">
        <f>'Annual Raw'!H62-G144</f>
        <v>1951.04</v>
      </c>
      <c r="H140" s="23">
        <f>'Annual Raw'!I62-H144</f>
        <v>2941.96</v>
      </c>
      <c r="I140" s="23">
        <f>'Annual Raw'!J62-I144</f>
        <v>4074.8900000000003</v>
      </c>
      <c r="J140" s="23">
        <f>'Annual Raw'!K62-J144</f>
        <v>8926.34</v>
      </c>
      <c r="K140" s="23">
        <f>'Annual Raw'!L62-K144</f>
        <v>6270.93</v>
      </c>
      <c r="L140" s="23">
        <f>'Annual Raw'!M62-L144</f>
        <v>7655.2199999999993</v>
      </c>
      <c r="M140" s="23">
        <f>'Annual Raw'!N62-M144</f>
        <v>9314.6400000000012</v>
      </c>
      <c r="N140" s="23">
        <f>'Annual Raw'!O62-N144</f>
        <v>11510.9</v>
      </c>
      <c r="O140" s="23">
        <f>'Annual Raw'!P62-O144</f>
        <v>13788.740000000002</v>
      </c>
      <c r="P140" s="23">
        <f>'Annual Raw'!Q62-P144</f>
        <v>17240.66</v>
      </c>
      <c r="Q140" s="23">
        <f>'Annual Raw'!R62-Q144</f>
        <v>19909</v>
      </c>
      <c r="R140" s="23">
        <f>'Annual Raw'!S62-R144</f>
        <v>21391</v>
      </c>
      <c r="S140" s="23">
        <f>'Annual Raw'!T62-S144</f>
        <v>23258</v>
      </c>
      <c r="T140" s="23">
        <f>'Annual Raw'!U62-T144</f>
        <v>24868</v>
      </c>
      <c r="U140" s="23">
        <f>'Annual Raw'!V62-U144</f>
        <v>36259</v>
      </c>
      <c r="V140" s="23">
        <f>'Annual Raw'!W62-V144</f>
        <v>38648</v>
      </c>
      <c r="W140" s="23">
        <f>'Annual Raw'!X62-W144</f>
        <v>42814</v>
      </c>
      <c r="X140" s="23">
        <f>'Annual Raw'!Y62-X144</f>
        <v>46616</v>
      </c>
      <c r="Y140" s="23">
        <f>'Annual Raw'!Z62-Y144</f>
        <v>50280</v>
      </c>
      <c r="Z140" s="23">
        <f>'Annual Raw'!AA62-Z144</f>
        <v>57916</v>
      </c>
      <c r="AA140" s="23">
        <f>'Annual Raw'!AB62-AA144</f>
        <v>61650</v>
      </c>
      <c r="AB140" s="24">
        <f t="shared" ref="AB140:AB146" si="1105">+CP140</f>
        <v>57491</v>
      </c>
      <c r="AC140" s="24">
        <f t="shared" ref="AC140:AC146" si="1106">+CT140</f>
        <v>61491</v>
      </c>
      <c r="AD140" s="24">
        <f t="shared" ref="AD140:AD146" si="1107">+CX140</f>
        <v>65491</v>
      </c>
      <c r="AE140" s="24">
        <f t="shared" ref="AE140:AE146" si="1108">+DB140</f>
        <v>69491</v>
      </c>
      <c r="AJ140" s="23">
        <f>+'QTR Raw'!D68</f>
        <v>7151.24</v>
      </c>
      <c r="AL140" s="23">
        <f>+'QTR Raw'!F68</f>
        <v>8141.87</v>
      </c>
      <c r="AN140" s="23">
        <f>+'QTR Raw'!H68</f>
        <v>9221.86</v>
      </c>
      <c r="AP140" s="23">
        <f>+'QTR Raw'!J68</f>
        <v>10444.030000000001</v>
      </c>
      <c r="AR140" s="23">
        <f>+'QTR Raw'!L68</f>
        <v>11877.83</v>
      </c>
      <c r="AT140" s="23">
        <f>+'QTR Raw'!N68</f>
        <v>12311.32</v>
      </c>
      <c r="AV140" s="23">
        <f>+'QTR Raw'!P68</f>
        <v>12357.95</v>
      </c>
      <c r="AX140" s="23">
        <f>+'QTR Raw'!R68</f>
        <v>10105</v>
      </c>
      <c r="AZ140" s="23">
        <f>+'QTR Raw'!T68</f>
        <v>10304</v>
      </c>
      <c r="BB140" s="23">
        <f>+'QTR Raw'!V68</f>
        <v>10104</v>
      </c>
      <c r="BD140" s="23">
        <f>+'QTR Raw'!X68</f>
        <v>10372</v>
      </c>
      <c r="BF140" s="23">
        <f>+'QTR Raw'!Z68</f>
        <v>10228</v>
      </c>
      <c r="BH140" s="23">
        <f>+'QTR Raw'!AB68</f>
        <v>10494</v>
      </c>
      <c r="BJ140" s="23">
        <f>+'QTR Raw'!AD68</f>
        <v>10590</v>
      </c>
      <c r="BL140" s="23">
        <f>+'QTR Raw'!AF68</f>
        <v>10577</v>
      </c>
      <c r="BN140" s="23">
        <f>+'QTR Raw'!AH68</f>
        <v>11224</v>
      </c>
      <c r="BP140" s="23">
        <f>+'QTR Raw'!AJ68</f>
        <v>11108</v>
      </c>
      <c r="BR140" s="23">
        <f>+'QTR Raw'!AL68</f>
        <v>11590</v>
      </c>
      <c r="BT140" s="23">
        <f>+'QTR Raw'!AN68</f>
        <v>11250</v>
      </c>
      <c r="BV140" s="23">
        <f>+'QTR Raw'!AP68</f>
        <v>11875</v>
      </c>
      <c r="BX140" s="23">
        <f>+'QTR Raw'!AR68</f>
        <v>11295</v>
      </c>
      <c r="BZ140" s="23">
        <f>+'QTR Raw'!AT68</f>
        <v>11097</v>
      </c>
      <c r="CB140" s="23">
        <f>+'QTR Raw'!AV68</f>
        <v>10115</v>
      </c>
      <c r="CD140" s="23">
        <f>+'QTR Raw'!AX68</f>
        <v>9886</v>
      </c>
      <c r="CF140" s="23">
        <f>+'QTR Raw'!AZ68</f>
        <v>9851</v>
      </c>
      <c r="CH140" s="23">
        <f t="shared" ref="CH140:CH146" si="1109">Z140</f>
        <v>57916</v>
      </c>
      <c r="CI140" s="23">
        <f>CH140</f>
        <v>57916</v>
      </c>
      <c r="CJ140" s="23">
        <f>+CJ141+CJ143</f>
        <v>50922</v>
      </c>
      <c r="CK140" s="23">
        <f>CJ140</f>
        <v>50922</v>
      </c>
      <c r="CL140" s="23">
        <f>+CL141+CL143</f>
        <v>53491</v>
      </c>
      <c r="CM140" s="24">
        <f t="shared" ref="CM140:CQ140" si="1110">+CL140+1000</f>
        <v>54491</v>
      </c>
      <c r="CN140" s="24">
        <f t="shared" si="1110"/>
        <v>55491</v>
      </c>
      <c r="CO140" s="24">
        <f t="shared" si="1110"/>
        <v>56491</v>
      </c>
      <c r="CP140" s="24">
        <f t="shared" si="1110"/>
        <v>57491</v>
      </c>
      <c r="CQ140" s="24">
        <f t="shared" si="1110"/>
        <v>58491</v>
      </c>
      <c r="CR140" s="24">
        <f t="shared" ref="CR140" si="1111">+CQ140+1000</f>
        <v>59491</v>
      </c>
      <c r="CS140" s="24">
        <f t="shared" ref="CS140" si="1112">+CR140+1000</f>
        <v>60491</v>
      </c>
      <c r="CT140" s="24">
        <f t="shared" ref="CT140" si="1113">+CS140+1000</f>
        <v>61491</v>
      </c>
      <c r="CU140" s="24">
        <f t="shared" ref="CU140" si="1114">+CT140+1000</f>
        <v>62491</v>
      </c>
      <c r="CV140" s="24">
        <f t="shared" ref="CV140" si="1115">+CU140+1000</f>
        <v>63491</v>
      </c>
      <c r="CW140" s="24">
        <f t="shared" ref="CW140" si="1116">+CV140+1000</f>
        <v>64491</v>
      </c>
      <c r="CX140" s="24">
        <f t="shared" ref="CX140" si="1117">+CW140+1000</f>
        <v>65491</v>
      </c>
      <c r="CY140" s="24">
        <f t="shared" ref="CY140" si="1118">+CX140+1000</f>
        <v>66491</v>
      </c>
      <c r="CZ140" s="24">
        <f t="shared" ref="CZ140" si="1119">+CY140+1000</f>
        <v>67491</v>
      </c>
      <c r="DA140" s="24">
        <f t="shared" ref="DA140" si="1120">+CZ140+1000</f>
        <v>68491</v>
      </c>
      <c r="DB140" s="24">
        <f t="shared" ref="DB140" si="1121">+DA140+1000</f>
        <v>69491</v>
      </c>
      <c r="DE140" s="123"/>
      <c r="DF140" s="23">
        <v>52922</v>
      </c>
    </row>
    <row r="141" spans="1:110" s="23" customFormat="1" outlineLevel="1" x14ac:dyDescent="0.2">
      <c r="A141" s="23" t="s">
        <v>51</v>
      </c>
      <c r="B141" s="23">
        <f>'Annual Raw'!C63</f>
        <v>0</v>
      </c>
      <c r="C141" s="23">
        <f>'Annual Raw'!D63</f>
        <v>0</v>
      </c>
      <c r="D141" s="23">
        <f>'Annual Raw'!E63</f>
        <v>0</v>
      </c>
      <c r="E141" s="23">
        <f>'Annual Raw'!F63</f>
        <v>0.95</v>
      </c>
      <c r="F141" s="23">
        <f>'Annual Raw'!G63</f>
        <v>155.93</v>
      </c>
      <c r="G141" s="23">
        <f>'Annual Raw'!H63</f>
        <v>661.91</v>
      </c>
      <c r="H141" s="23">
        <f>'Annual Raw'!I63</f>
        <v>1079.1600000000001</v>
      </c>
      <c r="I141" s="23">
        <f>'Annual Raw'!J63</f>
        <v>1622.2</v>
      </c>
      <c r="J141" s="23">
        <f>'Annual Raw'!K63</f>
        <v>2359.7199999999998</v>
      </c>
      <c r="K141" s="23">
        <f>'Annual Raw'!L63</f>
        <v>2897.47</v>
      </c>
      <c r="L141" s="23">
        <f>'Annual Raw'!M63</f>
        <v>3545.15</v>
      </c>
      <c r="M141" s="23">
        <f>'Annual Raw'!N63</f>
        <v>4329.2299999999996</v>
      </c>
      <c r="N141" s="23">
        <f>'Annual Raw'!O63</f>
        <v>5376.48</v>
      </c>
      <c r="O141" s="23">
        <f>'Annual Raw'!P63</f>
        <v>6621.86</v>
      </c>
      <c r="P141" s="23">
        <f>'Annual Raw'!Q63</f>
        <v>7771.1</v>
      </c>
      <c r="Q141" s="23">
        <f>'Annual Raw'!R63</f>
        <v>9812</v>
      </c>
      <c r="R141" s="23">
        <f>'Annual Raw'!S63</f>
        <v>11287</v>
      </c>
      <c r="S141" s="23">
        <f>'Annual Raw'!T63</f>
        <v>13030</v>
      </c>
      <c r="T141" s="23">
        <f>'Annual Raw'!U63</f>
        <v>14303</v>
      </c>
      <c r="U141" s="23">
        <f>'Annual Raw'!V63</f>
        <v>17056</v>
      </c>
      <c r="V141" s="23">
        <f>'Annual Raw'!W63</f>
        <v>19430</v>
      </c>
      <c r="W141" s="23">
        <f>'Annual Raw'!X63</f>
        <v>23303</v>
      </c>
      <c r="X141" s="23">
        <f>'Annual Raw'!Y63</f>
        <v>27959</v>
      </c>
      <c r="Y141" s="23">
        <f>'Annual Raw'!Z63</f>
        <v>32508</v>
      </c>
      <c r="Z141" s="23">
        <f>'Annual Raw'!AA63</f>
        <v>36723</v>
      </c>
      <c r="AA141" s="23">
        <f>'Annual Raw'!AB63</f>
        <v>39500</v>
      </c>
      <c r="AB141" s="24">
        <f t="shared" si="1105"/>
        <v>48123.477357405107</v>
      </c>
      <c r="AC141" s="24">
        <f t="shared" si="1106"/>
        <v>53130.373345768618</v>
      </c>
      <c r="AD141" s="24">
        <f t="shared" si="1107"/>
        <v>57681.230180438914</v>
      </c>
      <c r="AE141" s="24">
        <f t="shared" si="1108"/>
        <v>61982.595222915807</v>
      </c>
      <c r="AJ141" s="23">
        <f>+'QTR Raw'!D69</f>
        <v>0</v>
      </c>
      <c r="AL141" s="23">
        <f>+'QTR Raw'!F69</f>
        <v>0</v>
      </c>
      <c r="AN141" s="23">
        <f>+'QTR Raw'!H69</f>
        <v>0</v>
      </c>
      <c r="AP141" s="23">
        <f>+'QTR Raw'!J69</f>
        <v>0</v>
      </c>
      <c r="AR141" s="23">
        <f>+'QTR Raw'!L69</f>
        <v>0</v>
      </c>
      <c r="AT141" s="23">
        <f>+'QTR Raw'!N69</f>
        <v>0</v>
      </c>
      <c r="AV141" s="23">
        <f>+'QTR Raw'!P69</f>
        <v>0</v>
      </c>
      <c r="AX141" s="23">
        <f>+'QTR Raw'!R69</f>
        <v>0</v>
      </c>
      <c r="AZ141" s="23">
        <f>+'QTR Raw'!T69</f>
        <v>0</v>
      </c>
      <c r="BB141" s="23">
        <f>+'QTR Raw'!V69</f>
        <v>0</v>
      </c>
      <c r="BD141" s="23">
        <f>+'QTR Raw'!X69</f>
        <v>0</v>
      </c>
      <c r="BF141" s="23">
        <f>+'QTR Raw'!Z69</f>
        <v>0</v>
      </c>
      <c r="BH141" s="23">
        <f>+'QTR Raw'!AB69</f>
        <v>0</v>
      </c>
      <c r="BJ141" s="23">
        <f>+'QTR Raw'!AD69</f>
        <v>0</v>
      </c>
      <c r="BL141" s="23">
        <f>+'QTR Raw'!AF69</f>
        <v>0</v>
      </c>
      <c r="BN141" s="23">
        <f>+'QTR Raw'!AH69</f>
        <v>0</v>
      </c>
      <c r="BP141" s="23">
        <f>+'QTR Raw'!AJ69</f>
        <v>0</v>
      </c>
      <c r="BR141" s="23">
        <f>+'QTR Raw'!AL69</f>
        <v>0</v>
      </c>
      <c r="BT141" s="23">
        <f>+'QTR Raw'!AN69</f>
        <v>0</v>
      </c>
      <c r="BV141" s="23">
        <f>+'QTR Raw'!AP69</f>
        <v>0</v>
      </c>
      <c r="BX141" s="23">
        <f>+'QTR Raw'!AR69</f>
        <v>0</v>
      </c>
      <c r="BZ141" s="23">
        <f>+'QTR Raw'!AT69</f>
        <v>0</v>
      </c>
      <c r="CB141" s="23">
        <f>+'QTR Raw'!AV69</f>
        <v>0</v>
      </c>
      <c r="CD141" s="23">
        <f>+'QTR Raw'!AX69</f>
        <v>0</v>
      </c>
      <c r="CF141" s="23">
        <f>+'QTR Raw'!AZ69</f>
        <v>0</v>
      </c>
      <c r="CH141" s="23">
        <f t="shared" si="1109"/>
        <v>36723</v>
      </c>
      <c r="CI141" s="23">
        <f t="shared" ref="CI141:CL141" si="1122">CH141+CI41</f>
        <v>38084</v>
      </c>
      <c r="CJ141" s="23">
        <f t="shared" si="1122"/>
        <v>39497</v>
      </c>
      <c r="CK141" s="23">
        <f t="shared" si="1122"/>
        <v>40877</v>
      </c>
      <c r="CL141" s="23">
        <f t="shared" si="1122"/>
        <v>42283</v>
      </c>
      <c r="CM141" s="24">
        <f t="shared" ref="CM141" si="1123">CL141+CM41</f>
        <v>43851.785266301646</v>
      </c>
      <c r="CN141" s="24">
        <f t="shared" ref="CN141" si="1124">CM141+CN41</f>
        <v>45340.957582437026</v>
      </c>
      <c r="CO141" s="24">
        <f t="shared" ref="CO141" si="1125">CN141+CO41</f>
        <v>46761.660383740513</v>
      </c>
      <c r="CP141" s="24">
        <f t="shared" ref="CP141" si="1126">CO141+CP41</f>
        <v>48123.477357405107</v>
      </c>
      <c r="CQ141" s="24">
        <f t="shared" ref="CQ141" si="1127">CP141+CQ41</f>
        <v>49434.650760639393</v>
      </c>
      <c r="CR141" s="24">
        <f t="shared" ref="CR141" si="1128">CQ141+CR41</f>
        <v>50702.269180802759</v>
      </c>
      <c r="CS141" s="24">
        <f t="shared" ref="CS141" si="1129">CR141+CS41</f>
        <v>51932.429014729219</v>
      </c>
      <c r="CT141" s="24">
        <f t="shared" ref="CT141" si="1130">CS141+CT41</f>
        <v>53130.373345768618</v>
      </c>
      <c r="CU141" s="24">
        <f t="shared" ref="CU141" si="1131">CT141+CU41</f>
        <v>54300.611382189658</v>
      </c>
      <c r="CV141" s="24">
        <f t="shared" ref="CV141" si="1132">CU141+CV41</f>
        <v>55447.021177773662</v>
      </c>
      <c r="CW141" s="24">
        <f t="shared" ref="CW141" si="1133">CV141+CW41</f>
        <v>56572.937974592998</v>
      </c>
      <c r="CX141" s="24">
        <f t="shared" ref="CX141" si="1134">CW141+CX41</f>
        <v>57681.230180438914</v>
      </c>
      <c r="CY141" s="24">
        <f t="shared" ref="CY141" si="1135">CX141+CY41</f>
        <v>58774.364711678623</v>
      </c>
      <c r="CZ141" s="24">
        <f t="shared" ref="CZ141" si="1136">CY141+CZ41</f>
        <v>59854.463190063878</v>
      </c>
      <c r="DA141" s="24">
        <f t="shared" ref="DA141" si="1137">CZ141+DA41</f>
        <v>60923.350273664691</v>
      </c>
      <c r="DB141" s="24">
        <f t="shared" ref="DB141" si="1138">DA141+DB41</f>
        <v>61982.595222915807</v>
      </c>
      <c r="DE141" s="123"/>
      <c r="DF141" s="23">
        <v>42211.100656455143</v>
      </c>
    </row>
    <row r="142" spans="1:110" s="23" customFormat="1" outlineLevel="1" x14ac:dyDescent="0.2">
      <c r="A142" s="23" t="s">
        <v>52</v>
      </c>
      <c r="B142" s="23">
        <f>'Annual Raw'!C64</f>
        <v>0</v>
      </c>
      <c r="C142" s="23">
        <f>'Annual Raw'!D64</f>
        <v>0</v>
      </c>
      <c r="D142" s="23">
        <f>'Annual Raw'!E64</f>
        <v>0</v>
      </c>
      <c r="E142" s="23">
        <f>'Annual Raw'!F64</f>
        <v>0</v>
      </c>
      <c r="F142" s="23">
        <f>'Annual Raw'!G64</f>
        <v>0</v>
      </c>
      <c r="G142" s="23">
        <f>'Annual Raw'!H64</f>
        <v>0</v>
      </c>
      <c r="H142" s="23">
        <f>'Annual Raw'!I64</f>
        <v>0</v>
      </c>
      <c r="I142" s="23">
        <f>'Annual Raw'!J64</f>
        <v>0</v>
      </c>
      <c r="J142" s="23">
        <f>'Annual Raw'!K64</f>
        <v>0</v>
      </c>
      <c r="K142" s="23">
        <f>'Annual Raw'!L64</f>
        <v>0</v>
      </c>
      <c r="L142" s="23">
        <f>'Annual Raw'!M64</f>
        <v>0</v>
      </c>
      <c r="M142" s="23">
        <f>'Annual Raw'!N64</f>
        <v>0</v>
      </c>
      <c r="N142" s="23">
        <f>'Annual Raw'!O64</f>
        <v>0</v>
      </c>
      <c r="O142" s="23">
        <f>'Annual Raw'!P64</f>
        <v>0</v>
      </c>
      <c r="P142" s="23">
        <f>'Annual Raw'!Q64</f>
        <v>0</v>
      </c>
      <c r="Q142" s="23">
        <f>'Annual Raw'!R64</f>
        <v>0</v>
      </c>
      <c r="R142" s="23">
        <f>'Annual Raw'!S64</f>
        <v>0</v>
      </c>
      <c r="S142" s="23">
        <f>'Annual Raw'!T64</f>
        <v>0</v>
      </c>
      <c r="T142" s="23">
        <f>'Annual Raw'!U64</f>
        <v>0</v>
      </c>
      <c r="U142" s="23">
        <f>'Annual Raw'!V64</f>
        <v>0</v>
      </c>
      <c r="V142" s="23">
        <f>'Annual Raw'!W64</f>
        <v>0</v>
      </c>
      <c r="W142" s="23">
        <f>'Annual Raw'!X64</f>
        <v>0</v>
      </c>
      <c r="X142" s="23">
        <f>'Annual Raw'!Y64</f>
        <v>0</v>
      </c>
      <c r="Y142" s="23">
        <f>'Annual Raw'!Z64</f>
        <v>0</v>
      </c>
      <c r="Z142" s="23">
        <f>'Annual Raw'!AA64</f>
        <v>0</v>
      </c>
      <c r="AA142" s="23">
        <f>'Annual Raw'!AB64</f>
        <v>0</v>
      </c>
      <c r="AB142" s="24">
        <f t="shared" si="1105"/>
        <v>0</v>
      </c>
      <c r="AC142" s="24">
        <f t="shared" si="1106"/>
        <v>0</v>
      </c>
      <c r="AD142" s="24">
        <f t="shared" si="1107"/>
        <v>0</v>
      </c>
      <c r="AE142" s="24">
        <f t="shared" si="1108"/>
        <v>0</v>
      </c>
      <c r="AJ142" s="23">
        <f>+'QTR Raw'!D70</f>
        <v>0</v>
      </c>
      <c r="AL142" s="23">
        <f>+'QTR Raw'!F70</f>
        <v>0</v>
      </c>
      <c r="AN142" s="23">
        <f>+'QTR Raw'!H70</f>
        <v>0</v>
      </c>
      <c r="AP142" s="23">
        <f>+'QTR Raw'!J70</f>
        <v>0</v>
      </c>
      <c r="AR142" s="23">
        <f>+'QTR Raw'!L70</f>
        <v>0</v>
      </c>
      <c r="AT142" s="23">
        <f>+'QTR Raw'!N70</f>
        <v>0</v>
      </c>
      <c r="AV142" s="23">
        <f>+'QTR Raw'!P70</f>
        <v>0</v>
      </c>
      <c r="AX142" s="23">
        <f>+'QTR Raw'!R70</f>
        <v>0</v>
      </c>
      <c r="AZ142" s="23">
        <f>+'QTR Raw'!T70</f>
        <v>0</v>
      </c>
      <c r="BB142" s="23">
        <f>+'QTR Raw'!V70</f>
        <v>0</v>
      </c>
      <c r="BD142" s="23">
        <f>+'QTR Raw'!X70</f>
        <v>0</v>
      </c>
      <c r="BF142" s="23">
        <f>+'QTR Raw'!Z70</f>
        <v>0</v>
      </c>
      <c r="BH142" s="23">
        <f>+'QTR Raw'!AB70</f>
        <v>0</v>
      </c>
      <c r="BJ142" s="23">
        <f>+'QTR Raw'!AD70</f>
        <v>0</v>
      </c>
      <c r="BL142" s="23">
        <f>+'QTR Raw'!AF70</f>
        <v>0</v>
      </c>
      <c r="BN142" s="23">
        <f>+'QTR Raw'!AH70</f>
        <v>0</v>
      </c>
      <c r="BP142" s="23">
        <f>+'QTR Raw'!AJ70</f>
        <v>0</v>
      </c>
      <c r="BR142" s="23">
        <f>+'QTR Raw'!AL70</f>
        <v>0</v>
      </c>
      <c r="BT142" s="23">
        <f>+'QTR Raw'!AN70</f>
        <v>0</v>
      </c>
      <c r="BV142" s="23">
        <f>+'QTR Raw'!AP70</f>
        <v>0</v>
      </c>
      <c r="BX142" s="23">
        <f>+'QTR Raw'!AR70</f>
        <v>0</v>
      </c>
      <c r="BZ142" s="23">
        <f>+'QTR Raw'!AT70</f>
        <v>0</v>
      </c>
      <c r="CB142" s="23">
        <f>+'QTR Raw'!AV70</f>
        <v>0</v>
      </c>
      <c r="CD142" s="23">
        <f>+'QTR Raw'!AX70</f>
        <v>0</v>
      </c>
      <c r="CF142" s="23">
        <f>+'QTR Raw'!AZ70</f>
        <v>0</v>
      </c>
      <c r="CH142" s="23">
        <f t="shared" si="1109"/>
        <v>0</v>
      </c>
      <c r="CI142" s="23">
        <f>CH142</f>
        <v>0</v>
      </c>
      <c r="CJ142" s="23">
        <f>+'QTR Raw'!BD70</f>
        <v>0</v>
      </c>
      <c r="CK142" s="23">
        <f>CJ142</f>
        <v>0</v>
      </c>
      <c r="CL142" s="23">
        <f>+'QTR Raw'!BF70</f>
        <v>0</v>
      </c>
      <c r="CM142" s="24">
        <f t="shared" ref="CM142" si="1139">CL142</f>
        <v>0</v>
      </c>
      <c r="CN142" s="24">
        <f t="shared" ref="CN142" si="1140">CM142</f>
        <v>0</v>
      </c>
      <c r="CO142" s="24">
        <f t="shared" ref="CO142" si="1141">CN142</f>
        <v>0</v>
      </c>
      <c r="CP142" s="24">
        <f t="shared" ref="CP142" si="1142">CO142</f>
        <v>0</v>
      </c>
      <c r="CQ142" s="24">
        <f t="shared" ref="CQ142" si="1143">CP142</f>
        <v>0</v>
      </c>
      <c r="CR142" s="24">
        <f t="shared" ref="CR142" si="1144">CQ142</f>
        <v>0</v>
      </c>
      <c r="CS142" s="24">
        <f t="shared" ref="CS142" si="1145">CR142</f>
        <v>0</v>
      </c>
      <c r="CT142" s="24">
        <f t="shared" ref="CT142" si="1146">CS142</f>
        <v>0</v>
      </c>
      <c r="CU142" s="24">
        <f t="shared" ref="CU142" si="1147">CT142</f>
        <v>0</v>
      </c>
      <c r="CV142" s="24">
        <f t="shared" ref="CV142" si="1148">CU142</f>
        <v>0</v>
      </c>
      <c r="CW142" s="24">
        <f t="shared" ref="CW142" si="1149">CV142</f>
        <v>0</v>
      </c>
      <c r="CX142" s="24">
        <f t="shared" ref="CX142" si="1150">CW142</f>
        <v>0</v>
      </c>
      <c r="CY142" s="24">
        <f t="shared" ref="CY142" si="1151">CX142</f>
        <v>0</v>
      </c>
      <c r="CZ142" s="24">
        <f t="shared" ref="CZ142" si="1152">CY142</f>
        <v>0</v>
      </c>
      <c r="DA142" s="24">
        <f t="shared" ref="DA142" si="1153">CZ142</f>
        <v>0</v>
      </c>
      <c r="DB142" s="24">
        <f t="shared" ref="DB142" si="1154">DA142</f>
        <v>0</v>
      </c>
      <c r="DE142" s="123"/>
      <c r="DF142" s="23">
        <v>0</v>
      </c>
    </row>
    <row r="143" spans="1:110" s="22" customFormat="1" outlineLevel="1" x14ac:dyDescent="0.2">
      <c r="A143" s="22" t="s">
        <v>53</v>
      </c>
      <c r="B143" s="22">
        <f>+B140-B141-B142</f>
        <v>0</v>
      </c>
      <c r="C143" s="22">
        <f t="shared" ref="C143:W143" si="1155">+C140-C141-C142</f>
        <v>0</v>
      </c>
      <c r="D143" s="22">
        <f t="shared" si="1155"/>
        <v>0</v>
      </c>
      <c r="E143" s="22">
        <f t="shared" si="1155"/>
        <v>281.04000000000002</v>
      </c>
      <c r="F143" s="22">
        <f t="shared" si="1155"/>
        <v>1014.72</v>
      </c>
      <c r="G143" s="22">
        <f t="shared" si="1155"/>
        <v>1289.1300000000001</v>
      </c>
      <c r="H143" s="22">
        <f t="shared" si="1155"/>
        <v>1862.8</v>
      </c>
      <c r="I143" s="22">
        <f t="shared" si="1155"/>
        <v>2452.6900000000005</v>
      </c>
      <c r="J143" s="22">
        <f t="shared" si="1155"/>
        <v>6566.6200000000008</v>
      </c>
      <c r="K143" s="22">
        <f t="shared" si="1155"/>
        <v>3373.4600000000005</v>
      </c>
      <c r="L143" s="22">
        <f t="shared" si="1155"/>
        <v>4110.07</v>
      </c>
      <c r="M143" s="22">
        <f t="shared" si="1155"/>
        <v>4985.4100000000017</v>
      </c>
      <c r="N143" s="22">
        <f t="shared" si="1155"/>
        <v>6134.42</v>
      </c>
      <c r="O143" s="22">
        <f t="shared" si="1155"/>
        <v>7166.8800000000019</v>
      </c>
      <c r="P143" s="22">
        <f t="shared" si="1155"/>
        <v>9469.56</v>
      </c>
      <c r="Q143" s="22">
        <f t="shared" si="1155"/>
        <v>10097</v>
      </c>
      <c r="R143" s="22">
        <f t="shared" si="1155"/>
        <v>10104</v>
      </c>
      <c r="S143" s="22">
        <f t="shared" si="1155"/>
        <v>10228</v>
      </c>
      <c r="T143" s="22">
        <f t="shared" si="1155"/>
        <v>10565</v>
      </c>
      <c r="U143" s="22">
        <f t="shared" si="1155"/>
        <v>19203</v>
      </c>
      <c r="V143" s="22">
        <f t="shared" si="1155"/>
        <v>19218</v>
      </c>
      <c r="W143" s="22">
        <f t="shared" si="1155"/>
        <v>19511</v>
      </c>
      <c r="X143" s="22">
        <f t="shared" ref="X143:Y143" si="1156">+X140-X141-X142</f>
        <v>18657</v>
      </c>
      <c r="Y143" s="22">
        <f t="shared" si="1156"/>
        <v>17772</v>
      </c>
      <c r="Z143" s="22">
        <f t="shared" ref="Z143:AE143" si="1157">+Z140-Z141-Z142</f>
        <v>21193</v>
      </c>
      <c r="AA143" s="22">
        <f t="shared" ref="AA143" si="1158">+AA140-AA141-AA142</f>
        <v>22150</v>
      </c>
      <c r="AB143" s="21">
        <f t="shared" si="1157"/>
        <v>9367.5226425948931</v>
      </c>
      <c r="AC143" s="21">
        <f t="shared" si="1157"/>
        <v>8360.6266542313824</v>
      </c>
      <c r="AD143" s="21">
        <f t="shared" si="1157"/>
        <v>7809.7698195610865</v>
      </c>
      <c r="AE143" s="21">
        <f t="shared" si="1157"/>
        <v>7508.4047770841935</v>
      </c>
      <c r="AJ143" s="22">
        <f t="shared" ref="AJ143:AL143" si="1159">+AJ140-AJ141-AJ142</f>
        <v>7151.24</v>
      </c>
      <c r="AK143" s="22">
        <f t="shared" ref="AK143:CE143" si="1160">+AJ143</f>
        <v>7151.24</v>
      </c>
      <c r="AL143" s="22">
        <f t="shared" si="1159"/>
        <v>8141.87</v>
      </c>
      <c r="AM143" s="22">
        <f t="shared" si="1160"/>
        <v>8141.87</v>
      </c>
      <c r="AN143" s="22">
        <f t="shared" ref="AN143" si="1161">+AN140-AN141-AN142</f>
        <v>9221.86</v>
      </c>
      <c r="AO143" s="22">
        <f t="shared" si="1160"/>
        <v>9221.86</v>
      </c>
      <c r="AP143" s="22">
        <f t="shared" ref="AP143:CD143" si="1162">+AP140-AP141-AP142</f>
        <v>10444.030000000001</v>
      </c>
      <c r="AQ143" s="22">
        <f t="shared" si="1160"/>
        <v>10444.030000000001</v>
      </c>
      <c r="AR143" s="22">
        <f t="shared" si="1162"/>
        <v>11877.83</v>
      </c>
      <c r="AS143" s="22">
        <f t="shared" si="1160"/>
        <v>11877.83</v>
      </c>
      <c r="AT143" s="22">
        <f t="shared" si="1162"/>
        <v>12311.32</v>
      </c>
      <c r="AU143" s="22">
        <f t="shared" si="1160"/>
        <v>12311.32</v>
      </c>
      <c r="AV143" s="22">
        <f t="shared" si="1162"/>
        <v>12357.95</v>
      </c>
      <c r="AW143" s="22">
        <f t="shared" si="1160"/>
        <v>12357.95</v>
      </c>
      <c r="AX143" s="22">
        <f t="shared" si="1162"/>
        <v>10105</v>
      </c>
      <c r="AY143" s="22">
        <f t="shared" si="1160"/>
        <v>10105</v>
      </c>
      <c r="AZ143" s="22">
        <f t="shared" si="1162"/>
        <v>10304</v>
      </c>
      <c r="BA143" s="22">
        <f t="shared" si="1160"/>
        <v>10304</v>
      </c>
      <c r="BB143" s="22">
        <f t="shared" si="1162"/>
        <v>10104</v>
      </c>
      <c r="BC143" s="22">
        <f t="shared" si="1160"/>
        <v>10104</v>
      </c>
      <c r="BD143" s="22">
        <f t="shared" si="1162"/>
        <v>10372</v>
      </c>
      <c r="BE143" s="22">
        <f t="shared" si="1160"/>
        <v>10372</v>
      </c>
      <c r="BF143" s="22">
        <f t="shared" si="1162"/>
        <v>10228</v>
      </c>
      <c r="BG143" s="22">
        <f t="shared" si="1160"/>
        <v>10228</v>
      </c>
      <c r="BH143" s="22">
        <f t="shared" si="1162"/>
        <v>10494</v>
      </c>
      <c r="BI143" s="22">
        <f t="shared" si="1160"/>
        <v>10494</v>
      </c>
      <c r="BJ143" s="22">
        <f t="shared" si="1162"/>
        <v>10590</v>
      </c>
      <c r="BK143" s="22">
        <f t="shared" si="1160"/>
        <v>10590</v>
      </c>
      <c r="BL143" s="22">
        <f t="shared" si="1162"/>
        <v>10577</v>
      </c>
      <c r="BM143" s="22">
        <f t="shared" si="1160"/>
        <v>10577</v>
      </c>
      <c r="BN143" s="22">
        <f t="shared" si="1162"/>
        <v>11224</v>
      </c>
      <c r="BO143" s="22">
        <f t="shared" si="1160"/>
        <v>11224</v>
      </c>
      <c r="BP143" s="22">
        <f t="shared" si="1162"/>
        <v>11108</v>
      </c>
      <c r="BQ143" s="22">
        <f t="shared" si="1160"/>
        <v>11108</v>
      </c>
      <c r="BR143" s="22">
        <f t="shared" si="1162"/>
        <v>11590</v>
      </c>
      <c r="BS143" s="22">
        <f t="shared" si="1160"/>
        <v>11590</v>
      </c>
      <c r="BT143" s="22">
        <f t="shared" si="1162"/>
        <v>11250</v>
      </c>
      <c r="BU143" s="22">
        <f t="shared" si="1160"/>
        <v>11250</v>
      </c>
      <c r="BV143" s="22">
        <f t="shared" si="1162"/>
        <v>11875</v>
      </c>
      <c r="BW143" s="22">
        <f t="shared" si="1160"/>
        <v>11875</v>
      </c>
      <c r="BX143" s="22">
        <f t="shared" si="1162"/>
        <v>11295</v>
      </c>
      <c r="BY143" s="22">
        <f t="shared" si="1160"/>
        <v>11295</v>
      </c>
      <c r="BZ143" s="22">
        <f t="shared" si="1162"/>
        <v>11097</v>
      </c>
      <c r="CA143" s="22">
        <f t="shared" si="1160"/>
        <v>11097</v>
      </c>
      <c r="CB143" s="22">
        <f t="shared" si="1162"/>
        <v>10115</v>
      </c>
      <c r="CC143" s="22">
        <f t="shared" si="1160"/>
        <v>10115</v>
      </c>
      <c r="CD143" s="22">
        <f t="shared" si="1162"/>
        <v>9886</v>
      </c>
      <c r="CE143" s="22">
        <f t="shared" si="1160"/>
        <v>9886</v>
      </c>
      <c r="CF143" s="22">
        <f t="shared" ref="CF143:CI143" si="1163">+CF140-CF141-CF142</f>
        <v>9851</v>
      </c>
      <c r="CG143" s="22">
        <f t="shared" ref="CG143:CK146" si="1164">+CF143</f>
        <v>9851</v>
      </c>
      <c r="CH143" s="22">
        <f t="shared" si="1163"/>
        <v>21193</v>
      </c>
      <c r="CI143" s="22">
        <f t="shared" si="1163"/>
        <v>19832</v>
      </c>
      <c r="CJ143" s="23">
        <f>+'QTR Raw'!BD68</f>
        <v>11425</v>
      </c>
      <c r="CK143" s="23">
        <f t="shared" ref="CK143" si="1165">+CK140-CK141-CK142</f>
        <v>10045</v>
      </c>
      <c r="CL143" s="23">
        <f>+'QTR Raw'!BF68</f>
        <v>11208</v>
      </c>
      <c r="CM143" s="21">
        <f t="shared" ref="CM143:DB143" si="1166">+CM140-CM141-CM142</f>
        <v>10639.214733698354</v>
      </c>
      <c r="CN143" s="21">
        <f t="shared" si="1166"/>
        <v>10150.042417562974</v>
      </c>
      <c r="CO143" s="21">
        <f t="shared" si="1166"/>
        <v>9729.3396162594872</v>
      </c>
      <c r="CP143" s="21">
        <f t="shared" si="1166"/>
        <v>9367.5226425948931</v>
      </c>
      <c r="CQ143" s="21">
        <f t="shared" si="1166"/>
        <v>9056.3492393606066</v>
      </c>
      <c r="CR143" s="21">
        <f t="shared" si="1166"/>
        <v>8788.7308191972406</v>
      </c>
      <c r="CS143" s="21">
        <f t="shared" si="1166"/>
        <v>8558.5709852707805</v>
      </c>
      <c r="CT143" s="21">
        <f t="shared" si="1166"/>
        <v>8360.6266542313824</v>
      </c>
      <c r="CU143" s="21">
        <f t="shared" si="1166"/>
        <v>8190.3886178103421</v>
      </c>
      <c r="CV143" s="21">
        <f t="shared" si="1166"/>
        <v>8043.9788222263378</v>
      </c>
      <c r="CW143" s="21">
        <f t="shared" si="1166"/>
        <v>7918.0620254070018</v>
      </c>
      <c r="CX143" s="21">
        <f t="shared" si="1166"/>
        <v>7809.7698195610865</v>
      </c>
      <c r="CY143" s="21">
        <f t="shared" si="1166"/>
        <v>7716.6352883213767</v>
      </c>
      <c r="CZ143" s="21">
        <f t="shared" si="1166"/>
        <v>7636.5368099361222</v>
      </c>
      <c r="DA143" s="21">
        <f t="shared" si="1166"/>
        <v>7567.6497263353085</v>
      </c>
      <c r="DB143" s="21">
        <f t="shared" si="1166"/>
        <v>7508.4047770841935</v>
      </c>
      <c r="DE143" s="126"/>
      <c r="DF143" s="22">
        <v>10710.899343544857</v>
      </c>
    </row>
    <row r="144" spans="1:110" s="23" customFormat="1" outlineLevel="1" x14ac:dyDescent="0.2">
      <c r="A144" s="23" t="s">
        <v>54</v>
      </c>
      <c r="B144" s="23">
        <f>'Annual Raw'!C86</f>
        <v>0</v>
      </c>
      <c r="C144" s="23">
        <f>'Annual Raw'!D86</f>
        <v>0</v>
      </c>
      <c r="D144" s="23">
        <f>'Annual Raw'!E86</f>
        <v>0</v>
      </c>
      <c r="E144" s="23">
        <f>'Annual Raw'!F86</f>
        <v>296.14999999999998</v>
      </c>
      <c r="F144" s="23">
        <f>'Annual Raw'!G86</f>
        <v>478.89</v>
      </c>
      <c r="G144" s="23">
        <f>'Annual Raw'!H86</f>
        <v>733.9</v>
      </c>
      <c r="H144" s="23">
        <f>'Annual Raw'!I86</f>
        <v>1324.09</v>
      </c>
      <c r="I144" s="23">
        <f>'Annual Raw'!J86</f>
        <v>1481.86</v>
      </c>
      <c r="J144" s="23">
        <f>'Annual Raw'!K86</f>
        <v>178.92</v>
      </c>
      <c r="K144" s="23">
        <f>'Annual Raw'!L86</f>
        <v>3364.57</v>
      </c>
      <c r="L144" s="23">
        <f>'Annual Raw'!M86</f>
        <v>3369.02</v>
      </c>
      <c r="M144" s="23">
        <f>'Annual Raw'!N86</f>
        <v>3676.65</v>
      </c>
      <c r="N144" s="23">
        <f>'Annual Raw'!O86</f>
        <v>3693.59</v>
      </c>
      <c r="O144" s="23">
        <f>'Annual Raw'!P86</f>
        <v>2377.4499999999998</v>
      </c>
      <c r="P144" s="23">
        <f>'Annual Raw'!Q86</f>
        <v>2168.61</v>
      </c>
      <c r="Q144" s="23">
        <f>'Annual Raw'!R86</f>
        <v>1677</v>
      </c>
      <c r="R144" s="23">
        <f>'Annual Raw'!S86</f>
        <v>1597</v>
      </c>
      <c r="S144" s="23">
        <f>'Annual Raw'!T86</f>
        <v>1745</v>
      </c>
      <c r="T144" s="23">
        <f>'Annual Raw'!U86</f>
        <v>1725</v>
      </c>
      <c r="U144" s="23">
        <f>'Annual Raw'!V86</f>
        <v>1725</v>
      </c>
      <c r="V144" s="23">
        <f>'Annual Raw'!W86</f>
        <v>1803</v>
      </c>
      <c r="W144" s="23">
        <f>'Annual Raw'!X86</f>
        <v>1787</v>
      </c>
      <c r="X144" s="23">
        <f>'Annual Raw'!Y86</f>
        <v>1858</v>
      </c>
      <c r="Y144" s="23">
        <f>'Annual Raw'!Z86</f>
        <v>1832</v>
      </c>
      <c r="Z144" s="23">
        <f>'Annual Raw'!AA86</f>
        <v>1860</v>
      </c>
      <c r="AA144" s="23">
        <f>'Annual Raw'!AB86</f>
        <v>9193</v>
      </c>
      <c r="AB144" s="24">
        <f t="shared" si="1105"/>
        <v>9108</v>
      </c>
      <c r="AC144" s="24">
        <f t="shared" si="1106"/>
        <v>9108</v>
      </c>
      <c r="AD144" s="24">
        <f t="shared" si="1107"/>
        <v>9108</v>
      </c>
      <c r="AE144" s="24">
        <f t="shared" si="1108"/>
        <v>9108</v>
      </c>
      <c r="AJ144" s="23">
        <f>+'QTR Raw'!D72</f>
        <v>3709.19</v>
      </c>
      <c r="AK144" s="23">
        <f>+AJ144</f>
        <v>3709.19</v>
      </c>
      <c r="AL144" s="23">
        <f>+'QTR Raw'!F72</f>
        <v>3581.5</v>
      </c>
      <c r="AM144" s="23">
        <f t="shared" ref="AK144:CE146" si="1167">+AL144</f>
        <v>3581.5</v>
      </c>
      <c r="AN144" s="23">
        <f>+'QTR Raw'!H72</f>
        <v>2334.37</v>
      </c>
      <c r="AO144" s="23">
        <f t="shared" si="1167"/>
        <v>2334.37</v>
      </c>
      <c r="AP144" s="23">
        <f>+'QTR Raw'!J72</f>
        <v>2268.7800000000002</v>
      </c>
      <c r="AQ144" s="23">
        <f t="shared" si="1167"/>
        <v>2268.7800000000002</v>
      </c>
      <c r="AR144" s="23">
        <f>+'QTR Raw'!L72</f>
        <v>2235.15</v>
      </c>
      <c r="AS144" s="23">
        <f t="shared" si="1167"/>
        <v>2235.15</v>
      </c>
      <c r="AT144" s="23">
        <f>+'QTR Raw'!N72</f>
        <v>2093.2199999999998</v>
      </c>
      <c r="AU144" s="23">
        <f t="shared" si="1167"/>
        <v>2093.2199999999998</v>
      </c>
      <c r="AV144" s="23">
        <f>+'QTR Raw'!P72</f>
        <v>1843.85</v>
      </c>
      <c r="AW144" s="23">
        <f t="shared" si="1167"/>
        <v>1843.85</v>
      </c>
      <c r="AX144" s="23">
        <f>+'QTR Raw'!R72</f>
        <v>1669</v>
      </c>
      <c r="AY144" s="23">
        <f t="shared" si="1167"/>
        <v>1669</v>
      </c>
      <c r="AZ144" s="23">
        <f>+'QTR Raw'!T72</f>
        <v>1669</v>
      </c>
      <c r="BA144" s="23">
        <f t="shared" si="1167"/>
        <v>1669</v>
      </c>
      <c r="BB144" s="23">
        <f>+'QTR Raw'!V72</f>
        <v>1597</v>
      </c>
      <c r="BC144" s="23">
        <f t="shared" si="1167"/>
        <v>1597</v>
      </c>
      <c r="BD144" s="23">
        <f>+'QTR Raw'!X72</f>
        <v>1704</v>
      </c>
      <c r="BE144" s="23">
        <f t="shared" si="1167"/>
        <v>1704</v>
      </c>
      <c r="BF144" s="23">
        <f>+'QTR Raw'!Z72</f>
        <v>1745</v>
      </c>
      <c r="BG144" s="23">
        <f t="shared" si="1167"/>
        <v>1745</v>
      </c>
      <c r="BH144" s="23">
        <f>+'QTR Raw'!AB72</f>
        <v>1794</v>
      </c>
      <c r="BI144" s="23">
        <f t="shared" si="1167"/>
        <v>1794</v>
      </c>
      <c r="BJ144" s="23">
        <f>+'QTR Raw'!AD72</f>
        <v>1700</v>
      </c>
      <c r="BK144" s="23">
        <f t="shared" si="1167"/>
        <v>1700</v>
      </c>
      <c r="BL144" s="23">
        <f>+'QTR Raw'!AF72</f>
        <v>1677</v>
      </c>
      <c r="BM144" s="23">
        <f t="shared" si="1167"/>
        <v>1677</v>
      </c>
      <c r="BN144" s="23">
        <f>+'QTR Raw'!AH72</f>
        <v>1710</v>
      </c>
      <c r="BO144" s="23">
        <f t="shared" si="1167"/>
        <v>1710</v>
      </c>
      <c r="BP144" s="23">
        <f>+'QTR Raw'!AJ72</f>
        <v>1774</v>
      </c>
      <c r="BQ144" s="23">
        <f t="shared" si="1167"/>
        <v>1774</v>
      </c>
      <c r="BR144" s="23">
        <f>+'QTR Raw'!AL72</f>
        <v>1798</v>
      </c>
      <c r="BS144" s="23">
        <f t="shared" si="1167"/>
        <v>1798</v>
      </c>
      <c r="BT144" s="23">
        <f>+'QTR Raw'!AN72</f>
        <v>1777</v>
      </c>
      <c r="BU144" s="23">
        <f t="shared" si="1167"/>
        <v>1777</v>
      </c>
      <c r="BV144" s="23">
        <f>+'QTR Raw'!AP72</f>
        <v>1787</v>
      </c>
      <c r="BW144" s="23">
        <f t="shared" si="1167"/>
        <v>1787</v>
      </c>
      <c r="BX144" s="23">
        <f>+'QTR Raw'!AR72</f>
        <v>1698</v>
      </c>
      <c r="BY144" s="23">
        <f t="shared" si="1167"/>
        <v>1698</v>
      </c>
      <c r="BZ144" s="23">
        <f>+'QTR Raw'!AT72</f>
        <v>1858</v>
      </c>
      <c r="CA144" s="23">
        <f t="shared" si="1167"/>
        <v>1858</v>
      </c>
      <c r="CB144" s="23">
        <f>+'QTR Raw'!AV72</f>
        <v>1818</v>
      </c>
      <c r="CC144" s="23">
        <f t="shared" si="1167"/>
        <v>1818</v>
      </c>
      <c r="CD144" s="23">
        <f>+'QTR Raw'!AX72</f>
        <v>1832</v>
      </c>
      <c r="CE144" s="23">
        <f t="shared" si="1167"/>
        <v>1832</v>
      </c>
      <c r="CF144" s="23">
        <f>+'QTR Raw'!AZ72</f>
        <v>1901</v>
      </c>
      <c r="CG144" s="23">
        <f t="shared" si="1164"/>
        <v>1901</v>
      </c>
      <c r="CH144" s="23">
        <f t="shared" si="1109"/>
        <v>1860</v>
      </c>
      <c r="CI144" s="23">
        <f t="shared" si="1164"/>
        <v>1860</v>
      </c>
      <c r="CJ144" s="23">
        <f>+'QTR Raw'!BD72</f>
        <v>2032</v>
      </c>
      <c r="CK144" s="23">
        <f t="shared" si="1164"/>
        <v>2032</v>
      </c>
      <c r="CL144" s="23">
        <f>+'QTR Raw'!BF72</f>
        <v>9108</v>
      </c>
      <c r="CM144" s="24">
        <f t="shared" ref="CM144:CM146" si="1168">+CL144</f>
        <v>9108</v>
      </c>
      <c r="CN144" s="24">
        <f t="shared" ref="CN144:CN146" si="1169">+CM144</f>
        <v>9108</v>
      </c>
      <c r="CO144" s="24">
        <f t="shared" ref="CO144:CO146" si="1170">+CN144</f>
        <v>9108</v>
      </c>
      <c r="CP144" s="24">
        <f t="shared" ref="CP144:CP146" si="1171">+CO144</f>
        <v>9108</v>
      </c>
      <c r="CQ144" s="24">
        <f t="shared" ref="CQ144:CQ146" si="1172">+CP144</f>
        <v>9108</v>
      </c>
      <c r="CR144" s="24">
        <f t="shared" ref="CR144:CR146" si="1173">+CQ144</f>
        <v>9108</v>
      </c>
      <c r="CS144" s="24">
        <f t="shared" ref="CS144:CS146" si="1174">+CR144</f>
        <v>9108</v>
      </c>
      <c r="CT144" s="24">
        <f t="shared" ref="CT144:CT146" si="1175">+CS144</f>
        <v>9108</v>
      </c>
      <c r="CU144" s="24">
        <f t="shared" ref="CU144:CU146" si="1176">+CT144</f>
        <v>9108</v>
      </c>
      <c r="CV144" s="24">
        <f t="shared" ref="CV144:CV146" si="1177">+CU144</f>
        <v>9108</v>
      </c>
      <c r="CW144" s="24">
        <f t="shared" ref="CW144:CW146" si="1178">+CV144</f>
        <v>9108</v>
      </c>
      <c r="CX144" s="24">
        <f t="shared" ref="CX144:CX146" si="1179">+CW144</f>
        <v>9108</v>
      </c>
      <c r="CY144" s="24">
        <f t="shared" ref="CY144:CY146" si="1180">+CX144</f>
        <v>9108</v>
      </c>
      <c r="CZ144" s="24">
        <f t="shared" ref="CZ144:CZ146" si="1181">+CY144</f>
        <v>9108</v>
      </c>
      <c r="DA144" s="24">
        <f t="shared" ref="DA144:DA146" si="1182">+CZ144</f>
        <v>9108</v>
      </c>
      <c r="DB144" s="24">
        <f t="shared" ref="DB144:DB146" si="1183">+DA144</f>
        <v>9108</v>
      </c>
      <c r="DE144" s="123"/>
      <c r="DF144" s="23">
        <v>2032</v>
      </c>
    </row>
    <row r="145" spans="1:110" s="23" customFormat="1" outlineLevel="1" x14ac:dyDescent="0.2">
      <c r="A145" s="23" t="s">
        <v>55</v>
      </c>
      <c r="B145" s="23">
        <f>'Annual Raw'!C68</f>
        <v>0</v>
      </c>
      <c r="C145" s="23">
        <f>'Annual Raw'!D68</f>
        <v>0</v>
      </c>
      <c r="D145" s="23">
        <f>'Annual Raw'!E68</f>
        <v>0</v>
      </c>
      <c r="E145" s="23">
        <f>'Annual Raw'!F68</f>
        <v>0</v>
      </c>
      <c r="F145" s="23">
        <f>'Annual Raw'!G68</f>
        <v>0</v>
      </c>
      <c r="G145" s="23">
        <f>'Annual Raw'!H68</f>
        <v>0</v>
      </c>
      <c r="H145" s="23">
        <f>'Annual Raw'!I68</f>
        <v>0</v>
      </c>
      <c r="I145" s="23">
        <f>'Annual Raw'!J68</f>
        <v>0</v>
      </c>
      <c r="J145" s="23">
        <f>'Annual Raw'!K68</f>
        <v>0</v>
      </c>
      <c r="K145" s="23">
        <f>'Annual Raw'!L68</f>
        <v>0</v>
      </c>
      <c r="L145" s="23">
        <f>'Annual Raw'!M68</f>
        <v>0</v>
      </c>
      <c r="M145" s="23">
        <f>'Annual Raw'!N68</f>
        <v>0</v>
      </c>
      <c r="N145" s="23">
        <f>'Annual Raw'!O68</f>
        <v>0</v>
      </c>
      <c r="O145" s="23">
        <f>'Annual Raw'!P68</f>
        <v>0</v>
      </c>
      <c r="P145" s="23">
        <f>'Annual Raw'!Q68</f>
        <v>0</v>
      </c>
      <c r="Q145" s="23">
        <f>'Annual Raw'!R68</f>
        <v>0</v>
      </c>
      <c r="R145" s="23">
        <f>'Annual Raw'!S68</f>
        <v>0</v>
      </c>
      <c r="S145" s="23">
        <f>'Annual Raw'!T68</f>
        <v>0</v>
      </c>
      <c r="T145" s="23">
        <f>'Annual Raw'!U68</f>
        <v>0</v>
      </c>
      <c r="U145" s="23">
        <f>'Annual Raw'!V68</f>
        <v>0</v>
      </c>
      <c r="V145" s="23">
        <f>'Annual Raw'!W68</f>
        <v>0</v>
      </c>
      <c r="W145" s="23">
        <f>'Annual Raw'!X68</f>
        <v>0</v>
      </c>
      <c r="X145" s="23">
        <f>'Annual Raw'!Y68</f>
        <v>0</v>
      </c>
      <c r="Y145" s="23">
        <f>'Annual Raw'!Z68</f>
        <v>0</v>
      </c>
      <c r="Z145" s="23">
        <f>'Annual Raw'!AA68</f>
        <v>0</v>
      </c>
      <c r="AA145" s="23">
        <f>'Annual Raw'!AB68</f>
        <v>0</v>
      </c>
      <c r="AB145" s="24">
        <f t="shared" si="1105"/>
        <v>0</v>
      </c>
      <c r="AC145" s="24">
        <f t="shared" si="1106"/>
        <v>0</v>
      </c>
      <c r="AD145" s="24">
        <f t="shared" si="1107"/>
        <v>0</v>
      </c>
      <c r="AE145" s="24">
        <f t="shared" si="1108"/>
        <v>0</v>
      </c>
      <c r="AK145" s="23">
        <f t="shared" si="1167"/>
        <v>0</v>
      </c>
      <c r="AM145" s="23">
        <f t="shared" si="1167"/>
        <v>0</v>
      </c>
      <c r="AO145" s="23">
        <f t="shared" si="1167"/>
        <v>0</v>
      </c>
      <c r="AQ145" s="23">
        <f t="shared" si="1167"/>
        <v>0</v>
      </c>
      <c r="AS145" s="23">
        <f t="shared" si="1167"/>
        <v>0</v>
      </c>
      <c r="AU145" s="23">
        <f t="shared" si="1167"/>
        <v>0</v>
      </c>
      <c r="AW145" s="23">
        <f t="shared" si="1167"/>
        <v>0</v>
      </c>
      <c r="AY145" s="23">
        <f t="shared" si="1167"/>
        <v>0</v>
      </c>
      <c r="BA145" s="23">
        <f t="shared" si="1167"/>
        <v>0</v>
      </c>
      <c r="BC145" s="23">
        <f t="shared" si="1167"/>
        <v>0</v>
      </c>
      <c r="BE145" s="23">
        <f t="shared" si="1167"/>
        <v>0</v>
      </c>
      <c r="BG145" s="23">
        <f t="shared" si="1167"/>
        <v>0</v>
      </c>
      <c r="BI145" s="23">
        <f t="shared" si="1167"/>
        <v>0</v>
      </c>
      <c r="BK145" s="23">
        <f t="shared" si="1167"/>
        <v>0</v>
      </c>
      <c r="BM145" s="23">
        <f t="shared" si="1167"/>
        <v>0</v>
      </c>
      <c r="BO145" s="23">
        <f t="shared" si="1167"/>
        <v>0</v>
      </c>
      <c r="BQ145" s="23">
        <f t="shared" si="1167"/>
        <v>0</v>
      </c>
      <c r="BS145" s="23">
        <f t="shared" si="1167"/>
        <v>0</v>
      </c>
      <c r="BU145" s="23">
        <f t="shared" si="1167"/>
        <v>0</v>
      </c>
      <c r="BW145" s="23">
        <f t="shared" si="1167"/>
        <v>0</v>
      </c>
      <c r="BY145" s="23">
        <f t="shared" si="1167"/>
        <v>0</v>
      </c>
      <c r="CA145" s="23">
        <f t="shared" si="1167"/>
        <v>0</v>
      </c>
      <c r="CC145" s="23">
        <f t="shared" si="1167"/>
        <v>0</v>
      </c>
      <c r="CE145" s="23">
        <f t="shared" si="1167"/>
        <v>0</v>
      </c>
      <c r="CG145" s="23">
        <f t="shared" si="1164"/>
        <v>0</v>
      </c>
      <c r="CH145" s="23">
        <f t="shared" si="1109"/>
        <v>0</v>
      </c>
      <c r="CI145" s="23">
        <f t="shared" si="1164"/>
        <v>0</v>
      </c>
      <c r="CK145" s="23">
        <f t="shared" si="1164"/>
        <v>0</v>
      </c>
      <c r="CM145" s="24">
        <f t="shared" si="1168"/>
        <v>0</v>
      </c>
      <c r="CN145" s="24">
        <f t="shared" si="1169"/>
        <v>0</v>
      </c>
      <c r="CO145" s="24">
        <f t="shared" si="1170"/>
        <v>0</v>
      </c>
      <c r="CP145" s="24">
        <f t="shared" si="1171"/>
        <v>0</v>
      </c>
      <c r="CQ145" s="24">
        <f t="shared" si="1172"/>
        <v>0</v>
      </c>
      <c r="CR145" s="24">
        <f t="shared" si="1173"/>
        <v>0</v>
      </c>
      <c r="CS145" s="24">
        <f t="shared" si="1174"/>
        <v>0</v>
      </c>
      <c r="CT145" s="24">
        <f t="shared" si="1175"/>
        <v>0</v>
      </c>
      <c r="CU145" s="24">
        <f t="shared" si="1176"/>
        <v>0</v>
      </c>
      <c r="CV145" s="24">
        <f t="shared" si="1177"/>
        <v>0</v>
      </c>
      <c r="CW145" s="24">
        <f t="shared" si="1178"/>
        <v>0</v>
      </c>
      <c r="CX145" s="24">
        <f t="shared" si="1179"/>
        <v>0</v>
      </c>
      <c r="CY145" s="24">
        <f t="shared" si="1180"/>
        <v>0</v>
      </c>
      <c r="CZ145" s="24">
        <f t="shared" si="1181"/>
        <v>0</v>
      </c>
      <c r="DA145" s="24">
        <f t="shared" si="1182"/>
        <v>0</v>
      </c>
      <c r="DB145" s="24">
        <f t="shared" si="1183"/>
        <v>0</v>
      </c>
      <c r="DE145" s="123"/>
      <c r="DF145" s="23">
        <v>0</v>
      </c>
    </row>
    <row r="146" spans="1:110" s="23" customFormat="1" outlineLevel="1" x14ac:dyDescent="0.2">
      <c r="A146" s="23" t="s">
        <v>56</v>
      </c>
      <c r="B146" s="23">
        <f>'Annual Raw'!C67+'Annual Raw'!C66+'Annual Raw'!C69+'Annual Raw'!C70</f>
        <v>0</v>
      </c>
      <c r="C146" s="23">
        <f>'Annual Raw'!D67+'Annual Raw'!D66+'Annual Raw'!D69+'Annual Raw'!D70</f>
        <v>0</v>
      </c>
      <c r="D146" s="23">
        <f>'Annual Raw'!E67+'Annual Raw'!E66+'Annual Raw'!E69+'Annual Raw'!E70</f>
        <v>0</v>
      </c>
      <c r="E146" s="23">
        <f>'Annual Raw'!F67+'Annual Raw'!F66+'Annual Raw'!F69+'Annual Raw'!F70</f>
        <v>2.0699999999999998</v>
      </c>
      <c r="F146" s="23">
        <f>'Annual Raw'!G67+'Annual Raw'!G66+'Annual Raw'!G69+'Annual Raw'!G70</f>
        <v>124.05</v>
      </c>
      <c r="G146" s="23">
        <f>'Annual Raw'!H67+'Annual Raw'!H66+'Annual Raw'!H69+'Annual Raw'!H70</f>
        <v>708.96</v>
      </c>
      <c r="H146" s="23">
        <f>'Annual Raw'!I67+'Annual Raw'!I66+'Annual Raw'!I69+'Annual Raw'!I70</f>
        <v>793.04</v>
      </c>
      <c r="I146" s="23">
        <f>'Annual Raw'!J67+'Annual Raw'!J66+'Annual Raw'!J69+'Annual Raw'!J70</f>
        <v>906.87</v>
      </c>
      <c r="J146" s="23">
        <f>'Annual Raw'!K67+'Annual Raw'!K66+'Annual Raw'!K69+'Annual Raw'!K70</f>
        <v>705.49</v>
      </c>
      <c r="K146" s="23">
        <f>'Annual Raw'!L67+'Annual Raw'!L66+'Annual Raw'!L69+'Annual Raw'!L70</f>
        <v>1017.37</v>
      </c>
      <c r="L146" s="23">
        <f>'Annual Raw'!M67+'Annual Raw'!M66+'Annual Raw'!M69+'Annual Raw'!M70</f>
        <v>1193.8900000000001</v>
      </c>
      <c r="M146" s="23">
        <f>'Annual Raw'!N67+'Annual Raw'!N66+'Annual Raw'!N69+'Annual Raw'!N70</f>
        <v>1446.37</v>
      </c>
      <c r="N146" s="23">
        <f>'Annual Raw'!O67+'Annual Raw'!O66+'Annual Raw'!O69+'Annual Raw'!O70</f>
        <v>1895.36</v>
      </c>
      <c r="O146" s="23">
        <f>'Annual Raw'!P67+'Annual Raw'!P66+'Annual Raw'!P69+'Annual Raw'!P70</f>
        <v>3168.48</v>
      </c>
      <c r="P146" s="23">
        <f>'Annual Raw'!Q67+'Annual Raw'!Q66+'Annual Raw'!Q69+'Annual Raw'!Q70</f>
        <v>2766.37</v>
      </c>
      <c r="Q146" s="23">
        <f>'Annual Raw'!R67+'Annual Raw'!R66+'Annual Raw'!R69+'Annual Raw'!R70</f>
        <v>1670</v>
      </c>
      <c r="R146" s="23">
        <f>'Annual Raw'!S67+'Annual Raw'!S66+'Annual Raw'!S69+'Annual Raw'!S70</f>
        <v>1541</v>
      </c>
      <c r="S146" s="23">
        <f>'Annual Raw'!T67+'Annual Raw'!T66+'Annual Raw'!T69+'Annual Raw'!T70</f>
        <v>1278</v>
      </c>
      <c r="T146" s="23">
        <f>'Annual Raw'!U67+'Annual Raw'!U66+'Annual Raw'!U69+'Annual Raw'!U70</f>
        <v>963</v>
      </c>
      <c r="U146" s="23">
        <f>'Annual Raw'!V67+'Annual Raw'!V66+'Annual Raw'!V69+'Annual Raw'!V70</f>
        <v>906</v>
      </c>
      <c r="V146" s="23">
        <f>'Annual Raw'!W67+'Annual Raw'!W66+'Annual Raw'!W69+'Annual Raw'!W70</f>
        <v>926</v>
      </c>
      <c r="W146" s="23">
        <f>'Annual Raw'!X67+'Annual Raw'!X66+'Annual Raw'!X69+'Annual Raw'!X70</f>
        <v>1205</v>
      </c>
      <c r="X146" s="23">
        <f>'Annual Raw'!Y67+'Annual Raw'!Y66+'Annual Raw'!Y69+'Annual Raw'!Y70</f>
        <v>1234</v>
      </c>
      <c r="Y146" s="23">
        <f>'Annual Raw'!Z67+'Annual Raw'!Z66+'Annual Raw'!Z69+'Annual Raw'!Z70</f>
        <v>1564</v>
      </c>
      <c r="Z146" s="23">
        <f>'Annual Raw'!AA67+'Annual Raw'!AA66+'Annual Raw'!AA69+'Annual Raw'!AA70</f>
        <v>1546</v>
      </c>
      <c r="AA146" s="23">
        <f>'Annual Raw'!AB67+'Annual Raw'!AB66+'Annual Raw'!AB69+'Annual Raw'!AB70</f>
        <v>2665</v>
      </c>
      <c r="AB146" s="24">
        <f t="shared" si="1105"/>
        <v>2665</v>
      </c>
      <c r="AC146" s="24">
        <f t="shared" si="1106"/>
        <v>2665</v>
      </c>
      <c r="AD146" s="24">
        <f t="shared" si="1107"/>
        <v>2665</v>
      </c>
      <c r="AE146" s="24">
        <f t="shared" si="1108"/>
        <v>2665</v>
      </c>
      <c r="AJ146" s="23">
        <f>+'QTR Raw'!D74+'QTR Raw'!D75</f>
        <v>0</v>
      </c>
      <c r="AK146" s="23">
        <f t="shared" si="1167"/>
        <v>0</v>
      </c>
      <c r="AL146" s="23">
        <f>+'QTR Raw'!F74+'QTR Raw'!F75</f>
        <v>0</v>
      </c>
      <c r="AM146" s="23">
        <f t="shared" si="1167"/>
        <v>0</v>
      </c>
      <c r="AN146" s="23">
        <f>+'QTR Raw'!H74+'QTR Raw'!H75</f>
        <v>0</v>
      </c>
      <c r="AO146" s="23">
        <f t="shared" si="1167"/>
        <v>0</v>
      </c>
      <c r="AP146" s="23">
        <f>+'QTR Raw'!J74+'QTR Raw'!J75</f>
        <v>0</v>
      </c>
      <c r="AQ146" s="23">
        <f t="shared" si="1167"/>
        <v>0</v>
      </c>
      <c r="AR146" s="23">
        <f>+'QTR Raw'!L74+'QTR Raw'!L75</f>
        <v>0</v>
      </c>
      <c r="AS146" s="23">
        <f t="shared" si="1167"/>
        <v>0</v>
      </c>
      <c r="AT146" s="23">
        <f>+'QTR Raw'!N74+'QTR Raw'!N75</f>
        <v>0</v>
      </c>
      <c r="AU146" s="23">
        <f t="shared" si="1167"/>
        <v>0</v>
      </c>
      <c r="AV146" s="23">
        <f>+'QTR Raw'!P74+'QTR Raw'!P75</f>
        <v>0</v>
      </c>
      <c r="AW146" s="23">
        <f t="shared" si="1167"/>
        <v>0</v>
      </c>
      <c r="AX146" s="23">
        <f>+'QTR Raw'!R74+'QTR Raw'!R75</f>
        <v>1670</v>
      </c>
      <c r="AY146" s="23">
        <f t="shared" si="1167"/>
        <v>1670</v>
      </c>
      <c r="AZ146" s="23">
        <f>+'QTR Raw'!T74+'QTR Raw'!T75</f>
        <v>1402</v>
      </c>
      <c r="BA146" s="23">
        <f t="shared" si="1167"/>
        <v>1402</v>
      </c>
      <c r="BB146" s="23">
        <f>+'QTR Raw'!V74+'QTR Raw'!V75</f>
        <v>1541</v>
      </c>
      <c r="BC146" s="23">
        <f t="shared" si="1167"/>
        <v>1541</v>
      </c>
      <c r="BD146" s="23">
        <f>+'QTR Raw'!X74+'QTR Raw'!X75</f>
        <v>1334</v>
      </c>
      <c r="BE146" s="23">
        <f t="shared" si="1167"/>
        <v>1334</v>
      </c>
      <c r="BF146" s="23">
        <f>+'QTR Raw'!Z74+'QTR Raw'!Z75</f>
        <v>1278</v>
      </c>
      <c r="BG146" s="23">
        <f t="shared" si="1167"/>
        <v>1278</v>
      </c>
      <c r="BH146" s="23">
        <f>+'QTR Raw'!AB74+'QTR Raw'!AB75</f>
        <v>1033</v>
      </c>
      <c r="BI146" s="23">
        <f t="shared" si="1167"/>
        <v>1033</v>
      </c>
      <c r="BJ146" s="23">
        <f>+'QTR Raw'!AD74+'QTR Raw'!AD75</f>
        <v>963</v>
      </c>
      <c r="BK146" s="23">
        <f t="shared" si="1167"/>
        <v>963</v>
      </c>
      <c r="BL146" s="23">
        <f>+'QTR Raw'!AF74+'QTR Raw'!AF75</f>
        <v>1057</v>
      </c>
      <c r="BM146" s="23">
        <f t="shared" si="1167"/>
        <v>1057</v>
      </c>
      <c r="BN146" s="23">
        <f>+'QTR Raw'!AH74+'QTR Raw'!AH75</f>
        <v>906</v>
      </c>
      <c r="BO146" s="23">
        <f t="shared" si="1167"/>
        <v>906</v>
      </c>
      <c r="BP146" s="23">
        <f>+'QTR Raw'!AJ74+'QTR Raw'!AJ75</f>
        <v>1035</v>
      </c>
      <c r="BQ146" s="23">
        <f t="shared" si="1167"/>
        <v>1035</v>
      </c>
      <c r="BR146" s="23">
        <f>+'QTR Raw'!AL74+'QTR Raw'!AL75</f>
        <v>926</v>
      </c>
      <c r="BS146" s="23">
        <f t="shared" si="1167"/>
        <v>926</v>
      </c>
      <c r="BT146" s="23">
        <f>+'QTR Raw'!AN74+'QTR Raw'!AN75</f>
        <v>1055</v>
      </c>
      <c r="BU146" s="23">
        <f t="shared" si="1167"/>
        <v>1055</v>
      </c>
      <c r="BV146" s="23">
        <f>+'QTR Raw'!AP74+'QTR Raw'!AP75</f>
        <v>1205</v>
      </c>
      <c r="BW146" s="23">
        <f t="shared" si="1167"/>
        <v>1205</v>
      </c>
      <c r="BX146" s="23">
        <f>+'QTR Raw'!AR74+'QTR Raw'!AR75</f>
        <v>1513</v>
      </c>
      <c r="BY146" s="23">
        <f t="shared" si="1167"/>
        <v>1513</v>
      </c>
      <c r="BZ146" s="23">
        <f>+'QTR Raw'!AT74+'QTR Raw'!AT75</f>
        <v>1234</v>
      </c>
      <c r="CA146" s="23">
        <f t="shared" si="1167"/>
        <v>1234</v>
      </c>
      <c r="CB146" s="23">
        <f>+'QTR Raw'!AV74+'QTR Raw'!AV75</f>
        <v>1408</v>
      </c>
      <c r="CC146" s="23">
        <f t="shared" si="1167"/>
        <v>1408</v>
      </c>
      <c r="CD146" s="23">
        <f>+'QTR Raw'!AX74+'QTR Raw'!AX75</f>
        <v>1564</v>
      </c>
      <c r="CE146" s="23">
        <f t="shared" si="1167"/>
        <v>1564</v>
      </c>
      <c r="CF146" s="23">
        <f>+'QTR Raw'!AZ74+'QTR Raw'!AZ75</f>
        <v>1500</v>
      </c>
      <c r="CG146" s="23">
        <f t="shared" si="1164"/>
        <v>1500</v>
      </c>
      <c r="CH146" s="23">
        <f t="shared" si="1109"/>
        <v>1546</v>
      </c>
      <c r="CI146" s="23">
        <f t="shared" si="1164"/>
        <v>1546</v>
      </c>
      <c r="CJ146" s="23">
        <f>+'QTR Raw'!BD74+'QTR Raw'!BD75</f>
        <v>2221</v>
      </c>
      <c r="CK146" s="23">
        <f t="shared" si="1164"/>
        <v>2221</v>
      </c>
      <c r="CL146" s="23">
        <f>+'QTR Raw'!BF74+'QTR Raw'!BF75</f>
        <v>2665</v>
      </c>
      <c r="CM146" s="24">
        <f t="shared" si="1168"/>
        <v>2665</v>
      </c>
      <c r="CN146" s="24">
        <f t="shared" si="1169"/>
        <v>2665</v>
      </c>
      <c r="CO146" s="24">
        <f t="shared" si="1170"/>
        <v>2665</v>
      </c>
      <c r="CP146" s="24">
        <f t="shared" si="1171"/>
        <v>2665</v>
      </c>
      <c r="CQ146" s="24">
        <f t="shared" si="1172"/>
        <v>2665</v>
      </c>
      <c r="CR146" s="24">
        <f t="shared" si="1173"/>
        <v>2665</v>
      </c>
      <c r="CS146" s="24">
        <f t="shared" si="1174"/>
        <v>2665</v>
      </c>
      <c r="CT146" s="24">
        <f t="shared" si="1175"/>
        <v>2665</v>
      </c>
      <c r="CU146" s="24">
        <f t="shared" si="1176"/>
        <v>2665</v>
      </c>
      <c r="CV146" s="24">
        <f t="shared" si="1177"/>
        <v>2665</v>
      </c>
      <c r="CW146" s="24">
        <f t="shared" si="1178"/>
        <v>2665</v>
      </c>
      <c r="CX146" s="24">
        <f t="shared" si="1179"/>
        <v>2665</v>
      </c>
      <c r="CY146" s="24">
        <f t="shared" si="1180"/>
        <v>2665</v>
      </c>
      <c r="CZ146" s="24">
        <f t="shared" si="1181"/>
        <v>2665</v>
      </c>
      <c r="DA146" s="24">
        <f t="shared" si="1182"/>
        <v>2665</v>
      </c>
      <c r="DB146" s="24">
        <f t="shared" si="1183"/>
        <v>2665</v>
      </c>
      <c r="DE146" s="123"/>
      <c r="DF146" s="23">
        <v>2221</v>
      </c>
    </row>
    <row r="147" spans="1:110" s="22" customFormat="1" x14ac:dyDescent="0.2">
      <c r="A147" s="22" t="s">
        <v>57</v>
      </c>
      <c r="B147" s="22">
        <f>B143+B146+B145</f>
        <v>0</v>
      </c>
      <c r="C147" s="22">
        <f t="shared" ref="C147:D147" si="1184">C143+C146+C145</f>
        <v>0</v>
      </c>
      <c r="D147" s="22">
        <f t="shared" si="1184"/>
        <v>0</v>
      </c>
      <c r="E147" s="22">
        <f t="shared" ref="E147:Y147" si="1185">E143+E146+E145+E144</f>
        <v>579.26</v>
      </c>
      <c r="F147" s="22">
        <f t="shared" si="1185"/>
        <v>1617.6599999999999</v>
      </c>
      <c r="G147" s="22">
        <f t="shared" si="1185"/>
        <v>2731.9900000000002</v>
      </c>
      <c r="H147" s="22">
        <f t="shared" si="1185"/>
        <v>3979.9300000000003</v>
      </c>
      <c r="I147" s="22">
        <f t="shared" si="1185"/>
        <v>4841.42</v>
      </c>
      <c r="J147" s="22">
        <f t="shared" si="1185"/>
        <v>7451.0300000000007</v>
      </c>
      <c r="K147" s="22">
        <f t="shared" si="1185"/>
        <v>7755.4000000000015</v>
      </c>
      <c r="L147" s="22">
        <f t="shared" si="1185"/>
        <v>8672.98</v>
      </c>
      <c r="M147" s="22">
        <f t="shared" si="1185"/>
        <v>10108.430000000002</v>
      </c>
      <c r="N147" s="22">
        <f t="shared" si="1185"/>
        <v>11723.369999999999</v>
      </c>
      <c r="O147" s="22">
        <f t="shared" si="1185"/>
        <v>12712.810000000001</v>
      </c>
      <c r="P147" s="22">
        <f t="shared" si="1185"/>
        <v>14404.54</v>
      </c>
      <c r="Q147" s="22">
        <f t="shared" si="1185"/>
        <v>13444</v>
      </c>
      <c r="R147" s="22">
        <f t="shared" si="1185"/>
        <v>13242</v>
      </c>
      <c r="S147" s="22">
        <f t="shared" si="1185"/>
        <v>13251</v>
      </c>
      <c r="T147" s="22">
        <f t="shared" si="1185"/>
        <v>13253</v>
      </c>
      <c r="U147" s="22">
        <f t="shared" si="1185"/>
        <v>21834</v>
      </c>
      <c r="V147" s="22">
        <f t="shared" si="1185"/>
        <v>21947</v>
      </c>
      <c r="W147" s="22">
        <f t="shared" si="1185"/>
        <v>22503</v>
      </c>
      <c r="X147" s="22">
        <f t="shared" si="1185"/>
        <v>21749</v>
      </c>
      <c r="Y147" s="22">
        <f t="shared" si="1185"/>
        <v>21168</v>
      </c>
      <c r="Z147" s="22">
        <f>Z143+Z146+Z145+Z144</f>
        <v>24599</v>
      </c>
      <c r="AA147" s="22">
        <f>AA143+AA146+AA145+AA144</f>
        <v>34008</v>
      </c>
      <c r="AB147" s="161">
        <f t="shared" ref="AB147:AE147" si="1186">AB143+AB146+AB145+AB144</f>
        <v>21140.522642594893</v>
      </c>
      <c r="AC147" s="161">
        <f t="shared" si="1186"/>
        <v>20133.626654231382</v>
      </c>
      <c r="AD147" s="161">
        <f t="shared" si="1186"/>
        <v>19582.769819561086</v>
      </c>
      <c r="AE147" s="161">
        <f t="shared" si="1186"/>
        <v>19281.404777084193</v>
      </c>
      <c r="AJ147" s="22">
        <f t="shared" ref="AJ147" si="1187">AJ143+AJ146+AJ144+AJ145</f>
        <v>10860.43</v>
      </c>
      <c r="AK147" s="22">
        <f t="shared" ref="AK147" si="1188">AK143+AK146+AK144+AK145</f>
        <v>10860.43</v>
      </c>
      <c r="AL147" s="22">
        <f t="shared" ref="AL147:AM147" si="1189">AL143+AL146+AL144+AL145</f>
        <v>11723.369999999999</v>
      </c>
      <c r="AM147" s="22">
        <f t="shared" si="1189"/>
        <v>11723.369999999999</v>
      </c>
      <c r="AN147" s="22">
        <f t="shared" ref="AN147:AO147" si="1190">AN143+AN146+AN144+AN145</f>
        <v>11556.23</v>
      </c>
      <c r="AO147" s="22">
        <f t="shared" si="1190"/>
        <v>11556.23</v>
      </c>
      <c r="AP147" s="22">
        <f t="shared" ref="AP147:CE147" si="1191">AP143+AP146+AP144+AP145</f>
        <v>12712.810000000001</v>
      </c>
      <c r="AQ147" s="22">
        <f t="shared" si="1191"/>
        <v>12712.810000000001</v>
      </c>
      <c r="AR147" s="22">
        <f t="shared" si="1191"/>
        <v>14112.98</v>
      </c>
      <c r="AS147" s="22">
        <f t="shared" si="1191"/>
        <v>14112.98</v>
      </c>
      <c r="AT147" s="22">
        <f t="shared" si="1191"/>
        <v>14404.539999999999</v>
      </c>
      <c r="AU147" s="22">
        <f t="shared" si="1191"/>
        <v>14404.539999999999</v>
      </c>
      <c r="AV147" s="22">
        <f t="shared" si="1191"/>
        <v>14201.800000000001</v>
      </c>
      <c r="AW147" s="22">
        <f t="shared" si="1191"/>
        <v>14201.800000000001</v>
      </c>
      <c r="AX147" s="22">
        <f t="shared" si="1191"/>
        <v>13444</v>
      </c>
      <c r="AY147" s="22">
        <f t="shared" si="1191"/>
        <v>13444</v>
      </c>
      <c r="AZ147" s="22">
        <f t="shared" si="1191"/>
        <v>13375</v>
      </c>
      <c r="BA147" s="22">
        <f t="shared" si="1191"/>
        <v>13375</v>
      </c>
      <c r="BB147" s="22">
        <f t="shared" si="1191"/>
        <v>13242</v>
      </c>
      <c r="BC147" s="22">
        <f t="shared" si="1191"/>
        <v>13242</v>
      </c>
      <c r="BD147" s="22">
        <f t="shared" si="1191"/>
        <v>13410</v>
      </c>
      <c r="BE147" s="22">
        <f t="shared" si="1191"/>
        <v>13410</v>
      </c>
      <c r="BF147" s="22">
        <f t="shared" si="1191"/>
        <v>13251</v>
      </c>
      <c r="BG147" s="22">
        <f t="shared" si="1191"/>
        <v>13251</v>
      </c>
      <c r="BH147" s="22">
        <f t="shared" si="1191"/>
        <v>13321</v>
      </c>
      <c r="BI147" s="22">
        <f t="shared" si="1191"/>
        <v>13321</v>
      </c>
      <c r="BJ147" s="22">
        <f t="shared" si="1191"/>
        <v>13253</v>
      </c>
      <c r="BK147" s="22">
        <f t="shared" si="1191"/>
        <v>13253</v>
      </c>
      <c r="BL147" s="22">
        <f t="shared" si="1191"/>
        <v>13311</v>
      </c>
      <c r="BM147" s="22">
        <f t="shared" si="1191"/>
        <v>13311</v>
      </c>
      <c r="BN147" s="22">
        <f t="shared" si="1191"/>
        <v>13840</v>
      </c>
      <c r="BO147" s="22">
        <f t="shared" si="1191"/>
        <v>13840</v>
      </c>
      <c r="BP147" s="22">
        <f t="shared" si="1191"/>
        <v>13917</v>
      </c>
      <c r="BQ147" s="22">
        <f t="shared" si="1191"/>
        <v>13917</v>
      </c>
      <c r="BR147" s="22">
        <f t="shared" si="1191"/>
        <v>14314</v>
      </c>
      <c r="BS147" s="22">
        <f t="shared" si="1191"/>
        <v>14314</v>
      </c>
      <c r="BT147" s="22">
        <f t="shared" si="1191"/>
        <v>14082</v>
      </c>
      <c r="BU147" s="22">
        <f t="shared" si="1191"/>
        <v>14082</v>
      </c>
      <c r="BV147" s="22">
        <f t="shared" si="1191"/>
        <v>14867</v>
      </c>
      <c r="BW147" s="22">
        <f t="shared" si="1191"/>
        <v>14867</v>
      </c>
      <c r="BX147" s="22">
        <f t="shared" si="1191"/>
        <v>14506</v>
      </c>
      <c r="BY147" s="22">
        <f t="shared" si="1191"/>
        <v>14506</v>
      </c>
      <c r="BZ147" s="22">
        <f t="shared" si="1191"/>
        <v>14189</v>
      </c>
      <c r="CA147" s="22">
        <f t="shared" si="1191"/>
        <v>14189</v>
      </c>
      <c r="CB147" s="22">
        <f t="shared" si="1191"/>
        <v>13341</v>
      </c>
      <c r="CC147" s="22">
        <f t="shared" si="1191"/>
        <v>13341</v>
      </c>
      <c r="CD147" s="22">
        <f t="shared" si="1191"/>
        <v>13282</v>
      </c>
      <c r="CE147" s="22">
        <f t="shared" si="1191"/>
        <v>13282</v>
      </c>
      <c r="CF147" s="22">
        <f t="shared" ref="CF147:CG147" si="1192">CF143+CF146+CF144+CF145</f>
        <v>13252</v>
      </c>
      <c r="CG147" s="22">
        <f t="shared" si="1192"/>
        <v>13252</v>
      </c>
      <c r="CH147" s="22">
        <f t="shared" ref="CH147:CJ147" si="1193">CH143+CH146+CH144+CH145</f>
        <v>24599</v>
      </c>
      <c r="CI147" s="22">
        <f t="shared" si="1193"/>
        <v>23238</v>
      </c>
      <c r="CJ147" s="22">
        <f t="shared" si="1193"/>
        <v>15678</v>
      </c>
      <c r="CK147" s="22">
        <f t="shared" ref="CK147:CL147" si="1194">CK143+CK146+CK144+CK145</f>
        <v>14298</v>
      </c>
      <c r="CL147" s="22">
        <f t="shared" si="1194"/>
        <v>22981</v>
      </c>
      <c r="CM147" s="21">
        <f t="shared" ref="CM147:DB147" si="1195">CM143+CM146+CM144+CM145</f>
        <v>22412.214733698354</v>
      </c>
      <c r="CN147" s="21">
        <f t="shared" si="1195"/>
        <v>21923.042417562974</v>
      </c>
      <c r="CO147" s="21">
        <f t="shared" si="1195"/>
        <v>21502.339616259487</v>
      </c>
      <c r="CP147" s="21">
        <f t="shared" si="1195"/>
        <v>21140.522642594893</v>
      </c>
      <c r="CQ147" s="21">
        <f t="shared" si="1195"/>
        <v>20829.349239360607</v>
      </c>
      <c r="CR147" s="21">
        <f t="shared" si="1195"/>
        <v>20561.730819197241</v>
      </c>
      <c r="CS147" s="21">
        <f t="shared" si="1195"/>
        <v>20331.570985270781</v>
      </c>
      <c r="CT147" s="21">
        <f t="shared" si="1195"/>
        <v>20133.626654231382</v>
      </c>
      <c r="CU147" s="21">
        <f t="shared" si="1195"/>
        <v>19963.388617810342</v>
      </c>
      <c r="CV147" s="21">
        <f t="shared" si="1195"/>
        <v>19816.978822226338</v>
      </c>
      <c r="CW147" s="21">
        <f t="shared" si="1195"/>
        <v>19691.062025407002</v>
      </c>
      <c r="CX147" s="21">
        <f t="shared" si="1195"/>
        <v>19582.769819561086</v>
      </c>
      <c r="CY147" s="21">
        <f t="shared" si="1195"/>
        <v>19489.635288321377</v>
      </c>
      <c r="CZ147" s="21">
        <f t="shared" si="1195"/>
        <v>19409.536809936122</v>
      </c>
      <c r="DA147" s="21">
        <f t="shared" si="1195"/>
        <v>19340.649726335309</v>
      </c>
      <c r="DB147" s="21">
        <f t="shared" si="1195"/>
        <v>19281.404777084193</v>
      </c>
      <c r="DE147" s="126"/>
      <c r="DF147" s="22">
        <v>14963.899343544857</v>
      </c>
    </row>
    <row r="148" spans="1:110" s="23" customFormat="1" x14ac:dyDescent="0.2">
      <c r="AB148" s="24"/>
      <c r="AC148" s="24"/>
      <c r="AD148" s="24"/>
      <c r="AE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E148" s="123"/>
    </row>
    <row r="149" spans="1:110" s="23" customFormat="1" x14ac:dyDescent="0.2">
      <c r="A149" s="23" t="s">
        <v>58</v>
      </c>
      <c r="B149" s="23">
        <f>'Annual Raw'!C71</f>
        <v>0</v>
      </c>
      <c r="C149" s="23">
        <f>'Annual Raw'!D71</f>
        <v>0</v>
      </c>
      <c r="D149" s="23">
        <f>'Annual Raw'!E71</f>
        <v>0</v>
      </c>
      <c r="E149" s="23">
        <f>'Annual Raw'!F71</f>
        <v>13.25</v>
      </c>
      <c r="F149" s="23">
        <f>'Annual Raw'!G71</f>
        <v>8.6199999999999992</v>
      </c>
      <c r="G149" s="23">
        <f>'Annual Raw'!H71</f>
        <v>28.16</v>
      </c>
      <c r="H149" s="23">
        <f>'Annual Raw'!I71</f>
        <v>18.559999999999899</v>
      </c>
      <c r="I149" s="23">
        <f>'Annual Raw'!J71</f>
        <v>14.889999999999899</v>
      </c>
      <c r="J149" s="23">
        <f>'Annual Raw'!K71</f>
        <v>29.98</v>
      </c>
      <c r="K149" s="23">
        <f>'Annual Raw'!L71</f>
        <v>1222.6400000000001</v>
      </c>
      <c r="L149" s="23">
        <f>'Annual Raw'!M71</f>
        <v>1078.68</v>
      </c>
      <c r="M149" s="23">
        <f>'Annual Raw'!N71</f>
        <v>574.55999999999995</v>
      </c>
      <c r="N149" s="23">
        <f>'Annual Raw'!O71</f>
        <v>968.3</v>
      </c>
      <c r="O149" s="23">
        <f>'Annual Raw'!P71</f>
        <v>2275.27</v>
      </c>
      <c r="P149" s="23">
        <f>'Annual Raw'!Q71</f>
        <v>169.18</v>
      </c>
      <c r="Q149" s="23">
        <f>'Annual Raw'!R71</f>
        <v>343</v>
      </c>
      <c r="R149" s="23">
        <f>'Annual Raw'!S71</f>
        <v>344</v>
      </c>
      <c r="S149" s="23">
        <f>'Annual Raw'!T71</f>
        <v>301</v>
      </c>
      <c r="T149" s="23">
        <f>'Annual Raw'!U71</f>
        <v>239</v>
      </c>
      <c r="U149" s="23">
        <f>'Annual Raw'!V71</f>
        <v>216</v>
      </c>
      <c r="V149" s="23">
        <f>'Annual Raw'!W71</f>
        <v>213</v>
      </c>
      <c r="W149" s="23">
        <f>'Annual Raw'!X71</f>
        <v>223</v>
      </c>
      <c r="X149" s="23">
        <f>'Annual Raw'!Y71</f>
        <v>266</v>
      </c>
      <c r="Y149" s="23">
        <f>'Annual Raw'!Z71</f>
        <v>281</v>
      </c>
      <c r="Z149" s="23">
        <f>'Annual Raw'!AA71</f>
        <v>275</v>
      </c>
      <c r="AA149" s="23">
        <f>'Annual Raw'!AB71</f>
        <v>218</v>
      </c>
      <c r="AB149" s="24">
        <f>+CP149</f>
        <v>218</v>
      </c>
      <c r="AC149" s="24">
        <f>+CT149</f>
        <v>218</v>
      </c>
      <c r="AD149" s="24">
        <f>+CX149</f>
        <v>218</v>
      </c>
      <c r="AE149" s="24">
        <f>+DB149</f>
        <v>218</v>
      </c>
      <c r="AJ149" s="23">
        <f>+'QTR Raw'!D77</f>
        <v>899.18</v>
      </c>
      <c r="AK149" s="23">
        <f t="shared" ref="AK149:CE149" si="1196">+AJ149</f>
        <v>899.18</v>
      </c>
      <c r="AL149" s="23">
        <f>+'QTR Raw'!F77</f>
        <v>968.3</v>
      </c>
      <c r="AM149" s="23">
        <f t="shared" si="1196"/>
        <v>968.3</v>
      </c>
      <c r="AN149" s="23">
        <f>+'QTR Raw'!H77</f>
        <v>2885.72</v>
      </c>
      <c r="AO149" s="23">
        <f t="shared" si="1196"/>
        <v>2885.72</v>
      </c>
      <c r="AP149" s="23">
        <f>+'QTR Raw'!J77</f>
        <v>2275.27</v>
      </c>
      <c r="AQ149" s="23">
        <f t="shared" si="1196"/>
        <v>2275.27</v>
      </c>
      <c r="AR149" s="23">
        <f>+'QTR Raw'!L77</f>
        <v>167.34</v>
      </c>
      <c r="AS149" s="23">
        <f t="shared" si="1196"/>
        <v>167.34</v>
      </c>
      <c r="AT149" s="23">
        <f>+'QTR Raw'!N77</f>
        <v>169.18</v>
      </c>
      <c r="AU149" s="23">
        <f t="shared" si="1196"/>
        <v>169.18</v>
      </c>
      <c r="AV149" s="23">
        <f>+'QTR Raw'!P77</f>
        <v>175.5</v>
      </c>
      <c r="AW149" s="23">
        <f t="shared" si="1196"/>
        <v>175.5</v>
      </c>
      <c r="AX149" s="23">
        <f>+'QTR Raw'!R77</f>
        <v>343</v>
      </c>
      <c r="AY149" s="23">
        <f t="shared" si="1196"/>
        <v>343</v>
      </c>
      <c r="AZ149" s="23">
        <f>+'QTR Raw'!T77</f>
        <v>261</v>
      </c>
      <c r="BA149" s="23">
        <f t="shared" si="1196"/>
        <v>261</v>
      </c>
      <c r="BB149" s="23">
        <f>+'QTR Raw'!V77</f>
        <v>344</v>
      </c>
      <c r="BC149" s="23">
        <f t="shared" si="1196"/>
        <v>344</v>
      </c>
      <c r="BD149" s="23">
        <f>+'QTR Raw'!X77</f>
        <v>268</v>
      </c>
      <c r="BE149" s="23">
        <f t="shared" si="1196"/>
        <v>268</v>
      </c>
      <c r="BF149" s="23">
        <f>+'QTR Raw'!Z77</f>
        <v>301</v>
      </c>
      <c r="BG149" s="23">
        <f t="shared" si="1196"/>
        <v>301</v>
      </c>
      <c r="BH149" s="23">
        <f>+'QTR Raw'!AB77</f>
        <v>242</v>
      </c>
      <c r="BI149" s="23">
        <f t="shared" si="1196"/>
        <v>242</v>
      </c>
      <c r="BJ149" s="23">
        <f>+'QTR Raw'!AD77</f>
        <v>239</v>
      </c>
      <c r="BK149" s="23">
        <f t="shared" si="1196"/>
        <v>239</v>
      </c>
      <c r="BL149" s="23">
        <f>+'QTR Raw'!AF77</f>
        <v>219</v>
      </c>
      <c r="BM149" s="23">
        <f t="shared" si="1196"/>
        <v>219</v>
      </c>
      <c r="BN149" s="23">
        <f>+'QTR Raw'!AH77</f>
        <v>216</v>
      </c>
      <c r="BO149" s="23">
        <f t="shared" si="1196"/>
        <v>216</v>
      </c>
      <c r="BP149" s="23">
        <f>+'QTR Raw'!AJ77</f>
        <v>215</v>
      </c>
      <c r="BQ149" s="23">
        <f t="shared" si="1196"/>
        <v>215</v>
      </c>
      <c r="BR149" s="23">
        <f>+'QTR Raw'!AL77</f>
        <v>213</v>
      </c>
      <c r="BS149" s="23">
        <f t="shared" si="1196"/>
        <v>213</v>
      </c>
      <c r="BT149" s="23">
        <f>+'QTR Raw'!AN77</f>
        <v>237</v>
      </c>
      <c r="BU149" s="23">
        <f t="shared" si="1196"/>
        <v>237</v>
      </c>
      <c r="BV149" s="23">
        <f>+'QTR Raw'!AP77</f>
        <v>223</v>
      </c>
      <c r="BW149" s="23">
        <f t="shared" si="1196"/>
        <v>223</v>
      </c>
      <c r="BX149" s="23">
        <f>+'QTR Raw'!AR77</f>
        <v>257</v>
      </c>
      <c r="BY149" s="23">
        <f t="shared" si="1196"/>
        <v>257</v>
      </c>
      <c r="BZ149" s="23">
        <f>+'QTR Raw'!AT77</f>
        <v>266</v>
      </c>
      <c r="CA149" s="23">
        <f t="shared" si="1196"/>
        <v>266</v>
      </c>
      <c r="CB149" s="23">
        <f>+'QTR Raw'!AV77</f>
        <v>288</v>
      </c>
      <c r="CC149" s="23">
        <f t="shared" si="1196"/>
        <v>288</v>
      </c>
      <c r="CD149" s="23">
        <f>+'QTR Raw'!AX77</f>
        <v>281</v>
      </c>
      <c r="CE149" s="23">
        <f t="shared" si="1196"/>
        <v>281</v>
      </c>
      <c r="CF149" s="23">
        <f>+'QTR Raw'!AZ77</f>
        <v>289</v>
      </c>
      <c r="CG149" s="23">
        <f t="shared" ref="CG149:CK152" si="1197">+CF149</f>
        <v>289</v>
      </c>
      <c r="CH149" s="23">
        <f t="shared" ref="CH149:CH164" si="1198">Z149</f>
        <v>275</v>
      </c>
      <c r="CI149" s="23">
        <f t="shared" si="1197"/>
        <v>275</v>
      </c>
      <c r="CJ149" s="23">
        <f>+'QTR Raw'!BD77</f>
        <v>233</v>
      </c>
      <c r="CK149" s="23">
        <f t="shared" si="1197"/>
        <v>233</v>
      </c>
      <c r="CL149" s="23">
        <f>+'QTR Raw'!BF77</f>
        <v>218</v>
      </c>
      <c r="CM149" s="24">
        <f t="shared" ref="CM149" si="1199">+CL149</f>
        <v>218</v>
      </c>
      <c r="CN149" s="24">
        <f t="shared" ref="CN149" si="1200">+CM149</f>
        <v>218</v>
      </c>
      <c r="CO149" s="24">
        <f t="shared" ref="CO149" si="1201">+CN149</f>
        <v>218</v>
      </c>
      <c r="CP149" s="24">
        <f t="shared" ref="CP149" si="1202">+CO149</f>
        <v>218</v>
      </c>
      <c r="CQ149" s="24">
        <f t="shared" ref="CQ149" si="1203">+CP149</f>
        <v>218</v>
      </c>
      <c r="CR149" s="24">
        <f t="shared" ref="CR149" si="1204">+CQ149</f>
        <v>218</v>
      </c>
      <c r="CS149" s="24">
        <f t="shared" ref="CS149" si="1205">+CR149</f>
        <v>218</v>
      </c>
      <c r="CT149" s="24">
        <f t="shared" ref="CT149" si="1206">+CS149</f>
        <v>218</v>
      </c>
      <c r="CU149" s="24">
        <f t="shared" ref="CU149" si="1207">+CT149</f>
        <v>218</v>
      </c>
      <c r="CV149" s="24">
        <f t="shared" ref="CV149" si="1208">+CU149</f>
        <v>218</v>
      </c>
      <c r="CW149" s="24">
        <f t="shared" ref="CW149" si="1209">+CV149</f>
        <v>218</v>
      </c>
      <c r="CX149" s="24">
        <f t="shared" ref="CX149" si="1210">+CW149</f>
        <v>218</v>
      </c>
      <c r="CY149" s="24">
        <f t="shared" ref="CY149" si="1211">+CX149</f>
        <v>218</v>
      </c>
      <c r="CZ149" s="24">
        <f t="shared" ref="CZ149" si="1212">+CY149</f>
        <v>218</v>
      </c>
      <c r="DA149" s="24">
        <f t="shared" ref="DA149" si="1213">+CZ149</f>
        <v>218</v>
      </c>
      <c r="DB149" s="24">
        <f t="shared" ref="DB149" si="1214">+DA149</f>
        <v>218</v>
      </c>
      <c r="DE149" s="123"/>
      <c r="DF149" s="23">
        <v>233</v>
      </c>
    </row>
    <row r="150" spans="1:110" s="23" customFormat="1" x14ac:dyDescent="0.2">
      <c r="AB150" s="24"/>
      <c r="AC150" s="24"/>
      <c r="AD150" s="24"/>
      <c r="AE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</row>
    <row r="151" spans="1:110" s="23" customFormat="1" outlineLevel="1" x14ac:dyDescent="0.2">
      <c r="A151" s="23" t="s">
        <v>59</v>
      </c>
      <c r="B151" s="23">
        <f>'Annual Raw'!C72</f>
        <v>0</v>
      </c>
      <c r="C151" s="23">
        <f>'Annual Raw'!D72</f>
        <v>0</v>
      </c>
      <c r="D151" s="23">
        <f>'Annual Raw'!E72</f>
        <v>0</v>
      </c>
      <c r="E151" s="23">
        <f>'Annual Raw'!F72+'Annual Raw'!F61</f>
        <v>0</v>
      </c>
      <c r="F151" s="23">
        <f>'Annual Raw'!G72+'Annual Raw'!G61</f>
        <v>0</v>
      </c>
      <c r="G151" s="23">
        <f>'Annual Raw'!H72+'Annual Raw'!H61</f>
        <v>0</v>
      </c>
      <c r="H151" s="23">
        <f>'Annual Raw'!I72+'Annual Raw'!I61</f>
        <v>0</v>
      </c>
      <c r="I151" s="23">
        <f>'Annual Raw'!J72+'Annual Raw'!J61</f>
        <v>0</v>
      </c>
      <c r="J151" s="23">
        <f>'Annual Raw'!K72+'Annual Raw'!K61</f>
        <v>0</v>
      </c>
      <c r="K151" s="23">
        <f>'Annual Raw'!L72+'Annual Raw'!L61</f>
        <v>0</v>
      </c>
      <c r="L151" s="23">
        <f>'Annual Raw'!M72+'Annual Raw'!M61</f>
        <v>2764.09</v>
      </c>
      <c r="M151" s="23">
        <f>'Annual Raw'!N72+'Annual Raw'!N61</f>
        <v>4138.07</v>
      </c>
      <c r="N151" s="23">
        <f>'Annual Raw'!O72+'Annual Raw'!O61</f>
        <v>4954.84</v>
      </c>
      <c r="O151" s="23">
        <f>'Annual Raw'!P72+'Annual Raw'!P61</f>
        <v>7068.96</v>
      </c>
      <c r="P151" s="23">
        <f>'Annual Raw'!Q72+'Annual Raw'!Q61</f>
        <v>8620.67</v>
      </c>
      <c r="Q151" s="23">
        <f>'Annual Raw'!R72+'Annual Raw'!R61</f>
        <v>7837</v>
      </c>
      <c r="R151" s="23">
        <f>'Annual Raw'!S72+'Annual Raw'!S61</f>
        <v>5973</v>
      </c>
      <c r="S151" s="23">
        <f>'Annual Raw'!T72+'Annual Raw'!T61</f>
        <v>7218</v>
      </c>
      <c r="T151" s="23">
        <f>'Annual Raw'!U72+'Annual Raw'!U61</f>
        <v>5579</v>
      </c>
      <c r="U151" s="23">
        <f>'Annual Raw'!V72+'Annual Raw'!V61</f>
        <v>3804</v>
      </c>
      <c r="V151" s="23">
        <f>'Annual Raw'!W72+'Annual Raw'!W61</f>
        <v>3138</v>
      </c>
      <c r="W151" s="23">
        <f>'Annual Raw'!X72+'Annual Raw'!X61</f>
        <v>3420</v>
      </c>
      <c r="X151" s="23">
        <f>'Annual Raw'!Y72+'Annual Raw'!Y61</f>
        <v>3849</v>
      </c>
      <c r="Y151" s="23">
        <f>'Annual Raw'!Z72+'Annual Raw'!Z61</f>
        <v>2778</v>
      </c>
      <c r="Z151" s="23">
        <f>'Annual Raw'!AA72+'Annual Raw'!AA61</f>
        <v>2899</v>
      </c>
      <c r="AA151" s="23">
        <f>'Annual Raw'!AB72+'Annual Raw'!AB61</f>
        <v>4162</v>
      </c>
      <c r="AB151" s="24">
        <f t="shared" ref="AB151:AB156" si="1215">+CP151</f>
        <v>0</v>
      </c>
      <c r="AC151" s="24">
        <f t="shared" ref="AC151:AC156" si="1216">+CT151</f>
        <v>0</v>
      </c>
      <c r="AD151" s="24">
        <f t="shared" ref="AD151:AD156" si="1217">+CX151</f>
        <v>0</v>
      </c>
      <c r="AE151" s="24">
        <f t="shared" ref="AE151:AE156" si="1218">+DB151</f>
        <v>0</v>
      </c>
      <c r="AJ151" s="23">
        <f>+'QTR Raw'!D78</f>
        <v>6109.21</v>
      </c>
      <c r="AK151" s="23">
        <f t="shared" ref="AK151:CE156" si="1219">+AJ151</f>
        <v>6109.21</v>
      </c>
      <c r="AL151" s="23">
        <f>+'QTR Raw'!F78</f>
        <v>5312.88</v>
      </c>
      <c r="AM151" s="23">
        <f t="shared" si="1219"/>
        <v>5312.88</v>
      </c>
      <c r="AN151" s="23">
        <f>+'QTR Raw'!H78</f>
        <v>5989.05</v>
      </c>
      <c r="AO151" s="23">
        <f t="shared" si="1219"/>
        <v>5989.05</v>
      </c>
      <c r="AP151" s="23">
        <f>+'QTR Raw'!J78</f>
        <v>7286.62</v>
      </c>
      <c r="AQ151" s="23">
        <f t="shared" si="1219"/>
        <v>7286.62</v>
      </c>
      <c r="AR151" s="23">
        <f>+'QTR Raw'!L78</f>
        <v>6635.77</v>
      </c>
      <c r="AS151" s="23">
        <f t="shared" si="1219"/>
        <v>6635.77</v>
      </c>
      <c r="AT151" s="23">
        <f>+'QTR Raw'!N78</f>
        <v>9154.92</v>
      </c>
      <c r="AU151" s="23">
        <f t="shared" si="1219"/>
        <v>9154.92</v>
      </c>
      <c r="AV151" s="23">
        <f>+'QTR Raw'!P78</f>
        <v>7699.96</v>
      </c>
      <c r="AW151" s="23">
        <f t="shared" si="1219"/>
        <v>7699.96</v>
      </c>
      <c r="AX151" s="23">
        <f>+'QTR Raw'!R78</f>
        <v>2472</v>
      </c>
      <c r="AY151" s="23">
        <f t="shared" si="1219"/>
        <v>2472</v>
      </c>
      <c r="AZ151" s="23">
        <f>+'QTR Raw'!T78</f>
        <v>96</v>
      </c>
      <c r="BA151" s="23">
        <f t="shared" si="1219"/>
        <v>96</v>
      </c>
      <c r="BB151" s="23">
        <f>+'QTR Raw'!V78</f>
        <v>9</v>
      </c>
      <c r="BC151" s="23">
        <f t="shared" si="1219"/>
        <v>9</v>
      </c>
      <c r="BD151" s="23">
        <f>+'QTR Raw'!X78</f>
        <v>4</v>
      </c>
      <c r="BE151" s="23">
        <f t="shared" si="1219"/>
        <v>4</v>
      </c>
      <c r="BF151" s="23">
        <f>+'QTR Raw'!Z78</f>
        <v>1975</v>
      </c>
      <c r="BG151" s="23">
        <f t="shared" si="1219"/>
        <v>1975</v>
      </c>
      <c r="BH151" s="23">
        <f>+'QTR Raw'!AB78</f>
        <v>2002</v>
      </c>
      <c r="BI151" s="23">
        <f t="shared" si="1219"/>
        <v>2002</v>
      </c>
      <c r="BJ151" s="23">
        <f>+'QTR Raw'!AD78</f>
        <v>60</v>
      </c>
      <c r="BK151" s="23">
        <f t="shared" si="1219"/>
        <v>60</v>
      </c>
      <c r="BL151" s="23">
        <f>+'QTR Raw'!AF78</f>
        <v>60</v>
      </c>
      <c r="BM151" s="23">
        <f t="shared" si="1219"/>
        <v>60</v>
      </c>
      <c r="BN151" s="23">
        <f>+'QTR Raw'!AH78</f>
        <v>29</v>
      </c>
      <c r="BO151" s="23">
        <f t="shared" si="1219"/>
        <v>29</v>
      </c>
      <c r="BP151" s="23">
        <f>+'QTR Raw'!AJ78</f>
        <v>49</v>
      </c>
      <c r="BQ151" s="23">
        <f t="shared" si="1219"/>
        <v>49</v>
      </c>
      <c r="BR151" s="23">
        <f>+'QTR Raw'!AL78</f>
        <v>29</v>
      </c>
      <c r="BS151" s="23">
        <f t="shared" si="1219"/>
        <v>29</v>
      </c>
      <c r="BT151" s="23">
        <f>+'QTR Raw'!AN78</f>
        <v>675</v>
      </c>
      <c r="BU151" s="23">
        <f t="shared" si="1219"/>
        <v>675</v>
      </c>
      <c r="BV151" s="23">
        <f>+'QTR Raw'!AP78</f>
        <v>311</v>
      </c>
      <c r="BW151" s="23">
        <f t="shared" si="1219"/>
        <v>311</v>
      </c>
      <c r="BX151" s="23">
        <f>+'QTR Raw'!AR78</f>
        <v>63</v>
      </c>
      <c r="BY151" s="23">
        <f t="shared" si="1219"/>
        <v>63</v>
      </c>
      <c r="BZ151" s="23">
        <f>+'QTR Raw'!AT78</f>
        <v>173</v>
      </c>
      <c r="CA151" s="23">
        <f t="shared" si="1219"/>
        <v>173</v>
      </c>
      <c r="CB151" s="23">
        <f>+'QTR Raw'!AV78</f>
        <v>173</v>
      </c>
      <c r="CC151" s="23">
        <f t="shared" si="1219"/>
        <v>173</v>
      </c>
      <c r="CD151" s="23">
        <f>+'QTR Raw'!AX78</f>
        <v>2</v>
      </c>
      <c r="CE151" s="23">
        <f t="shared" si="1219"/>
        <v>2</v>
      </c>
      <c r="CF151" s="23">
        <f>+'QTR Raw'!AZ78</f>
        <v>2</v>
      </c>
      <c r="CG151" s="23">
        <f t="shared" si="1197"/>
        <v>2</v>
      </c>
      <c r="CH151" s="23">
        <f t="shared" si="1198"/>
        <v>2899</v>
      </c>
      <c r="CJ151" s="23">
        <f>+'QTR Raw'!BD78</f>
        <v>777</v>
      </c>
      <c r="CL151" s="23">
        <f>+'QTR Raw'!BF78</f>
        <v>775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775</v>
      </c>
    </row>
    <row r="152" spans="1:110" s="23" customFormat="1" outlineLevel="1" x14ac:dyDescent="0.2">
      <c r="A152" s="23" t="s">
        <v>60</v>
      </c>
      <c r="B152" s="23">
        <f>'Annual Raw'!C73+'Annual Raw'!C81</f>
        <v>0</v>
      </c>
      <c r="C152" s="23">
        <f>'Annual Raw'!D73+'Annual Raw'!D81</f>
        <v>0</v>
      </c>
      <c r="D152" s="23">
        <f>'Annual Raw'!E73+'Annual Raw'!E81</f>
        <v>0</v>
      </c>
      <c r="E152" s="23">
        <f>'Annual Raw'!F73+'Annual Raw'!F81</f>
        <v>0</v>
      </c>
      <c r="F152" s="23">
        <f>'Annual Raw'!G73+'Annual Raw'!G81</f>
        <v>0</v>
      </c>
      <c r="G152" s="23">
        <f>'Annual Raw'!H73+'Annual Raw'!H81</f>
        <v>0</v>
      </c>
      <c r="H152" s="23">
        <f>'Annual Raw'!I73+'Annual Raw'!I81</f>
        <v>0</v>
      </c>
      <c r="I152" s="23">
        <f>'Annual Raw'!J73+'Annual Raw'!J81</f>
        <v>0</v>
      </c>
      <c r="J152" s="23">
        <f>'Annual Raw'!K73+'Annual Raw'!K81</f>
        <v>0</v>
      </c>
      <c r="K152" s="23">
        <f>'Annual Raw'!L73+'Annual Raw'!L81</f>
        <v>0</v>
      </c>
      <c r="L152" s="23">
        <f>'Annual Raw'!M73+'Annual Raw'!M81</f>
        <v>2968.7</v>
      </c>
      <c r="M152" s="23">
        <f>'Annual Raw'!N73+'Annual Raw'!N81</f>
        <v>3191.65</v>
      </c>
      <c r="N152" s="23">
        <f>'Annual Raw'!O73+'Annual Raw'!O81</f>
        <v>2812.68</v>
      </c>
      <c r="O152" s="23">
        <f>'Annual Raw'!P73+'Annual Raw'!P81</f>
        <v>1754.52</v>
      </c>
      <c r="P152" s="23">
        <f>'Annual Raw'!Q73+'Annual Raw'!Q81</f>
        <v>1059.55</v>
      </c>
      <c r="Q152" s="23">
        <f>'Annual Raw'!R73+'Annual Raw'!R81</f>
        <v>1351</v>
      </c>
      <c r="R152" s="23">
        <f>'Annual Raw'!S73+'Annual Raw'!S81</f>
        <v>549</v>
      </c>
      <c r="S152" s="23">
        <f>'Annual Raw'!T73+'Annual Raw'!T81</f>
        <v>853</v>
      </c>
      <c r="T152" s="23">
        <f>'Annual Raw'!U73+'Annual Raw'!U81</f>
        <v>1085</v>
      </c>
      <c r="U152" s="23">
        <f>'Annual Raw'!V73+'Annual Raw'!V81</f>
        <v>1980</v>
      </c>
      <c r="V152" s="23">
        <f>'Annual Raw'!W73+'Annual Raw'!W81</f>
        <v>2250</v>
      </c>
      <c r="W152" s="23">
        <f>'Annual Raw'!X73+'Annual Raw'!X81</f>
        <v>3350</v>
      </c>
      <c r="X152" s="23">
        <f>'Annual Raw'!Y73+'Annual Raw'!Y81</f>
        <v>4210</v>
      </c>
      <c r="Y152" s="23">
        <f>'Annual Raw'!Z73+'Annual Raw'!Z81</f>
        <v>5835</v>
      </c>
      <c r="Z152" s="23">
        <f>'Annual Raw'!AA73+'Annual Raw'!AA81</f>
        <v>5267</v>
      </c>
      <c r="AA152" s="23">
        <f>'Annual Raw'!AB73+'Annual Raw'!AB81</f>
        <v>3814</v>
      </c>
      <c r="AB152" s="24">
        <f t="shared" si="1215"/>
        <v>0</v>
      </c>
      <c r="AC152" s="24">
        <f t="shared" si="1216"/>
        <v>0</v>
      </c>
      <c r="AD152" s="24">
        <f t="shared" si="1217"/>
        <v>0</v>
      </c>
      <c r="AE152" s="24">
        <f t="shared" si="1218"/>
        <v>0</v>
      </c>
      <c r="AJ152" s="23">
        <f>+'QTR Raw'!D79+'QTR Raw'!D76</f>
        <v>174.01</v>
      </c>
      <c r="AK152" s="23">
        <f t="shared" si="1219"/>
        <v>174.01</v>
      </c>
      <c r="AL152" s="23">
        <f>+'QTR Raw'!F79+'QTR Raw'!F76</f>
        <v>2454.64</v>
      </c>
      <c r="AM152" s="23">
        <f t="shared" si="1219"/>
        <v>2454.64</v>
      </c>
      <c r="AN152" s="23">
        <f>+'QTR Raw'!H79+'QTR Raw'!H76</f>
        <v>2404.96</v>
      </c>
      <c r="AO152" s="23">
        <f t="shared" si="1219"/>
        <v>2404.96</v>
      </c>
      <c r="AP152" s="23">
        <f>+'QTR Raw'!J79+'QTR Raw'!J76</f>
        <v>1545.33</v>
      </c>
      <c r="AQ152" s="23">
        <f t="shared" si="1219"/>
        <v>1545.33</v>
      </c>
      <c r="AR152" s="23">
        <f>+'QTR Raw'!L79+'QTR Raw'!L76</f>
        <v>578.91999999999996</v>
      </c>
      <c r="AS152" s="23">
        <f t="shared" si="1219"/>
        <v>578.91999999999996</v>
      </c>
      <c r="AT152" s="23">
        <f>+'QTR Raw'!N79+'QTR Raw'!N76</f>
        <v>525.29999999999995</v>
      </c>
      <c r="AU152" s="23">
        <f t="shared" si="1219"/>
        <v>525.29999999999995</v>
      </c>
      <c r="AV152" s="23">
        <f>+'QTR Raw'!P79+'QTR Raw'!P76</f>
        <v>532.27</v>
      </c>
      <c r="AW152" s="23">
        <f t="shared" si="1219"/>
        <v>532.27</v>
      </c>
      <c r="AX152" s="23">
        <f>+'QTR Raw'!R79+'QTR Raw'!R76</f>
        <v>6716</v>
      </c>
      <c r="AY152" s="23">
        <f t="shared" si="1219"/>
        <v>6716</v>
      </c>
      <c r="AZ152" s="23">
        <f>+'QTR Raw'!T79+'QTR Raw'!T76</f>
        <v>6618</v>
      </c>
      <c r="BA152" s="23">
        <f t="shared" si="1219"/>
        <v>6618</v>
      </c>
      <c r="BB152" s="23">
        <f>+'QTR Raw'!V79+'QTR Raw'!V76</f>
        <v>6513</v>
      </c>
      <c r="BC152" s="23">
        <f t="shared" si="1219"/>
        <v>6513</v>
      </c>
      <c r="BD152" s="23">
        <f>+'QTR Raw'!X79+'QTR Raw'!X76</f>
        <v>6186</v>
      </c>
      <c r="BE152" s="23">
        <f t="shared" si="1219"/>
        <v>6186</v>
      </c>
      <c r="BF152" s="23">
        <f>+'QTR Raw'!Z79+'QTR Raw'!Z76</f>
        <v>6096</v>
      </c>
      <c r="BG152" s="23">
        <f t="shared" si="1219"/>
        <v>6096</v>
      </c>
      <c r="BH152" s="23">
        <f>+'QTR Raw'!AB79+'QTR Raw'!AB76</f>
        <v>5580</v>
      </c>
      <c r="BI152" s="23">
        <f t="shared" si="1219"/>
        <v>5580</v>
      </c>
      <c r="BJ152" s="23">
        <f>+'QTR Raw'!AD79+'QTR Raw'!AD76</f>
        <v>6604</v>
      </c>
      <c r="BK152" s="23">
        <f t="shared" si="1219"/>
        <v>6604</v>
      </c>
      <c r="BL152" s="23">
        <f>+'QTR Raw'!AF79+'QTR Raw'!AF76</f>
        <v>12957</v>
      </c>
      <c r="BM152" s="23">
        <f t="shared" si="1219"/>
        <v>12957</v>
      </c>
      <c r="BN152" s="23">
        <f>+'QTR Raw'!AH79+'QTR Raw'!AH76</f>
        <v>13749</v>
      </c>
      <c r="BO152" s="23">
        <f t="shared" si="1219"/>
        <v>13749</v>
      </c>
      <c r="BP152" s="23">
        <f>+'QTR Raw'!AJ79+'QTR Raw'!AJ76</f>
        <v>12789</v>
      </c>
      <c r="BQ152" s="23">
        <f t="shared" si="1219"/>
        <v>12789</v>
      </c>
      <c r="BR152" s="23">
        <f>+'QTR Raw'!AL79+'QTR Raw'!AL76</f>
        <v>12992</v>
      </c>
      <c r="BS152" s="23">
        <f t="shared" si="1219"/>
        <v>12992</v>
      </c>
      <c r="BT152" s="23">
        <f>+'QTR Raw'!AN79+'QTR Raw'!AN76</f>
        <v>13881</v>
      </c>
      <c r="BU152" s="23">
        <f t="shared" si="1219"/>
        <v>13881</v>
      </c>
      <c r="BV152" s="23">
        <f>+'QTR Raw'!AP79+'QTR Raw'!AP76</f>
        <v>14095</v>
      </c>
      <c r="BW152" s="23">
        <f t="shared" si="1219"/>
        <v>14095</v>
      </c>
      <c r="BX152" s="23">
        <f>+'QTR Raw'!AR79+'QTR Raw'!AR76</f>
        <v>13783</v>
      </c>
      <c r="BY152" s="23">
        <f t="shared" si="1219"/>
        <v>13783</v>
      </c>
      <c r="BZ152" s="23">
        <f>+'QTR Raw'!AT79+'QTR Raw'!AT76</f>
        <v>15446</v>
      </c>
      <c r="CA152" s="23">
        <f t="shared" si="1219"/>
        <v>15446</v>
      </c>
      <c r="CB152" s="23">
        <f>+'QTR Raw'!AV79+'QTR Raw'!AV76</f>
        <v>16175</v>
      </c>
      <c r="CC152" s="23">
        <f t="shared" si="1219"/>
        <v>16175</v>
      </c>
      <c r="CD152" s="23">
        <f>+'QTR Raw'!AX79+'QTR Raw'!AX76</f>
        <v>16497</v>
      </c>
      <c r="CE152" s="23">
        <f t="shared" si="1219"/>
        <v>16497</v>
      </c>
      <c r="CF152" s="23">
        <f>+'QTR Raw'!AZ79+'QTR Raw'!AZ76</f>
        <v>17253</v>
      </c>
      <c r="CG152" s="23">
        <f t="shared" si="1197"/>
        <v>17253</v>
      </c>
      <c r="CH152" s="23">
        <f t="shared" si="1198"/>
        <v>5267</v>
      </c>
      <c r="CJ152" s="23">
        <f>+'QTR Raw'!BD79+'QTR Raw'!BD76</f>
        <v>20215</v>
      </c>
      <c r="CL152" s="23">
        <f>+'QTR Raw'!BF79+'QTR Raw'!BF76</f>
        <v>18228</v>
      </c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E152" s="123"/>
      <c r="DF152" s="23">
        <v>18228</v>
      </c>
    </row>
    <row r="153" spans="1:110" s="23" customFormat="1" outlineLevel="1" x14ac:dyDescent="0.2">
      <c r="A153" s="23" t="s">
        <v>61</v>
      </c>
      <c r="B153" s="23">
        <f>'Annual Raw'!C76</f>
        <v>0</v>
      </c>
      <c r="C153" s="23">
        <f>'Annual Raw'!D76</f>
        <v>0</v>
      </c>
      <c r="D153" s="23">
        <f>'Annual Raw'!E76</f>
        <v>0</v>
      </c>
      <c r="E153" s="23">
        <f>'Annual Raw'!F76</f>
        <v>18.48</v>
      </c>
      <c r="F153" s="23">
        <f>'Annual Raw'!G76</f>
        <v>32</v>
      </c>
      <c r="G153" s="23">
        <f>'Annual Raw'!H76</f>
        <v>80.64</v>
      </c>
      <c r="H153" s="23">
        <f>'Annual Raw'!I76</f>
        <v>41.6</v>
      </c>
      <c r="I153" s="23">
        <f>'Annual Raw'!J76</f>
        <v>42.43</v>
      </c>
      <c r="J153" s="23">
        <f>'Annual Raw'!K76</f>
        <v>36.6</v>
      </c>
      <c r="K153" s="23">
        <f>'Annual Raw'!L76</f>
        <v>17.79</v>
      </c>
      <c r="L153" s="23">
        <f>'Annual Raw'!M76</f>
        <v>22.82</v>
      </c>
      <c r="M153" s="23">
        <f>'Annual Raw'!N76</f>
        <v>17.77</v>
      </c>
      <c r="N153" s="23">
        <f>'Annual Raw'!O76</f>
        <v>21.15</v>
      </c>
      <c r="O153" s="23">
        <f>'Annual Raw'!P76</f>
        <v>15.21</v>
      </c>
      <c r="P153" s="23">
        <f>'Annual Raw'!Q76</f>
        <v>16.07</v>
      </c>
      <c r="Q153" s="23">
        <f>'Annual Raw'!R76</f>
        <v>16</v>
      </c>
      <c r="R153" s="23">
        <f>'Annual Raw'!S76</f>
        <v>21</v>
      </c>
      <c r="S153" s="23">
        <f>'Annual Raw'!T76</f>
        <v>26</v>
      </c>
      <c r="T153" s="23">
        <f>'Annual Raw'!U76</f>
        <v>10</v>
      </c>
      <c r="U153" s="23">
        <f>'Annual Raw'!V76</f>
        <v>5</v>
      </c>
      <c r="V153" s="23">
        <f>'Annual Raw'!W76</f>
        <v>8</v>
      </c>
      <c r="W153" s="23">
        <f>'Annual Raw'!X76</f>
        <v>20</v>
      </c>
      <c r="X153" s="23">
        <f>'Annual Raw'!Y76</f>
        <v>28</v>
      </c>
      <c r="Y153" s="23">
        <f>'Annual Raw'!Z76</f>
        <v>28</v>
      </c>
      <c r="Z153" s="23">
        <f>'Annual Raw'!AA76</f>
        <v>21</v>
      </c>
      <c r="AA153" s="23">
        <f>'Annual Raw'!AB76</f>
        <v>29</v>
      </c>
      <c r="AB153" s="24">
        <f t="shared" si="1215"/>
        <v>29.91561941328942</v>
      </c>
      <c r="AC153" s="24">
        <f t="shared" si="1216"/>
        <v>31.459497051212175</v>
      </c>
      <c r="AD153" s="24">
        <f t="shared" si="1217"/>
        <v>33.083050731537682</v>
      </c>
      <c r="AE153" s="24">
        <f t="shared" si="1218"/>
        <v>34.790392355090873</v>
      </c>
      <c r="AJ153" s="23">
        <f>+'QTR Raw'!D81</f>
        <v>22.69</v>
      </c>
      <c r="AK153" s="23">
        <f>+AK188*AK19/90</f>
        <v>23.235797576940932</v>
      </c>
      <c r="AL153" s="23">
        <f>+'QTR Raw'!F81</f>
        <v>21.15</v>
      </c>
      <c r="AM153" s="23">
        <f>+AM188*AM19/90</f>
        <v>23.019853147487321</v>
      </c>
      <c r="AN153" s="23">
        <f>+'QTR Raw'!H81</f>
        <v>25.7</v>
      </c>
      <c r="AO153" s="23">
        <f>+AO188*AO19/90</f>
        <v>26.088025498111286</v>
      </c>
      <c r="AP153" s="23">
        <f>+'QTR Raw'!J81</f>
        <v>15.21</v>
      </c>
      <c r="AQ153" s="23">
        <f>+AQ188*AQ19/90</f>
        <v>15.605185923310609</v>
      </c>
      <c r="AR153" s="23">
        <f>+'QTR Raw'!L81</f>
        <v>24.53</v>
      </c>
      <c r="AS153" s="23">
        <f>+AS188*AS19/90</f>
        <v>25.235171788610241</v>
      </c>
      <c r="AT153" s="23">
        <f>+'QTR Raw'!N81</f>
        <v>16.07</v>
      </c>
      <c r="AU153" s="23">
        <f>+AU188*AU19/90</f>
        <v>17.030918555757779</v>
      </c>
      <c r="AV153" s="23">
        <f>+'QTR Raw'!P81</f>
        <v>20.12</v>
      </c>
      <c r="AW153" s="23">
        <f>+AW188*AW19/90</f>
        <v>20.267391128290079</v>
      </c>
      <c r="AX153" s="23">
        <f>+'QTR Raw'!R81</f>
        <v>16</v>
      </c>
      <c r="AY153" s="23">
        <f>+AY188*AY19/90</f>
        <v>16.481422897114136</v>
      </c>
      <c r="AZ153" s="23">
        <f>+'QTR Raw'!T81</f>
        <v>17</v>
      </c>
      <c r="BA153" s="23">
        <f>+BA188*BA19/90</f>
        <v>17.261815325775171</v>
      </c>
      <c r="BB153" s="23">
        <f>+'QTR Raw'!V81</f>
        <v>21</v>
      </c>
      <c r="BC153" s="23">
        <f>+BC188*BC19/90</f>
        <v>20.958909655218946</v>
      </c>
      <c r="BD153" s="23">
        <f>+'QTR Raw'!X81</f>
        <v>29</v>
      </c>
      <c r="BE153" s="23">
        <f>+BE188*BE19/90</f>
        <v>29.344684195016537</v>
      </c>
      <c r="BF153" s="23">
        <f>+'QTR Raw'!Z81</f>
        <v>26</v>
      </c>
      <c r="BG153" s="23">
        <f>+BG188*BG19/90</f>
        <v>27.771971940763837</v>
      </c>
      <c r="BH153" s="23">
        <f>+'QTR Raw'!AB81</f>
        <v>17</v>
      </c>
      <c r="BI153" s="23">
        <f>+BI188*BI19/90</f>
        <v>17.223259347696317</v>
      </c>
      <c r="BJ153" s="23">
        <f>+'QTR Raw'!AD81</f>
        <v>10</v>
      </c>
      <c r="BK153" s="23">
        <f>+BK188*BK19/90</f>
        <v>10.042620363062353</v>
      </c>
      <c r="BL153" s="23">
        <f>+'QTR Raw'!AF81</f>
        <v>7</v>
      </c>
      <c r="BM153" s="23">
        <f>+BM188*BM19/90</f>
        <v>7.1575031428791336</v>
      </c>
      <c r="BN153" s="23">
        <f>+'QTR Raw'!AH81</f>
        <v>5</v>
      </c>
      <c r="BO153" s="23">
        <f>+BO188*BO19/90</f>
        <v>4.7967255795323691</v>
      </c>
      <c r="BP153" s="23">
        <f>+'QTR Raw'!AJ81</f>
        <v>5</v>
      </c>
      <c r="BQ153" s="23">
        <f>+BQ188*BQ19/90</f>
        <v>5.2342095427930735</v>
      </c>
      <c r="BR153" s="23">
        <f>+'QTR Raw'!AL81</f>
        <v>8</v>
      </c>
      <c r="BS153" s="23">
        <f>+BS188*BS19/90</f>
        <v>8.3122754833543073</v>
      </c>
      <c r="BT153" s="23">
        <f>+'QTR Raw'!AN81</f>
        <v>14</v>
      </c>
      <c r="BU153" s="23">
        <f>+BU188*BU19/90</f>
        <v>14.6028122132844</v>
      </c>
      <c r="BV153" s="23">
        <f>+'QTR Raw'!AP81</f>
        <v>20</v>
      </c>
      <c r="BW153" s="23">
        <f>+BW188*BW19/90</f>
        <v>20.856674111996202</v>
      </c>
      <c r="BX153" s="23">
        <f>+'QTR Raw'!AR81</f>
        <v>32</v>
      </c>
      <c r="BY153" s="23">
        <f>+BY188*BY19/90</f>
        <v>33.689417635466199</v>
      </c>
      <c r="BZ153" s="23">
        <f>+'QTR Raw'!AT81</f>
        <v>28</v>
      </c>
      <c r="CA153" s="23">
        <f>+CA188*CA19/90</f>
        <v>28.103647611642604</v>
      </c>
      <c r="CB153" s="23">
        <f>+'QTR Raw'!AV81</f>
        <v>28</v>
      </c>
      <c r="CC153" s="23">
        <f>+CC188*CC19/90</f>
        <v>28.417945453327079</v>
      </c>
      <c r="CD153" s="23">
        <f>+'QTR Raw'!AX81</f>
        <v>28</v>
      </c>
      <c r="CE153" s="23">
        <f>+CE188*CE19/90</f>
        <v>28.629162107875963</v>
      </c>
      <c r="CF153" s="23">
        <f>+'QTR Raw'!AZ81</f>
        <v>29</v>
      </c>
      <c r="CG153" s="23">
        <f>+CG188*CG19/90</f>
        <v>28.870928585879025</v>
      </c>
      <c r="CH153" s="23">
        <f t="shared" si="1198"/>
        <v>21</v>
      </c>
      <c r="CI153" s="23">
        <f>+CI188*CI19/90</f>
        <v>20.660633694691295</v>
      </c>
      <c r="CJ153" s="23">
        <f>+'QTR Raw'!BD81</f>
        <v>26</v>
      </c>
      <c r="CK153" s="23">
        <f>+CK188*CK19/90</f>
        <v>26.508943904922571</v>
      </c>
      <c r="CL153" s="23">
        <f>+'QTR Raw'!BF81</f>
        <v>29</v>
      </c>
      <c r="CM153" s="24">
        <f t="shared" ref="CM153:DB153" si="1220">+CM188*CM19/90</f>
        <v>28.807639108019309</v>
      </c>
      <c r="CN153" s="24">
        <f t="shared" si="1220"/>
        <v>29.172329592860013</v>
      </c>
      <c r="CO153" s="24">
        <f t="shared" si="1220"/>
        <v>29.541636879141279</v>
      </c>
      <c r="CP153" s="24">
        <f t="shared" si="1220"/>
        <v>29.91561941328942</v>
      </c>
      <c r="CQ153" s="24">
        <f t="shared" si="1220"/>
        <v>30.294336381633599</v>
      </c>
      <c r="CR153" s="24">
        <f t="shared" si="1220"/>
        <v>30.677847719772711</v>
      </c>
      <c r="CS153" s="24">
        <f t="shared" si="1220"/>
        <v>31.066214122060732</v>
      </c>
      <c r="CT153" s="24">
        <f t="shared" si="1220"/>
        <v>31.459497051212175</v>
      </c>
      <c r="CU153" s="24">
        <f t="shared" si="1220"/>
        <v>31.857758748029159</v>
      </c>
      <c r="CV153" s="24">
        <f t="shared" si="1220"/>
        <v>32.261062241251643</v>
      </c>
      <c r="CW153" s="24">
        <f t="shared" si="1220"/>
        <v>32.669471357532295</v>
      </c>
      <c r="CX153" s="24">
        <f t="shared" si="1220"/>
        <v>33.083050731537682</v>
      </c>
      <c r="CY153" s="24">
        <f t="shared" si="1220"/>
        <v>33.501865816177343</v>
      </c>
      <c r="CZ153" s="24">
        <f t="shared" si="1220"/>
        <v>33.925982892962324</v>
      </c>
      <c r="DA153" s="24">
        <f t="shared" si="1220"/>
        <v>34.355469082494857</v>
      </c>
      <c r="DB153" s="24">
        <f t="shared" si="1220"/>
        <v>34.790392355090873</v>
      </c>
      <c r="DE153" s="123"/>
      <c r="DF153" s="23">
        <v>26.924215780057455</v>
      </c>
    </row>
    <row r="154" spans="1:110" s="23" customFormat="1" outlineLevel="1" x14ac:dyDescent="0.2">
      <c r="A154" s="23" t="s">
        <v>62</v>
      </c>
      <c r="B154" s="23">
        <f>'Annual Raw'!C77</f>
        <v>0</v>
      </c>
      <c r="C154" s="23">
        <f>'Annual Raw'!D77</f>
        <v>0</v>
      </c>
      <c r="D154" s="23">
        <f>'Annual Raw'!E77</f>
        <v>0</v>
      </c>
      <c r="E154" s="23">
        <f>'Annual Raw'!F77</f>
        <v>300.63</v>
      </c>
      <c r="F154" s="23">
        <f>'Annual Raw'!G77</f>
        <v>2280.39</v>
      </c>
      <c r="G154" s="23">
        <f>'Annual Raw'!H77</f>
        <v>3733.18</v>
      </c>
      <c r="H154" s="23">
        <f>'Annual Raw'!I77</f>
        <v>5081.43</v>
      </c>
      <c r="I154" s="23">
        <f>'Annual Raw'!J77</f>
        <v>6730.57</v>
      </c>
      <c r="J154" s="23">
        <f>'Annual Raw'!K77</f>
        <v>7615.4</v>
      </c>
      <c r="K154" s="23">
        <f>'Annual Raw'!L77</f>
        <v>7056.55</v>
      </c>
      <c r="L154" s="23">
        <f>'Annual Raw'!M77</f>
        <v>9543.82</v>
      </c>
      <c r="M154" s="23">
        <f>'Annual Raw'!N77</f>
        <v>13768.11</v>
      </c>
      <c r="N154" s="23">
        <f>'Annual Raw'!O77</f>
        <v>17236.61</v>
      </c>
      <c r="O154" s="23">
        <f>'Annual Raw'!P77</f>
        <v>22236.01</v>
      </c>
      <c r="P154" s="23">
        <f>'Annual Raw'!Q77</f>
        <v>24265.02</v>
      </c>
      <c r="Q154" s="23">
        <f>'Annual Raw'!R77</f>
        <v>28065</v>
      </c>
      <c r="R154" s="23">
        <f>'Annual Raw'!S77</f>
        <v>27825</v>
      </c>
      <c r="S154" s="23">
        <f>'Annual Raw'!T77</f>
        <v>31629</v>
      </c>
      <c r="T154" s="23">
        <f>'Annual Raw'!U77</f>
        <v>32503</v>
      </c>
      <c r="U154" s="23">
        <f>'Annual Raw'!V77</f>
        <v>36264</v>
      </c>
      <c r="V154" s="23">
        <f>'Annual Raw'!W77</f>
        <v>36662</v>
      </c>
      <c r="W154" s="23">
        <f>'Annual Raw'!X77</f>
        <v>41810</v>
      </c>
      <c r="X154" s="23">
        <f>'Annual Raw'!Y77</f>
        <v>49954</v>
      </c>
      <c r="Y154" s="23">
        <f>'Annual Raw'!Z77</f>
        <v>53577</v>
      </c>
      <c r="Z154" s="23">
        <f>'Annual Raw'!AA77</f>
        <v>59046</v>
      </c>
      <c r="AA154" s="23">
        <f>'Annual Raw'!AB77</f>
        <v>67714</v>
      </c>
      <c r="AB154" s="24">
        <f t="shared" si="1215"/>
        <v>69851.939756947584</v>
      </c>
      <c r="AC154" s="24">
        <f t="shared" si="1216"/>
        <v>73456.840804337291</v>
      </c>
      <c r="AD154" s="24">
        <f t="shared" si="1217"/>
        <v>77247.782663287668</v>
      </c>
      <c r="AE154" s="24">
        <f t="shared" si="1218"/>
        <v>81234.366480435288</v>
      </c>
      <c r="AJ154" s="23">
        <f>+'QTR Raw'!D82</f>
        <v>12607.76</v>
      </c>
      <c r="AK154" s="23">
        <f>+AK189*AK19/90</f>
        <v>12911.033902981611</v>
      </c>
      <c r="AL154" s="23">
        <f>+'QTR Raw'!F82</f>
        <v>17236.61</v>
      </c>
      <c r="AM154" s="23">
        <f>+AM189*AM19/90</f>
        <v>18760.48373335752</v>
      </c>
      <c r="AN154" s="23">
        <f>+'QTR Raw'!H82</f>
        <v>17242</v>
      </c>
      <c r="AO154" s="23">
        <f>+AO189*AO19/90</f>
        <v>17502.324343907967</v>
      </c>
      <c r="AP154" s="23">
        <f>+'QTR Raw'!J82</f>
        <v>22236.01</v>
      </c>
      <c r="AQ154" s="23">
        <f>+AQ189*AQ19/90</f>
        <v>22813.745578079808</v>
      </c>
      <c r="AR154" s="23">
        <f>+'QTR Raw'!L82</f>
        <v>24457.96</v>
      </c>
      <c r="AS154" s="23">
        <f>+AS189*AS19/90</f>
        <v>25161.060831592236</v>
      </c>
      <c r="AT154" s="23">
        <f>+'QTR Raw'!N82</f>
        <v>24265.02</v>
      </c>
      <c r="AU154" s="23">
        <f>+AU189*AU19/90</f>
        <v>25715.966358048139</v>
      </c>
      <c r="AV154" s="23">
        <f>+'QTR Raw'!P82</f>
        <v>26741.32</v>
      </c>
      <c r="AW154" s="23">
        <f>+AW189*AW19/90</f>
        <v>26937.216288606662</v>
      </c>
      <c r="AX154" s="23">
        <f>+'QTR Raw'!R82</f>
        <v>28065</v>
      </c>
      <c r="AY154" s="23">
        <f>+AY189*AY19/90</f>
        <v>28909.445850469259</v>
      </c>
      <c r="AZ154" s="23">
        <f>+'QTR Raw'!T82</f>
        <v>29773</v>
      </c>
      <c r="BA154" s="23">
        <f>+BA189*BA19/90</f>
        <v>30231.531040841415</v>
      </c>
      <c r="BB154" s="23">
        <f>+'QTR Raw'!V82</f>
        <v>27825</v>
      </c>
      <c r="BC154" s="23">
        <f>+BC189*BC19/90</f>
        <v>27770.555293165107</v>
      </c>
      <c r="BD154" s="23">
        <f>+'QTR Raw'!X82</f>
        <v>31606</v>
      </c>
      <c r="BE154" s="23">
        <f>+BE189*BE19/90</f>
        <v>31981.658229920427</v>
      </c>
      <c r="BF154" s="23">
        <f>+'QTR Raw'!Z82</f>
        <v>31629</v>
      </c>
      <c r="BG154" s="23">
        <f>+BG189*BG19/90</f>
        <v>33784.603865939207</v>
      </c>
      <c r="BH154" s="23">
        <f>+'QTR Raw'!AB82</f>
        <v>34037</v>
      </c>
      <c r="BI154" s="23">
        <f>+BI189*BI19/90</f>
        <v>34484.004612796438</v>
      </c>
      <c r="BJ154" s="23">
        <f>+'QTR Raw'!AD82</f>
        <v>32503</v>
      </c>
      <c r="BK154" s="23">
        <f>+BK189*BK19/90</f>
        <v>32641.528966061564</v>
      </c>
      <c r="BL154" s="23">
        <f>+'QTR Raw'!AF82</f>
        <v>34087</v>
      </c>
      <c r="BM154" s="23">
        <f>+BM189*BM19/90</f>
        <v>34853.972804474433</v>
      </c>
      <c r="BN154" s="23">
        <f>+'QTR Raw'!AH82</f>
        <v>36264</v>
      </c>
      <c r="BO154" s="23">
        <f>+BO189*BO19/90</f>
        <v>34789.691283232365</v>
      </c>
      <c r="BP154" s="23">
        <f>+'QTR Raw'!AJ82</f>
        <v>33948</v>
      </c>
      <c r="BQ154" s="23">
        <f>+BQ189*BQ19/90</f>
        <v>35538.189111747852</v>
      </c>
      <c r="BR154" s="23">
        <f>+'QTR Raw'!AL82</f>
        <v>36662</v>
      </c>
      <c r="BS154" s="23">
        <f>+BS189*BS19/90</f>
        <v>38093.080471341949</v>
      </c>
      <c r="BT154" s="23">
        <f>+'QTR Raw'!AN82</f>
        <v>39511</v>
      </c>
      <c r="BU154" s="23">
        <f>+BU189*BU19/90</f>
        <v>41212.265239934284</v>
      </c>
      <c r="BV154" s="23">
        <f>+'QTR Raw'!AP82</f>
        <v>41810</v>
      </c>
      <c r="BW154" s="23">
        <f>+BW189*BW19/90</f>
        <v>43600.87723112807</v>
      </c>
      <c r="BX154" s="23">
        <f>+'QTR Raw'!AR82</f>
        <v>46153</v>
      </c>
      <c r="BY154" s="23">
        <f>+BY189*BY19/90</f>
        <v>48589.615379052237</v>
      </c>
      <c r="BZ154" s="23">
        <f>+'QTR Raw'!AT82</f>
        <v>49954</v>
      </c>
      <c r="CA154" s="23">
        <f>+CA189*CA19/90</f>
        <v>50138.914742571236</v>
      </c>
      <c r="CB154" s="23">
        <f>+'QTR Raw'!AV82</f>
        <v>51155</v>
      </c>
      <c r="CC154" s="23">
        <f>+CC189*CC19/90</f>
        <v>51918.571416605242</v>
      </c>
      <c r="CD154" s="23">
        <f>+'QTR Raw'!AX82</f>
        <v>53577</v>
      </c>
      <c r="CE154" s="23">
        <f>+CE189*CE19/90</f>
        <v>54780.879223345357</v>
      </c>
      <c r="CF154" s="23">
        <f>+'QTR Raw'!AZ82</f>
        <v>57710</v>
      </c>
      <c r="CG154" s="23">
        <f>+CG189*CG19/90</f>
        <v>57453.147885899249</v>
      </c>
      <c r="CH154" s="23">
        <f t="shared" si="1198"/>
        <v>59046</v>
      </c>
      <c r="CI154" s="23">
        <f>+CI189*CI19/90</f>
        <v>58091.798911273436</v>
      </c>
      <c r="CJ154" s="23">
        <f>+'QTR Raw'!BD82</f>
        <v>63304</v>
      </c>
      <c r="CK154" s="23">
        <f>+CK189*CK19/90</f>
        <v>64543.160959893008</v>
      </c>
      <c r="CL154" s="23">
        <f>+'QTR Raw'!BF82</f>
        <v>67714</v>
      </c>
      <c r="CM154" s="24">
        <f t="shared" ref="CM154:DB154" si="1221">+CM189*CM19/90</f>
        <v>67264.843950359296</v>
      </c>
      <c r="CN154" s="24">
        <f t="shared" si="1221"/>
        <v>68116.383656928374</v>
      </c>
      <c r="CO154" s="24">
        <f t="shared" si="1221"/>
        <v>68978.703435661126</v>
      </c>
      <c r="CP154" s="24">
        <f t="shared" si="1221"/>
        <v>69851.939756947584</v>
      </c>
      <c r="CQ154" s="24">
        <f t="shared" si="1221"/>
        <v>70736.230818825439</v>
      </c>
      <c r="CR154" s="24">
        <f t="shared" si="1221"/>
        <v>71631.716568851363</v>
      </c>
      <c r="CS154" s="24">
        <f t="shared" si="1221"/>
        <v>72538.538726248982</v>
      </c>
      <c r="CT154" s="24">
        <f t="shared" si="1221"/>
        <v>73456.840804337291</v>
      </c>
      <c r="CU154" s="24">
        <f t="shared" si="1221"/>
        <v>74386.768133242993</v>
      </c>
      <c r="CV154" s="24">
        <f t="shared" si="1221"/>
        <v>75328.467882900484</v>
      </c>
      <c r="CW154" s="24">
        <f t="shared" si="1221"/>
        <v>76282.089086342821</v>
      </c>
      <c r="CX154" s="24">
        <f t="shared" si="1221"/>
        <v>77247.782663287668</v>
      </c>
      <c r="CY154" s="24">
        <f t="shared" si="1221"/>
        <v>78225.701444021804</v>
      </c>
      <c r="CZ154" s="24">
        <f t="shared" si="1221"/>
        <v>79216.000193587955</v>
      </c>
      <c r="DA154" s="24">
        <f t="shared" si="1221"/>
        <v>80218.835636277814</v>
      </c>
      <c r="DB154" s="24">
        <f t="shared" si="1221"/>
        <v>81234.366480435288</v>
      </c>
      <c r="DE154" s="123"/>
      <c r="DF154" s="23">
        <v>65554.252143875274</v>
      </c>
    </row>
    <row r="155" spans="1:110" s="23" customFormat="1" outlineLevel="1" x14ac:dyDescent="0.2">
      <c r="A155" s="23" t="s">
        <v>63</v>
      </c>
      <c r="B155" s="23">
        <f>'Annual Raw'!C79</f>
        <v>0</v>
      </c>
      <c r="C155" s="23">
        <f>'Annual Raw'!D79</f>
        <v>0</v>
      </c>
      <c r="D155" s="23">
        <f>'Annual Raw'!E79</f>
        <v>0</v>
      </c>
      <c r="E155" s="23">
        <f>'Annual Raw'!F79</f>
        <v>0</v>
      </c>
      <c r="F155" s="23">
        <f>'Annual Raw'!G79</f>
        <v>16.190000000000001</v>
      </c>
      <c r="G155" s="23">
        <f>'Annual Raw'!H79</f>
        <v>15.75</v>
      </c>
      <c r="H155" s="23">
        <f>'Annual Raw'!I79</f>
        <v>54.2</v>
      </c>
      <c r="I155" s="23">
        <f>'Annual Raw'!J79</f>
        <v>60.08</v>
      </c>
      <c r="J155" s="23">
        <f>'Annual Raw'!K79</f>
        <v>18.28</v>
      </c>
      <c r="K155" s="23">
        <f>'Annual Raw'!L79</f>
        <v>116.41</v>
      </c>
      <c r="L155" s="23">
        <f>'Annual Raw'!M79</f>
        <v>1014.45</v>
      </c>
      <c r="M155" s="23">
        <f>'Annual Raw'!N79</f>
        <v>1425.37</v>
      </c>
      <c r="N155" s="23">
        <f>'Annual Raw'!O79</f>
        <v>1939.53</v>
      </c>
      <c r="O155" s="23">
        <f>'Annual Raw'!P79</f>
        <v>2210.08</v>
      </c>
      <c r="P155" s="23">
        <f>'Annual Raw'!Q79</f>
        <v>2214.33</v>
      </c>
      <c r="Q155" s="23">
        <f>'Annual Raw'!R79</f>
        <v>2273</v>
      </c>
      <c r="R155" s="23">
        <f>'Annual Raw'!S79</f>
        <v>2898</v>
      </c>
      <c r="S155" s="23">
        <f>'Annual Raw'!T79</f>
        <v>2355</v>
      </c>
      <c r="T155" s="23">
        <f>'Annual Raw'!U79</f>
        <v>2952</v>
      </c>
      <c r="U155" s="23">
        <f>'Annual Raw'!V79</f>
        <v>3696</v>
      </c>
      <c r="V155" s="23">
        <f>'Annual Raw'!W79</f>
        <v>6974</v>
      </c>
      <c r="W155" s="23">
        <f>'Annual Raw'!X79</f>
        <v>5595</v>
      </c>
      <c r="X155" s="23">
        <f>'Annual Raw'!Y79</f>
        <v>3883</v>
      </c>
      <c r="Y155" s="23">
        <f>'Annual Raw'!Z79</f>
        <v>5031</v>
      </c>
      <c r="Z155" s="23">
        <f>'Annual Raw'!AA79</f>
        <v>7173</v>
      </c>
      <c r="AA155" s="23">
        <f>'Annual Raw'!AB79</f>
        <v>6898</v>
      </c>
      <c r="AB155" s="24">
        <f t="shared" si="1215"/>
        <v>41558.984803558313</v>
      </c>
      <c r="AC155" s="24">
        <f t="shared" si="1216"/>
        <v>43703.750265592593</v>
      </c>
      <c r="AD155" s="24">
        <f t="shared" si="1217"/>
        <v>45959.202235222714</v>
      </c>
      <c r="AE155" s="24">
        <f t="shared" si="1218"/>
        <v>48331.052993432633</v>
      </c>
      <c r="AJ155" s="23">
        <f>+'QTR Raw'!D84</f>
        <v>3625.46</v>
      </c>
      <c r="AK155" s="23">
        <f t="shared" si="1219"/>
        <v>3625.46</v>
      </c>
      <c r="AL155" s="23">
        <f>+'QTR Raw'!F84</f>
        <v>799.24</v>
      </c>
      <c r="AM155" s="23">
        <f t="shared" si="1219"/>
        <v>799.24</v>
      </c>
      <c r="AN155" s="23">
        <f>+'QTR Raw'!H84</f>
        <v>5256.06</v>
      </c>
      <c r="AO155" s="23">
        <f t="shared" si="1219"/>
        <v>5256.06</v>
      </c>
      <c r="AP155" s="23">
        <f>+'QTR Raw'!J84</f>
        <v>735.36</v>
      </c>
      <c r="AQ155" s="23">
        <f t="shared" si="1219"/>
        <v>735.36</v>
      </c>
      <c r="AR155" s="23">
        <f>+'QTR Raw'!L84</f>
        <v>951.89</v>
      </c>
      <c r="AS155" s="23">
        <f t="shared" si="1219"/>
        <v>951.89</v>
      </c>
      <c r="AT155" s="23">
        <f>+'QTR Raw'!N84</f>
        <v>336.82</v>
      </c>
      <c r="AU155" s="23">
        <f t="shared" si="1219"/>
        <v>336.82</v>
      </c>
      <c r="AV155" s="23">
        <f>+'QTR Raw'!P84</f>
        <v>1019.84</v>
      </c>
      <c r="AW155" s="23">
        <f t="shared" si="1219"/>
        <v>1019.84</v>
      </c>
      <c r="AX155" s="23">
        <f>+'QTR Raw'!R84</f>
        <v>3122</v>
      </c>
      <c r="AY155" s="23">
        <f t="shared" si="1219"/>
        <v>3122</v>
      </c>
      <c r="AZ155" s="23">
        <f>+'QTR Raw'!T84</f>
        <v>3308</v>
      </c>
      <c r="BA155" s="23">
        <f t="shared" si="1219"/>
        <v>3308</v>
      </c>
      <c r="BB155" s="23">
        <f>+'QTR Raw'!V84</f>
        <v>3776</v>
      </c>
      <c r="BC155" s="23">
        <f t="shared" si="1219"/>
        <v>3776</v>
      </c>
      <c r="BD155" s="23">
        <f>+'QTR Raw'!X84</f>
        <v>3010</v>
      </c>
      <c r="BE155" s="23">
        <f t="shared" si="1219"/>
        <v>3010</v>
      </c>
      <c r="BF155" s="23">
        <f>+'QTR Raw'!Z84</f>
        <v>3496</v>
      </c>
      <c r="BG155" s="23">
        <f t="shared" si="1219"/>
        <v>3496</v>
      </c>
      <c r="BH155" s="23">
        <f>+'QTR Raw'!AB84</f>
        <v>8813</v>
      </c>
      <c r="BI155" s="23">
        <f t="shared" si="1219"/>
        <v>8813</v>
      </c>
      <c r="BJ155" s="23">
        <f>+'QTR Raw'!AD84</f>
        <v>9650</v>
      </c>
      <c r="BK155" s="23">
        <f t="shared" si="1219"/>
        <v>9650</v>
      </c>
      <c r="BL155" s="23">
        <f>+'QTR Raw'!AF84</f>
        <v>9396</v>
      </c>
      <c r="BM155" s="23">
        <f t="shared" si="1219"/>
        <v>9396</v>
      </c>
      <c r="BN155" s="23">
        <f>+'QTR Raw'!AH84</f>
        <v>9687</v>
      </c>
      <c r="BO155" s="23">
        <f t="shared" si="1219"/>
        <v>9687</v>
      </c>
      <c r="BP155" s="23">
        <f>+'QTR Raw'!AJ84</f>
        <v>11094</v>
      </c>
      <c r="BQ155" s="23">
        <f t="shared" si="1219"/>
        <v>11094</v>
      </c>
      <c r="BR155" s="23">
        <f>+'QTR Raw'!AL84</f>
        <v>12649</v>
      </c>
      <c r="BS155" s="23">
        <f t="shared" si="1219"/>
        <v>12649</v>
      </c>
      <c r="BT155" s="23">
        <f>+'QTR Raw'!AN84</f>
        <v>11438</v>
      </c>
      <c r="BU155" s="23">
        <f t="shared" si="1219"/>
        <v>11438</v>
      </c>
      <c r="BV155" s="23">
        <f>+'QTR Raw'!AP84</f>
        <v>11552</v>
      </c>
      <c r="BW155" s="23">
        <f t="shared" si="1219"/>
        <v>11552</v>
      </c>
      <c r="BX155" s="23">
        <f>+'QTR Raw'!AR84</f>
        <v>11446</v>
      </c>
      <c r="BY155" s="23">
        <f t="shared" si="1219"/>
        <v>11446</v>
      </c>
      <c r="BZ155" s="23">
        <f>+'QTR Raw'!AT84</f>
        <v>11034</v>
      </c>
      <c r="CA155" s="23">
        <f t="shared" si="1219"/>
        <v>11034</v>
      </c>
      <c r="CB155" s="23">
        <f>+'QTR Raw'!AV84</f>
        <v>12680</v>
      </c>
      <c r="CC155" s="23">
        <f t="shared" si="1219"/>
        <v>12680</v>
      </c>
      <c r="CD155" s="23">
        <f>+'QTR Raw'!AX84</f>
        <v>14121</v>
      </c>
      <c r="CE155" s="23">
        <f t="shared" si="1219"/>
        <v>14121</v>
      </c>
      <c r="CF155" s="23">
        <f>+'QTR Raw'!AZ84</f>
        <v>16419</v>
      </c>
      <c r="CG155" s="23">
        <f t="shared" ref="CG155:CG156" si="1222">+CF155</f>
        <v>16419</v>
      </c>
      <c r="CH155" s="23">
        <f t="shared" si="1198"/>
        <v>7173</v>
      </c>
      <c r="CI155" s="23">
        <f>CI19/90*CI190</f>
        <v>25538.510926037939</v>
      </c>
      <c r="CJ155" s="23">
        <f>+'QTR Raw'!BD84</f>
        <v>17878</v>
      </c>
      <c r="CK155" s="23">
        <f>CK19/90*CK190</f>
        <v>39640.047310749396</v>
      </c>
      <c r="CL155" s="23">
        <f>+'QTR Raw'!BF84</f>
        <v>19625</v>
      </c>
      <c r="CM155" s="24">
        <f t="shared" ref="CM155:DB155" si="1223">CM19/90*CM190</f>
        <v>40019.770922233591</v>
      </c>
      <c r="CN155" s="24">
        <f t="shared" si="1223"/>
        <v>40526.40145888109</v>
      </c>
      <c r="CO155" s="24">
        <f t="shared" si="1223"/>
        <v>41039.445687929823</v>
      </c>
      <c r="CP155" s="24">
        <f t="shared" si="1223"/>
        <v>41558.984803558313</v>
      </c>
      <c r="CQ155" s="24">
        <f t="shared" si="1223"/>
        <v>42085.101027823206</v>
      </c>
      <c r="CR155" s="24">
        <f t="shared" si="1223"/>
        <v>42617.877623671848</v>
      </c>
      <c r="CS155" s="24">
        <f t="shared" si="1223"/>
        <v>43157.398908119343</v>
      </c>
      <c r="CT155" s="24">
        <f t="shared" si="1223"/>
        <v>43703.750265592593</v>
      </c>
      <c r="CU155" s="24">
        <f t="shared" si="1223"/>
        <v>44257.018161443135</v>
      </c>
      <c r="CV155" s="24">
        <f t="shared" si="1223"/>
        <v>44817.290155631214</v>
      </c>
      <c r="CW155" s="24">
        <f t="shared" si="1223"/>
        <v>45384.654916582891</v>
      </c>
      <c r="CX155" s="24">
        <f t="shared" si="1223"/>
        <v>45959.202235222714</v>
      </c>
      <c r="CY155" s="24">
        <f t="shared" si="1223"/>
        <v>46541.023039184023</v>
      </c>
      <c r="CZ155" s="24">
        <f t="shared" si="1223"/>
        <v>47130.20940719908</v>
      </c>
      <c r="DA155" s="24">
        <f t="shared" si="1223"/>
        <v>47726.854583671404</v>
      </c>
      <c r="DB155" s="24">
        <f t="shared" si="1223"/>
        <v>48331.052993432633</v>
      </c>
      <c r="DE155" s="123"/>
      <c r="DF155" s="23">
        <v>40261.022512032825</v>
      </c>
    </row>
    <row r="156" spans="1:110" s="23" customFormat="1" outlineLevel="1" x14ac:dyDescent="0.2">
      <c r="A156" s="23" t="s">
        <v>64</v>
      </c>
      <c r="B156" s="23">
        <f>'Annual Raw'!C80</f>
        <v>0</v>
      </c>
      <c r="C156" s="23">
        <f>'Annual Raw'!D80</f>
        <v>0</v>
      </c>
      <c r="D156" s="23">
        <f>'Annual Raw'!E80</f>
        <v>0</v>
      </c>
      <c r="E156" s="23">
        <f>'Annual Raw'!F80</f>
        <v>33.49</v>
      </c>
      <c r="F156" s="23">
        <f>'Annual Raw'!G80</f>
        <v>647.36</v>
      </c>
      <c r="G156" s="23">
        <f>'Annual Raw'!H80</f>
        <v>912.83</v>
      </c>
      <c r="H156" s="23">
        <f>'Annual Raw'!I80</f>
        <v>1252.8800000000001</v>
      </c>
      <c r="I156" s="23">
        <f>'Annual Raw'!J80</f>
        <v>1974.02</v>
      </c>
      <c r="J156" s="23">
        <f>'Annual Raw'!K80</f>
        <v>3143.44</v>
      </c>
      <c r="K156" s="23">
        <f>'Annual Raw'!L80</f>
        <v>3879.54</v>
      </c>
      <c r="L156" s="23">
        <f>'Annual Raw'!M80</f>
        <v>1070.48</v>
      </c>
      <c r="M156" s="23">
        <f>'Annual Raw'!N80</f>
        <v>1261.6400000000001</v>
      </c>
      <c r="N156" s="23">
        <f>'Annual Raw'!O80</f>
        <v>4502.97</v>
      </c>
      <c r="O156" s="23">
        <f>'Annual Raw'!P80</f>
        <v>2836.08</v>
      </c>
      <c r="P156" s="23">
        <f>'Annual Raw'!Q80</f>
        <v>2268.94</v>
      </c>
      <c r="Q156" s="23">
        <f>'Annual Raw'!R80</f>
        <v>3592</v>
      </c>
      <c r="R156" s="23">
        <f>'Annual Raw'!S80</f>
        <v>3787</v>
      </c>
      <c r="S156" s="23">
        <f>'Annual Raw'!T80</f>
        <v>4346</v>
      </c>
      <c r="T156" s="23">
        <f>'Annual Raw'!U80</f>
        <v>14727</v>
      </c>
      <c r="U156" s="23">
        <f>'Annual Raw'!V80</f>
        <v>14466</v>
      </c>
      <c r="V156" s="23">
        <f>'Annual Raw'!W80</f>
        <v>17147</v>
      </c>
      <c r="W156" s="23">
        <f>'Annual Raw'!X80</f>
        <v>12402</v>
      </c>
      <c r="X156" s="23">
        <f>'Annual Raw'!Y80</f>
        <v>8476</v>
      </c>
      <c r="Y156" s="23">
        <f>'Annual Raw'!Z80</f>
        <v>9581</v>
      </c>
      <c r="Z156" s="23">
        <f>'Annual Raw'!AA80</f>
        <v>10619</v>
      </c>
      <c r="AA156" s="23">
        <f>'Annual Raw'!AB80</f>
        <v>14386</v>
      </c>
      <c r="AB156" s="24">
        <f t="shared" si="1215"/>
        <v>0</v>
      </c>
      <c r="AC156" s="24">
        <f t="shared" si="1216"/>
        <v>0</v>
      </c>
      <c r="AD156" s="24">
        <f t="shared" si="1217"/>
        <v>0</v>
      </c>
      <c r="AE156" s="24">
        <f t="shared" si="1218"/>
        <v>0</v>
      </c>
      <c r="AJ156" s="23">
        <f>+'QTR Raw'!D85</f>
        <v>2873.29</v>
      </c>
      <c r="AK156" s="23">
        <f t="shared" si="1219"/>
        <v>2873.29</v>
      </c>
      <c r="AL156" s="23">
        <f>+'QTR Raw'!F85</f>
        <v>5643.26</v>
      </c>
      <c r="AM156" s="23">
        <f t="shared" si="1219"/>
        <v>5643.26</v>
      </c>
      <c r="AN156" s="23">
        <f>+'QTR Raw'!H85</f>
        <v>5684.11</v>
      </c>
      <c r="AO156" s="23">
        <f t="shared" si="1219"/>
        <v>5684.11</v>
      </c>
      <c r="AP156" s="23">
        <f>+'QTR Raw'!J85</f>
        <v>4310.8</v>
      </c>
      <c r="AQ156" s="23">
        <f t="shared" si="1219"/>
        <v>4310.8</v>
      </c>
      <c r="AR156" s="23">
        <f>+'QTR Raw'!L85</f>
        <v>5010.3999999999996</v>
      </c>
      <c r="AS156" s="23">
        <f t="shared" si="1219"/>
        <v>5010.3999999999996</v>
      </c>
      <c r="AT156" s="23">
        <f>+'QTR Raw'!N85</f>
        <v>4146.45</v>
      </c>
      <c r="AU156" s="23">
        <f t="shared" si="1219"/>
        <v>4146.45</v>
      </c>
      <c r="AV156" s="23">
        <f>+'QTR Raw'!P85</f>
        <v>4508.16</v>
      </c>
      <c r="AW156" s="23">
        <f t="shared" si="1219"/>
        <v>4508.16</v>
      </c>
      <c r="AX156" s="23">
        <f>+'QTR Raw'!R85</f>
        <v>2743</v>
      </c>
      <c r="AY156" s="23">
        <f t="shared" si="1219"/>
        <v>2743</v>
      </c>
      <c r="AZ156" s="23">
        <f>+'QTR Raw'!T85</f>
        <v>4696</v>
      </c>
      <c r="BA156" s="23">
        <f t="shared" si="1219"/>
        <v>4696</v>
      </c>
      <c r="BB156" s="23">
        <f>+'QTR Raw'!V85</f>
        <v>2909</v>
      </c>
      <c r="BC156" s="23">
        <f t="shared" si="1219"/>
        <v>2909</v>
      </c>
      <c r="BD156" s="23">
        <f>+'QTR Raw'!X85</f>
        <v>2547</v>
      </c>
      <c r="BE156" s="23">
        <f t="shared" si="1219"/>
        <v>2547</v>
      </c>
      <c r="BF156" s="23">
        <f>+'QTR Raw'!Z85</f>
        <v>3205</v>
      </c>
      <c r="BG156" s="23">
        <f t="shared" si="1219"/>
        <v>3205</v>
      </c>
      <c r="BH156" s="23">
        <f>+'QTR Raw'!AB85</f>
        <v>1015</v>
      </c>
      <c r="BI156" s="23">
        <f t="shared" si="1219"/>
        <v>1015</v>
      </c>
      <c r="BJ156" s="23">
        <f>+'QTR Raw'!AD85</f>
        <v>8029</v>
      </c>
      <c r="BK156" s="23">
        <f t="shared" si="1219"/>
        <v>8029</v>
      </c>
      <c r="BL156" s="23">
        <f>+'QTR Raw'!AF85</f>
        <v>8350</v>
      </c>
      <c r="BM156" s="23">
        <f t="shared" si="1219"/>
        <v>8350</v>
      </c>
      <c r="BN156" s="23">
        <f>+'QTR Raw'!AH85</f>
        <v>8475</v>
      </c>
      <c r="BO156" s="23">
        <f t="shared" si="1219"/>
        <v>8475</v>
      </c>
      <c r="BP156" s="23">
        <f>+'QTR Raw'!AJ85</f>
        <v>11349</v>
      </c>
      <c r="BQ156" s="23">
        <f t="shared" si="1219"/>
        <v>11349</v>
      </c>
      <c r="BR156" s="23">
        <f>+'QTR Raw'!AL85</f>
        <v>11472</v>
      </c>
      <c r="BS156" s="23">
        <f t="shared" si="1219"/>
        <v>11472</v>
      </c>
      <c r="BT156" s="23">
        <f>+'QTR Raw'!AN85</f>
        <v>10390</v>
      </c>
      <c r="BU156" s="23">
        <f t="shared" si="1219"/>
        <v>10390</v>
      </c>
      <c r="BV156" s="23">
        <f>+'QTR Raw'!AP85</f>
        <v>6445</v>
      </c>
      <c r="BW156" s="23">
        <f t="shared" si="1219"/>
        <v>6445</v>
      </c>
      <c r="BX156" s="23">
        <f>+'QTR Raw'!AR85</f>
        <v>8765</v>
      </c>
      <c r="BY156" s="23">
        <f t="shared" si="1219"/>
        <v>8765</v>
      </c>
      <c r="BZ156" s="23">
        <f>+'QTR Raw'!AT85</f>
        <v>1325</v>
      </c>
      <c r="CA156" s="23">
        <f t="shared" si="1219"/>
        <v>1325</v>
      </c>
      <c r="CB156" s="23">
        <f>+'QTR Raw'!AV85</f>
        <v>478</v>
      </c>
      <c r="CC156" s="23">
        <f t="shared" si="1219"/>
        <v>478</v>
      </c>
      <c r="CD156" s="23">
        <f>+'QTR Raw'!AX85</f>
        <v>491</v>
      </c>
      <c r="CE156" s="23">
        <f t="shared" si="1219"/>
        <v>491</v>
      </c>
      <c r="CF156" s="23">
        <f>+'QTR Raw'!AZ85</f>
        <v>257</v>
      </c>
      <c r="CG156" s="23">
        <f t="shared" si="1222"/>
        <v>257</v>
      </c>
      <c r="CH156" s="23">
        <f t="shared" si="1198"/>
        <v>10619</v>
      </c>
      <c r="CJ156" s="23">
        <f>+'QTR Raw'!BD85</f>
        <v>9</v>
      </c>
      <c r="CL156" s="23">
        <f>+'QTR Raw'!BF85</f>
        <v>1659</v>
      </c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E156" s="123"/>
      <c r="DF156" s="23">
        <v>1659</v>
      </c>
    </row>
    <row r="157" spans="1:110" s="22" customFormat="1" x14ac:dyDescent="0.2">
      <c r="A157" s="22" t="s">
        <v>65</v>
      </c>
      <c r="B157" s="22">
        <f>SUM(B151:B156)</f>
        <v>0</v>
      </c>
      <c r="C157" s="22">
        <f t="shared" ref="C157:V157" si="1224">SUM(C151:C156)</f>
        <v>0</v>
      </c>
      <c r="D157" s="22">
        <f t="shared" si="1224"/>
        <v>0</v>
      </c>
      <c r="E157" s="22">
        <f t="shared" si="1224"/>
        <v>352.6</v>
      </c>
      <c r="F157" s="22">
        <f t="shared" si="1224"/>
        <v>2975.94</v>
      </c>
      <c r="G157" s="22">
        <f t="shared" si="1224"/>
        <v>4742.3999999999996</v>
      </c>
      <c r="H157" s="22">
        <f t="shared" si="1224"/>
        <v>6430.1100000000006</v>
      </c>
      <c r="I157" s="22">
        <f t="shared" si="1224"/>
        <v>8807.1</v>
      </c>
      <c r="J157" s="22">
        <f t="shared" si="1224"/>
        <v>10813.72</v>
      </c>
      <c r="K157" s="22">
        <f t="shared" si="1224"/>
        <v>11070.29</v>
      </c>
      <c r="L157" s="22">
        <f>SUM(L151:L156)</f>
        <v>17384.36</v>
      </c>
      <c r="M157" s="22">
        <f>SUM(M151:M156)</f>
        <v>23802.609999999997</v>
      </c>
      <c r="N157" s="22">
        <f t="shared" si="1224"/>
        <v>31467.78</v>
      </c>
      <c r="O157" s="22">
        <f t="shared" si="1224"/>
        <v>36120.86</v>
      </c>
      <c r="P157" s="22">
        <f t="shared" si="1224"/>
        <v>38444.58</v>
      </c>
      <c r="Q157" s="22">
        <f t="shared" si="1224"/>
        <v>43134</v>
      </c>
      <c r="R157" s="22">
        <f t="shared" si="1224"/>
        <v>41053</v>
      </c>
      <c r="S157" s="22">
        <f t="shared" si="1224"/>
        <v>46427</v>
      </c>
      <c r="T157" s="22">
        <f t="shared" si="1224"/>
        <v>56856</v>
      </c>
      <c r="U157" s="22">
        <f t="shared" si="1224"/>
        <v>60215</v>
      </c>
      <c r="V157" s="22">
        <f t="shared" si="1224"/>
        <v>66179</v>
      </c>
      <c r="W157" s="22">
        <f t="shared" ref="W157" si="1225">SUM(W151:W156)</f>
        <v>66597</v>
      </c>
      <c r="X157" s="22">
        <f t="shared" ref="X157:Y157" si="1226">SUM(X151:X156)</f>
        <v>70400</v>
      </c>
      <c r="Y157" s="22">
        <f t="shared" si="1226"/>
        <v>76830</v>
      </c>
      <c r="Z157" s="22">
        <f t="shared" ref="Z157:AA157" si="1227">SUM(Z151:Z156)</f>
        <v>85025</v>
      </c>
      <c r="AA157" s="22">
        <f t="shared" si="1227"/>
        <v>97003</v>
      </c>
      <c r="AB157" s="21">
        <f t="shared" ref="AA157:AD157" si="1228">SUM(AB151:AB156)</f>
        <v>111440.84017991919</v>
      </c>
      <c r="AC157" s="21">
        <f t="shared" si="1228"/>
        <v>117192.0505669811</v>
      </c>
      <c r="AD157" s="21">
        <f t="shared" si="1228"/>
        <v>123240.06794924193</v>
      </c>
      <c r="AE157" s="21">
        <f t="shared" ref="AE157" si="1229">SUM(AE151:AE156)</f>
        <v>129600.20986622301</v>
      </c>
      <c r="AJ157" s="22">
        <f t="shared" ref="AJ157" si="1230">SUM(AJ151:AJ156)</f>
        <v>25412.42</v>
      </c>
      <c r="AK157" s="22">
        <f t="shared" ref="AK157" si="1231">SUM(AK151:AK156)</f>
        <v>25716.239700558552</v>
      </c>
      <c r="AL157" s="22">
        <f t="shared" ref="AL157:AM157" si="1232">SUM(AL151:AL156)</f>
        <v>31467.78</v>
      </c>
      <c r="AM157" s="22">
        <f t="shared" si="1232"/>
        <v>32993.523586505005</v>
      </c>
      <c r="AN157" s="22">
        <f t="shared" ref="AN157:AO157" si="1233">SUM(AN151:AN156)</f>
        <v>36601.879999999997</v>
      </c>
      <c r="AO157" s="22">
        <f t="shared" si="1233"/>
        <v>36862.592369406077</v>
      </c>
      <c r="AP157" s="22">
        <f t="shared" ref="AP157:CE157" si="1234">SUM(AP151:AP156)</f>
        <v>36129.33</v>
      </c>
      <c r="AQ157" s="22">
        <f t="shared" si="1234"/>
        <v>36707.460764003124</v>
      </c>
      <c r="AR157" s="22">
        <f t="shared" si="1234"/>
        <v>37659.47</v>
      </c>
      <c r="AS157" s="22">
        <f t="shared" si="1234"/>
        <v>38363.276003380852</v>
      </c>
      <c r="AT157" s="22">
        <f t="shared" si="1234"/>
        <v>38444.579999999994</v>
      </c>
      <c r="AU157" s="22">
        <f t="shared" si="1234"/>
        <v>39896.487276603897</v>
      </c>
      <c r="AV157" s="22">
        <f t="shared" si="1234"/>
        <v>40521.67</v>
      </c>
      <c r="AW157" s="22">
        <f t="shared" si="1234"/>
        <v>40717.713679734952</v>
      </c>
      <c r="AX157" s="22">
        <f t="shared" si="1234"/>
        <v>43134</v>
      </c>
      <c r="AY157" s="22">
        <f t="shared" si="1234"/>
        <v>43978.927273366375</v>
      </c>
      <c r="AZ157" s="22">
        <f t="shared" si="1234"/>
        <v>44508</v>
      </c>
      <c r="BA157" s="22">
        <f t="shared" si="1234"/>
        <v>44966.792856167187</v>
      </c>
      <c r="BB157" s="22">
        <f t="shared" si="1234"/>
        <v>41053</v>
      </c>
      <c r="BC157" s="22">
        <f t="shared" si="1234"/>
        <v>40998.514202820326</v>
      </c>
      <c r="BD157" s="22">
        <f t="shared" si="1234"/>
        <v>43382</v>
      </c>
      <c r="BE157" s="22">
        <f t="shared" si="1234"/>
        <v>43758.002914115445</v>
      </c>
      <c r="BF157" s="22">
        <f t="shared" si="1234"/>
        <v>46427</v>
      </c>
      <c r="BG157" s="22">
        <f t="shared" si="1234"/>
        <v>48584.375837879968</v>
      </c>
      <c r="BH157" s="22">
        <f t="shared" si="1234"/>
        <v>51464</v>
      </c>
      <c r="BI157" s="22">
        <f t="shared" si="1234"/>
        <v>51911.227872144133</v>
      </c>
      <c r="BJ157" s="22">
        <f t="shared" si="1234"/>
        <v>56856</v>
      </c>
      <c r="BK157" s="22">
        <f t="shared" si="1234"/>
        <v>56994.571586424623</v>
      </c>
      <c r="BL157" s="22">
        <f t="shared" si="1234"/>
        <v>64857</v>
      </c>
      <c r="BM157" s="22">
        <f t="shared" si="1234"/>
        <v>65624.130307617306</v>
      </c>
      <c r="BN157" s="22">
        <f t="shared" si="1234"/>
        <v>68209</v>
      </c>
      <c r="BO157" s="22">
        <f t="shared" si="1234"/>
        <v>66734.488008811895</v>
      </c>
      <c r="BP157" s="22">
        <f t="shared" si="1234"/>
        <v>69234</v>
      </c>
      <c r="BQ157" s="22">
        <f t="shared" si="1234"/>
        <v>70824.42332129064</v>
      </c>
      <c r="BR157" s="22">
        <f t="shared" si="1234"/>
        <v>73812</v>
      </c>
      <c r="BS157" s="22">
        <f t="shared" si="1234"/>
        <v>75243.392746825295</v>
      </c>
      <c r="BT157" s="22">
        <f t="shared" si="1234"/>
        <v>75909</v>
      </c>
      <c r="BU157" s="22">
        <f t="shared" si="1234"/>
        <v>77610.868052147562</v>
      </c>
      <c r="BV157" s="22">
        <f t="shared" si="1234"/>
        <v>74233</v>
      </c>
      <c r="BW157" s="22">
        <f t="shared" si="1234"/>
        <v>76024.733905240064</v>
      </c>
      <c r="BX157" s="22">
        <f t="shared" si="1234"/>
        <v>80242</v>
      </c>
      <c r="BY157" s="22">
        <f t="shared" si="1234"/>
        <v>82680.304796687706</v>
      </c>
      <c r="BZ157" s="22">
        <f t="shared" si="1234"/>
        <v>77960</v>
      </c>
      <c r="CA157" s="22">
        <f t="shared" si="1234"/>
        <v>78145.018390182871</v>
      </c>
      <c r="CB157" s="22">
        <f t="shared" si="1234"/>
        <v>80689</v>
      </c>
      <c r="CC157" s="22">
        <f t="shared" si="1234"/>
        <v>81452.989362058564</v>
      </c>
      <c r="CD157" s="22">
        <f t="shared" si="1234"/>
        <v>84716</v>
      </c>
      <c r="CE157" s="22">
        <f t="shared" si="1234"/>
        <v>85920.508385453228</v>
      </c>
      <c r="CF157" s="22">
        <f t="shared" ref="CF157:CG157" si="1235">SUM(CF151:CF156)</f>
        <v>91670</v>
      </c>
      <c r="CG157" s="22">
        <f t="shared" si="1235"/>
        <v>91413.018814485127</v>
      </c>
      <c r="CH157" s="22">
        <f t="shared" ref="CH157:CI157" si="1236">SUM(CH151:CH156)</f>
        <v>85025</v>
      </c>
      <c r="CI157" s="22">
        <f t="shared" si="1236"/>
        <v>83650.970471006061</v>
      </c>
      <c r="CJ157" s="22">
        <f t="shared" ref="CJ157:DB157" si="1237">SUM(CJ151:CJ156)</f>
        <v>102209</v>
      </c>
      <c r="CK157" s="22">
        <f t="shared" si="1237"/>
        <v>104209.71721454733</v>
      </c>
      <c r="CL157" s="22">
        <f t="shared" ref="CL157" si="1238">SUM(CL151:CL156)</f>
        <v>108030</v>
      </c>
      <c r="CM157" s="21">
        <f t="shared" si="1237"/>
        <v>107313.42251170092</v>
      </c>
      <c r="CN157" s="21">
        <f t="shared" si="1237"/>
        <v>108671.95744540231</v>
      </c>
      <c r="CO157" s="21">
        <f t="shared" si="1237"/>
        <v>110047.6907604701</v>
      </c>
      <c r="CP157" s="21">
        <f t="shared" si="1237"/>
        <v>111440.84017991919</v>
      </c>
      <c r="CQ157" s="21">
        <f t="shared" si="1237"/>
        <v>112851.62618303028</v>
      </c>
      <c r="CR157" s="21">
        <f t="shared" si="1237"/>
        <v>114280.27204024297</v>
      </c>
      <c r="CS157" s="21">
        <f t="shared" si="1237"/>
        <v>115727.00384849039</v>
      </c>
      <c r="CT157" s="21">
        <f t="shared" si="1237"/>
        <v>117192.0505669811</v>
      </c>
      <c r="CU157" s="21">
        <f t="shared" si="1237"/>
        <v>118675.64405343415</v>
      </c>
      <c r="CV157" s="21">
        <f t="shared" si="1237"/>
        <v>120178.01910077294</v>
      </c>
      <c r="CW157" s="21">
        <f t="shared" si="1237"/>
        <v>121699.41347428324</v>
      </c>
      <c r="CX157" s="21">
        <f t="shared" si="1237"/>
        <v>123240.06794924193</v>
      </c>
      <c r="CY157" s="21">
        <f t="shared" si="1237"/>
        <v>124800.22634902201</v>
      </c>
      <c r="CZ157" s="21">
        <f t="shared" si="1237"/>
        <v>126380.13558368001</v>
      </c>
      <c r="DA157" s="21">
        <f t="shared" si="1237"/>
        <v>127980.04568903171</v>
      </c>
      <c r="DB157" s="21">
        <f t="shared" si="1237"/>
        <v>129600.20986622301</v>
      </c>
      <c r="DE157" s="126"/>
      <c r="DF157" s="22">
        <v>105842.19887168816</v>
      </c>
    </row>
    <row r="158" spans="1:110" s="23" customFormat="1" outlineLevel="1" x14ac:dyDescent="0.2">
      <c r="A158" s="23" t="s">
        <v>66</v>
      </c>
      <c r="B158" s="23">
        <f>'Annual Raw'!C50+'Annual Raw'!C58</f>
        <v>0</v>
      </c>
      <c r="C158" s="23">
        <f>'Annual Raw'!D50+'Annual Raw'!D58</f>
        <v>0</v>
      </c>
      <c r="D158" s="23">
        <f>'Annual Raw'!E50+'Annual Raw'!E58</f>
        <v>0</v>
      </c>
      <c r="E158" s="23">
        <f>'Annual Raw'!F50+'Annual Raw'!F58</f>
        <v>0</v>
      </c>
      <c r="F158" s="23">
        <f>'Annual Raw'!G50+'Annual Raw'!G58</f>
        <v>0</v>
      </c>
      <c r="G158" s="23">
        <f>'Annual Raw'!H50+'Annual Raw'!H58</f>
        <v>0</v>
      </c>
      <c r="H158" s="23">
        <f>'Annual Raw'!I50+'Annual Raw'!I58</f>
        <v>0</v>
      </c>
      <c r="I158" s="23">
        <f>'Annual Raw'!J50+'Annual Raw'!J58</f>
        <v>0</v>
      </c>
      <c r="J158" s="23">
        <f>'Annual Raw'!K50+'Annual Raw'!K58</f>
        <v>0</v>
      </c>
      <c r="K158" s="23">
        <f>'Annual Raw'!L50+'Annual Raw'!L58</f>
        <v>0</v>
      </c>
      <c r="L158" s="23">
        <f>'Annual Raw'!M50+'Annual Raw'!M58</f>
        <v>160.74</v>
      </c>
      <c r="M158" s="23">
        <f>'Annual Raw'!N50+'Annual Raw'!N58</f>
        <v>254.67</v>
      </c>
      <c r="N158" s="23">
        <f>'Annual Raw'!O50+'Annual Raw'!O58</f>
        <v>392.4</v>
      </c>
      <c r="O158" s="23">
        <f>'Annual Raw'!P50+'Annual Raw'!P58</f>
        <v>650.79999999999995</v>
      </c>
      <c r="P158" s="23">
        <f>'Annual Raw'!Q50+'Annual Raw'!Q58</f>
        <v>424.21</v>
      </c>
      <c r="Q158" s="23">
        <f>'Annual Raw'!R50+'Annual Raw'!R58</f>
        <v>643</v>
      </c>
      <c r="R158" s="23">
        <f>'Annual Raw'!S50+'Annual Raw'!S58</f>
        <v>642</v>
      </c>
      <c r="S158" s="23">
        <f>'Annual Raw'!T50+'Annual Raw'!T58</f>
        <v>1153</v>
      </c>
      <c r="T158" s="23">
        <f>'Annual Raw'!U50+'Annual Raw'!U58</f>
        <v>1359</v>
      </c>
      <c r="U158" s="23">
        <f>'Annual Raw'!V50+'Annual Raw'!V58</f>
        <v>7665</v>
      </c>
      <c r="V158" s="23">
        <f>'Annual Raw'!W50+'Annual Raw'!W58</f>
        <v>7754</v>
      </c>
      <c r="W158" s="23">
        <f>'Annual Raw'!X50+'Annual Raw'!X58</f>
        <v>7485</v>
      </c>
      <c r="X158" s="23">
        <f>'Annual Raw'!Y50+'Annual Raw'!Y58</f>
        <v>7213</v>
      </c>
      <c r="Y158" s="23">
        <f>'Annual Raw'!Z50+'Annual Raw'!Z58</f>
        <v>7068</v>
      </c>
      <c r="Z158" s="23">
        <f>'Annual Raw'!AA50+'Annual Raw'!AA58</f>
        <v>8750</v>
      </c>
      <c r="AA158" s="23">
        <f>'Annual Raw'!AB50+'Annual Raw'!AB58</f>
        <v>10588</v>
      </c>
      <c r="AB158" s="24">
        <f t="shared" ref="AB158:AB164" si="1239">+CP158</f>
        <v>0</v>
      </c>
      <c r="AC158" s="24">
        <f t="shared" ref="AC158:AC164" si="1240">+CT158</f>
        <v>0</v>
      </c>
      <c r="AD158" s="24">
        <f t="shared" ref="AD158:AD164" si="1241">+CX158</f>
        <v>0</v>
      </c>
      <c r="AE158" s="24">
        <f t="shared" ref="AE158:AE164" si="1242">+DB158</f>
        <v>0</v>
      </c>
      <c r="AJ158" s="23">
        <f>+'QTR Raw'!D64</f>
        <v>339.87</v>
      </c>
      <c r="AK158" s="23">
        <f t="shared" ref="AK158:CE164" si="1243">+AJ158</f>
        <v>339.87</v>
      </c>
      <c r="AL158" s="23">
        <f>+'QTR Raw'!F64</f>
        <v>446.74</v>
      </c>
      <c r="AM158" s="23">
        <f t="shared" si="1243"/>
        <v>446.74</v>
      </c>
      <c r="AN158" s="23">
        <f>+'QTR Raw'!H64</f>
        <v>697.97</v>
      </c>
      <c r="AO158" s="23">
        <f t="shared" si="1243"/>
        <v>697.97</v>
      </c>
      <c r="AP158" s="23">
        <f>+'QTR Raw'!J64</f>
        <v>743.07</v>
      </c>
      <c r="AQ158" s="23">
        <f t="shared" si="1243"/>
        <v>743.07</v>
      </c>
      <c r="AR158" s="23">
        <f>+'QTR Raw'!L64</f>
        <v>786.5</v>
      </c>
      <c r="AS158" s="23">
        <f t="shared" si="1243"/>
        <v>786.5</v>
      </c>
      <c r="AT158" s="23">
        <f>+'QTR Raw'!N64</f>
        <v>825.02</v>
      </c>
      <c r="AU158" s="23">
        <f t="shared" si="1243"/>
        <v>825.02</v>
      </c>
      <c r="AV158" s="23">
        <f>+'QTR Raw'!P64</f>
        <v>816.91</v>
      </c>
      <c r="AW158" s="23">
        <f t="shared" si="1243"/>
        <v>816.91</v>
      </c>
      <c r="AX158" s="23">
        <f>+'QTR Raw'!R64</f>
        <v>1172</v>
      </c>
      <c r="AY158" s="23">
        <f t="shared" si="1243"/>
        <v>1172</v>
      </c>
      <c r="AZ158" s="23">
        <f>+'QTR Raw'!T64</f>
        <v>1167</v>
      </c>
      <c r="BA158" s="23">
        <f t="shared" si="1243"/>
        <v>1167</v>
      </c>
      <c r="BB158" s="23">
        <f>+'QTR Raw'!V64</f>
        <v>1131</v>
      </c>
      <c r="BC158" s="23">
        <f t="shared" si="1243"/>
        <v>1131</v>
      </c>
      <c r="BD158" s="23">
        <f>+'QTR Raw'!X64</f>
        <v>1136</v>
      </c>
      <c r="BE158" s="23">
        <f t="shared" si="1243"/>
        <v>1136</v>
      </c>
      <c r="BF158" s="23">
        <f>+'QTR Raw'!Z64</f>
        <v>1688</v>
      </c>
      <c r="BG158" s="23">
        <f t="shared" si="1243"/>
        <v>1688</v>
      </c>
      <c r="BH158" s="23">
        <f>+'QTR Raw'!AB64</f>
        <v>1497</v>
      </c>
      <c r="BI158" s="23">
        <f t="shared" si="1243"/>
        <v>1497</v>
      </c>
      <c r="BJ158" s="23">
        <f>+'QTR Raw'!AD64</f>
        <v>1918</v>
      </c>
      <c r="BK158" s="23">
        <f t="shared" si="1243"/>
        <v>1918</v>
      </c>
      <c r="BL158" s="23">
        <f>+'QTR Raw'!AF64</f>
        <v>7028</v>
      </c>
      <c r="BM158" s="23">
        <f t="shared" si="1243"/>
        <v>7028</v>
      </c>
      <c r="BN158" s="23">
        <f>+'QTR Raw'!AH64</f>
        <v>8311</v>
      </c>
      <c r="BO158" s="23">
        <f t="shared" si="1243"/>
        <v>8311</v>
      </c>
      <c r="BP158" s="23">
        <f>+'QTR Raw'!AJ64</f>
        <v>8055</v>
      </c>
      <c r="BQ158" s="23">
        <f t="shared" si="1243"/>
        <v>8055</v>
      </c>
      <c r="BR158" s="23">
        <f>+'QTR Raw'!AL64</f>
        <v>8729</v>
      </c>
      <c r="BS158" s="23">
        <f t="shared" si="1243"/>
        <v>8729</v>
      </c>
      <c r="BT158" s="23">
        <f>+'QTR Raw'!AN64</f>
        <v>8807</v>
      </c>
      <c r="BU158" s="23">
        <f t="shared" si="1243"/>
        <v>8807</v>
      </c>
      <c r="BV158" s="23">
        <f>+'QTR Raw'!AP64</f>
        <v>8727</v>
      </c>
      <c r="BW158" s="23">
        <f t="shared" si="1243"/>
        <v>8727</v>
      </c>
      <c r="BX158" s="23">
        <f>+'QTR Raw'!AR64</f>
        <v>8370</v>
      </c>
      <c r="BY158" s="23">
        <f t="shared" si="1243"/>
        <v>8370</v>
      </c>
      <c r="BZ158" s="23">
        <f>+'QTR Raw'!AT64</f>
        <v>8095</v>
      </c>
      <c r="CA158" s="23">
        <f t="shared" si="1243"/>
        <v>8095</v>
      </c>
      <c r="CB158" s="23">
        <f>+'QTR Raw'!AV64</f>
        <v>7685</v>
      </c>
      <c r="CC158" s="23">
        <f t="shared" si="1243"/>
        <v>7685</v>
      </c>
      <c r="CD158" s="23">
        <f>+'QTR Raw'!AX64</f>
        <v>8049</v>
      </c>
      <c r="CE158" s="23">
        <f t="shared" si="1243"/>
        <v>8049</v>
      </c>
      <c r="CF158" s="23">
        <f>+'QTR Raw'!AZ64</f>
        <v>9321</v>
      </c>
      <c r="CG158" s="23">
        <f t="shared" ref="CG158:CG161" si="1244">+CF158</f>
        <v>9321</v>
      </c>
      <c r="CH158" s="23">
        <f t="shared" si="1198"/>
        <v>8750</v>
      </c>
      <c r="CJ158" s="23">
        <f>+'QTR Raw'!BD64</f>
        <v>11393</v>
      </c>
      <c r="CL158" s="23">
        <f>+'QTR Raw'!BF64</f>
        <v>11775</v>
      </c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  <c r="DF158" s="23">
        <v>11775</v>
      </c>
    </row>
    <row r="159" spans="1:110" s="23" customFormat="1" outlineLevel="1" x14ac:dyDescent="0.2">
      <c r="A159" s="23" t="s">
        <v>67</v>
      </c>
      <c r="B159" s="23">
        <f>'Annual Raw'!C51</f>
        <v>0</v>
      </c>
      <c r="C159" s="23">
        <f>'Annual Raw'!D51</f>
        <v>0</v>
      </c>
      <c r="D159" s="23">
        <f>'Annual Raw'!E51</f>
        <v>0</v>
      </c>
      <c r="E159" s="23">
        <f>'Annual Raw'!F51</f>
        <v>0</v>
      </c>
      <c r="F159" s="23">
        <f>'Annual Raw'!G51</f>
        <v>0</v>
      </c>
      <c r="G159" s="23">
        <f>'Annual Raw'!H51</f>
        <v>0</v>
      </c>
      <c r="H159" s="23">
        <f>'Annual Raw'!I51</f>
        <v>0</v>
      </c>
      <c r="I159" s="23">
        <f>'Annual Raw'!J51</f>
        <v>0</v>
      </c>
      <c r="J159" s="23">
        <f>'Annual Raw'!K51</f>
        <v>0</v>
      </c>
      <c r="K159" s="23">
        <f>'Annual Raw'!L51</f>
        <v>0</v>
      </c>
      <c r="L159" s="23">
        <f>'Annual Raw'!M51</f>
        <v>24.87</v>
      </c>
      <c r="M159" s="23">
        <f>'Annual Raw'!N51</f>
        <v>42.26</v>
      </c>
      <c r="N159" s="23">
        <f>'Annual Raw'!O51</f>
        <v>54.34</v>
      </c>
      <c r="O159" s="23">
        <f>'Annual Raw'!P51</f>
        <v>92.27</v>
      </c>
      <c r="P159" s="23">
        <f>'Annual Raw'!Q51</f>
        <v>67.53</v>
      </c>
      <c r="Q159" s="23">
        <f>'Annual Raw'!R51</f>
        <v>62</v>
      </c>
      <c r="R159" s="23">
        <f>'Annual Raw'!S51</f>
        <v>17</v>
      </c>
      <c r="S159" s="23">
        <f>'Annual Raw'!T51</f>
        <v>18</v>
      </c>
      <c r="T159" s="23">
        <f>'Annual Raw'!U51</f>
        <v>3</v>
      </c>
      <c r="U159" s="23">
        <f>'Annual Raw'!V51</f>
        <v>3</v>
      </c>
      <c r="V159" s="23">
        <f>'Annual Raw'!W51</f>
        <v>0</v>
      </c>
      <c r="W159" s="23">
        <f>'Annual Raw'!X51</f>
        <v>339</v>
      </c>
      <c r="X159" s="23">
        <f>'Annual Raw'!Y51</f>
        <v>120</v>
      </c>
      <c r="Y159" s="23">
        <f>'Annual Raw'!Z51</f>
        <v>69</v>
      </c>
      <c r="Z159" s="23">
        <f>'Annual Raw'!AA51</f>
        <v>60</v>
      </c>
      <c r="AA159" s="23">
        <f>'Annual Raw'!AB51</f>
        <v>0</v>
      </c>
      <c r="AB159" s="24">
        <f t="shared" si="1239"/>
        <v>0</v>
      </c>
      <c r="AC159" s="24">
        <f t="shared" si="1240"/>
        <v>0</v>
      </c>
      <c r="AD159" s="24">
        <f t="shared" si="1241"/>
        <v>0</v>
      </c>
      <c r="AE159" s="24">
        <f t="shared" si="1242"/>
        <v>0</v>
      </c>
      <c r="AJ159" s="23">
        <f>+'QTR Raw'!D65</f>
        <v>0</v>
      </c>
      <c r="AK159" s="23">
        <f t="shared" si="1243"/>
        <v>0</v>
      </c>
      <c r="AL159" s="23">
        <f>+'QTR Raw'!F65</f>
        <v>0</v>
      </c>
      <c r="AM159" s="23">
        <f t="shared" si="1243"/>
        <v>0</v>
      </c>
      <c r="AN159" s="23">
        <f>+'QTR Raw'!H65</f>
        <v>0</v>
      </c>
      <c r="AO159" s="23">
        <f t="shared" si="1243"/>
        <v>0</v>
      </c>
      <c r="AP159" s="23">
        <f>+'QTR Raw'!J65</f>
        <v>0</v>
      </c>
      <c r="AQ159" s="23">
        <f t="shared" si="1243"/>
        <v>0</v>
      </c>
      <c r="AR159" s="23">
        <f>+'QTR Raw'!L65</f>
        <v>0</v>
      </c>
      <c r="AS159" s="23">
        <f t="shared" si="1243"/>
        <v>0</v>
      </c>
      <c r="AT159" s="23">
        <f>+'QTR Raw'!N65</f>
        <v>0</v>
      </c>
      <c r="AU159" s="23">
        <f t="shared" si="1243"/>
        <v>0</v>
      </c>
      <c r="AV159" s="23">
        <f>+'QTR Raw'!P65</f>
        <v>0</v>
      </c>
      <c r="AW159" s="23">
        <f t="shared" si="1243"/>
        <v>0</v>
      </c>
      <c r="AX159" s="23">
        <f>+'QTR Raw'!R65</f>
        <v>0</v>
      </c>
      <c r="AY159" s="23">
        <f t="shared" si="1243"/>
        <v>0</v>
      </c>
      <c r="AZ159" s="23">
        <f>+'QTR Raw'!T65</f>
        <v>0</v>
      </c>
      <c r="BA159" s="23">
        <f t="shared" si="1243"/>
        <v>0</v>
      </c>
      <c r="BB159" s="23">
        <f>+'QTR Raw'!V65</f>
        <v>0</v>
      </c>
      <c r="BC159" s="23">
        <f t="shared" si="1243"/>
        <v>0</v>
      </c>
      <c r="BD159" s="23">
        <f>+'QTR Raw'!X65</f>
        <v>0</v>
      </c>
      <c r="BE159" s="23">
        <f t="shared" si="1243"/>
        <v>0</v>
      </c>
      <c r="BF159" s="23">
        <f>+'QTR Raw'!Z65</f>
        <v>0</v>
      </c>
      <c r="BG159" s="23">
        <f t="shared" si="1243"/>
        <v>0</v>
      </c>
      <c r="BH159" s="23">
        <f>+'QTR Raw'!AB65</f>
        <v>0</v>
      </c>
      <c r="BI159" s="23">
        <f t="shared" si="1243"/>
        <v>0</v>
      </c>
      <c r="BJ159" s="23">
        <f>+'QTR Raw'!AD65</f>
        <v>0</v>
      </c>
      <c r="BK159" s="23">
        <f t="shared" si="1243"/>
        <v>0</v>
      </c>
      <c r="BL159" s="23">
        <f>+'QTR Raw'!AF65</f>
        <v>0</v>
      </c>
      <c r="BM159" s="23">
        <f t="shared" si="1243"/>
        <v>0</v>
      </c>
      <c r="BN159" s="23">
        <f>+'QTR Raw'!AH65</f>
        <v>0</v>
      </c>
      <c r="BO159" s="23">
        <f t="shared" si="1243"/>
        <v>0</v>
      </c>
      <c r="BP159" s="23">
        <f>+'QTR Raw'!AJ65</f>
        <v>0</v>
      </c>
      <c r="BQ159" s="23">
        <f t="shared" si="1243"/>
        <v>0</v>
      </c>
      <c r="BR159" s="23">
        <f>+'QTR Raw'!AL65</f>
        <v>0</v>
      </c>
      <c r="BS159" s="23">
        <f t="shared" si="1243"/>
        <v>0</v>
      </c>
      <c r="BT159" s="23">
        <f>+'QTR Raw'!AN65</f>
        <v>0</v>
      </c>
      <c r="BU159" s="23">
        <f t="shared" si="1243"/>
        <v>0</v>
      </c>
      <c r="BV159" s="23">
        <f>+'QTR Raw'!AP65</f>
        <v>0</v>
      </c>
      <c r="BW159" s="23">
        <f t="shared" si="1243"/>
        <v>0</v>
      </c>
      <c r="BX159" s="23">
        <f>+'QTR Raw'!AR65</f>
        <v>0</v>
      </c>
      <c r="BY159" s="23">
        <f t="shared" si="1243"/>
        <v>0</v>
      </c>
      <c r="BZ159" s="23">
        <f>+'QTR Raw'!AT65</f>
        <v>0</v>
      </c>
      <c r="CA159" s="23">
        <f t="shared" si="1243"/>
        <v>0</v>
      </c>
      <c r="CB159" s="23">
        <f>+'QTR Raw'!AV65</f>
        <v>0</v>
      </c>
      <c r="CC159" s="23">
        <f t="shared" si="1243"/>
        <v>0</v>
      </c>
      <c r="CD159" s="23">
        <f>+'QTR Raw'!AX65</f>
        <v>0</v>
      </c>
      <c r="CE159" s="23">
        <f t="shared" si="1243"/>
        <v>0</v>
      </c>
      <c r="CF159" s="23">
        <f>+'QTR Raw'!AZ65</f>
        <v>0</v>
      </c>
      <c r="CG159" s="23">
        <f t="shared" si="1244"/>
        <v>0</v>
      </c>
      <c r="CH159" s="23">
        <f t="shared" si="1198"/>
        <v>60</v>
      </c>
      <c r="CJ159" s="23">
        <f>+'QTR Raw'!BD65</f>
        <v>0</v>
      </c>
      <c r="CL159" s="23">
        <f>+'QTR Raw'!BF65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68</v>
      </c>
      <c r="B160" s="23">
        <f>'Annual Raw'!C52</f>
        <v>0</v>
      </c>
      <c r="C160" s="23">
        <f>'Annual Raw'!D52</f>
        <v>0</v>
      </c>
      <c r="D160" s="23">
        <f>'Annual Raw'!E52</f>
        <v>0</v>
      </c>
      <c r="E160" s="23">
        <f>'Annual Raw'!F52</f>
        <v>0</v>
      </c>
      <c r="F160" s="23">
        <f>'Annual Raw'!G52</f>
        <v>0</v>
      </c>
      <c r="G160" s="23">
        <f>'Annual Raw'!H52</f>
        <v>0</v>
      </c>
      <c r="H160" s="23">
        <f>'Annual Raw'!I52</f>
        <v>0</v>
      </c>
      <c r="I160" s="23">
        <f>'Annual Raw'!J52</f>
        <v>0</v>
      </c>
      <c r="J160" s="23">
        <f>'Annual Raw'!K52</f>
        <v>0</v>
      </c>
      <c r="K160" s="23">
        <f>'Annual Raw'!L52</f>
        <v>0</v>
      </c>
      <c r="L160" s="23">
        <f>'Annual Raw'!M52</f>
        <v>139.22999999999999</v>
      </c>
      <c r="M160" s="23">
        <f>'Annual Raw'!N52</f>
        <v>217.65</v>
      </c>
      <c r="N160" s="23">
        <f>'Annual Raw'!O52</f>
        <v>348.92</v>
      </c>
      <c r="O160" s="23">
        <f>'Annual Raw'!P52</f>
        <v>385.59</v>
      </c>
      <c r="P160" s="23">
        <f>'Annual Raw'!Q52</f>
        <v>631.15</v>
      </c>
      <c r="Q160" s="23">
        <f>'Annual Raw'!R52</f>
        <v>507</v>
      </c>
      <c r="R160" s="23">
        <f>'Annual Raw'!S52</f>
        <v>511</v>
      </c>
      <c r="S160" s="23">
        <f>'Annual Raw'!T52</f>
        <v>543</v>
      </c>
      <c r="T160" s="23">
        <f>'Annual Raw'!U52</f>
        <v>556</v>
      </c>
      <c r="U160" s="23">
        <f>'Annual Raw'!V52</f>
        <v>643</v>
      </c>
      <c r="V160" s="23">
        <f>'Annual Raw'!W52</f>
        <v>975</v>
      </c>
      <c r="W160" s="23">
        <f>'Annual Raw'!X52</f>
        <v>903</v>
      </c>
      <c r="X160" s="23">
        <f>'Annual Raw'!Y52</f>
        <v>762</v>
      </c>
      <c r="Y160" s="23">
        <f>'Annual Raw'!Z52</f>
        <v>912</v>
      </c>
      <c r="Z160" s="23">
        <f>'Annual Raw'!AA52</f>
        <v>1067</v>
      </c>
      <c r="AA160" s="23">
        <f>'Annual Raw'!AB52</f>
        <v>1187</v>
      </c>
      <c r="AB160" s="24">
        <f t="shared" si="1239"/>
        <v>0</v>
      </c>
      <c r="AC160" s="24">
        <f t="shared" si="1240"/>
        <v>0</v>
      </c>
      <c r="AD160" s="24">
        <f t="shared" si="1241"/>
        <v>0</v>
      </c>
      <c r="AE160" s="24">
        <f t="shared" si="1242"/>
        <v>0</v>
      </c>
      <c r="AJ160" s="23">
        <f>+'QTR Raw'!D66</f>
        <v>270.79000000000002</v>
      </c>
      <c r="AK160" s="23">
        <f t="shared" si="1243"/>
        <v>270.79000000000002</v>
      </c>
      <c r="AL160" s="23">
        <f>+'QTR Raw'!F66</f>
        <v>348.92</v>
      </c>
      <c r="AM160" s="23">
        <f t="shared" si="1243"/>
        <v>348.92</v>
      </c>
      <c r="AN160" s="23">
        <f>+'QTR Raw'!H66</f>
        <v>270.97000000000003</v>
      </c>
      <c r="AO160" s="23">
        <f t="shared" si="1243"/>
        <v>270.97000000000003</v>
      </c>
      <c r="AP160" s="23">
        <f>+'QTR Raw'!J66</f>
        <v>385.59</v>
      </c>
      <c r="AQ160" s="23">
        <f t="shared" si="1243"/>
        <v>385.59</v>
      </c>
      <c r="AR160" s="23">
        <f>+'QTR Raw'!L66</f>
        <v>457.21</v>
      </c>
      <c r="AS160" s="23">
        <f t="shared" si="1243"/>
        <v>457.21</v>
      </c>
      <c r="AT160" s="23">
        <f>+'QTR Raw'!N66</f>
        <v>297.87</v>
      </c>
      <c r="AU160" s="23">
        <f t="shared" si="1243"/>
        <v>297.87</v>
      </c>
      <c r="AV160" s="23">
        <f>+'QTR Raw'!P66</f>
        <v>308.11</v>
      </c>
      <c r="AW160" s="23">
        <f t="shared" si="1243"/>
        <v>308.11</v>
      </c>
      <c r="AX160" s="23">
        <f>+'QTR Raw'!R66</f>
        <v>40</v>
      </c>
      <c r="AY160" s="23">
        <f t="shared" si="1243"/>
        <v>40</v>
      </c>
      <c r="AZ160" s="23">
        <f>+'QTR Raw'!T66</f>
        <v>19</v>
      </c>
      <c r="BA160" s="23">
        <f t="shared" si="1243"/>
        <v>19</v>
      </c>
      <c r="BB160" s="23">
        <f>+'QTR Raw'!V66</f>
        <v>39</v>
      </c>
      <c r="BC160" s="23">
        <f t="shared" si="1243"/>
        <v>39</v>
      </c>
      <c r="BD160" s="23">
        <f>+'QTR Raw'!X66</f>
        <v>39</v>
      </c>
      <c r="BE160" s="23">
        <f t="shared" si="1243"/>
        <v>39</v>
      </c>
      <c r="BF160" s="23">
        <f>+'QTR Raw'!Z66</f>
        <v>26</v>
      </c>
      <c r="BG160" s="23">
        <f t="shared" si="1243"/>
        <v>26</v>
      </c>
      <c r="BH160" s="23">
        <f>+'QTR Raw'!AB66</f>
        <v>30</v>
      </c>
      <c r="BI160" s="23">
        <f t="shared" si="1243"/>
        <v>30</v>
      </c>
      <c r="BJ160" s="23">
        <f>+'QTR Raw'!AD66</f>
        <v>0</v>
      </c>
      <c r="BK160" s="23">
        <f t="shared" si="1243"/>
        <v>0</v>
      </c>
      <c r="BL160" s="23">
        <f>+'QTR Raw'!AF66</f>
        <v>0</v>
      </c>
      <c r="BM160" s="23">
        <f t="shared" si="1243"/>
        <v>0</v>
      </c>
      <c r="BN160" s="23">
        <f>+'QTR Raw'!AH66</f>
        <v>0</v>
      </c>
      <c r="BO160" s="23">
        <f t="shared" si="1243"/>
        <v>0</v>
      </c>
      <c r="BP160" s="23">
        <f>+'QTR Raw'!AJ66</f>
        <v>0</v>
      </c>
      <c r="BQ160" s="23">
        <f t="shared" si="1243"/>
        <v>0</v>
      </c>
      <c r="BR160" s="23">
        <f>+'QTR Raw'!AL66</f>
        <v>0</v>
      </c>
      <c r="BS160" s="23">
        <f t="shared" si="1243"/>
        <v>0</v>
      </c>
      <c r="BT160" s="23">
        <f>+'QTR Raw'!AN66</f>
        <v>0</v>
      </c>
      <c r="BU160" s="23">
        <f t="shared" si="1243"/>
        <v>0</v>
      </c>
      <c r="BV160" s="23">
        <f>+'QTR Raw'!AP66</f>
        <v>0</v>
      </c>
      <c r="BW160" s="23">
        <f t="shared" si="1243"/>
        <v>0</v>
      </c>
      <c r="BX160" s="23">
        <f>+'QTR Raw'!AR66</f>
        <v>0</v>
      </c>
      <c r="BY160" s="23">
        <f t="shared" si="1243"/>
        <v>0</v>
      </c>
      <c r="BZ160" s="23">
        <f>+'QTR Raw'!AT66</f>
        <v>0</v>
      </c>
      <c r="CA160" s="23">
        <f t="shared" si="1243"/>
        <v>0</v>
      </c>
      <c r="CB160" s="23">
        <f>+'QTR Raw'!AV66</f>
        <v>0</v>
      </c>
      <c r="CC160" s="23">
        <f t="shared" si="1243"/>
        <v>0</v>
      </c>
      <c r="CD160" s="23">
        <f>+'QTR Raw'!AX66</f>
        <v>0</v>
      </c>
      <c r="CE160" s="23">
        <f t="shared" si="1243"/>
        <v>0</v>
      </c>
      <c r="CF160" s="23">
        <f>+'QTR Raw'!AZ66</f>
        <v>0</v>
      </c>
      <c r="CG160" s="23">
        <f t="shared" si="1244"/>
        <v>0</v>
      </c>
      <c r="CH160" s="23">
        <f t="shared" si="1198"/>
        <v>1067</v>
      </c>
      <c r="CJ160" s="23">
        <f>+'QTR Raw'!BD66</f>
        <v>0</v>
      </c>
      <c r="CL160" s="23">
        <f>+'QTR Raw'!BF66</f>
        <v>0</v>
      </c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3"/>
      <c r="DF160" s="23">
        <v>0</v>
      </c>
    </row>
    <row r="161" spans="1:110" s="23" customFormat="1" outlineLevel="1" x14ac:dyDescent="0.2">
      <c r="A161" s="23" t="s">
        <v>69</v>
      </c>
      <c r="B161" s="23">
        <v>0</v>
      </c>
      <c r="C161" s="23">
        <v>0</v>
      </c>
      <c r="D161" s="23">
        <v>0</v>
      </c>
      <c r="E161" s="23">
        <v>0</v>
      </c>
      <c r="F161" s="23">
        <v>0</v>
      </c>
      <c r="G161" s="23">
        <v>0</v>
      </c>
      <c r="H161" s="23">
        <v>0</v>
      </c>
      <c r="I161" s="23">
        <v>0</v>
      </c>
      <c r="J161" s="23">
        <v>0</v>
      </c>
      <c r="K161" s="23">
        <v>0</v>
      </c>
      <c r="L161" s="23">
        <v>0</v>
      </c>
      <c r="M161" s="23">
        <v>0</v>
      </c>
      <c r="N161" s="23">
        <v>0</v>
      </c>
      <c r="O161" s="23">
        <v>0</v>
      </c>
      <c r="P161" s="23">
        <v>0</v>
      </c>
      <c r="Q161" s="23">
        <v>0</v>
      </c>
      <c r="R161" s="23">
        <v>0</v>
      </c>
      <c r="S161" s="23">
        <v>0</v>
      </c>
      <c r="T161" s="23">
        <v>0</v>
      </c>
      <c r="U161" s="23">
        <v>0</v>
      </c>
      <c r="V161" s="23">
        <v>0</v>
      </c>
      <c r="W161" s="23">
        <v>0</v>
      </c>
      <c r="X161" s="23">
        <v>0</v>
      </c>
      <c r="Y161" s="23">
        <v>0</v>
      </c>
      <c r="Z161" s="23">
        <v>0</v>
      </c>
      <c r="AA161" s="23">
        <v>0</v>
      </c>
      <c r="AB161" s="24">
        <f t="shared" si="1239"/>
        <v>59708.481629676018</v>
      </c>
      <c r="AC161" s="24">
        <f t="shared" si="1240"/>
        <v>62789.901683490061</v>
      </c>
      <c r="AD161" s="24">
        <f t="shared" si="1241"/>
        <v>66030.346875590767</v>
      </c>
      <c r="AE161" s="24">
        <f t="shared" si="1242"/>
        <v>69438.024134655672</v>
      </c>
      <c r="AJ161" s="23">
        <f>+'QTR Raw'!D87</f>
        <v>6461.41</v>
      </c>
      <c r="AK161" s="23">
        <f t="shared" si="1243"/>
        <v>6461.41</v>
      </c>
      <c r="AL161" s="23">
        <f>+'QTR Raw'!F87</f>
        <v>0</v>
      </c>
      <c r="AM161" s="23">
        <f t="shared" si="1243"/>
        <v>0</v>
      </c>
      <c r="AN161" s="23">
        <f>+'QTR Raw'!H87</f>
        <v>0</v>
      </c>
      <c r="AO161" s="23">
        <f t="shared" si="1243"/>
        <v>0</v>
      </c>
      <c r="AP161" s="23">
        <f>+'QTR Raw'!J87</f>
        <v>0</v>
      </c>
      <c r="AQ161" s="23">
        <f t="shared" si="1243"/>
        <v>0</v>
      </c>
      <c r="AR161" s="23">
        <f>+'QTR Raw'!L87</f>
        <v>0</v>
      </c>
      <c r="AS161" s="23">
        <f t="shared" si="1243"/>
        <v>0</v>
      </c>
      <c r="AT161" s="23">
        <f>+'QTR Raw'!N87</f>
        <v>0</v>
      </c>
      <c r="AU161" s="23">
        <f t="shared" si="1243"/>
        <v>0</v>
      </c>
      <c r="AV161" s="23">
        <f>+'QTR Raw'!P87</f>
        <v>0</v>
      </c>
      <c r="AW161" s="23">
        <f t="shared" si="1243"/>
        <v>0</v>
      </c>
      <c r="AX161" s="23">
        <f>+'QTR Raw'!R87</f>
        <v>0</v>
      </c>
      <c r="AY161" s="23">
        <f t="shared" si="1243"/>
        <v>0</v>
      </c>
      <c r="AZ161" s="23">
        <f>+'QTR Raw'!T87</f>
        <v>0</v>
      </c>
      <c r="BA161" s="23">
        <f t="shared" si="1243"/>
        <v>0</v>
      </c>
      <c r="BB161" s="23">
        <f>+'QTR Raw'!V87</f>
        <v>0</v>
      </c>
      <c r="BC161" s="23">
        <f t="shared" si="1243"/>
        <v>0</v>
      </c>
      <c r="BD161" s="23">
        <f>+'QTR Raw'!X87</f>
        <v>0</v>
      </c>
      <c r="BE161" s="23">
        <f t="shared" si="1243"/>
        <v>0</v>
      </c>
      <c r="BF161" s="23">
        <f>+'QTR Raw'!Z87</f>
        <v>0</v>
      </c>
      <c r="BG161" s="23">
        <f t="shared" si="1243"/>
        <v>0</v>
      </c>
      <c r="BH161" s="23">
        <f>+'QTR Raw'!AB87</f>
        <v>0</v>
      </c>
      <c r="BI161" s="23">
        <f t="shared" si="1243"/>
        <v>0</v>
      </c>
      <c r="BJ161" s="23">
        <f>+'QTR Raw'!AD87</f>
        <v>0</v>
      </c>
      <c r="BK161" s="23">
        <f t="shared" si="1243"/>
        <v>0</v>
      </c>
      <c r="BL161" s="23">
        <f>+'QTR Raw'!AF87</f>
        <v>0</v>
      </c>
      <c r="BM161" s="23">
        <f t="shared" si="1243"/>
        <v>0</v>
      </c>
      <c r="BN161" s="23">
        <f>+'QTR Raw'!AH87</f>
        <v>0</v>
      </c>
      <c r="BO161" s="23">
        <f t="shared" si="1243"/>
        <v>0</v>
      </c>
      <c r="BP161" s="23">
        <f>+'QTR Raw'!AJ87</f>
        <v>0</v>
      </c>
      <c r="BQ161" s="23">
        <f t="shared" si="1243"/>
        <v>0</v>
      </c>
      <c r="BR161" s="23">
        <f>+'QTR Raw'!AL87</f>
        <v>0</v>
      </c>
      <c r="BS161" s="23">
        <f t="shared" si="1243"/>
        <v>0</v>
      </c>
      <c r="BT161" s="23">
        <f>+'QTR Raw'!AN87</f>
        <v>0</v>
      </c>
      <c r="BU161" s="23">
        <f t="shared" si="1243"/>
        <v>0</v>
      </c>
      <c r="BV161" s="23">
        <f>+'QTR Raw'!AP87</f>
        <v>0</v>
      </c>
      <c r="BW161" s="23">
        <f t="shared" si="1243"/>
        <v>0</v>
      </c>
      <c r="BX161" s="23">
        <f>+'QTR Raw'!AR87</f>
        <v>0</v>
      </c>
      <c r="BY161" s="23">
        <f t="shared" si="1243"/>
        <v>0</v>
      </c>
      <c r="BZ161" s="23">
        <f>+'QTR Raw'!AT87</f>
        <v>0</v>
      </c>
      <c r="CA161" s="23">
        <f t="shared" si="1243"/>
        <v>0</v>
      </c>
      <c r="CB161" s="23">
        <f>+'QTR Raw'!AV87</f>
        <v>0</v>
      </c>
      <c r="CC161" s="23">
        <f t="shared" si="1243"/>
        <v>0</v>
      </c>
      <c r="CD161" s="23">
        <f>+'QTR Raw'!AX87</f>
        <v>0</v>
      </c>
      <c r="CE161" s="23">
        <f t="shared" si="1243"/>
        <v>0</v>
      </c>
      <c r="CF161" s="23">
        <f>+'QTR Raw'!AZ87</f>
        <v>0</v>
      </c>
      <c r="CG161" s="23">
        <f t="shared" si="1244"/>
        <v>0</v>
      </c>
      <c r="CH161" s="23">
        <f t="shared" si="1198"/>
        <v>0</v>
      </c>
      <c r="CI161" s="23">
        <f>CI19/90*CI193</f>
        <v>48177.646256920867</v>
      </c>
      <c r="CJ161" s="23">
        <f>+'QTR Raw'!BD87</f>
        <v>0</v>
      </c>
      <c r="CK161" s="23">
        <f>CK19/90*CK193</f>
        <v>53457.324533807507</v>
      </c>
      <c r="CL161" s="23">
        <f>+'QTR Raw'!BF87</f>
        <v>0</v>
      </c>
      <c r="CM161" s="24">
        <f t="shared" ref="CM161:DB161" si="1245">CM19/90*CM193</f>
        <v>57497.067559009149</v>
      </c>
      <c r="CN161" s="24">
        <f t="shared" si="1245"/>
        <v>58224.952040149321</v>
      </c>
      <c r="CO161" s="24">
        <f t="shared" si="1245"/>
        <v>58962.051179364695</v>
      </c>
      <c r="CP161" s="24">
        <f t="shared" si="1245"/>
        <v>59708.481629676018</v>
      </c>
      <c r="CQ161" s="24">
        <f t="shared" si="1245"/>
        <v>60464.361520873586</v>
      </c>
      <c r="CR161" s="24">
        <f t="shared" si="1245"/>
        <v>61229.810478212559</v>
      </c>
      <c r="CS161" s="24">
        <f t="shared" si="1245"/>
        <v>62004.949641344727</v>
      </c>
      <c r="CT161" s="24">
        <f t="shared" si="1245"/>
        <v>62789.901683490061</v>
      </c>
      <c r="CU161" s="24">
        <f t="shared" si="1245"/>
        <v>63584.790830850878</v>
      </c>
      <c r="CV161" s="24">
        <f t="shared" si="1245"/>
        <v>64389.742882271938</v>
      </c>
      <c r="CW161" s="24">
        <f t="shared" si="1245"/>
        <v>65204.885229149186</v>
      </c>
      <c r="CX161" s="24">
        <f t="shared" si="1245"/>
        <v>66030.346875590767</v>
      </c>
      <c r="CY161" s="24">
        <f t="shared" si="1245"/>
        <v>66866.258458833108</v>
      </c>
      <c r="CZ161" s="24">
        <f t="shared" si="1245"/>
        <v>67712.752269915582</v>
      </c>
      <c r="DA161" s="24">
        <f t="shared" si="1245"/>
        <v>68569.962274616715</v>
      </c>
      <c r="DB161" s="24">
        <f t="shared" si="1245"/>
        <v>69438.024134655672</v>
      </c>
      <c r="DE161" s="123"/>
      <c r="DF161" s="23">
        <v>54294.752214007392</v>
      </c>
    </row>
    <row r="162" spans="1:110" s="23" customFormat="1" outlineLevel="1" x14ac:dyDescent="0.2">
      <c r="A162" s="23" t="s">
        <v>70</v>
      </c>
      <c r="B162" s="23">
        <f>'Annual Raw'!C54</f>
        <v>0</v>
      </c>
      <c r="C162" s="23">
        <f>'Annual Raw'!D54</f>
        <v>0</v>
      </c>
      <c r="D162" s="23">
        <f>'Annual Raw'!E54</f>
        <v>0</v>
      </c>
      <c r="E162" s="23">
        <f>'Annual Raw'!F54</f>
        <v>335.37</v>
      </c>
      <c r="F162" s="23">
        <f>'Annual Raw'!G54</f>
        <v>662.62</v>
      </c>
      <c r="G162" s="23">
        <f>'Annual Raw'!H54</f>
        <v>1023.41</v>
      </c>
      <c r="H162" s="23">
        <f>'Annual Raw'!I54</f>
        <v>1329.61</v>
      </c>
      <c r="I162" s="23">
        <f>'Annual Raw'!J54</f>
        <v>1887.94</v>
      </c>
      <c r="J162" s="23">
        <f>'Annual Raw'!K54</f>
        <v>2310.06</v>
      </c>
      <c r="K162" s="23">
        <f>'Annual Raw'!L54</f>
        <v>2977.73</v>
      </c>
      <c r="L162" s="23">
        <f>'Annual Raw'!M54</f>
        <v>2572.33</v>
      </c>
      <c r="M162" s="23">
        <f>'Annual Raw'!N54</f>
        <v>3250.78</v>
      </c>
      <c r="N162" s="23">
        <f>'Annual Raw'!O54</f>
        <v>4269.71</v>
      </c>
      <c r="O162" s="23">
        <f>'Annual Raw'!P54</f>
        <v>5536.02</v>
      </c>
      <c r="P162" s="23">
        <f>'Annual Raw'!Q54</f>
        <v>8830.93</v>
      </c>
      <c r="Q162" s="23">
        <f>'Annual Raw'!R54</f>
        <v>7541</v>
      </c>
      <c r="R162" s="23">
        <f>'Annual Raw'!S54</f>
        <v>4905</v>
      </c>
      <c r="S162" s="23">
        <f>'Annual Raw'!T54</f>
        <v>5094</v>
      </c>
      <c r="T162" s="23">
        <f>'Annual Raw'!U54</f>
        <v>6292</v>
      </c>
      <c r="U162" s="23">
        <f>'Annual Raw'!V54</f>
        <v>6740</v>
      </c>
      <c r="V162" s="23">
        <f>'Annual Raw'!W54</f>
        <v>7860</v>
      </c>
      <c r="W162" s="23">
        <f>'Annual Raw'!X54</f>
        <v>8045</v>
      </c>
      <c r="X162" s="23">
        <f>'Annual Raw'!Y54</f>
        <v>10515</v>
      </c>
      <c r="Y162" s="23">
        <f>'Annual Raw'!Z54</f>
        <v>9981</v>
      </c>
      <c r="Z162" s="23">
        <f>'Annual Raw'!AA54</f>
        <v>13909</v>
      </c>
      <c r="AA162" s="23">
        <f>'Annual Raw'!AB54</f>
        <v>14808</v>
      </c>
      <c r="AB162" s="24">
        <f t="shared" si="1239"/>
        <v>15275.534216275508</v>
      </c>
      <c r="AC162" s="24">
        <f t="shared" si="1240"/>
        <v>16063.870080494824</v>
      </c>
      <c r="AD162" s="24">
        <f t="shared" si="1241"/>
        <v>16892.890180434828</v>
      </c>
      <c r="AE162" s="24">
        <f t="shared" si="1242"/>
        <v>17764.694137730541</v>
      </c>
      <c r="AJ162" s="23">
        <f>+'QTR Raw'!D89</f>
        <v>0</v>
      </c>
      <c r="AK162" s="23">
        <f>+AK192*AK19/90</f>
        <v>0</v>
      </c>
      <c r="AL162" s="23">
        <f>+'QTR Raw'!F89</f>
        <v>4269.71</v>
      </c>
      <c r="AM162" s="23">
        <f>+AM192*AM19/90</f>
        <v>4647.1913561398633</v>
      </c>
      <c r="AN162" s="23">
        <f>+'QTR Raw'!H89</f>
        <v>4985.01</v>
      </c>
      <c r="AO162" s="23">
        <f>+AO192*AO19/90</f>
        <v>5060.2750190015458</v>
      </c>
      <c r="AP162" s="23">
        <f>+'QTR Raw'!J89</f>
        <v>5536.02</v>
      </c>
      <c r="AQ162" s="23">
        <f>+AQ192*AQ19/90</f>
        <v>5679.8567636532534</v>
      </c>
      <c r="AR162" s="23">
        <f>+'QTR Raw'!L89</f>
        <v>6425.32</v>
      </c>
      <c r="AS162" s="23">
        <f>+AS192*AS19/90</f>
        <v>6610.0307377412619</v>
      </c>
      <c r="AT162" s="23">
        <f>+'QTR Raw'!N89</f>
        <v>8830.93</v>
      </c>
      <c r="AU162" s="23">
        <f>+AU192*AU19/90</f>
        <v>9358.9825514373388</v>
      </c>
      <c r="AV162" s="23">
        <f>+'QTR Raw'!P89</f>
        <v>6407.77</v>
      </c>
      <c r="AW162" s="23">
        <f>+AW192*AW19/90</f>
        <v>6454.710777839131</v>
      </c>
      <c r="AX162" s="23">
        <f>+'QTR Raw'!R89</f>
        <v>7541</v>
      </c>
      <c r="AY162" s="23">
        <f>+AY192*AY19/90</f>
        <v>7767.900629196105</v>
      </c>
      <c r="AZ162" s="23">
        <f>+'QTR Raw'!T89</f>
        <v>6381</v>
      </c>
      <c r="BA162" s="23">
        <f>+BA192*BA19/90</f>
        <v>6479.2731525747859</v>
      </c>
      <c r="BB162" s="23">
        <f>+'QTR Raw'!V89</f>
        <v>4905</v>
      </c>
      <c r="BC162" s="23">
        <f>+BC192*BC19/90</f>
        <v>4895.402469468997</v>
      </c>
      <c r="BD162" s="23">
        <f>+'QTR Raw'!X89</f>
        <v>5421</v>
      </c>
      <c r="BE162" s="23">
        <f>+BE192*BE19/90</f>
        <v>5485.4321731442978</v>
      </c>
      <c r="BF162" s="23">
        <f>+'QTR Raw'!Z89</f>
        <v>5094</v>
      </c>
      <c r="BG162" s="23">
        <f>+BG192*BG19/90</f>
        <v>5441.1701948558066</v>
      </c>
      <c r="BH162" s="23">
        <f>+'QTR Raw'!AB89</f>
        <v>6252</v>
      </c>
      <c r="BI162" s="23">
        <f>+BI192*BI19/90</f>
        <v>6334.1069083410212</v>
      </c>
      <c r="BJ162" s="23">
        <f>+'QTR Raw'!AD89</f>
        <v>6292</v>
      </c>
      <c r="BK162" s="23">
        <f>+BK192*BK19/90</f>
        <v>6318.8167324388323</v>
      </c>
      <c r="BL162" s="23">
        <f>+'QTR Raw'!AF89</f>
        <v>6734</v>
      </c>
      <c r="BM162" s="23">
        <f>+BM192*BM19/90</f>
        <v>6885.5180234497275</v>
      </c>
      <c r="BN162" s="23">
        <f>+'QTR Raw'!AH89</f>
        <v>6740</v>
      </c>
      <c r="BO162" s="23">
        <f>+BO192*BO19/90</f>
        <v>6465.9860812096322</v>
      </c>
      <c r="BP162" s="23">
        <f>+'QTR Raw'!AJ89</f>
        <v>5789</v>
      </c>
      <c r="BQ162" s="23">
        <f>+BQ192*BQ19/90</f>
        <v>6060.1678086458214</v>
      </c>
      <c r="BR162" s="23">
        <f>+'QTR Raw'!AL89</f>
        <v>7860</v>
      </c>
      <c r="BS162" s="23">
        <f>+BS192*BS19/90</f>
        <v>8166.8106623956082</v>
      </c>
      <c r="BT162" s="23">
        <f>+'QTR Raw'!AN89</f>
        <v>8177</v>
      </c>
      <c r="BU162" s="23">
        <f>+BU192*BU19/90</f>
        <v>8529.0853905733256</v>
      </c>
      <c r="BV162" s="23">
        <f>+'QTR Raw'!AP89</f>
        <v>8045</v>
      </c>
      <c r="BW162" s="23">
        <f>+BW192*BW19/90</f>
        <v>8389.597161550475</v>
      </c>
      <c r="BX162" s="23">
        <f>+'QTR Raw'!AR89</f>
        <v>10951</v>
      </c>
      <c r="BY162" s="23">
        <f>+BY192*BY19/90</f>
        <v>11529.150391437199</v>
      </c>
      <c r="BZ162" s="23">
        <f>+'QTR Raw'!AT89</f>
        <v>10515</v>
      </c>
      <c r="CA162" s="23">
        <f>+CA192*CA19/90</f>
        <v>10553.923379872216</v>
      </c>
      <c r="CB162" s="23">
        <f>+'QTR Raw'!AV89</f>
        <v>10532</v>
      </c>
      <c r="CC162" s="23">
        <f>+CC192*CC19/90</f>
        <v>10689.207196944315</v>
      </c>
      <c r="CD162" s="23">
        <f>+'QTR Raw'!AX89</f>
        <v>9981</v>
      </c>
      <c r="CE162" s="23">
        <f>+CE192*CE19/90</f>
        <v>10205.273821382496</v>
      </c>
      <c r="CF162" s="23">
        <f>+'QTR Raw'!AZ89</f>
        <v>12927</v>
      </c>
      <c r="CG162" s="23">
        <f>+CG192*CG19/90</f>
        <v>12869.465304470968</v>
      </c>
      <c r="CH162" s="23">
        <f t="shared" si="1198"/>
        <v>13909</v>
      </c>
      <c r="CI162" s="23">
        <f>+CI192*CI19/90</f>
        <v>13684.226383783867</v>
      </c>
      <c r="CJ162" s="23">
        <f>+'QTR Raw'!BD89</f>
        <v>14246</v>
      </c>
      <c r="CK162" s="23">
        <f>+CK192*CK19/90</f>
        <v>14524.862110366421</v>
      </c>
      <c r="CL162" s="23">
        <f>+'QTR Raw'!BF89</f>
        <v>14808</v>
      </c>
      <c r="CM162" s="24">
        <f t="shared" ref="CM162:DB162" si="1246">+CM192*CM19/90</f>
        <v>14709.776548674135</v>
      </c>
      <c r="CN162" s="24">
        <f t="shared" si="1246"/>
        <v>14895.995055554176</v>
      </c>
      <c r="CO162" s="24">
        <f t="shared" si="1246"/>
        <v>15084.570996769797</v>
      </c>
      <c r="CP162" s="24">
        <f t="shared" si="1246"/>
        <v>15275.534216275508</v>
      </c>
      <c r="CQ162" s="24">
        <f t="shared" si="1246"/>
        <v>15468.914935835532</v>
      </c>
      <c r="CR162" s="24">
        <f t="shared" si="1246"/>
        <v>15664.743759806703</v>
      </c>
      <c r="CS162" s="24">
        <f t="shared" si="1246"/>
        <v>15863.051679981909</v>
      </c>
      <c r="CT162" s="24">
        <f t="shared" si="1246"/>
        <v>16063.870080494824</v>
      </c>
      <c r="CU162" s="24">
        <f t="shared" si="1246"/>
        <v>16267.230742786753</v>
      </c>
      <c r="CV162" s="24">
        <f t="shared" si="1246"/>
        <v>16473.165850636356</v>
      </c>
      <c r="CW162" s="24">
        <f t="shared" si="1246"/>
        <v>16681.707995253044</v>
      </c>
      <c r="CX162" s="24">
        <f t="shared" si="1246"/>
        <v>16892.890180434828</v>
      </c>
      <c r="CY162" s="24">
        <f t="shared" si="1246"/>
        <v>17106.745827791521</v>
      </c>
      <c r="CZ162" s="24">
        <f t="shared" si="1246"/>
        <v>17323.308782034004</v>
      </c>
      <c r="DA162" s="24">
        <f t="shared" si="1246"/>
        <v>17542.61331633048</v>
      </c>
      <c r="DB162" s="24">
        <f t="shared" si="1246"/>
        <v>17764.694137730541</v>
      </c>
      <c r="DE162" s="123"/>
      <c r="DF162" s="23">
        <v>14752.399153949942</v>
      </c>
    </row>
    <row r="163" spans="1:110" s="23" customFormat="1" outlineLevel="1" x14ac:dyDescent="0.2">
      <c r="A163" s="23" t="s">
        <v>71</v>
      </c>
      <c r="B163" s="23">
        <f>'Annual Raw'!C55-Template!B135</f>
        <v>0</v>
      </c>
      <c r="C163" s="23">
        <f>'Annual Raw'!D55-Template!C135</f>
        <v>0</v>
      </c>
      <c r="D163" s="23">
        <f>'Annual Raw'!E55-Template!D135</f>
        <v>0</v>
      </c>
      <c r="E163" s="23">
        <f>'Annual Raw'!F55-Template!E135</f>
        <v>68.069999999999993</v>
      </c>
      <c r="F163" s="23">
        <f>'Annual Raw'!G55-Template!F135</f>
        <v>242.57</v>
      </c>
      <c r="G163" s="23">
        <f>'Annual Raw'!H55-Template!G135</f>
        <v>703.06</v>
      </c>
      <c r="H163" s="23">
        <f>'Annual Raw'!I55-Template!H135</f>
        <v>1142.18</v>
      </c>
      <c r="I163" s="23">
        <f>'Annual Raw'!J55-Template!I135</f>
        <v>1302.6300000000001</v>
      </c>
      <c r="J163" s="23">
        <f>'Annual Raw'!K55-Template!J135</f>
        <v>2030.38</v>
      </c>
      <c r="K163" s="23">
        <f>'Annual Raw'!L55-Template!K135</f>
        <v>1116.06</v>
      </c>
      <c r="L163" s="23">
        <f>'Annual Raw'!M55-Template!L135</f>
        <v>1917.67</v>
      </c>
      <c r="M163" s="23">
        <f>'Annual Raw'!N55-Template!M135</f>
        <v>2399.9900000000002</v>
      </c>
      <c r="N163" s="23">
        <f>'Annual Raw'!O55-Template!N135</f>
        <v>3060.25</v>
      </c>
      <c r="O163" s="23">
        <f>'Annual Raw'!P55-Template!O135</f>
        <v>3578.72</v>
      </c>
      <c r="P163" s="23">
        <f>'Annual Raw'!Q55-Template!P135</f>
        <v>3588.7200000000003</v>
      </c>
      <c r="Q163" s="23">
        <f>'Annual Raw'!R55-Template!Q135</f>
        <v>5311</v>
      </c>
      <c r="R163" s="23">
        <f>'Annual Raw'!S55-Template!R135</f>
        <v>6049</v>
      </c>
      <c r="S163" s="23">
        <f>'Annual Raw'!T55-Template!S135</f>
        <v>8862</v>
      </c>
      <c r="T163" s="23">
        <f>'Annual Raw'!U55-Template!T135</f>
        <v>10512</v>
      </c>
      <c r="U163" s="23">
        <f>'Annual Raw'!V55-Template!U135</f>
        <v>13566</v>
      </c>
      <c r="V163" s="23">
        <f>'Annual Raw'!W55-Template!V135</f>
        <v>15160</v>
      </c>
      <c r="W163" s="23">
        <f>'Annual Raw'!X55-Template!W135</f>
        <v>21164</v>
      </c>
      <c r="X163" s="23">
        <f>'Annual Raw'!Y55-Template!X135</f>
        <v>19288</v>
      </c>
      <c r="Y163" s="23">
        <f>'Annual Raw'!Z55-Template!Y135</f>
        <v>20031</v>
      </c>
      <c r="Z163" s="23">
        <f>'Annual Raw'!AA55-Template!Z135</f>
        <v>21312</v>
      </c>
      <c r="AA163" s="23">
        <f>'Annual Raw'!AB55-Template!AA135</f>
        <v>24377</v>
      </c>
      <c r="AB163" s="24">
        <f t="shared" si="1239"/>
        <v>0</v>
      </c>
      <c r="AC163" s="24">
        <f t="shared" si="1240"/>
        <v>0</v>
      </c>
      <c r="AD163" s="24">
        <f t="shared" si="1241"/>
        <v>0</v>
      </c>
      <c r="AE163" s="24">
        <f t="shared" si="1242"/>
        <v>0</v>
      </c>
      <c r="AJ163" s="23">
        <f>+'QTR Raw'!D91</f>
        <v>0</v>
      </c>
      <c r="AK163" s="23">
        <f t="shared" si="1243"/>
        <v>0</v>
      </c>
      <c r="AL163" s="23">
        <f>+'QTR Raw'!F91</f>
        <v>3081.52</v>
      </c>
      <c r="AM163" s="23">
        <f t="shared" si="1243"/>
        <v>3081.52</v>
      </c>
      <c r="AN163" s="23">
        <f>+'QTR Raw'!H91</f>
        <v>3839.04</v>
      </c>
      <c r="AO163" s="23">
        <f t="shared" si="1243"/>
        <v>3839.04</v>
      </c>
      <c r="AP163" s="23">
        <f>+'QTR Raw'!J91</f>
        <v>3621.24</v>
      </c>
      <c r="AQ163" s="23">
        <f t="shared" si="1243"/>
        <v>3621.24</v>
      </c>
      <c r="AR163" s="23">
        <f>+'QTR Raw'!L91</f>
        <v>3883.93</v>
      </c>
      <c r="AS163" s="23">
        <f t="shared" si="1243"/>
        <v>3883.93</v>
      </c>
      <c r="AT163" s="23">
        <f>+'QTR Raw'!N91</f>
        <v>3646.59</v>
      </c>
      <c r="AU163" s="23">
        <f t="shared" si="1243"/>
        <v>3646.59</v>
      </c>
      <c r="AV163" s="23">
        <f>+'QTR Raw'!P91</f>
        <v>4276.9399999999996</v>
      </c>
      <c r="AW163" s="23">
        <f t="shared" si="1243"/>
        <v>4276.9399999999996</v>
      </c>
      <c r="AX163" s="23">
        <f>+'QTR Raw'!R91</f>
        <v>7800</v>
      </c>
      <c r="AY163" s="23">
        <f t="shared" si="1243"/>
        <v>7800</v>
      </c>
      <c r="AZ163" s="23">
        <f>+'QTR Raw'!T91</f>
        <v>7752</v>
      </c>
      <c r="BA163" s="23">
        <f t="shared" si="1243"/>
        <v>7752</v>
      </c>
      <c r="BB163" s="23">
        <f>+'QTR Raw'!V91</f>
        <v>9341</v>
      </c>
      <c r="BC163" s="23">
        <f t="shared" si="1243"/>
        <v>9341</v>
      </c>
      <c r="BD163" s="23">
        <f>+'QTR Raw'!X91</f>
        <v>10682</v>
      </c>
      <c r="BE163" s="23">
        <f t="shared" si="1243"/>
        <v>10682</v>
      </c>
      <c r="BF163" s="23">
        <f>+'QTR Raw'!Z91</f>
        <v>12313</v>
      </c>
      <c r="BG163" s="23">
        <f t="shared" si="1243"/>
        <v>12313</v>
      </c>
      <c r="BH163" s="23">
        <f>+'QTR Raw'!AB91</f>
        <v>16035</v>
      </c>
      <c r="BI163" s="23">
        <f t="shared" si="1243"/>
        <v>16035</v>
      </c>
      <c r="BJ163" s="23">
        <f>+'QTR Raw'!AD91</f>
        <v>15553</v>
      </c>
      <c r="BK163" s="23">
        <f t="shared" si="1243"/>
        <v>15553</v>
      </c>
      <c r="BL163" s="23">
        <f>+'QTR Raw'!AF91</f>
        <v>16899</v>
      </c>
      <c r="BM163" s="23">
        <f t="shared" si="1243"/>
        <v>16899</v>
      </c>
      <c r="BN163" s="23">
        <f>+'QTR Raw'!AH91</f>
        <v>20027</v>
      </c>
      <c r="BO163" s="23">
        <f t="shared" si="1243"/>
        <v>20027</v>
      </c>
      <c r="BP163" s="23">
        <f>+'QTR Raw'!AJ91</f>
        <v>21721</v>
      </c>
      <c r="BQ163" s="23">
        <f t="shared" si="1243"/>
        <v>21721</v>
      </c>
      <c r="BR163" s="23">
        <f>+'QTR Raw'!AL91</f>
        <v>24901</v>
      </c>
      <c r="BS163" s="23">
        <f t="shared" si="1243"/>
        <v>24901</v>
      </c>
      <c r="BT163" s="23">
        <f>+'QTR Raw'!AN91</f>
        <v>25500</v>
      </c>
      <c r="BU163" s="23">
        <f t="shared" si="1243"/>
        <v>25500</v>
      </c>
      <c r="BV163" s="23">
        <f>+'QTR Raw'!AP91</f>
        <v>32895</v>
      </c>
      <c r="BW163" s="23">
        <f t="shared" si="1243"/>
        <v>32895</v>
      </c>
      <c r="BX163" s="23">
        <f>+'QTR Raw'!AR91</f>
        <v>29681</v>
      </c>
      <c r="BY163" s="23">
        <f t="shared" si="1243"/>
        <v>29681</v>
      </c>
      <c r="BZ163" s="23">
        <f>+'QTR Raw'!AT91</f>
        <v>32698</v>
      </c>
      <c r="CA163" s="23">
        <f t="shared" si="1243"/>
        <v>32698</v>
      </c>
      <c r="CB163" s="23">
        <f>+'QTR Raw'!AV91</f>
        <v>34028</v>
      </c>
      <c r="CC163" s="23">
        <f t="shared" si="1243"/>
        <v>34028</v>
      </c>
      <c r="CD163" s="23">
        <f>+'QTR Raw'!AX91</f>
        <v>35983</v>
      </c>
      <c r="CE163" s="23">
        <f t="shared" si="1243"/>
        <v>35983</v>
      </c>
      <c r="CF163" s="23">
        <f>+'QTR Raw'!AZ91</f>
        <v>35400</v>
      </c>
      <c r="CG163" s="23">
        <f t="shared" ref="CG163:CG164" si="1247">+CF163</f>
        <v>35400</v>
      </c>
      <c r="CH163" s="23">
        <f t="shared" si="1198"/>
        <v>21312</v>
      </c>
      <c r="CJ163" s="23">
        <f>+'QTR Raw'!BD91</f>
        <v>40835</v>
      </c>
      <c r="CL163" s="23">
        <f>+'QTR Raw'!BF91</f>
        <v>44728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44728</v>
      </c>
    </row>
    <row r="164" spans="1:110" s="23" customFormat="1" outlineLevel="1" x14ac:dyDescent="0.2">
      <c r="A164" s="23" t="s">
        <v>72</v>
      </c>
      <c r="B164" s="23">
        <f>'Annual Raw'!C57</f>
        <v>0</v>
      </c>
      <c r="C164" s="23">
        <f>'Annual Raw'!D57</f>
        <v>0</v>
      </c>
      <c r="D164" s="23">
        <f>'Annual Raw'!E57</f>
        <v>0</v>
      </c>
      <c r="E164" s="23">
        <f>'Annual Raw'!F57</f>
        <v>17.579999999999998</v>
      </c>
      <c r="F164" s="23">
        <f>'Annual Raw'!G57</f>
        <v>548.35</v>
      </c>
      <c r="G164" s="23">
        <f>'Annual Raw'!H57</f>
        <v>571.63</v>
      </c>
      <c r="H164" s="23">
        <f>'Annual Raw'!I57</f>
        <v>1023.66</v>
      </c>
      <c r="I164" s="23">
        <f>'Annual Raw'!J57</f>
        <v>1286.6099999999999</v>
      </c>
      <c r="J164" s="23">
        <f>'Annual Raw'!K57</f>
        <v>1627.3</v>
      </c>
      <c r="K164" s="23">
        <f>'Annual Raw'!L57</f>
        <v>4300.07</v>
      </c>
      <c r="L164" s="23">
        <f>'Annual Raw'!M57</f>
        <v>2718.93</v>
      </c>
      <c r="M164" s="23">
        <f>'Annual Raw'!N57</f>
        <v>4727.1400000000003</v>
      </c>
      <c r="N164" s="23">
        <f>'Annual Raw'!O57</f>
        <v>4233.46</v>
      </c>
      <c r="O164" s="23">
        <f>'Annual Raw'!P57</f>
        <v>6385.96</v>
      </c>
      <c r="P164" s="23">
        <f>'Annual Raw'!Q57</f>
        <v>7655.16</v>
      </c>
      <c r="Q164" s="23">
        <f>'Annual Raw'!R57</f>
        <v>2555</v>
      </c>
      <c r="R164" s="23">
        <f>'Annual Raw'!S57</f>
        <v>3340</v>
      </c>
      <c r="S164" s="23">
        <f>'Annual Raw'!T57</f>
        <v>3679</v>
      </c>
      <c r="T164" s="23">
        <f>'Annual Raw'!U57</f>
        <v>5262</v>
      </c>
      <c r="U164" s="23">
        <f>'Annual Raw'!V57</f>
        <v>6754</v>
      </c>
      <c r="V164" s="23">
        <f>'Annual Raw'!W57</f>
        <v>11135</v>
      </c>
      <c r="W164" s="23">
        <f>'Annual Raw'!X57</f>
        <v>13142</v>
      </c>
      <c r="X164" s="23">
        <f>'Annual Raw'!Y57</f>
        <v>13755</v>
      </c>
      <c r="Y164" s="23">
        <f>'Annual Raw'!Z57</f>
        <v>16092</v>
      </c>
      <c r="Z164" s="23">
        <f>'Annual Raw'!AA57</f>
        <v>17780</v>
      </c>
      <c r="AA164" s="23">
        <f>'Annual Raw'!AB57</f>
        <v>21729</v>
      </c>
      <c r="AB164" s="24">
        <f t="shared" si="1239"/>
        <v>0</v>
      </c>
      <c r="AC164" s="24">
        <f t="shared" si="1240"/>
        <v>0</v>
      </c>
      <c r="AD164" s="24">
        <f t="shared" si="1241"/>
        <v>0</v>
      </c>
      <c r="AE164" s="24">
        <f t="shared" si="1242"/>
        <v>0</v>
      </c>
      <c r="AJ164" s="23">
        <f>+'QTR Raw'!D92</f>
        <v>2000.59</v>
      </c>
      <c r="AK164" s="23">
        <f t="shared" si="1243"/>
        <v>2000.59</v>
      </c>
      <c r="AL164" s="23">
        <f>+'QTR Raw'!F92</f>
        <v>4233.46</v>
      </c>
      <c r="AM164" s="23">
        <f t="shared" si="1243"/>
        <v>4233.46</v>
      </c>
      <c r="AN164" s="23">
        <f>+'QTR Raw'!H92</f>
        <v>2829.65</v>
      </c>
      <c r="AO164" s="23">
        <f t="shared" si="1243"/>
        <v>2829.65</v>
      </c>
      <c r="AP164" s="23">
        <f>+'QTR Raw'!J92</f>
        <v>6385.96</v>
      </c>
      <c r="AQ164" s="23">
        <f t="shared" si="1243"/>
        <v>6385.96</v>
      </c>
      <c r="AR164" s="23">
        <f>+'QTR Raw'!L92</f>
        <v>3364.92</v>
      </c>
      <c r="AS164" s="23">
        <f t="shared" si="1243"/>
        <v>3364.92</v>
      </c>
      <c r="AT164" s="23">
        <f>+'QTR Raw'!N92</f>
        <v>7655.16</v>
      </c>
      <c r="AU164" s="23">
        <f t="shared" si="1243"/>
        <v>7655.16</v>
      </c>
      <c r="AV164" s="23">
        <f>+'QTR Raw'!P92</f>
        <v>3866.48</v>
      </c>
      <c r="AW164" s="23">
        <f t="shared" si="1243"/>
        <v>3866.48</v>
      </c>
      <c r="AX164" s="23">
        <f>+'QTR Raw'!R92</f>
        <v>115</v>
      </c>
      <c r="AY164" s="23">
        <f t="shared" si="1243"/>
        <v>115</v>
      </c>
      <c r="AZ164" s="23">
        <f>+'QTR Raw'!T92</f>
        <v>136</v>
      </c>
      <c r="BA164" s="23">
        <f t="shared" si="1243"/>
        <v>136</v>
      </c>
      <c r="BB164" s="23">
        <f>+'QTR Raw'!V92</f>
        <v>66</v>
      </c>
      <c r="BC164" s="23">
        <f t="shared" si="1243"/>
        <v>66</v>
      </c>
      <c r="BD164" s="23">
        <f>+'QTR Raw'!X92</f>
        <v>220</v>
      </c>
      <c r="BE164" s="23">
        <f t="shared" si="1243"/>
        <v>220</v>
      </c>
      <c r="BF164" s="23">
        <f>+'QTR Raw'!Z92</f>
        <v>240</v>
      </c>
      <c r="BG164" s="23">
        <f t="shared" si="1243"/>
        <v>240</v>
      </c>
      <c r="BH164" s="23">
        <f>+'QTR Raw'!AB92</f>
        <v>260</v>
      </c>
      <c r="BI164" s="23">
        <f t="shared" si="1243"/>
        <v>260</v>
      </c>
      <c r="BJ164" s="23">
        <f>+'QTR Raw'!AD92</f>
        <v>239</v>
      </c>
      <c r="BK164" s="23">
        <f t="shared" si="1243"/>
        <v>239</v>
      </c>
      <c r="BL164" s="23">
        <f>+'QTR Raw'!AF92</f>
        <v>207</v>
      </c>
      <c r="BM164" s="23">
        <f t="shared" si="1243"/>
        <v>207</v>
      </c>
      <c r="BN164" s="23">
        <f>+'QTR Raw'!AH92</f>
        <v>293</v>
      </c>
      <c r="BO164" s="23">
        <f t="shared" si="1243"/>
        <v>293</v>
      </c>
      <c r="BP164" s="23">
        <f>+'QTR Raw'!AJ92</f>
        <v>1419</v>
      </c>
      <c r="BQ164" s="23">
        <f t="shared" si="1243"/>
        <v>1419</v>
      </c>
      <c r="BR164" s="23">
        <f>+'QTR Raw'!AL92</f>
        <v>1394</v>
      </c>
      <c r="BS164" s="23">
        <f t="shared" si="1243"/>
        <v>1394</v>
      </c>
      <c r="BT164" s="23">
        <f>+'QTR Raw'!AN92</f>
        <v>1388</v>
      </c>
      <c r="BU164" s="23">
        <f t="shared" si="1243"/>
        <v>1388</v>
      </c>
      <c r="BV164" s="23">
        <f>+'QTR Raw'!AP92</f>
        <v>1411</v>
      </c>
      <c r="BW164" s="23">
        <f t="shared" si="1243"/>
        <v>1411</v>
      </c>
      <c r="BX164" s="23">
        <f>+'QTR Raw'!AR92</f>
        <v>356</v>
      </c>
      <c r="BY164" s="23">
        <f t="shared" si="1243"/>
        <v>356</v>
      </c>
      <c r="BZ164" s="23">
        <f>+'QTR Raw'!AT92</f>
        <v>345</v>
      </c>
      <c r="CA164" s="23">
        <f t="shared" si="1243"/>
        <v>345</v>
      </c>
      <c r="CB164" s="23">
        <f>+'QTR Raw'!AV92</f>
        <v>344</v>
      </c>
      <c r="CC164" s="23">
        <f t="shared" si="1243"/>
        <v>344</v>
      </c>
      <c r="CD164" s="23">
        <f>+'QTR Raw'!AX92</f>
        <v>140</v>
      </c>
      <c r="CE164" s="23">
        <f t="shared" si="1243"/>
        <v>140</v>
      </c>
      <c r="CF164" s="23">
        <f>+'QTR Raw'!AZ92</f>
        <v>155</v>
      </c>
      <c r="CG164" s="23">
        <f t="shared" si="1247"/>
        <v>155</v>
      </c>
      <c r="CH164" s="23">
        <f t="shared" si="1198"/>
        <v>17780</v>
      </c>
      <c r="CJ164" s="23">
        <f>+'QTR Raw'!BD92</f>
        <v>203</v>
      </c>
      <c r="CL164" s="23">
        <f>+'QTR Raw'!BF92</f>
        <v>1378</v>
      </c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E164" s="123"/>
      <c r="DF164" s="23">
        <v>1378</v>
      </c>
    </row>
    <row r="165" spans="1:110" s="22" customFormat="1" x14ac:dyDescent="0.2">
      <c r="A165" s="22" t="s">
        <v>73</v>
      </c>
      <c r="B165" s="22">
        <f>SUM(B158:B164)</f>
        <v>0</v>
      </c>
      <c r="C165" s="22">
        <f t="shared" ref="C165:V165" si="1248">SUM(C158:C164)</f>
        <v>0</v>
      </c>
      <c r="D165" s="22">
        <f t="shared" si="1248"/>
        <v>0</v>
      </c>
      <c r="E165" s="22">
        <f t="shared" si="1248"/>
        <v>421.02</v>
      </c>
      <c r="F165" s="22">
        <f t="shared" si="1248"/>
        <v>1453.54</v>
      </c>
      <c r="G165" s="22">
        <f t="shared" si="1248"/>
        <v>2298.1</v>
      </c>
      <c r="H165" s="22">
        <f t="shared" si="1248"/>
        <v>3495.45</v>
      </c>
      <c r="I165" s="22">
        <f t="shared" si="1248"/>
        <v>4477.18</v>
      </c>
      <c r="J165" s="22">
        <f t="shared" si="1248"/>
        <v>5967.7400000000007</v>
      </c>
      <c r="K165" s="22">
        <f t="shared" si="1248"/>
        <v>8393.86</v>
      </c>
      <c r="L165" s="22">
        <f t="shared" si="1248"/>
        <v>7533.77</v>
      </c>
      <c r="M165" s="22">
        <f t="shared" si="1248"/>
        <v>10892.490000000002</v>
      </c>
      <c r="N165" s="22">
        <f t="shared" si="1248"/>
        <v>12359.08</v>
      </c>
      <c r="O165" s="22">
        <f t="shared" si="1248"/>
        <v>16629.36</v>
      </c>
      <c r="P165" s="22">
        <f t="shared" si="1248"/>
        <v>21197.7</v>
      </c>
      <c r="Q165" s="22">
        <f t="shared" si="1248"/>
        <v>16619</v>
      </c>
      <c r="R165" s="22">
        <f t="shared" si="1248"/>
        <v>15464</v>
      </c>
      <c r="S165" s="22">
        <f t="shared" si="1248"/>
        <v>19349</v>
      </c>
      <c r="T165" s="22">
        <f t="shared" si="1248"/>
        <v>23984</v>
      </c>
      <c r="U165" s="22">
        <f t="shared" si="1248"/>
        <v>35371</v>
      </c>
      <c r="V165" s="22">
        <f t="shared" si="1248"/>
        <v>42884</v>
      </c>
      <c r="W165" s="22">
        <f t="shared" ref="W165" si="1249">SUM(W158:W164)</f>
        <v>51078</v>
      </c>
      <c r="X165" s="22">
        <f t="shared" ref="X165:Y165" si="1250">SUM(X158:X164)</f>
        <v>51653</v>
      </c>
      <c r="Y165" s="22">
        <f t="shared" si="1250"/>
        <v>54153</v>
      </c>
      <c r="Z165" s="22">
        <f t="shared" ref="Z165:AA165" si="1251">SUM(Z158:Z164)</f>
        <v>62878</v>
      </c>
      <c r="AA165" s="22">
        <f t="shared" si="1251"/>
        <v>72689</v>
      </c>
      <c r="AB165" s="21">
        <f t="shared" ref="AA165:AD165" si="1252">SUM(AB158:AB164)</f>
        <v>74984.015845951522</v>
      </c>
      <c r="AC165" s="21">
        <f t="shared" si="1252"/>
        <v>78853.771763984885</v>
      </c>
      <c r="AD165" s="21">
        <f t="shared" si="1252"/>
        <v>82923.237056025595</v>
      </c>
      <c r="AE165" s="21">
        <f t="shared" ref="AE165" si="1253">SUM(AE158:AE164)</f>
        <v>87202.718272386206</v>
      </c>
      <c r="AJ165" s="22">
        <f t="shared" ref="AJ165" si="1254">SUM(AJ158:AJ164)</f>
        <v>9072.66</v>
      </c>
      <c r="AK165" s="22">
        <f t="shared" ref="AK165" si="1255">SUM(AK158:AK164)</f>
        <v>9072.66</v>
      </c>
      <c r="AL165" s="22">
        <f t="shared" ref="AL165:AM165" si="1256">SUM(AL158:AL164)</f>
        <v>12380.349999999999</v>
      </c>
      <c r="AM165" s="22">
        <f t="shared" si="1256"/>
        <v>12757.831356139865</v>
      </c>
      <c r="AN165" s="22">
        <f t="shared" ref="AN165:AO165" si="1257">SUM(AN158:AN164)</f>
        <v>12622.640000000001</v>
      </c>
      <c r="AO165" s="22">
        <f t="shared" si="1257"/>
        <v>12697.905019001546</v>
      </c>
      <c r="AP165" s="22">
        <f t="shared" ref="AP165:CE165" si="1258">SUM(AP158:AP164)</f>
        <v>16671.88</v>
      </c>
      <c r="AQ165" s="22">
        <f t="shared" si="1258"/>
        <v>16815.716763653254</v>
      </c>
      <c r="AR165" s="22">
        <f t="shared" si="1258"/>
        <v>14917.88</v>
      </c>
      <c r="AS165" s="22">
        <f t="shared" si="1258"/>
        <v>15102.590737741262</v>
      </c>
      <c r="AT165" s="22">
        <f t="shared" si="1258"/>
        <v>21255.57</v>
      </c>
      <c r="AU165" s="22">
        <f t="shared" si="1258"/>
        <v>21783.622551437336</v>
      </c>
      <c r="AV165" s="22">
        <f t="shared" si="1258"/>
        <v>15676.21</v>
      </c>
      <c r="AW165" s="22">
        <f t="shared" si="1258"/>
        <v>15723.150777839131</v>
      </c>
      <c r="AX165" s="22">
        <f t="shared" si="1258"/>
        <v>16668</v>
      </c>
      <c r="AY165" s="22">
        <f t="shared" si="1258"/>
        <v>16894.900629196105</v>
      </c>
      <c r="AZ165" s="22">
        <f t="shared" si="1258"/>
        <v>15455</v>
      </c>
      <c r="BA165" s="22">
        <f t="shared" si="1258"/>
        <v>15553.273152574786</v>
      </c>
      <c r="BB165" s="22">
        <f t="shared" si="1258"/>
        <v>15482</v>
      </c>
      <c r="BC165" s="22">
        <f t="shared" si="1258"/>
        <v>15472.402469468998</v>
      </c>
      <c r="BD165" s="22">
        <f t="shared" si="1258"/>
        <v>17498</v>
      </c>
      <c r="BE165" s="22">
        <f t="shared" si="1258"/>
        <v>17562.432173144298</v>
      </c>
      <c r="BF165" s="22">
        <f t="shared" si="1258"/>
        <v>19361</v>
      </c>
      <c r="BG165" s="22">
        <f t="shared" si="1258"/>
        <v>19708.170194855807</v>
      </c>
      <c r="BH165" s="22">
        <f t="shared" ref="BH165" si="1259">SUM(BH158:BH164)</f>
        <v>24074</v>
      </c>
      <c r="BI165" s="22">
        <f t="shared" si="1258"/>
        <v>24156.106908341022</v>
      </c>
      <c r="BJ165" s="22">
        <f t="shared" si="1258"/>
        <v>24002</v>
      </c>
      <c r="BK165" s="22">
        <f t="shared" si="1258"/>
        <v>24028.816732438834</v>
      </c>
      <c r="BL165" s="22">
        <f t="shared" si="1258"/>
        <v>30868</v>
      </c>
      <c r="BM165" s="22">
        <f t="shared" si="1258"/>
        <v>31019.518023449727</v>
      </c>
      <c r="BN165" s="22">
        <f t="shared" si="1258"/>
        <v>35371</v>
      </c>
      <c r="BO165" s="22">
        <f t="shared" si="1258"/>
        <v>35096.98608120963</v>
      </c>
      <c r="BP165" s="22">
        <f t="shared" si="1258"/>
        <v>36984</v>
      </c>
      <c r="BQ165" s="22">
        <f t="shared" si="1258"/>
        <v>37255.16780864582</v>
      </c>
      <c r="BR165" s="22">
        <f t="shared" si="1258"/>
        <v>42884</v>
      </c>
      <c r="BS165" s="22">
        <f t="shared" si="1258"/>
        <v>43190.810662395612</v>
      </c>
      <c r="BT165" s="22">
        <f t="shared" si="1258"/>
        <v>43872</v>
      </c>
      <c r="BU165" s="22">
        <f t="shared" si="1258"/>
        <v>44224.085390573324</v>
      </c>
      <c r="BV165" s="22">
        <f t="shared" si="1258"/>
        <v>51078</v>
      </c>
      <c r="BW165" s="22">
        <f t="shared" si="1258"/>
        <v>51422.597161550475</v>
      </c>
      <c r="BX165" s="22">
        <f t="shared" si="1258"/>
        <v>49358</v>
      </c>
      <c r="BY165" s="22">
        <f t="shared" si="1258"/>
        <v>49936.150391437201</v>
      </c>
      <c r="BZ165" s="22">
        <f t="shared" si="1258"/>
        <v>51653</v>
      </c>
      <c r="CA165" s="22">
        <f t="shared" si="1258"/>
        <v>51691.923379872213</v>
      </c>
      <c r="CB165" s="22">
        <f t="shared" si="1258"/>
        <v>52589</v>
      </c>
      <c r="CC165" s="22">
        <f t="shared" si="1258"/>
        <v>52746.207196944313</v>
      </c>
      <c r="CD165" s="22">
        <f t="shared" si="1258"/>
        <v>54153</v>
      </c>
      <c r="CE165" s="22">
        <f t="shared" si="1258"/>
        <v>54377.273821382492</v>
      </c>
      <c r="CF165" s="22">
        <f t="shared" ref="CF165:CG165" si="1260">SUM(CF158:CF164)</f>
        <v>57803</v>
      </c>
      <c r="CG165" s="22">
        <f t="shared" si="1260"/>
        <v>57745.46530447097</v>
      </c>
      <c r="CH165" s="22">
        <f t="shared" ref="CH165:CI165" si="1261">SUM(CH158:CH164)</f>
        <v>62878</v>
      </c>
      <c r="CI165" s="22">
        <f t="shared" si="1261"/>
        <v>61861.872640704736</v>
      </c>
      <c r="CJ165" s="22">
        <f t="shared" ref="CJ165:DB165" si="1262">SUM(CJ158:CJ164)</f>
        <v>66677</v>
      </c>
      <c r="CK165" s="22">
        <f t="shared" si="1262"/>
        <v>67982.186644173926</v>
      </c>
      <c r="CL165" s="22">
        <f t="shared" ref="CL165" si="1263">SUM(CL158:CL164)</f>
        <v>72689</v>
      </c>
      <c r="CM165" s="21">
        <f t="shared" si="1262"/>
        <v>72206.844107683282</v>
      </c>
      <c r="CN165" s="21">
        <f t="shared" si="1262"/>
        <v>73120.947095703494</v>
      </c>
      <c r="CO165" s="21">
        <f t="shared" si="1262"/>
        <v>74046.622176134493</v>
      </c>
      <c r="CP165" s="21">
        <f t="shared" si="1262"/>
        <v>74984.015845951522</v>
      </c>
      <c r="CQ165" s="21">
        <f t="shared" si="1262"/>
        <v>75933.276456709122</v>
      </c>
      <c r="CR165" s="21">
        <f t="shared" si="1262"/>
        <v>76894.554238019264</v>
      </c>
      <c r="CS165" s="21">
        <f t="shared" si="1262"/>
        <v>77868.001321326636</v>
      </c>
      <c r="CT165" s="21">
        <f t="shared" si="1262"/>
        <v>78853.771763984885</v>
      </c>
      <c r="CU165" s="21">
        <f t="shared" si="1262"/>
        <v>79852.021573637627</v>
      </c>
      <c r="CV165" s="21">
        <f t="shared" si="1262"/>
        <v>80862.908732908298</v>
      </c>
      <c r="CW165" s="21">
        <f t="shared" si="1262"/>
        <v>81886.593224402226</v>
      </c>
      <c r="CX165" s="21">
        <f t="shared" si="1262"/>
        <v>82923.237056025595</v>
      </c>
      <c r="CY165" s="21">
        <f t="shared" si="1262"/>
        <v>83973.004286624637</v>
      </c>
      <c r="CZ165" s="21">
        <f t="shared" si="1262"/>
        <v>85036.061051949582</v>
      </c>
      <c r="DA165" s="21">
        <f t="shared" si="1262"/>
        <v>86112.575590947192</v>
      </c>
      <c r="DB165" s="21">
        <f t="shared" si="1262"/>
        <v>87202.718272386206</v>
      </c>
      <c r="DE165" s="126"/>
      <c r="DF165" s="22">
        <v>69047.15136795734</v>
      </c>
    </row>
    <row r="166" spans="1:110" s="22" customFormat="1" x14ac:dyDescent="0.2">
      <c r="A166" s="22" t="s">
        <v>74</v>
      </c>
      <c r="B166" s="22">
        <f>B157-B165</f>
        <v>0</v>
      </c>
      <c r="C166" s="22">
        <f t="shared" ref="C166:V166" si="1264">C157-C165</f>
        <v>0</v>
      </c>
      <c r="D166" s="22">
        <f t="shared" si="1264"/>
        <v>0</v>
      </c>
      <c r="E166" s="22">
        <f t="shared" si="1264"/>
        <v>-68.419999999999959</v>
      </c>
      <c r="F166" s="22">
        <f t="shared" si="1264"/>
        <v>1522.4</v>
      </c>
      <c r="G166" s="22">
        <f t="shared" si="1264"/>
        <v>2444.2999999999997</v>
      </c>
      <c r="H166" s="22">
        <f t="shared" si="1264"/>
        <v>2934.6600000000008</v>
      </c>
      <c r="I166" s="22">
        <f t="shared" si="1264"/>
        <v>4329.92</v>
      </c>
      <c r="J166" s="22">
        <f t="shared" si="1264"/>
        <v>4845.9799999999987</v>
      </c>
      <c r="K166" s="22">
        <f t="shared" si="1264"/>
        <v>2676.4300000000003</v>
      </c>
      <c r="L166" s="22">
        <f t="shared" si="1264"/>
        <v>9850.59</v>
      </c>
      <c r="M166" s="22">
        <f t="shared" si="1264"/>
        <v>12910.119999999995</v>
      </c>
      <c r="N166" s="22">
        <f t="shared" si="1264"/>
        <v>19108.699999999997</v>
      </c>
      <c r="O166" s="22">
        <f t="shared" si="1264"/>
        <v>19491.5</v>
      </c>
      <c r="P166" s="22">
        <f t="shared" si="1264"/>
        <v>17246.88</v>
      </c>
      <c r="Q166" s="22">
        <f t="shared" si="1264"/>
        <v>26515</v>
      </c>
      <c r="R166" s="22">
        <f t="shared" si="1264"/>
        <v>25589</v>
      </c>
      <c r="S166" s="22">
        <f t="shared" si="1264"/>
        <v>27078</v>
      </c>
      <c r="T166" s="22">
        <f t="shared" si="1264"/>
        <v>32872</v>
      </c>
      <c r="U166" s="22">
        <f t="shared" si="1264"/>
        <v>24844</v>
      </c>
      <c r="V166" s="22">
        <f t="shared" si="1264"/>
        <v>23295</v>
      </c>
      <c r="W166" s="22">
        <f t="shared" ref="W166" si="1265">W157-W165</f>
        <v>15519</v>
      </c>
      <c r="X166" s="22">
        <f t="shared" ref="X166:Y166" si="1266">X157-X165</f>
        <v>18747</v>
      </c>
      <c r="Y166" s="22">
        <f t="shared" si="1266"/>
        <v>22677</v>
      </c>
      <c r="Z166" s="22">
        <f t="shared" ref="Z166:AA166" si="1267">Z157-Z165</f>
        <v>22147</v>
      </c>
      <c r="AA166" s="22">
        <f t="shared" si="1267"/>
        <v>24314</v>
      </c>
      <c r="AB166" s="21">
        <f t="shared" ref="AA166:AD166" si="1268">AB157-AB165</f>
        <v>36456.82433396767</v>
      </c>
      <c r="AC166" s="21">
        <f t="shared" si="1268"/>
        <v>38338.27880299621</v>
      </c>
      <c r="AD166" s="21">
        <f t="shared" si="1268"/>
        <v>40316.830893216335</v>
      </c>
      <c r="AE166" s="21">
        <f t="shared" ref="AE166" si="1269">AE157-AE165</f>
        <v>42397.491593836807</v>
      </c>
      <c r="AJ166" s="22">
        <f t="shared" ref="AJ166" si="1270">AJ157-AJ165</f>
        <v>16339.759999999998</v>
      </c>
      <c r="AK166" s="22">
        <f t="shared" ref="AK166" si="1271">AK157-AK165</f>
        <v>16643.579700558552</v>
      </c>
      <c r="AL166" s="22">
        <f t="shared" ref="AL166:AM166" si="1272">AL157-AL165</f>
        <v>19087.43</v>
      </c>
      <c r="AM166" s="22">
        <f t="shared" si="1272"/>
        <v>20235.692230365141</v>
      </c>
      <c r="AN166" s="22">
        <f t="shared" ref="AN166:AO166" si="1273">AN157-AN165</f>
        <v>23979.239999999998</v>
      </c>
      <c r="AO166" s="22">
        <f t="shared" si="1273"/>
        <v>24164.687350404529</v>
      </c>
      <c r="AP166" s="22">
        <f t="shared" ref="AP166:CE166" si="1274">AP157-AP165</f>
        <v>19457.45</v>
      </c>
      <c r="AQ166" s="22">
        <f t="shared" si="1274"/>
        <v>19891.74400034987</v>
      </c>
      <c r="AR166" s="22">
        <f t="shared" si="1274"/>
        <v>22741.590000000004</v>
      </c>
      <c r="AS166" s="22">
        <f t="shared" si="1274"/>
        <v>23260.685265639589</v>
      </c>
      <c r="AT166" s="22">
        <f t="shared" si="1274"/>
        <v>17189.009999999995</v>
      </c>
      <c r="AU166" s="22">
        <f t="shared" si="1274"/>
        <v>18112.864725166561</v>
      </c>
      <c r="AV166" s="22">
        <f t="shared" si="1274"/>
        <v>24845.46</v>
      </c>
      <c r="AW166" s="22">
        <f t="shared" si="1274"/>
        <v>24994.562901895821</v>
      </c>
      <c r="AX166" s="22">
        <f t="shared" si="1274"/>
        <v>26466</v>
      </c>
      <c r="AY166" s="22">
        <f t="shared" si="1274"/>
        <v>27084.02664417027</v>
      </c>
      <c r="AZ166" s="22">
        <f t="shared" si="1274"/>
        <v>29053</v>
      </c>
      <c r="BA166" s="22">
        <f t="shared" si="1274"/>
        <v>29413.519703592399</v>
      </c>
      <c r="BB166" s="22">
        <f t="shared" si="1274"/>
        <v>25571</v>
      </c>
      <c r="BC166" s="22">
        <f t="shared" si="1274"/>
        <v>25526.111733351328</v>
      </c>
      <c r="BD166" s="22">
        <f t="shared" si="1274"/>
        <v>25884</v>
      </c>
      <c r="BE166" s="22">
        <f t="shared" si="1274"/>
        <v>26195.570740971147</v>
      </c>
      <c r="BF166" s="22">
        <f t="shared" si="1274"/>
        <v>27066</v>
      </c>
      <c r="BG166" s="22">
        <f t="shared" si="1274"/>
        <v>28876.205643024161</v>
      </c>
      <c r="BH166" s="22">
        <f t="shared" ref="BH166" si="1275">BH157-BH165</f>
        <v>27390</v>
      </c>
      <c r="BI166" s="22">
        <f t="shared" si="1274"/>
        <v>27755.12096380311</v>
      </c>
      <c r="BJ166" s="22">
        <f t="shared" si="1274"/>
        <v>32854</v>
      </c>
      <c r="BK166" s="22">
        <f t="shared" si="1274"/>
        <v>32965.754853985789</v>
      </c>
      <c r="BL166" s="22">
        <f t="shared" si="1274"/>
        <v>33989</v>
      </c>
      <c r="BM166" s="22">
        <f t="shared" si="1274"/>
        <v>34604.612284167582</v>
      </c>
      <c r="BN166" s="22">
        <f t="shared" si="1274"/>
        <v>32838</v>
      </c>
      <c r="BO166" s="22">
        <f t="shared" si="1274"/>
        <v>31637.501927602265</v>
      </c>
      <c r="BP166" s="22">
        <f t="shared" si="1274"/>
        <v>32250</v>
      </c>
      <c r="BQ166" s="22">
        <f t="shared" si="1274"/>
        <v>33569.255512644821</v>
      </c>
      <c r="BR166" s="22">
        <f t="shared" si="1274"/>
        <v>30928</v>
      </c>
      <c r="BS166" s="22">
        <f t="shared" si="1274"/>
        <v>32052.582084429683</v>
      </c>
      <c r="BT166" s="22">
        <f t="shared" si="1274"/>
        <v>32037</v>
      </c>
      <c r="BU166" s="22">
        <f t="shared" si="1274"/>
        <v>33386.782661574238</v>
      </c>
      <c r="BV166" s="22">
        <f t="shared" si="1274"/>
        <v>23155</v>
      </c>
      <c r="BW166" s="22">
        <f t="shared" si="1274"/>
        <v>24602.136743689589</v>
      </c>
      <c r="BX166" s="22">
        <f t="shared" si="1274"/>
        <v>30884</v>
      </c>
      <c r="BY166" s="22">
        <f t="shared" si="1274"/>
        <v>32744.154405250505</v>
      </c>
      <c r="BZ166" s="22">
        <f t="shared" si="1274"/>
        <v>26307</v>
      </c>
      <c r="CA166" s="22">
        <f t="shared" si="1274"/>
        <v>26453.095010310659</v>
      </c>
      <c r="CB166" s="22">
        <f t="shared" si="1274"/>
        <v>28100</v>
      </c>
      <c r="CC166" s="22">
        <f t="shared" si="1274"/>
        <v>28706.782165114251</v>
      </c>
      <c r="CD166" s="22">
        <f t="shared" si="1274"/>
        <v>30563</v>
      </c>
      <c r="CE166" s="22">
        <f t="shared" si="1274"/>
        <v>31543.234564070735</v>
      </c>
      <c r="CF166" s="22">
        <f t="shared" ref="CF166:CG166" si="1276">CF157-CF165</f>
        <v>33867</v>
      </c>
      <c r="CG166" s="22">
        <f t="shared" si="1276"/>
        <v>33667.553510014157</v>
      </c>
      <c r="CH166" s="22">
        <f t="shared" ref="CH166:CI166" si="1277">CH157-CH165</f>
        <v>22147</v>
      </c>
      <c r="CI166" s="22">
        <f t="shared" si="1277"/>
        <v>21789.097830301325</v>
      </c>
      <c r="CJ166" s="22">
        <f t="shared" ref="CJ166:DB166" si="1278">CJ157-CJ165</f>
        <v>35532</v>
      </c>
      <c r="CK166" s="22">
        <f t="shared" si="1278"/>
        <v>36227.530570373405</v>
      </c>
      <c r="CL166" s="22">
        <f t="shared" ref="CL166" si="1279">CL157-CL165</f>
        <v>35341</v>
      </c>
      <c r="CM166" s="21">
        <f t="shared" si="1278"/>
        <v>35106.578404017637</v>
      </c>
      <c r="CN166" s="21">
        <f t="shared" si="1278"/>
        <v>35551.010349698816</v>
      </c>
      <c r="CO166" s="21">
        <f t="shared" si="1278"/>
        <v>36001.068584335604</v>
      </c>
      <c r="CP166" s="21">
        <f t="shared" si="1278"/>
        <v>36456.82433396767</v>
      </c>
      <c r="CQ166" s="21">
        <f t="shared" si="1278"/>
        <v>36918.349726321161</v>
      </c>
      <c r="CR166" s="21">
        <f t="shared" si="1278"/>
        <v>37385.717802223706</v>
      </c>
      <c r="CS166" s="21">
        <f t="shared" si="1278"/>
        <v>37859.002527163757</v>
      </c>
      <c r="CT166" s="21">
        <f t="shared" si="1278"/>
        <v>38338.27880299621</v>
      </c>
      <c r="CU166" s="21">
        <f t="shared" si="1278"/>
        <v>38823.622479796526</v>
      </c>
      <c r="CV166" s="21">
        <f t="shared" si="1278"/>
        <v>39315.110367864647</v>
      </c>
      <c r="CW166" s="21">
        <f t="shared" si="1278"/>
        <v>39812.820249881013</v>
      </c>
      <c r="CX166" s="21">
        <f t="shared" si="1278"/>
        <v>40316.830893216335</v>
      </c>
      <c r="CY166" s="21">
        <f t="shared" si="1278"/>
        <v>40827.22206239737</v>
      </c>
      <c r="CZ166" s="21">
        <f t="shared" si="1278"/>
        <v>41344.074531730424</v>
      </c>
      <c r="DA166" s="21">
        <f t="shared" si="1278"/>
        <v>41867.470098084523</v>
      </c>
      <c r="DB166" s="21">
        <f t="shared" si="1278"/>
        <v>42397.491593836807</v>
      </c>
      <c r="DE166" s="126"/>
      <c r="DF166" s="22">
        <v>36795.047503730821</v>
      </c>
    </row>
    <row r="167" spans="1:110" s="23" customFormat="1" x14ac:dyDescent="0.2">
      <c r="AB167" s="24"/>
      <c r="AC167" s="24"/>
      <c r="AD167" s="24"/>
      <c r="AE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3" customFormat="1" outlineLevel="1" x14ac:dyDescent="0.2">
      <c r="A168" s="23" t="s">
        <v>75</v>
      </c>
      <c r="B168" s="23">
        <f>'Annual Raw'!C75</f>
        <v>0</v>
      </c>
      <c r="C168" s="23">
        <f>'Annual Raw'!D75</f>
        <v>0</v>
      </c>
      <c r="D168" s="23">
        <f>'Annual Raw'!E75</f>
        <v>0</v>
      </c>
      <c r="E168" s="23">
        <f>'Annual Raw'!F75</f>
        <v>24.25</v>
      </c>
      <c r="F168" s="23">
        <f>'Annual Raw'!G75</f>
        <v>412.92</v>
      </c>
      <c r="G168" s="23">
        <f>'Annual Raw'!H75</f>
        <v>676.46</v>
      </c>
      <c r="H168" s="23">
        <f>'Annual Raw'!I75</f>
        <v>1238.31</v>
      </c>
      <c r="I168" s="23">
        <f>'Annual Raw'!J75</f>
        <v>2591.27</v>
      </c>
      <c r="J168" s="23">
        <f>'Annual Raw'!K75</f>
        <v>1584.43</v>
      </c>
      <c r="K168" s="23">
        <f>'Annual Raw'!L75</f>
        <v>2459.44</v>
      </c>
      <c r="L168" s="23">
        <f>'Annual Raw'!M75</f>
        <v>683.99</v>
      </c>
      <c r="M168" s="23">
        <f>'Annual Raw'!N75</f>
        <v>775.77</v>
      </c>
      <c r="N168" s="23">
        <f>'Annual Raw'!O75</f>
        <v>929.04</v>
      </c>
      <c r="O168" s="23">
        <f>'Annual Raw'!P75</f>
        <v>1158.47</v>
      </c>
      <c r="P168" s="23">
        <f>'Annual Raw'!Q75</f>
        <v>1492.6</v>
      </c>
      <c r="Q168" s="23">
        <f>'Annual Raw'!R75</f>
        <v>22479</v>
      </c>
      <c r="R168" s="23">
        <f>'Annual Raw'!S75</f>
        <v>41636</v>
      </c>
      <c r="S168" s="23">
        <f>'Annual Raw'!T75</f>
        <v>35707</v>
      </c>
      <c r="T168" s="23">
        <f>'Annual Raw'!U75</f>
        <v>29091</v>
      </c>
      <c r="U168" s="23">
        <f>'Annual Raw'!V75</f>
        <v>26140</v>
      </c>
      <c r="V168" s="23">
        <f>'Annual Raw'!W75</f>
        <v>29160</v>
      </c>
      <c r="W168" s="23">
        <f>'Annual Raw'!X75</f>
        <v>30262</v>
      </c>
      <c r="X168" s="23">
        <f>'Annual Raw'!Y75</f>
        <v>36897</v>
      </c>
      <c r="Y168" s="23">
        <f>'Annual Raw'!Z75</f>
        <v>31481</v>
      </c>
      <c r="Z168" s="23">
        <f>'Annual Raw'!AA75</f>
        <v>30689</v>
      </c>
      <c r="AA168" s="23">
        <f>'Annual Raw'!AB75</f>
        <v>33770</v>
      </c>
      <c r="AB168" s="24">
        <f t="shared" ref="AB168:AB169" si="1280">+CP168</f>
        <v>0</v>
      </c>
      <c r="AC168" s="24">
        <f t="shared" ref="AC168:AC169" si="1281">+CT168</f>
        <v>0</v>
      </c>
      <c r="AD168" s="24">
        <f t="shared" ref="AD168:AD169" si="1282">+CX168</f>
        <v>0</v>
      </c>
      <c r="AE168" s="24">
        <f t="shared" ref="AE168:AE169" si="1283">+DB168</f>
        <v>0</v>
      </c>
      <c r="AJ168" s="23">
        <f>+'QTR Raw'!D80</f>
        <v>884.33</v>
      </c>
      <c r="AL168" s="23">
        <f>+'QTR Raw'!F80</f>
        <v>929.04</v>
      </c>
      <c r="AN168" s="23">
        <f>+'QTR Raw'!H80</f>
        <v>979.27</v>
      </c>
      <c r="AP168" s="23">
        <f>+'QTR Raw'!J80</f>
        <v>1158.47</v>
      </c>
      <c r="AR168" s="23">
        <f>+'QTR Raw'!L80</f>
        <v>434.89</v>
      </c>
      <c r="AT168" s="23">
        <f>+'QTR Raw'!N80</f>
        <v>1492.6</v>
      </c>
      <c r="AV168" s="23">
        <f>+'QTR Raw'!P80</f>
        <v>3897.99</v>
      </c>
      <c r="AX168" s="23">
        <f>+'QTR Raw'!R80</f>
        <v>22479</v>
      </c>
      <c r="AZ168" s="23">
        <f>+'QTR Raw'!T80</f>
        <v>28966</v>
      </c>
      <c r="BB168" s="23">
        <f>+'QTR Raw'!V80</f>
        <v>41636</v>
      </c>
      <c r="BD168" s="23">
        <f>+'QTR Raw'!X80</f>
        <v>29237</v>
      </c>
      <c r="BF168" s="23">
        <f>+'QTR Raw'!Z80</f>
        <v>35707</v>
      </c>
      <c r="BH168" s="23">
        <f>+'QTR Raw'!AB80</f>
        <v>28263</v>
      </c>
      <c r="BJ168" s="23">
        <f>+'QTR Raw'!AD80</f>
        <v>29091</v>
      </c>
      <c r="BL168" s="23">
        <f>+'QTR Raw'!AF80</f>
        <v>30420</v>
      </c>
      <c r="BN168" s="23">
        <f>+'QTR Raw'!AH80</f>
        <v>26140</v>
      </c>
      <c r="BP168" s="23">
        <f>+'QTR Raw'!AJ80</f>
        <v>36402</v>
      </c>
      <c r="BR168" s="23">
        <f>+'QTR Raw'!AL80</f>
        <v>29160</v>
      </c>
      <c r="BT168" s="23">
        <f>+'QTR Raw'!AN80</f>
        <v>38683</v>
      </c>
      <c r="BV168" s="23">
        <f>+'QTR Raw'!AP80</f>
        <v>30262</v>
      </c>
      <c r="BX168" s="23">
        <f>+'QTR Raw'!AR80</f>
        <v>42861</v>
      </c>
      <c r="BZ168" s="23">
        <f>+'QTR Raw'!AT80</f>
        <v>36897</v>
      </c>
      <c r="CB168" s="23">
        <f>+'QTR Raw'!AV80</f>
        <v>43795</v>
      </c>
      <c r="CD168" s="23">
        <f>+'QTR Raw'!AX80</f>
        <v>31481</v>
      </c>
      <c r="CF168" s="23">
        <f>+'QTR Raw'!AZ80</f>
        <v>35792</v>
      </c>
      <c r="CH168" s="23">
        <f t="shared" ref="CH168:CH169" si="1284">Z168</f>
        <v>30689</v>
      </c>
      <c r="CJ168" s="23">
        <f>+'QTR Raw'!BD80</f>
        <v>38829</v>
      </c>
      <c r="CL168" s="23">
        <f>+'QTR Raw'!BF80</f>
        <v>33770</v>
      </c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  <c r="DF168" s="23">
        <v>33770</v>
      </c>
    </row>
    <row r="169" spans="1:110" s="23" customFormat="1" outlineLevel="1" x14ac:dyDescent="0.2">
      <c r="A169" s="23" t="s">
        <v>76</v>
      </c>
      <c r="B169" s="23">
        <f>'Annual Raw'!C78</f>
        <v>0</v>
      </c>
      <c r="C169" s="23">
        <f>'Annual Raw'!D78</f>
        <v>0</v>
      </c>
      <c r="D169" s="23">
        <f>'Annual Raw'!E78</f>
        <v>0</v>
      </c>
      <c r="E169" s="23">
        <f>'Annual Raw'!F78</f>
        <v>27.77</v>
      </c>
      <c r="F169" s="23">
        <f>'Annual Raw'!G78</f>
        <v>274.69</v>
      </c>
      <c r="G169" s="23">
        <f>'Annual Raw'!H78</f>
        <v>432.38</v>
      </c>
      <c r="H169" s="23">
        <f>'Annual Raw'!I78</f>
        <v>1396.45</v>
      </c>
      <c r="I169" s="23">
        <f>'Annual Raw'!J78</f>
        <v>1223.4000000000001</v>
      </c>
      <c r="J169" s="23">
        <f>'Annual Raw'!K78</f>
        <v>2698.14</v>
      </c>
      <c r="K169" s="23">
        <f>'Annual Raw'!L78</f>
        <v>4718.59</v>
      </c>
      <c r="L169" s="23">
        <f>'Annual Raw'!M78</f>
        <v>4700.8500000000004</v>
      </c>
      <c r="M169" s="23">
        <f>'Annual Raw'!N78</f>
        <v>5813.08</v>
      </c>
      <c r="N169" s="23">
        <f>'Annual Raw'!O78</f>
        <v>6769.16</v>
      </c>
      <c r="O169" s="23">
        <f>'Annual Raw'!P78</f>
        <v>14441.84</v>
      </c>
      <c r="P169" s="23">
        <f>'Annual Raw'!Q78</f>
        <v>18556.04</v>
      </c>
      <c r="Q169" s="23">
        <f>'Annual Raw'!R78</f>
        <v>6788</v>
      </c>
      <c r="R169" s="23">
        <f>'Annual Raw'!S78</f>
        <v>4149</v>
      </c>
      <c r="S169" s="23">
        <f>'Annual Raw'!T78</f>
        <v>7161</v>
      </c>
      <c r="T169" s="23">
        <f>'Annual Raw'!U78</f>
        <v>12848</v>
      </c>
      <c r="U169" s="23">
        <f>'Annual Raw'!V78</f>
        <v>9666</v>
      </c>
      <c r="V169" s="23">
        <f>'Annual Raw'!W78</f>
        <v>9329</v>
      </c>
      <c r="W169" s="23">
        <f>'Annual Raw'!X78</f>
        <v>18221</v>
      </c>
      <c r="X169" s="23">
        <f>'Annual Raw'!Y78</f>
        <v>11032</v>
      </c>
      <c r="Y169" s="23">
        <f>'Annual Raw'!Z78</f>
        <v>13286</v>
      </c>
      <c r="Z169" s="23">
        <f>'Annual Raw'!AA78</f>
        <v>15463</v>
      </c>
      <c r="AA169" s="23">
        <f>'Annual Raw'!AB78</f>
        <v>12908</v>
      </c>
      <c r="AB169" s="24">
        <f t="shared" si="1280"/>
        <v>104457.05225455794</v>
      </c>
      <c r="AC169" s="24">
        <f t="shared" si="1281"/>
        <v>165852.01584905566</v>
      </c>
      <c r="AD169" s="24">
        <f t="shared" si="1282"/>
        <v>231862.95485164126</v>
      </c>
      <c r="AE169" s="24">
        <f t="shared" si="1283"/>
        <v>302821.29159164039</v>
      </c>
      <c r="AJ169" s="23">
        <f>+'QTR Raw'!D83</f>
        <v>7037.52</v>
      </c>
      <c r="AK169" s="23">
        <f t="shared" ref="AK169:AM169" si="1285">+AK219</f>
        <v>11167.650299441448</v>
      </c>
      <c r="AL169" s="23">
        <f>+'QTR Raw'!F83</f>
        <v>6769.16</v>
      </c>
      <c r="AM169" s="23">
        <f t="shared" si="1285"/>
        <v>10389.43776963486</v>
      </c>
      <c r="AN169" s="23">
        <f>+'QTR Raw'!H83</f>
        <v>5352.85</v>
      </c>
      <c r="AO169" s="23">
        <f t="shared" ref="AO169" si="1286">+AO219</f>
        <v>11480.102649595465</v>
      </c>
      <c r="AP169" s="23">
        <f>+'QTR Raw'!J83</f>
        <v>14441.84</v>
      </c>
      <c r="AQ169" s="23">
        <f t="shared" ref="AQ169" si="1287">+AQ219</f>
        <v>20733.695999650128</v>
      </c>
      <c r="AR169" s="23">
        <f>+'QTR Raw'!L83</f>
        <v>12101.43</v>
      </c>
      <c r="AS169" s="23">
        <f t="shared" ref="AS169" si="1288">+AS219</f>
        <v>17344.774734360417</v>
      </c>
      <c r="AT169" s="23">
        <f>+'QTR Raw'!N83</f>
        <v>18556.04</v>
      </c>
      <c r="AU169" s="23">
        <f t="shared" ref="AU169" si="1289">+AU219</f>
        <v>24871.785274833434</v>
      </c>
      <c r="AV169" s="23">
        <f>+'QTR Raw'!P83</f>
        <v>17414.490000000002</v>
      </c>
      <c r="AW169" s="23">
        <f t="shared" ref="AW169" si="1290">+AW219</f>
        <v>27273.377098104174</v>
      </c>
      <c r="AX169" s="23">
        <f>+'QTR Raw'!R83</f>
        <v>6788</v>
      </c>
      <c r="AY169" s="23">
        <f t="shared" ref="AY169" si="1291">+AY219</f>
        <v>34965.97335582973</v>
      </c>
      <c r="AZ169" s="23">
        <f>+'QTR Raw'!T83</f>
        <v>3421</v>
      </c>
      <c r="BA169" s="23">
        <f t="shared" ref="BA169" si="1292">+BA219</f>
        <v>38804.480296407601</v>
      </c>
      <c r="BB169" s="23">
        <f>+'QTR Raw'!V83</f>
        <v>4149</v>
      </c>
      <c r="BC169" s="23">
        <f t="shared" ref="BC169" si="1293">+BC219</f>
        <v>51774.888266648675</v>
      </c>
      <c r="BD169" s="23">
        <f>+'QTR Raw'!X83</f>
        <v>4385</v>
      </c>
      <c r="BE169" s="23">
        <f t="shared" ref="BE169" si="1294">+BE219</f>
        <v>39841.429259028853</v>
      </c>
      <c r="BF169" s="23">
        <f>+'QTR Raw'!Z83</f>
        <v>7161</v>
      </c>
      <c r="BG169" s="23">
        <f t="shared" ref="BG169" si="1295">+BG219</f>
        <v>48397.794356975835</v>
      </c>
      <c r="BH169" s="23">
        <f>+'QTR Raw'!AB83</f>
        <v>5862</v>
      </c>
      <c r="BI169" s="23">
        <f t="shared" ref="BI169" si="1296">+BI219</f>
        <v>41864.879036196886</v>
      </c>
      <c r="BJ169" s="23">
        <f>+'QTR Raw'!AD83</f>
        <v>12848</v>
      </c>
      <c r="BK169" s="23">
        <f t="shared" ref="BK169" si="1297">+BK219</f>
        <v>49958.245146014211</v>
      </c>
      <c r="BL169" s="23">
        <f>+'QTR Raw'!AF83</f>
        <v>16228</v>
      </c>
      <c r="BM169" s="23">
        <f t="shared" ref="BM169" si="1298">+BM219</f>
        <v>54150.387715832418</v>
      </c>
      <c r="BN169" s="23">
        <f>+'QTR Raw'!AH83</f>
        <v>9666</v>
      </c>
      <c r="BO169" s="23">
        <f t="shared" ref="BO169" si="1299">+BO219</f>
        <v>44014.498072397735</v>
      </c>
      <c r="BP169" s="23">
        <f>+'QTR Raw'!AJ83</f>
        <v>10578</v>
      </c>
      <c r="BQ169" s="23">
        <f t="shared" ref="BQ169" si="1300">+BQ219</f>
        <v>54361.744487355179</v>
      </c>
      <c r="BR169" s="23">
        <f>+'QTR Raw'!AL83</f>
        <v>9329</v>
      </c>
      <c r="BS169" s="23">
        <f t="shared" ref="BS169" si="1301">+BS219</f>
        <v>46372.417915570317</v>
      </c>
      <c r="BT169" s="23">
        <f>+'QTR Raw'!AN83</f>
        <v>10363</v>
      </c>
      <c r="BU169" s="23">
        <f t="shared" ref="BU169" si="1302">+BU219</f>
        <v>57465.217338425762</v>
      </c>
      <c r="BV169" s="23">
        <f>+'QTR Raw'!AP83</f>
        <v>18221</v>
      </c>
      <c r="BW169" s="23">
        <f t="shared" ref="BW169" si="1303">+BW219</f>
        <v>56513.863256310411</v>
      </c>
      <c r="BX169" s="23">
        <f>+'QTR Raw'!AR83</f>
        <v>7350</v>
      </c>
      <c r="BY169" s="23">
        <f t="shared" ref="BY169" si="1304">+BY219</f>
        <v>59196.845594749495</v>
      </c>
      <c r="BZ169" s="23">
        <f>+'QTR Raw'!AT83</f>
        <v>11032</v>
      </c>
      <c r="CA169" s="23">
        <f t="shared" ref="CA169" si="1305">+CA219</f>
        <v>58856.904989689341</v>
      </c>
      <c r="CB169" s="23">
        <f>+'QTR Raw'!AV83</f>
        <v>13373</v>
      </c>
      <c r="CC169" s="23">
        <f t="shared" ref="CC169" si="1306">+CC219</f>
        <v>67619.217834885756</v>
      </c>
      <c r="CD169" s="23">
        <f>+'QTR Raw'!AX83</f>
        <v>13286</v>
      </c>
      <c r="CE169" s="23">
        <f t="shared" ref="CE169" si="1307">+CE219</f>
        <v>55826.765435929265</v>
      </c>
      <c r="CF169" s="23">
        <f>+'QTR Raw'!AZ83</f>
        <v>16733</v>
      </c>
      <c r="CG169" s="23">
        <f t="shared" ref="CG169:CI169" si="1308">+CG219</f>
        <v>65104.446489985843</v>
      </c>
      <c r="CH169" s="23">
        <f t="shared" si="1284"/>
        <v>15463</v>
      </c>
      <c r="CI169" s="23">
        <f t="shared" si="1308"/>
        <v>60630.902169698675</v>
      </c>
      <c r="CJ169" s="23">
        <f>+'QTR Raw'!BD83</f>
        <v>14453</v>
      </c>
      <c r="CK169" s="23">
        <f t="shared" ref="CK169" si="1309">+CK219</f>
        <v>64623.469429626595</v>
      </c>
      <c r="CL169" s="23">
        <f>+'QTR Raw'!BF83</f>
        <v>12908</v>
      </c>
      <c r="CM169" s="24">
        <f t="shared" ref="CM169:DB169" si="1310">+CM219</f>
        <v>61172.770586849176</v>
      </c>
      <c r="CN169" s="24">
        <f t="shared" si="1310"/>
        <v>75389.010442173749</v>
      </c>
      <c r="CO169" s="24">
        <f t="shared" si="1310"/>
        <v>89868.665495465233</v>
      </c>
      <c r="CP169" s="24">
        <f t="shared" si="1310"/>
        <v>104457.05225455794</v>
      </c>
      <c r="CQ169" s="24">
        <f t="shared" si="1310"/>
        <v>119388.0222468987</v>
      </c>
      <c r="CR169" s="24">
        <f t="shared" si="1310"/>
        <v>134611.56787184963</v>
      </c>
      <c r="CS169" s="24">
        <f t="shared" si="1310"/>
        <v>150099.81415114345</v>
      </c>
      <c r="CT169" s="24">
        <f t="shared" si="1310"/>
        <v>165852.01584905566</v>
      </c>
      <c r="CU169" s="24">
        <f t="shared" si="1310"/>
        <v>181910.31626795762</v>
      </c>
      <c r="CV169" s="24">
        <f t="shared" si="1310"/>
        <v>198263.62329256529</v>
      </c>
      <c r="CW169" s="24">
        <f t="shared" si="1310"/>
        <v>214911.95102733982</v>
      </c>
      <c r="CX169" s="24">
        <f t="shared" si="1310"/>
        <v>231862.95485164126</v>
      </c>
      <c r="CY169" s="24">
        <f t="shared" si="1310"/>
        <v>249126.66042213576</v>
      </c>
      <c r="CZ169" s="24">
        <f t="shared" si="1310"/>
        <v>266704.28838923405</v>
      </c>
      <c r="DA169" s="24">
        <f t="shared" si="1310"/>
        <v>284600.51109682157</v>
      </c>
      <c r="DB169" s="24">
        <f t="shared" si="1310"/>
        <v>302821.29159164039</v>
      </c>
      <c r="DE169" s="123"/>
      <c r="DF169" s="23">
        <v>75616.443666648673</v>
      </c>
    </row>
    <row r="170" spans="1:110" s="22" customFormat="1" x14ac:dyDescent="0.2">
      <c r="A170" s="22" t="s">
        <v>77</v>
      </c>
      <c r="B170" s="22">
        <f>B168+B169</f>
        <v>0</v>
      </c>
      <c r="C170" s="22">
        <f t="shared" ref="C170:V170" si="1311">C168+C169</f>
        <v>0</v>
      </c>
      <c r="D170" s="22">
        <f t="shared" si="1311"/>
        <v>0</v>
      </c>
      <c r="E170" s="22">
        <f t="shared" si="1311"/>
        <v>52.019999999999996</v>
      </c>
      <c r="F170" s="22">
        <f t="shared" si="1311"/>
        <v>687.61</v>
      </c>
      <c r="G170" s="22">
        <f t="shared" si="1311"/>
        <v>1108.8400000000001</v>
      </c>
      <c r="H170" s="22">
        <f t="shared" si="1311"/>
        <v>2634.76</v>
      </c>
      <c r="I170" s="22">
        <f t="shared" si="1311"/>
        <v>3814.67</v>
      </c>
      <c r="J170" s="22">
        <f t="shared" si="1311"/>
        <v>4282.57</v>
      </c>
      <c r="K170" s="22">
        <f t="shared" si="1311"/>
        <v>7178.0300000000007</v>
      </c>
      <c r="L170" s="22">
        <f t="shared" si="1311"/>
        <v>5384.84</v>
      </c>
      <c r="M170" s="22">
        <f t="shared" si="1311"/>
        <v>6588.85</v>
      </c>
      <c r="N170" s="22">
        <f t="shared" si="1311"/>
        <v>7698.2</v>
      </c>
      <c r="O170" s="22">
        <f t="shared" si="1311"/>
        <v>15600.31</v>
      </c>
      <c r="P170" s="22">
        <f t="shared" si="1311"/>
        <v>20048.64</v>
      </c>
      <c r="Q170" s="22">
        <f t="shared" si="1311"/>
        <v>29267</v>
      </c>
      <c r="R170" s="22">
        <f t="shared" si="1311"/>
        <v>45785</v>
      </c>
      <c r="S170" s="22">
        <f t="shared" si="1311"/>
        <v>42868</v>
      </c>
      <c r="T170" s="22">
        <f t="shared" si="1311"/>
        <v>41939</v>
      </c>
      <c r="U170" s="22">
        <f t="shared" si="1311"/>
        <v>35806</v>
      </c>
      <c r="V170" s="22">
        <f t="shared" si="1311"/>
        <v>38489</v>
      </c>
      <c r="W170" s="22">
        <f t="shared" ref="W170" si="1312">W168+W169</f>
        <v>48483</v>
      </c>
      <c r="X170" s="22">
        <f t="shared" ref="X170:Y170" si="1313">X168+X169</f>
        <v>47929</v>
      </c>
      <c r="Y170" s="22">
        <f t="shared" si="1313"/>
        <v>44767</v>
      </c>
      <c r="Z170" s="22">
        <f t="shared" ref="Z170:AA170" si="1314">Z168+Z169</f>
        <v>46152</v>
      </c>
      <c r="AA170" s="22">
        <f t="shared" si="1314"/>
        <v>46678</v>
      </c>
      <c r="AB170" s="21">
        <f t="shared" ref="AA170:AD170" si="1315">AB168+AB169</f>
        <v>104457.05225455794</v>
      </c>
      <c r="AC170" s="21">
        <f t="shared" si="1315"/>
        <v>165852.01584905566</v>
      </c>
      <c r="AD170" s="21">
        <f t="shared" si="1315"/>
        <v>231862.95485164126</v>
      </c>
      <c r="AE170" s="21">
        <f t="shared" ref="AE170" si="1316">AE168+AE169</f>
        <v>302821.29159164039</v>
      </c>
      <c r="AJ170" s="22">
        <f t="shared" ref="AJ170" si="1317">AJ168+AJ169</f>
        <v>7921.85</v>
      </c>
      <c r="AK170" s="22">
        <f t="shared" ref="AK170" si="1318">AK168+AK169</f>
        <v>11167.650299441448</v>
      </c>
      <c r="AL170" s="22">
        <f t="shared" ref="AL170:AM170" si="1319">AL168+AL169</f>
        <v>7698.2</v>
      </c>
      <c r="AM170" s="22">
        <f t="shared" si="1319"/>
        <v>10389.43776963486</v>
      </c>
      <c r="AN170" s="22">
        <f t="shared" ref="AN170:AO170" si="1320">AN168+AN169</f>
        <v>6332.1200000000008</v>
      </c>
      <c r="AO170" s="22">
        <f t="shared" si="1320"/>
        <v>11480.102649595465</v>
      </c>
      <c r="AP170" s="22">
        <f t="shared" ref="AP170:CE170" si="1321">AP168+AP169</f>
        <v>15600.31</v>
      </c>
      <c r="AQ170" s="22">
        <f t="shared" si="1321"/>
        <v>20733.695999650128</v>
      </c>
      <c r="AR170" s="22">
        <f t="shared" si="1321"/>
        <v>12536.32</v>
      </c>
      <c r="AS170" s="22">
        <f t="shared" si="1321"/>
        <v>17344.774734360417</v>
      </c>
      <c r="AT170" s="22">
        <f t="shared" si="1321"/>
        <v>20048.64</v>
      </c>
      <c r="AU170" s="22">
        <f t="shared" si="1321"/>
        <v>24871.785274833434</v>
      </c>
      <c r="AV170" s="22">
        <f t="shared" si="1321"/>
        <v>21312.480000000003</v>
      </c>
      <c r="AW170" s="22">
        <f t="shared" si="1321"/>
        <v>27273.377098104174</v>
      </c>
      <c r="AX170" s="22">
        <f t="shared" si="1321"/>
        <v>29267</v>
      </c>
      <c r="AY170" s="22">
        <f t="shared" si="1321"/>
        <v>34965.97335582973</v>
      </c>
      <c r="AZ170" s="22">
        <f t="shared" si="1321"/>
        <v>32387</v>
      </c>
      <c r="BA170" s="22">
        <f t="shared" si="1321"/>
        <v>38804.480296407601</v>
      </c>
      <c r="BB170" s="22">
        <f t="shared" si="1321"/>
        <v>45785</v>
      </c>
      <c r="BC170" s="22">
        <f t="shared" si="1321"/>
        <v>51774.888266648675</v>
      </c>
      <c r="BD170" s="22">
        <f t="shared" si="1321"/>
        <v>33622</v>
      </c>
      <c r="BE170" s="22">
        <f t="shared" si="1321"/>
        <v>39841.429259028853</v>
      </c>
      <c r="BF170" s="22">
        <f t="shared" si="1321"/>
        <v>42868</v>
      </c>
      <c r="BG170" s="22">
        <f t="shared" si="1321"/>
        <v>48397.794356975835</v>
      </c>
      <c r="BH170" s="22">
        <f t="shared" si="1321"/>
        <v>34125</v>
      </c>
      <c r="BI170" s="22">
        <f t="shared" si="1321"/>
        <v>41864.879036196886</v>
      </c>
      <c r="BJ170" s="22">
        <f t="shared" si="1321"/>
        <v>41939</v>
      </c>
      <c r="BK170" s="22">
        <f t="shared" si="1321"/>
        <v>49958.245146014211</v>
      </c>
      <c r="BL170" s="22">
        <f t="shared" si="1321"/>
        <v>46648</v>
      </c>
      <c r="BM170" s="22">
        <f t="shared" si="1321"/>
        <v>54150.387715832418</v>
      </c>
      <c r="BN170" s="22">
        <f t="shared" si="1321"/>
        <v>35806</v>
      </c>
      <c r="BO170" s="22">
        <f t="shared" si="1321"/>
        <v>44014.498072397735</v>
      </c>
      <c r="BP170" s="22">
        <f t="shared" si="1321"/>
        <v>46980</v>
      </c>
      <c r="BQ170" s="22">
        <f t="shared" si="1321"/>
        <v>54361.744487355179</v>
      </c>
      <c r="BR170" s="22">
        <f t="shared" si="1321"/>
        <v>38489</v>
      </c>
      <c r="BS170" s="22">
        <f t="shared" si="1321"/>
        <v>46372.417915570317</v>
      </c>
      <c r="BT170" s="22">
        <f t="shared" si="1321"/>
        <v>49046</v>
      </c>
      <c r="BU170" s="22">
        <f t="shared" si="1321"/>
        <v>57465.217338425762</v>
      </c>
      <c r="BV170" s="22">
        <f t="shared" si="1321"/>
        <v>48483</v>
      </c>
      <c r="BW170" s="22">
        <f t="shared" si="1321"/>
        <v>56513.863256310411</v>
      </c>
      <c r="BX170" s="22">
        <f t="shared" si="1321"/>
        <v>50211</v>
      </c>
      <c r="BY170" s="22">
        <f t="shared" si="1321"/>
        <v>59196.845594749495</v>
      </c>
      <c r="BZ170" s="22">
        <f t="shared" si="1321"/>
        <v>47929</v>
      </c>
      <c r="CA170" s="22">
        <f t="shared" si="1321"/>
        <v>58856.904989689341</v>
      </c>
      <c r="CB170" s="22">
        <f t="shared" si="1321"/>
        <v>57168</v>
      </c>
      <c r="CC170" s="22">
        <f t="shared" si="1321"/>
        <v>67619.217834885756</v>
      </c>
      <c r="CD170" s="22">
        <f t="shared" si="1321"/>
        <v>44767</v>
      </c>
      <c r="CE170" s="22">
        <f t="shared" si="1321"/>
        <v>55826.765435929265</v>
      </c>
      <c r="CF170" s="22">
        <f t="shared" ref="CF170:CG170" si="1322">CF168+CF169</f>
        <v>52525</v>
      </c>
      <c r="CG170" s="22">
        <f t="shared" si="1322"/>
        <v>65104.446489985843</v>
      </c>
      <c r="CH170" s="22">
        <f t="shared" ref="CH170:CI170" si="1323">CH168+CH169</f>
        <v>46152</v>
      </c>
      <c r="CI170" s="22">
        <f t="shared" si="1323"/>
        <v>60630.902169698675</v>
      </c>
      <c r="CJ170" s="22">
        <f t="shared" ref="CJ170:DB170" si="1324">CJ168+CJ169</f>
        <v>53282</v>
      </c>
      <c r="CK170" s="22">
        <f t="shared" si="1324"/>
        <v>64623.469429626595</v>
      </c>
      <c r="CL170" s="22">
        <f t="shared" ref="CL170" si="1325">CL168+CL169</f>
        <v>46678</v>
      </c>
      <c r="CM170" s="21">
        <f t="shared" si="1324"/>
        <v>61172.770586849176</v>
      </c>
      <c r="CN170" s="21">
        <f t="shared" si="1324"/>
        <v>75389.010442173749</v>
      </c>
      <c r="CO170" s="21">
        <f t="shared" si="1324"/>
        <v>89868.665495465233</v>
      </c>
      <c r="CP170" s="21">
        <f t="shared" si="1324"/>
        <v>104457.05225455794</v>
      </c>
      <c r="CQ170" s="21">
        <f t="shared" si="1324"/>
        <v>119388.0222468987</v>
      </c>
      <c r="CR170" s="21">
        <f t="shared" si="1324"/>
        <v>134611.56787184963</v>
      </c>
      <c r="CS170" s="21">
        <f t="shared" si="1324"/>
        <v>150099.81415114345</v>
      </c>
      <c r="CT170" s="21">
        <f t="shared" si="1324"/>
        <v>165852.01584905566</v>
      </c>
      <c r="CU170" s="21">
        <f t="shared" si="1324"/>
        <v>181910.31626795762</v>
      </c>
      <c r="CV170" s="21">
        <f t="shared" si="1324"/>
        <v>198263.62329256529</v>
      </c>
      <c r="CW170" s="21">
        <f t="shared" si="1324"/>
        <v>214911.95102733982</v>
      </c>
      <c r="CX170" s="21">
        <f t="shared" si="1324"/>
        <v>231862.95485164126</v>
      </c>
      <c r="CY170" s="21">
        <f t="shared" si="1324"/>
        <v>249126.66042213576</v>
      </c>
      <c r="CZ170" s="21">
        <f t="shared" si="1324"/>
        <v>266704.28838923405</v>
      </c>
      <c r="DA170" s="21">
        <f t="shared" si="1324"/>
        <v>284600.51109682157</v>
      </c>
      <c r="DB170" s="21">
        <f t="shared" si="1324"/>
        <v>302821.29159164039</v>
      </c>
      <c r="DE170" s="126"/>
      <c r="DF170" s="22">
        <v>75616.443666648673</v>
      </c>
    </row>
    <row r="171" spans="1:110" s="23" customFormat="1" x14ac:dyDescent="0.2">
      <c r="AB171" s="24"/>
      <c r="AC171" s="24"/>
      <c r="AD171" s="24"/>
      <c r="AE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3"/>
    </row>
    <row r="172" spans="1:110" s="23" customFormat="1" x14ac:dyDescent="0.2">
      <c r="A172" s="23" t="s">
        <v>78</v>
      </c>
      <c r="B172" s="23">
        <f>-'Annual Raw'!C49</f>
        <v>0</v>
      </c>
      <c r="C172" s="23">
        <f>-'Annual Raw'!D49</f>
        <v>0</v>
      </c>
      <c r="D172" s="23">
        <f>-'Annual Raw'!E49</f>
        <v>0</v>
      </c>
      <c r="E172" s="23">
        <f>-'Annual Raw'!F49</f>
        <v>-7.78</v>
      </c>
      <c r="F172" s="23">
        <f>-'Annual Raw'!G49</f>
        <v>-66</v>
      </c>
      <c r="G172" s="23">
        <f>-'Annual Raw'!H49</f>
        <v>-33.07</v>
      </c>
      <c r="H172" s="23">
        <f>-'Annual Raw'!I49</f>
        <v>0.74</v>
      </c>
      <c r="I172" s="23">
        <f>-'Annual Raw'!J49</f>
        <v>-33.03</v>
      </c>
      <c r="J172" s="23">
        <f>-'Annual Raw'!K49</f>
        <v>-68.510000000000005</v>
      </c>
      <c r="K172" s="23">
        <f>-'Annual Raw'!L49</f>
        <v>99.18</v>
      </c>
      <c r="L172" s="23">
        <f>-'Annual Raw'!M49</f>
        <v>50.69</v>
      </c>
      <c r="M172" s="23">
        <f>-'Annual Raw'!N49</f>
        <v>82.59</v>
      </c>
      <c r="N172" s="23">
        <f>-'Annual Raw'!O49</f>
        <v>74.739999999999995</v>
      </c>
      <c r="O172" s="23">
        <f>-'Annual Raw'!P49</f>
        <v>111.26</v>
      </c>
      <c r="P172" s="23">
        <f>-'Annual Raw'!Q49</f>
        <v>250.98</v>
      </c>
      <c r="Q172" s="23">
        <f>-'Annual Raw'!R49</f>
        <v>2103</v>
      </c>
      <c r="R172" s="23">
        <f>-'Annual Raw'!S49</f>
        <v>1909</v>
      </c>
      <c r="S172" s="23">
        <f>-'Annual Raw'!T49</f>
        <v>2279</v>
      </c>
      <c r="T172" s="23">
        <f>-'Annual Raw'!U49</f>
        <v>1614</v>
      </c>
      <c r="U172" s="23">
        <f>-'Annual Raw'!V49</f>
        <v>2049</v>
      </c>
      <c r="V172" s="23">
        <f>-'Annual Raw'!W49</f>
        <v>3164</v>
      </c>
      <c r="W172" s="23">
        <f>-'Annual Raw'!X49</f>
        <v>3118</v>
      </c>
      <c r="X172" s="23">
        <f>-'Annual Raw'!Y49</f>
        <v>2515</v>
      </c>
      <c r="Y172" s="23">
        <f>-'Annual Raw'!Z49</f>
        <v>2426</v>
      </c>
      <c r="Z172" s="23">
        <f>-'Annual Raw'!AA49</f>
        <v>2598</v>
      </c>
      <c r="AA172" s="23">
        <f>-'Annual Raw'!AB49</f>
        <v>3260</v>
      </c>
      <c r="AB172" s="24">
        <f t="shared" ref="AB172:AB173" si="1326">+CP172</f>
        <v>3260</v>
      </c>
      <c r="AC172" s="24">
        <f t="shared" ref="AC172:AC173" si="1327">+CT172</f>
        <v>3260</v>
      </c>
      <c r="AD172" s="24">
        <f t="shared" ref="AD172:AD173" si="1328">+CX172</f>
        <v>3260</v>
      </c>
      <c r="AE172" s="24">
        <f t="shared" ref="AE172:AE173" si="1329">+DB172</f>
        <v>3260</v>
      </c>
      <c r="AJ172" s="23">
        <f>+'QTR Raw'!D96</f>
        <v>57.97</v>
      </c>
      <c r="AK172" s="23">
        <f t="shared" ref="AK172:CE172" si="1330">+AJ172</f>
        <v>57.97</v>
      </c>
      <c r="AL172" s="23">
        <f>+'QTR Raw'!F96</f>
        <v>74.739999999999995</v>
      </c>
      <c r="AM172" s="23">
        <f t="shared" si="1330"/>
        <v>74.739999999999995</v>
      </c>
      <c r="AN172" s="23">
        <f>+'QTR Raw'!H96</f>
        <v>153.38999999999999</v>
      </c>
      <c r="AO172" s="23">
        <f t="shared" si="1330"/>
        <v>153.38999999999999</v>
      </c>
      <c r="AP172" s="23">
        <f>+'QTR Raw'!J96</f>
        <v>111.26</v>
      </c>
      <c r="AQ172" s="23">
        <f t="shared" si="1330"/>
        <v>111.26</v>
      </c>
      <c r="AR172" s="23">
        <f>+'QTR Raw'!L96</f>
        <v>181.46</v>
      </c>
      <c r="AS172" s="23">
        <f t="shared" si="1330"/>
        <v>181.46</v>
      </c>
      <c r="AT172" s="23">
        <f>+'QTR Raw'!N96</f>
        <v>250.98</v>
      </c>
      <c r="AU172" s="23">
        <f t="shared" si="1330"/>
        <v>250.98</v>
      </c>
      <c r="AV172" s="23">
        <f>+'QTR Raw'!P96</f>
        <v>320.04000000000002</v>
      </c>
      <c r="AW172" s="23">
        <f t="shared" si="1330"/>
        <v>320.04000000000002</v>
      </c>
      <c r="AX172" s="23">
        <f>+'QTR Raw'!R96</f>
        <v>2103</v>
      </c>
      <c r="AY172" s="23">
        <f t="shared" si="1330"/>
        <v>2103</v>
      </c>
      <c r="AZ172" s="23">
        <f>+'QTR Raw'!T96</f>
        <v>1728</v>
      </c>
      <c r="BA172" s="23">
        <f t="shared" si="1330"/>
        <v>1728</v>
      </c>
      <c r="BB172" s="23">
        <f>+'QTR Raw'!V96</f>
        <v>1909</v>
      </c>
      <c r="BC172" s="23">
        <f t="shared" si="1330"/>
        <v>1909</v>
      </c>
      <c r="BD172" s="23">
        <f>+'QTR Raw'!X96</f>
        <v>2287</v>
      </c>
      <c r="BE172" s="23">
        <f t="shared" si="1330"/>
        <v>2287</v>
      </c>
      <c r="BF172" s="23">
        <f>+'QTR Raw'!Z96</f>
        <v>2279</v>
      </c>
      <c r="BG172" s="23">
        <f t="shared" si="1330"/>
        <v>2279</v>
      </c>
      <c r="BH172" s="23">
        <f>+'QTR Raw'!AB96</f>
        <v>1537</v>
      </c>
      <c r="BI172" s="23">
        <f t="shared" si="1330"/>
        <v>1537</v>
      </c>
      <c r="BJ172" s="23">
        <f>+'QTR Raw'!AD96</f>
        <v>1614</v>
      </c>
      <c r="BK172" s="23">
        <f t="shared" si="1330"/>
        <v>1614</v>
      </c>
      <c r="BL172" s="23">
        <f>+'QTR Raw'!AF96</f>
        <v>1392</v>
      </c>
      <c r="BM172" s="23">
        <f t="shared" si="1330"/>
        <v>1392</v>
      </c>
      <c r="BN172" s="23">
        <f>+'QTR Raw'!AH96</f>
        <v>2049</v>
      </c>
      <c r="BO172" s="23">
        <f t="shared" si="1330"/>
        <v>2049</v>
      </c>
      <c r="BP172" s="23">
        <f>+'QTR Raw'!AJ96</f>
        <v>2413</v>
      </c>
      <c r="BQ172" s="23">
        <f t="shared" si="1330"/>
        <v>2413</v>
      </c>
      <c r="BR172" s="23">
        <f>+'QTR Raw'!AL96</f>
        <v>3164</v>
      </c>
      <c r="BS172" s="23">
        <f t="shared" si="1330"/>
        <v>3164</v>
      </c>
      <c r="BT172" s="23">
        <f>+'QTR Raw'!AN96</f>
        <v>2224</v>
      </c>
      <c r="BU172" s="23">
        <f t="shared" si="1330"/>
        <v>2224</v>
      </c>
      <c r="BV172" s="23">
        <f>+'QTR Raw'!AP96</f>
        <v>3118</v>
      </c>
      <c r="BW172" s="23">
        <f t="shared" si="1330"/>
        <v>3118</v>
      </c>
      <c r="BX172" s="23">
        <f>+'QTR Raw'!AR96</f>
        <v>2254</v>
      </c>
      <c r="BY172" s="23">
        <f t="shared" si="1330"/>
        <v>2254</v>
      </c>
      <c r="BZ172" s="23">
        <f>+'QTR Raw'!AT96</f>
        <v>2515</v>
      </c>
      <c r="CA172" s="23">
        <f t="shared" si="1330"/>
        <v>2515</v>
      </c>
      <c r="CB172" s="23">
        <f>+'QTR Raw'!AV96</f>
        <v>2515</v>
      </c>
      <c r="CC172" s="23">
        <f t="shared" si="1330"/>
        <v>2515</v>
      </c>
      <c r="CD172" s="23">
        <f>+'QTR Raw'!AX96</f>
        <v>2426</v>
      </c>
      <c r="CE172" s="23">
        <f t="shared" si="1330"/>
        <v>2426</v>
      </c>
      <c r="CF172" s="23">
        <f>+'QTR Raw'!AZ96</f>
        <v>2450</v>
      </c>
      <c r="CG172" s="23">
        <f t="shared" ref="CG172:CK173" si="1331">+CF172</f>
        <v>2450</v>
      </c>
      <c r="CH172" s="23">
        <f t="shared" ref="CH172:CH173" si="1332">Z172</f>
        <v>2598</v>
      </c>
      <c r="CI172" s="23">
        <f t="shared" si="1331"/>
        <v>2598</v>
      </c>
      <c r="CJ172" s="23">
        <f>+'QTR Raw'!BD96</f>
        <v>2736</v>
      </c>
      <c r="CK172" s="23">
        <f t="shared" si="1331"/>
        <v>2736</v>
      </c>
      <c r="CL172" s="23">
        <f>+'QTR Raw'!BF96</f>
        <v>3260</v>
      </c>
      <c r="CM172" s="24">
        <f t="shared" ref="CM172:CM173" si="1333">+CL172</f>
        <v>3260</v>
      </c>
      <c r="CN172" s="24">
        <f t="shared" ref="CN172:CN173" si="1334">+CM172</f>
        <v>3260</v>
      </c>
      <c r="CO172" s="24">
        <f t="shared" ref="CO172:CO173" si="1335">+CN172</f>
        <v>3260</v>
      </c>
      <c r="CP172" s="24">
        <f t="shared" ref="CP172:CP173" si="1336">+CO172</f>
        <v>3260</v>
      </c>
      <c r="CQ172" s="24">
        <f t="shared" ref="CQ172:CQ173" si="1337">+CP172</f>
        <v>3260</v>
      </c>
      <c r="CR172" s="24">
        <f t="shared" ref="CR172:CR173" si="1338">+CQ172</f>
        <v>3260</v>
      </c>
      <c r="CS172" s="24">
        <f t="shared" ref="CS172:CS173" si="1339">+CR172</f>
        <v>3260</v>
      </c>
      <c r="CT172" s="24">
        <f t="shared" ref="CT172:CT173" si="1340">+CS172</f>
        <v>3260</v>
      </c>
      <c r="CU172" s="24">
        <f t="shared" ref="CU172:CU173" si="1341">+CT172</f>
        <v>3260</v>
      </c>
      <c r="CV172" s="24">
        <f t="shared" ref="CV172:CV173" si="1342">+CU172</f>
        <v>3260</v>
      </c>
      <c r="CW172" s="24">
        <f t="shared" ref="CW172:CW173" si="1343">+CV172</f>
        <v>3260</v>
      </c>
      <c r="CX172" s="24">
        <f t="shared" ref="CX172:CX173" si="1344">+CW172</f>
        <v>3260</v>
      </c>
      <c r="CY172" s="24">
        <f t="shared" ref="CY172:CY173" si="1345">+CX172</f>
        <v>3260</v>
      </c>
      <c r="CZ172" s="24">
        <f t="shared" ref="CZ172:CZ173" si="1346">+CY172</f>
        <v>3260</v>
      </c>
      <c r="DA172" s="24">
        <f t="shared" ref="DA172:DA173" si="1347">+CZ172</f>
        <v>3260</v>
      </c>
      <c r="DB172" s="24">
        <f t="shared" ref="DB172:DB173" si="1348">+DA172</f>
        <v>3260</v>
      </c>
      <c r="DE172" s="123"/>
      <c r="DF172" s="23">
        <v>2736</v>
      </c>
    </row>
    <row r="173" spans="1:110" s="23" customFormat="1" x14ac:dyDescent="0.2">
      <c r="A173" s="23" t="s">
        <v>79</v>
      </c>
      <c r="B173" s="23">
        <f>'Annual Raw'!C83</f>
        <v>0</v>
      </c>
      <c r="C173" s="23">
        <f>'Annual Raw'!D83</f>
        <v>0</v>
      </c>
      <c r="D173" s="23">
        <f>'Annual Raw'!E83</f>
        <v>0</v>
      </c>
      <c r="E173" s="23">
        <f>'Annual Raw'!F83</f>
        <v>0</v>
      </c>
      <c r="F173" s="23">
        <f>'Annual Raw'!G83</f>
        <v>0</v>
      </c>
      <c r="G173" s="23">
        <f>'Annual Raw'!H83</f>
        <v>0</v>
      </c>
      <c r="H173" s="23">
        <f>'Annual Raw'!I83</f>
        <v>0</v>
      </c>
      <c r="I173" s="23">
        <f>'Annual Raw'!J83</f>
        <v>0</v>
      </c>
      <c r="J173" s="23">
        <f>'Annual Raw'!K83</f>
        <v>0</v>
      </c>
      <c r="K173" s="23">
        <f>'Annual Raw'!L83</f>
        <v>0</v>
      </c>
      <c r="L173" s="23">
        <f>'Annual Raw'!M83</f>
        <v>0</v>
      </c>
      <c r="M173" s="23">
        <f>'Annual Raw'!N83</f>
        <v>0</v>
      </c>
      <c r="N173" s="23">
        <f>'Annual Raw'!O83</f>
        <v>0</v>
      </c>
      <c r="O173" s="23">
        <f>'Annual Raw'!P83</f>
        <v>8.4700000000000006</v>
      </c>
      <c r="P173" s="23">
        <f>'Annual Raw'!Q83</f>
        <v>0</v>
      </c>
      <c r="Q173" s="23">
        <f>'Annual Raw'!R83</f>
        <v>0</v>
      </c>
      <c r="R173" s="23">
        <f>'Annual Raw'!S83</f>
        <v>0</v>
      </c>
      <c r="S173" s="23">
        <f>'Annual Raw'!T83</f>
        <v>0</v>
      </c>
      <c r="T173" s="23">
        <f>'Annual Raw'!U83</f>
        <v>0</v>
      </c>
      <c r="U173" s="23">
        <f>'Annual Raw'!V83</f>
        <v>0</v>
      </c>
      <c r="V173" s="23">
        <f>'Annual Raw'!W83</f>
        <v>0</v>
      </c>
      <c r="W173" s="23">
        <f>'Annual Raw'!X83</f>
        <v>0</v>
      </c>
      <c r="X173" s="23">
        <f>'Annual Raw'!Y83</f>
        <v>0</v>
      </c>
      <c r="Y173" s="23">
        <f>'Annual Raw'!Z83</f>
        <v>0</v>
      </c>
      <c r="Z173" s="23">
        <f>'Annual Raw'!AA83</f>
        <v>0</v>
      </c>
      <c r="AA173" s="23">
        <f>'Annual Raw'!AB83</f>
        <v>0</v>
      </c>
      <c r="AB173" s="24">
        <f t="shared" si="1326"/>
        <v>0</v>
      </c>
      <c r="AC173" s="24">
        <f t="shared" si="1327"/>
        <v>0</v>
      </c>
      <c r="AD173" s="24">
        <f t="shared" si="1328"/>
        <v>0</v>
      </c>
      <c r="AE173" s="24">
        <f t="shared" si="1329"/>
        <v>0</v>
      </c>
      <c r="AJ173" s="23">
        <f>+'QTR Raw'!D95</f>
        <v>0</v>
      </c>
      <c r="AK173" s="23">
        <f t="shared" ref="AK173:CE173" si="1349">+AJ173</f>
        <v>0</v>
      </c>
      <c r="AL173" s="23">
        <f>+'QTR Raw'!F95</f>
        <v>0</v>
      </c>
      <c r="AM173" s="23">
        <f t="shared" si="1349"/>
        <v>0</v>
      </c>
      <c r="AN173" s="23">
        <f>+'QTR Raw'!H95</f>
        <v>0</v>
      </c>
      <c r="AO173" s="23">
        <f t="shared" si="1349"/>
        <v>0</v>
      </c>
      <c r="AP173" s="23">
        <f>+'QTR Raw'!J95</f>
        <v>0</v>
      </c>
      <c r="AQ173" s="23">
        <f t="shared" si="1349"/>
        <v>0</v>
      </c>
      <c r="AR173" s="23">
        <f>+'QTR Raw'!L95</f>
        <v>0</v>
      </c>
      <c r="AS173" s="23">
        <f t="shared" si="1349"/>
        <v>0</v>
      </c>
      <c r="AT173" s="23">
        <f>+'QTR Raw'!N95</f>
        <v>0</v>
      </c>
      <c r="AU173" s="23">
        <f t="shared" si="1349"/>
        <v>0</v>
      </c>
      <c r="AV173" s="23">
        <f>+'QTR Raw'!P95</f>
        <v>0</v>
      </c>
      <c r="AW173" s="23">
        <f t="shared" si="1349"/>
        <v>0</v>
      </c>
      <c r="AX173" s="23">
        <f>+'QTR Raw'!R95</f>
        <v>0</v>
      </c>
      <c r="AY173" s="23">
        <f t="shared" si="1349"/>
        <v>0</v>
      </c>
      <c r="AZ173" s="23">
        <f>+'QTR Raw'!T95</f>
        <v>0</v>
      </c>
      <c r="BA173" s="23">
        <f t="shared" si="1349"/>
        <v>0</v>
      </c>
      <c r="BB173" s="23">
        <f>+'QTR Raw'!V95</f>
        <v>0</v>
      </c>
      <c r="BC173" s="23">
        <f t="shared" si="1349"/>
        <v>0</v>
      </c>
      <c r="BD173" s="23">
        <f>+'QTR Raw'!X95</f>
        <v>0</v>
      </c>
      <c r="BE173" s="23">
        <f t="shared" si="1349"/>
        <v>0</v>
      </c>
      <c r="BF173" s="23">
        <f>+'QTR Raw'!Z95</f>
        <v>0</v>
      </c>
      <c r="BG173" s="23">
        <f t="shared" si="1349"/>
        <v>0</v>
      </c>
      <c r="BH173" s="23">
        <f>+'QTR Raw'!AB95</f>
        <v>0</v>
      </c>
      <c r="BI173" s="23">
        <f t="shared" si="1349"/>
        <v>0</v>
      </c>
      <c r="BJ173" s="23">
        <f>+'QTR Raw'!AD95</f>
        <v>0</v>
      </c>
      <c r="BK173" s="23">
        <f t="shared" si="1349"/>
        <v>0</v>
      </c>
      <c r="BL173" s="23">
        <f>+'QTR Raw'!AF95</f>
        <v>0</v>
      </c>
      <c r="BM173" s="23">
        <f t="shared" si="1349"/>
        <v>0</v>
      </c>
      <c r="BN173" s="23">
        <f>+'QTR Raw'!AH95</f>
        <v>0</v>
      </c>
      <c r="BO173" s="23">
        <f t="shared" si="1349"/>
        <v>0</v>
      </c>
      <c r="BP173" s="23">
        <f>+'QTR Raw'!AJ95</f>
        <v>0</v>
      </c>
      <c r="BQ173" s="23">
        <f t="shared" si="1349"/>
        <v>0</v>
      </c>
      <c r="BR173" s="23">
        <f>+'QTR Raw'!AL95</f>
        <v>0</v>
      </c>
      <c r="BS173" s="23">
        <f t="shared" si="1349"/>
        <v>0</v>
      </c>
      <c r="BT173" s="23">
        <f>+'QTR Raw'!AN95</f>
        <v>0</v>
      </c>
      <c r="BU173" s="23">
        <f t="shared" si="1349"/>
        <v>0</v>
      </c>
      <c r="BV173" s="23">
        <f>+'QTR Raw'!AP95</f>
        <v>0</v>
      </c>
      <c r="BW173" s="23">
        <f t="shared" si="1349"/>
        <v>0</v>
      </c>
      <c r="BX173" s="23">
        <f>+'QTR Raw'!AR95</f>
        <v>0</v>
      </c>
      <c r="BY173" s="23">
        <f t="shared" si="1349"/>
        <v>0</v>
      </c>
      <c r="BZ173" s="23">
        <f>+'QTR Raw'!AT95</f>
        <v>0</v>
      </c>
      <c r="CA173" s="23">
        <f t="shared" si="1349"/>
        <v>0</v>
      </c>
      <c r="CB173" s="23">
        <f>+'QTR Raw'!AV95</f>
        <v>0</v>
      </c>
      <c r="CC173" s="23">
        <f t="shared" si="1349"/>
        <v>0</v>
      </c>
      <c r="CD173" s="23">
        <f>+'QTR Raw'!AX95</f>
        <v>0</v>
      </c>
      <c r="CE173" s="23">
        <f t="shared" si="1349"/>
        <v>0</v>
      </c>
      <c r="CF173" s="23">
        <f>+'QTR Raw'!AZ95</f>
        <v>0</v>
      </c>
      <c r="CG173" s="23">
        <f t="shared" si="1331"/>
        <v>0</v>
      </c>
      <c r="CH173" s="23">
        <f t="shared" si="1332"/>
        <v>0</v>
      </c>
      <c r="CI173" s="23">
        <f t="shared" si="1331"/>
        <v>0</v>
      </c>
      <c r="CJ173" s="23">
        <f>+'QTR Raw'!BD95</f>
        <v>0</v>
      </c>
      <c r="CK173" s="23">
        <f t="shared" si="1331"/>
        <v>0</v>
      </c>
      <c r="CL173" s="23">
        <f>+'QTR Raw'!BF95</f>
        <v>0</v>
      </c>
      <c r="CM173" s="24">
        <f t="shared" si="1333"/>
        <v>0</v>
      </c>
      <c r="CN173" s="24">
        <f t="shared" si="1334"/>
        <v>0</v>
      </c>
      <c r="CO173" s="24">
        <f t="shared" si="1335"/>
        <v>0</v>
      </c>
      <c r="CP173" s="24">
        <f t="shared" si="1336"/>
        <v>0</v>
      </c>
      <c r="CQ173" s="24">
        <f t="shared" si="1337"/>
        <v>0</v>
      </c>
      <c r="CR173" s="24">
        <f t="shared" si="1338"/>
        <v>0</v>
      </c>
      <c r="CS173" s="24">
        <f t="shared" si="1339"/>
        <v>0</v>
      </c>
      <c r="CT173" s="24">
        <f t="shared" si="1340"/>
        <v>0</v>
      </c>
      <c r="CU173" s="24">
        <f t="shared" si="1341"/>
        <v>0</v>
      </c>
      <c r="CV173" s="24">
        <f t="shared" si="1342"/>
        <v>0</v>
      </c>
      <c r="CW173" s="24">
        <f t="shared" si="1343"/>
        <v>0</v>
      </c>
      <c r="CX173" s="24">
        <f t="shared" si="1344"/>
        <v>0</v>
      </c>
      <c r="CY173" s="24">
        <f t="shared" si="1345"/>
        <v>0</v>
      </c>
      <c r="CZ173" s="24">
        <f t="shared" si="1346"/>
        <v>0</v>
      </c>
      <c r="DA173" s="24">
        <f t="shared" si="1347"/>
        <v>0</v>
      </c>
      <c r="DB173" s="24">
        <f t="shared" si="1348"/>
        <v>0</v>
      </c>
      <c r="DE173" s="123"/>
      <c r="DF173" s="23">
        <v>0</v>
      </c>
    </row>
    <row r="174" spans="1:110" s="26" customFormat="1" x14ac:dyDescent="0.2">
      <c r="A174" s="26" t="s">
        <v>438</v>
      </c>
      <c r="B174" s="26">
        <f t="shared" ref="B174:W174" si="1350">B172+B170+B166+B149+B147+B173</f>
        <v>0</v>
      </c>
      <c r="C174" s="26">
        <f t="shared" si="1350"/>
        <v>0</v>
      </c>
      <c r="D174" s="26">
        <f t="shared" si="1350"/>
        <v>0</v>
      </c>
      <c r="E174" s="26">
        <f t="shared" si="1350"/>
        <v>568.33000000000004</v>
      </c>
      <c r="F174" s="26">
        <f t="shared" si="1350"/>
        <v>3770.29</v>
      </c>
      <c r="G174" s="26">
        <f t="shared" si="1350"/>
        <v>6280.2199999999993</v>
      </c>
      <c r="H174" s="26">
        <f t="shared" si="1350"/>
        <v>9568.6500000000015</v>
      </c>
      <c r="I174" s="26">
        <f t="shared" si="1350"/>
        <v>12967.869999999999</v>
      </c>
      <c r="J174" s="26">
        <f t="shared" si="1350"/>
        <v>16541.049999999996</v>
      </c>
      <c r="K174" s="26">
        <f t="shared" si="1350"/>
        <v>18931.68</v>
      </c>
      <c r="L174" s="26">
        <f t="shared" si="1350"/>
        <v>25037.78</v>
      </c>
      <c r="M174" s="26">
        <f t="shared" si="1350"/>
        <v>30264.550000000003</v>
      </c>
      <c r="N174" s="26">
        <f t="shared" si="1350"/>
        <v>39573.31</v>
      </c>
      <c r="O174" s="26">
        <f t="shared" si="1350"/>
        <v>50199.619999999995</v>
      </c>
      <c r="P174" s="26">
        <f t="shared" si="1350"/>
        <v>52120.22</v>
      </c>
      <c r="Q174" s="26">
        <f t="shared" si="1350"/>
        <v>71672</v>
      </c>
      <c r="R174" s="26">
        <f t="shared" si="1350"/>
        <v>86869</v>
      </c>
      <c r="S174" s="26">
        <f t="shared" si="1350"/>
        <v>85777</v>
      </c>
      <c r="T174" s="26">
        <f t="shared" si="1350"/>
        <v>89917</v>
      </c>
      <c r="U174" s="26">
        <f t="shared" si="1350"/>
        <v>84749</v>
      </c>
      <c r="V174" s="26">
        <f t="shared" si="1350"/>
        <v>87108</v>
      </c>
      <c r="W174" s="26">
        <f t="shared" si="1350"/>
        <v>89846</v>
      </c>
      <c r="X174" s="26">
        <f t="shared" ref="X174:Y174" si="1351">X172+X170+X166+X149+X147+X173</f>
        <v>91206</v>
      </c>
      <c r="Y174" s="26">
        <f t="shared" si="1351"/>
        <v>91319</v>
      </c>
      <c r="Z174" s="26">
        <f t="shared" ref="Z174:AA174" si="1352">Z172+Z170+Z166+Z149+Z147+Z173</f>
        <v>95771</v>
      </c>
      <c r="AA174" s="26">
        <f t="shared" si="1352"/>
        <v>108478</v>
      </c>
      <c r="AB174" s="27">
        <f t="shared" ref="AA174:AD174" si="1353">AB172+AB170+AB166+AB149+AB147+AB173</f>
        <v>165532.39923112048</v>
      </c>
      <c r="AC174" s="27">
        <f t="shared" si="1353"/>
        <v>227801.92130628327</v>
      </c>
      <c r="AD174" s="27">
        <f t="shared" si="1353"/>
        <v>295240.55556441873</v>
      </c>
      <c r="AE174" s="27">
        <f t="shared" ref="AE174" si="1354">AE172+AE170+AE166+AE149+AE147+AE173</f>
        <v>367978.18796256138</v>
      </c>
      <c r="AJ174" s="26">
        <f t="shared" ref="AJ174" si="1355">AJ172+AJ170+AJ166+AJ149+AJ147+AJ173</f>
        <v>36079.19</v>
      </c>
      <c r="AK174" s="26">
        <f t="shared" ref="AK174:AL174" si="1356">AK172+AK170+AK166+AK149+AK147+AK173</f>
        <v>39628.81</v>
      </c>
      <c r="AL174" s="26">
        <f t="shared" si="1356"/>
        <v>39552.039999999994</v>
      </c>
      <c r="AM174" s="26">
        <f t="shared" ref="AM174:AO174" si="1357">AM172+AM170+AM166+AM149+AM147+AM173</f>
        <v>43391.54</v>
      </c>
      <c r="AN174" s="26">
        <f t="shared" si="1357"/>
        <v>44906.7</v>
      </c>
      <c r="AO174" s="26">
        <f t="shared" si="1357"/>
        <v>50240.12999999999</v>
      </c>
      <c r="AP174" s="26">
        <f t="shared" ref="AP174:CE174" si="1358">AP172+AP170+AP166+AP149+AP147+AP173</f>
        <v>50157.100000000006</v>
      </c>
      <c r="AQ174" s="26">
        <f t="shared" si="1358"/>
        <v>55724.78</v>
      </c>
      <c r="AR174" s="26">
        <f t="shared" si="1358"/>
        <v>49739.69</v>
      </c>
      <c r="AS174" s="26">
        <f t="shared" si="1358"/>
        <v>55067.240000000005</v>
      </c>
      <c r="AT174" s="26">
        <f t="shared" si="1358"/>
        <v>52062.349999999991</v>
      </c>
      <c r="AU174" s="26">
        <f t="shared" si="1358"/>
        <v>57809.349999999991</v>
      </c>
      <c r="AV174" s="26">
        <f t="shared" si="1358"/>
        <v>60855.280000000006</v>
      </c>
      <c r="AW174" s="26">
        <f t="shared" si="1358"/>
        <v>66965.279999999999</v>
      </c>
      <c r="AX174" s="26">
        <f t="shared" si="1358"/>
        <v>71623</v>
      </c>
      <c r="AY174" s="26">
        <f t="shared" si="1358"/>
        <v>77940</v>
      </c>
      <c r="AZ174" s="26">
        <f t="shared" si="1358"/>
        <v>76804</v>
      </c>
      <c r="BA174" s="26">
        <f t="shared" si="1358"/>
        <v>83582</v>
      </c>
      <c r="BB174" s="26">
        <f t="shared" si="1358"/>
        <v>86851</v>
      </c>
      <c r="BC174" s="26">
        <f t="shared" si="1358"/>
        <v>92796</v>
      </c>
      <c r="BD174" s="26">
        <f t="shared" si="1358"/>
        <v>75471</v>
      </c>
      <c r="BE174" s="26">
        <f t="shared" si="1358"/>
        <v>82002</v>
      </c>
      <c r="BF174" s="26">
        <f t="shared" si="1358"/>
        <v>85765</v>
      </c>
      <c r="BG174" s="26">
        <f t="shared" si="1358"/>
        <v>93105</v>
      </c>
      <c r="BH174" s="26">
        <f t="shared" ref="BH174" si="1359">BH172+BH170+BH166+BH149+BH147+BH173</f>
        <v>76615</v>
      </c>
      <c r="BI174" s="26">
        <f t="shared" si="1358"/>
        <v>84720</v>
      </c>
      <c r="BJ174" s="26">
        <f t="shared" si="1358"/>
        <v>89899</v>
      </c>
      <c r="BK174" s="26">
        <f t="shared" si="1358"/>
        <v>98030</v>
      </c>
      <c r="BL174" s="26">
        <f t="shared" si="1358"/>
        <v>95559</v>
      </c>
      <c r="BM174" s="26">
        <f t="shared" si="1358"/>
        <v>103677</v>
      </c>
      <c r="BN174" s="26">
        <f t="shared" si="1358"/>
        <v>84749</v>
      </c>
      <c r="BO174" s="26">
        <f t="shared" si="1358"/>
        <v>91757</v>
      </c>
      <c r="BP174" s="26">
        <f t="shared" si="1358"/>
        <v>95775</v>
      </c>
      <c r="BQ174" s="26">
        <f t="shared" si="1358"/>
        <v>104476</v>
      </c>
      <c r="BR174" s="26">
        <f t="shared" si="1358"/>
        <v>87108</v>
      </c>
      <c r="BS174" s="26">
        <f t="shared" si="1358"/>
        <v>96116</v>
      </c>
      <c r="BT174" s="26">
        <f t="shared" si="1358"/>
        <v>97626</v>
      </c>
      <c r="BU174" s="26">
        <f t="shared" si="1358"/>
        <v>107395</v>
      </c>
      <c r="BV174" s="26">
        <f t="shared" si="1358"/>
        <v>89846</v>
      </c>
      <c r="BW174" s="26">
        <f t="shared" si="1358"/>
        <v>99324</v>
      </c>
      <c r="BX174" s="26">
        <f t="shared" si="1358"/>
        <v>98112</v>
      </c>
      <c r="BY174" s="26">
        <f t="shared" si="1358"/>
        <v>108958</v>
      </c>
      <c r="BZ174" s="26">
        <f t="shared" si="1358"/>
        <v>91206</v>
      </c>
      <c r="CA174" s="26">
        <f t="shared" si="1358"/>
        <v>102280</v>
      </c>
      <c r="CB174" s="26">
        <f t="shared" si="1358"/>
        <v>101412</v>
      </c>
      <c r="CC174" s="26">
        <f t="shared" si="1358"/>
        <v>112470</v>
      </c>
      <c r="CD174" s="26">
        <f t="shared" si="1358"/>
        <v>91319</v>
      </c>
      <c r="CE174" s="26">
        <f t="shared" si="1358"/>
        <v>103359</v>
      </c>
      <c r="CF174" s="26">
        <f t="shared" ref="CF174:CG174" si="1360">CF172+CF170+CF166+CF149+CF147+CF173</f>
        <v>102383</v>
      </c>
      <c r="CG174" s="26">
        <f t="shared" si="1360"/>
        <v>114763</v>
      </c>
      <c r="CH174" s="26">
        <f t="shared" ref="CH174:CI174" si="1361">CH172+CH170+CH166+CH149+CH147+CH173</f>
        <v>95771</v>
      </c>
      <c r="CI174" s="26">
        <f t="shared" si="1361"/>
        <v>108531</v>
      </c>
      <c r="CJ174" s="26">
        <f t="shared" ref="CJ174:DB174" si="1362">CJ172+CJ170+CJ166+CJ149+CJ147+CJ173</f>
        <v>107461</v>
      </c>
      <c r="CK174" s="26">
        <f t="shared" si="1362"/>
        <v>118118</v>
      </c>
      <c r="CL174" s="26">
        <f t="shared" ref="CL174" si="1363">CL172+CL170+CL166+CL149+CL147+CL173</f>
        <v>108478</v>
      </c>
      <c r="CM174" s="27">
        <f t="shared" si="1362"/>
        <v>122169.56372456517</v>
      </c>
      <c r="CN174" s="27">
        <f t="shared" si="1362"/>
        <v>136341.06320943555</v>
      </c>
      <c r="CO174" s="27">
        <f t="shared" si="1362"/>
        <v>150850.07369606034</v>
      </c>
      <c r="CP174" s="27">
        <f t="shared" si="1362"/>
        <v>165532.39923112048</v>
      </c>
      <c r="CQ174" s="27">
        <f t="shared" si="1362"/>
        <v>180613.72121258045</v>
      </c>
      <c r="CR174" s="27">
        <f t="shared" si="1362"/>
        <v>196037.01649327058</v>
      </c>
      <c r="CS174" s="27">
        <f t="shared" si="1362"/>
        <v>211768.38766357797</v>
      </c>
      <c r="CT174" s="27">
        <f t="shared" si="1362"/>
        <v>227801.92130628327</v>
      </c>
      <c r="CU174" s="27">
        <f t="shared" si="1362"/>
        <v>244175.32736556447</v>
      </c>
      <c r="CV174" s="27">
        <f t="shared" si="1362"/>
        <v>260873.71248265629</v>
      </c>
      <c r="CW174" s="27">
        <f t="shared" si="1362"/>
        <v>277893.83330262784</v>
      </c>
      <c r="CX174" s="27">
        <f t="shared" si="1362"/>
        <v>295240.55556441873</v>
      </c>
      <c r="CY174" s="27">
        <f t="shared" si="1362"/>
        <v>312921.51777285448</v>
      </c>
      <c r="CZ174" s="27">
        <f t="shared" si="1362"/>
        <v>330935.89973090059</v>
      </c>
      <c r="DA174" s="27">
        <f t="shared" si="1362"/>
        <v>349286.63092124142</v>
      </c>
      <c r="DB174" s="27">
        <f t="shared" si="1362"/>
        <v>367978.18796256138</v>
      </c>
      <c r="DE174" s="121"/>
      <c r="DF174" s="26">
        <v>130344.39051392436</v>
      </c>
    </row>
    <row r="175" spans="1:110" s="23" customFormat="1" x14ac:dyDescent="0.2">
      <c r="A175" s="28" t="s">
        <v>439</v>
      </c>
      <c r="B175" s="23">
        <f t="shared" ref="B175:W175" si="1364">B174-B138</f>
        <v>0</v>
      </c>
      <c r="C175" s="23">
        <f t="shared" si="1364"/>
        <v>0</v>
      </c>
      <c r="D175" s="23">
        <f t="shared" si="1364"/>
        <v>0</v>
      </c>
      <c r="E175" s="23">
        <f t="shared" si="1364"/>
        <v>0</v>
      </c>
      <c r="F175" s="23">
        <f t="shared" si="1364"/>
        <v>0</v>
      </c>
      <c r="G175" s="23">
        <f t="shared" si="1364"/>
        <v>0</v>
      </c>
      <c r="H175" s="23">
        <f t="shared" si="1364"/>
        <v>0</v>
      </c>
      <c r="I175" s="23">
        <f t="shared" si="1364"/>
        <v>0</v>
      </c>
      <c r="J175" s="23">
        <f t="shared" si="1364"/>
        <v>0</v>
      </c>
      <c r="K175" s="23">
        <f t="shared" si="1364"/>
        <v>0</v>
      </c>
      <c r="L175" s="23">
        <f t="shared" si="1364"/>
        <v>0</v>
      </c>
      <c r="M175" s="23">
        <f t="shared" si="1364"/>
        <v>0</v>
      </c>
      <c r="N175" s="23">
        <f t="shared" si="1364"/>
        <v>0</v>
      </c>
      <c r="O175" s="23">
        <f t="shared" si="1364"/>
        <v>0</v>
      </c>
      <c r="P175" s="23">
        <f t="shared" si="1364"/>
        <v>0</v>
      </c>
      <c r="Q175" s="23">
        <f t="shared" si="1364"/>
        <v>0</v>
      </c>
      <c r="R175" s="23">
        <f t="shared" si="1364"/>
        <v>0</v>
      </c>
      <c r="S175" s="23">
        <f t="shared" si="1364"/>
        <v>0</v>
      </c>
      <c r="T175" s="23">
        <f t="shared" si="1364"/>
        <v>0</v>
      </c>
      <c r="U175" s="23">
        <f t="shared" si="1364"/>
        <v>0</v>
      </c>
      <c r="V175" s="23">
        <f t="shared" si="1364"/>
        <v>0</v>
      </c>
      <c r="W175" s="23">
        <f t="shared" si="1364"/>
        <v>0</v>
      </c>
      <c r="X175" s="23">
        <f t="shared" ref="X175:Y175" si="1365">X174-X138</f>
        <v>0</v>
      </c>
      <c r="Y175" s="23">
        <f t="shared" si="1365"/>
        <v>0</v>
      </c>
      <c r="Z175" s="23">
        <f t="shared" ref="Z175:AA175" si="1366">Z174-Z138</f>
        <v>0</v>
      </c>
      <c r="AA175" s="23">
        <f t="shared" si="1366"/>
        <v>0</v>
      </c>
      <c r="AB175" s="24">
        <f t="shared" ref="AA175:AD175" si="1367">AB174-AB138</f>
        <v>0</v>
      </c>
      <c r="AC175" s="24">
        <f t="shared" si="1367"/>
        <v>0</v>
      </c>
      <c r="AD175" s="24">
        <f t="shared" si="1367"/>
        <v>0</v>
      </c>
      <c r="AE175" s="24">
        <f t="shared" ref="AE175" si="1368">AE174-AE138</f>
        <v>0</v>
      </c>
      <c r="AJ175" s="23">
        <f t="shared" ref="AJ175" si="1369">AJ174-AJ138</f>
        <v>0</v>
      </c>
      <c r="AK175" s="23">
        <f t="shared" ref="AK175" si="1370">AK174-AK138</f>
        <v>0</v>
      </c>
      <c r="AL175" s="23">
        <f t="shared" ref="AL175:AM175" si="1371">AL174-AL138</f>
        <v>0</v>
      </c>
      <c r="AM175" s="23">
        <f t="shared" si="1371"/>
        <v>0</v>
      </c>
      <c r="AN175" s="23">
        <f t="shared" ref="AN175:AO175" si="1372">AN174-AN138</f>
        <v>0</v>
      </c>
      <c r="AO175" s="23">
        <f t="shared" si="1372"/>
        <v>0</v>
      </c>
      <c r="AP175" s="23">
        <f t="shared" ref="AP175:CE175" si="1373">AP174-AP138</f>
        <v>0</v>
      </c>
      <c r="AQ175" s="23">
        <f t="shared" si="1373"/>
        <v>0</v>
      </c>
      <c r="AR175" s="23">
        <f t="shared" si="1373"/>
        <v>0</v>
      </c>
      <c r="AS175" s="23">
        <f t="shared" si="1373"/>
        <v>0</v>
      </c>
      <c r="AT175" s="23">
        <f t="shared" si="1373"/>
        <v>0</v>
      </c>
      <c r="AU175" s="23">
        <f t="shared" si="1373"/>
        <v>0</v>
      </c>
      <c r="AV175" s="23">
        <f t="shared" si="1373"/>
        <v>0</v>
      </c>
      <c r="AW175" s="23">
        <f t="shared" si="1373"/>
        <v>0</v>
      </c>
      <c r="AX175" s="23">
        <f t="shared" si="1373"/>
        <v>0</v>
      </c>
      <c r="AY175" s="23">
        <f t="shared" si="1373"/>
        <v>0</v>
      </c>
      <c r="AZ175" s="23">
        <f t="shared" si="1373"/>
        <v>0</v>
      </c>
      <c r="BA175" s="23">
        <f t="shared" si="1373"/>
        <v>0</v>
      </c>
      <c r="BB175" s="23">
        <f t="shared" si="1373"/>
        <v>0</v>
      </c>
      <c r="BC175" s="23">
        <f t="shared" si="1373"/>
        <v>0</v>
      </c>
      <c r="BD175" s="23">
        <f t="shared" si="1373"/>
        <v>0</v>
      </c>
      <c r="BE175" s="23">
        <f t="shared" si="1373"/>
        <v>0</v>
      </c>
      <c r="BF175" s="23">
        <f t="shared" si="1373"/>
        <v>0</v>
      </c>
      <c r="BG175" s="23">
        <f t="shared" si="1373"/>
        <v>0</v>
      </c>
      <c r="BH175" s="23">
        <f t="shared" ref="BH175" si="1374">BH174-BH138</f>
        <v>0</v>
      </c>
      <c r="BI175" s="23">
        <f t="shared" si="1373"/>
        <v>0</v>
      </c>
      <c r="BJ175" s="23">
        <f t="shared" si="1373"/>
        <v>0</v>
      </c>
      <c r="BK175" s="23">
        <f t="shared" si="1373"/>
        <v>0</v>
      </c>
      <c r="BL175" s="23">
        <f t="shared" si="1373"/>
        <v>0</v>
      </c>
      <c r="BM175" s="23">
        <f t="shared" si="1373"/>
        <v>0</v>
      </c>
      <c r="BN175" s="23">
        <f t="shared" si="1373"/>
        <v>0</v>
      </c>
      <c r="BO175" s="23">
        <f t="shared" si="1373"/>
        <v>0</v>
      </c>
      <c r="BP175" s="23">
        <f t="shared" si="1373"/>
        <v>0</v>
      </c>
      <c r="BQ175" s="23">
        <f t="shared" si="1373"/>
        <v>0</v>
      </c>
      <c r="BR175" s="23">
        <f t="shared" si="1373"/>
        <v>0</v>
      </c>
      <c r="BS175" s="23">
        <f t="shared" si="1373"/>
        <v>0</v>
      </c>
      <c r="BT175" s="23">
        <f t="shared" si="1373"/>
        <v>0</v>
      </c>
      <c r="BU175" s="23">
        <f t="shared" si="1373"/>
        <v>0</v>
      </c>
      <c r="BV175" s="23">
        <f t="shared" si="1373"/>
        <v>0</v>
      </c>
      <c r="BW175" s="23">
        <f t="shared" si="1373"/>
        <v>0</v>
      </c>
      <c r="BX175" s="23">
        <f t="shared" si="1373"/>
        <v>0</v>
      </c>
      <c r="BY175" s="23">
        <f t="shared" si="1373"/>
        <v>0</v>
      </c>
      <c r="BZ175" s="23">
        <f t="shared" si="1373"/>
        <v>0</v>
      </c>
      <c r="CA175" s="23">
        <f t="shared" si="1373"/>
        <v>0</v>
      </c>
      <c r="CB175" s="23">
        <f t="shared" si="1373"/>
        <v>0</v>
      </c>
      <c r="CC175" s="23">
        <f t="shared" si="1373"/>
        <v>0</v>
      </c>
      <c r="CD175" s="23">
        <f t="shared" si="1373"/>
        <v>0</v>
      </c>
      <c r="CE175" s="23">
        <f t="shared" si="1373"/>
        <v>0</v>
      </c>
      <c r="CF175" s="23">
        <f t="shared" ref="CF175:CG175" si="1375">CF174-CF138</f>
        <v>0</v>
      </c>
      <c r="CG175" s="23">
        <f t="shared" si="1375"/>
        <v>0</v>
      </c>
      <c r="CH175" s="23">
        <f t="shared" ref="CH175:CI175" si="1376">CH174-CH138</f>
        <v>0</v>
      </c>
      <c r="CI175" s="23">
        <f t="shared" si="1376"/>
        <v>0</v>
      </c>
      <c r="CJ175" s="23">
        <f t="shared" ref="CJ175:DB175" si="1377">CJ174-CJ138</f>
        <v>0</v>
      </c>
      <c r="CK175" s="23">
        <f t="shared" si="1377"/>
        <v>0</v>
      </c>
      <c r="CL175" s="23">
        <f t="shared" ref="CL175" si="1378">CL174-CL138</f>
        <v>0</v>
      </c>
      <c r="CM175" s="24">
        <f t="shared" si="1377"/>
        <v>0</v>
      </c>
      <c r="CN175" s="24">
        <f t="shared" si="1377"/>
        <v>0</v>
      </c>
      <c r="CO175" s="24">
        <f t="shared" si="1377"/>
        <v>0</v>
      </c>
      <c r="CP175" s="24">
        <f t="shared" si="1377"/>
        <v>0</v>
      </c>
      <c r="CQ175" s="24">
        <f t="shared" si="1377"/>
        <v>0</v>
      </c>
      <c r="CR175" s="24">
        <f t="shared" si="1377"/>
        <v>0</v>
      </c>
      <c r="CS175" s="24">
        <f t="shared" si="1377"/>
        <v>0</v>
      </c>
      <c r="CT175" s="24">
        <f t="shared" si="1377"/>
        <v>0</v>
      </c>
      <c r="CU175" s="24">
        <f t="shared" si="1377"/>
        <v>0</v>
      </c>
      <c r="CV175" s="24">
        <f t="shared" si="1377"/>
        <v>0</v>
      </c>
      <c r="CW175" s="24">
        <f t="shared" si="1377"/>
        <v>0</v>
      </c>
      <c r="CX175" s="24">
        <f t="shared" si="1377"/>
        <v>0</v>
      </c>
      <c r="CY175" s="24">
        <f t="shared" si="1377"/>
        <v>0</v>
      </c>
      <c r="CZ175" s="24">
        <f t="shared" si="1377"/>
        <v>0</v>
      </c>
      <c r="DA175" s="24">
        <f t="shared" si="1377"/>
        <v>0</v>
      </c>
      <c r="DB175" s="24">
        <f t="shared" si="1377"/>
        <v>0</v>
      </c>
      <c r="DE175" s="123"/>
      <c r="DF175" s="23">
        <v>1408.0000000000146</v>
      </c>
    </row>
    <row r="176" spans="1:110" s="23" customFormat="1" x14ac:dyDescent="0.2">
      <c r="A176" s="28"/>
      <c r="AB176" s="24"/>
      <c r="AC176" s="24"/>
      <c r="AD176" s="24"/>
      <c r="AE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E176" s="123"/>
    </row>
    <row r="177" spans="1:110" s="22" customFormat="1" x14ac:dyDescent="0.2">
      <c r="A177" s="22" t="s">
        <v>80</v>
      </c>
      <c r="B177" s="22">
        <f t="shared" ref="B177:W177" si="1379">B137-B170</f>
        <v>0</v>
      </c>
      <c r="C177" s="22">
        <f t="shared" si="1379"/>
        <v>0</v>
      </c>
      <c r="D177" s="22">
        <f t="shared" si="1379"/>
        <v>0</v>
      </c>
      <c r="E177" s="22">
        <f t="shared" si="1379"/>
        <v>389.16</v>
      </c>
      <c r="F177" s="22">
        <f t="shared" si="1379"/>
        <v>-484.6</v>
      </c>
      <c r="G177" s="22">
        <f t="shared" si="1379"/>
        <v>-992.15000000000009</v>
      </c>
      <c r="H177" s="22">
        <f t="shared" si="1379"/>
        <v>-2128.0100000000002</v>
      </c>
      <c r="I177" s="22">
        <f t="shared" si="1379"/>
        <v>-3359.65</v>
      </c>
      <c r="J177" s="22">
        <f t="shared" si="1379"/>
        <v>-3718.6899999999996</v>
      </c>
      <c r="K177" s="22">
        <f t="shared" si="1379"/>
        <v>-7074.7800000000007</v>
      </c>
      <c r="L177" s="22">
        <f t="shared" si="1379"/>
        <v>-5310.04</v>
      </c>
      <c r="M177" s="22">
        <f t="shared" si="1379"/>
        <v>-6462.3</v>
      </c>
      <c r="N177" s="22">
        <f t="shared" si="1379"/>
        <v>-7465.9299999999994</v>
      </c>
      <c r="O177" s="22">
        <f t="shared" si="1379"/>
        <v>-15303.439999999999</v>
      </c>
      <c r="P177" s="22">
        <f t="shared" si="1379"/>
        <v>-19690.939999999999</v>
      </c>
      <c r="Q177" s="22">
        <f t="shared" si="1379"/>
        <v>-29022</v>
      </c>
      <c r="R177" s="22">
        <f t="shared" si="1379"/>
        <v>-45496</v>
      </c>
      <c r="S177" s="22">
        <f t="shared" si="1379"/>
        <v>-42621</v>
      </c>
      <c r="T177" s="22">
        <f t="shared" si="1379"/>
        <v>-41921</v>
      </c>
      <c r="U177" s="22">
        <f t="shared" si="1379"/>
        <v>-35806</v>
      </c>
      <c r="V177" s="22">
        <f t="shared" si="1379"/>
        <v>-38489</v>
      </c>
      <c r="W177" s="22">
        <f t="shared" si="1379"/>
        <v>-48483</v>
      </c>
      <c r="X177" s="22">
        <f t="shared" ref="X177:Y177" si="1380">X137-X170</f>
        <v>-47929</v>
      </c>
      <c r="Y177" s="22">
        <f t="shared" si="1380"/>
        <v>-44767</v>
      </c>
      <c r="Z177" s="22">
        <f t="shared" ref="Z177:AA177" si="1381">Z137-Z170</f>
        <v>-46152</v>
      </c>
      <c r="AA177" s="22">
        <f t="shared" si="1381"/>
        <v>-46678</v>
      </c>
      <c r="AB177" s="21">
        <f t="shared" ref="AA177:AD177" si="1382">AB137-AB170</f>
        <v>-104457.05225455794</v>
      </c>
      <c r="AC177" s="21">
        <f t="shared" si="1382"/>
        <v>-165852.01584905566</v>
      </c>
      <c r="AD177" s="21">
        <f t="shared" si="1382"/>
        <v>-231862.95485164126</v>
      </c>
      <c r="AE177" s="21">
        <f t="shared" ref="AE177" si="1383">AE137-AE170</f>
        <v>-302821.29159164039</v>
      </c>
      <c r="AJ177" s="22">
        <f t="shared" ref="AJ177:AM177" si="1384">AJ137-AJ170</f>
        <v>-7635.3600000000006</v>
      </c>
      <c r="AK177" s="22">
        <f t="shared" si="1384"/>
        <v>-10881.160299441448</v>
      </c>
      <c r="AL177" s="22">
        <f t="shared" si="1384"/>
        <v>-7487.2</v>
      </c>
      <c r="AM177" s="22">
        <f t="shared" si="1384"/>
        <v>-10178.43776963486</v>
      </c>
      <c r="AN177" s="22">
        <f t="shared" ref="AN177:AO177" si="1385">AN137-AN170</f>
        <v>-6145.7500000000009</v>
      </c>
      <c r="AO177" s="22">
        <f t="shared" si="1385"/>
        <v>-11293.732649595464</v>
      </c>
      <c r="AP177" s="22">
        <f t="shared" ref="AP177:CE177" si="1386">AP137-AP170</f>
        <v>-15345.96</v>
      </c>
      <c r="AQ177" s="22">
        <f t="shared" si="1386"/>
        <v>-20479.34599965013</v>
      </c>
      <c r="AR177" s="22">
        <f t="shared" si="1386"/>
        <v>-12337.66</v>
      </c>
      <c r="AS177" s="22">
        <f t="shared" si="1386"/>
        <v>-17146.114734360417</v>
      </c>
      <c r="AT177" s="22">
        <f t="shared" si="1386"/>
        <v>-19748.809999999998</v>
      </c>
      <c r="AU177" s="22">
        <f t="shared" si="1386"/>
        <v>-24571.955274833432</v>
      </c>
      <c r="AV177" s="22">
        <f t="shared" si="1386"/>
        <v>-21219.880000000005</v>
      </c>
      <c r="AW177" s="22">
        <f t="shared" si="1386"/>
        <v>-27180.777098104176</v>
      </c>
      <c r="AX177" s="22">
        <f t="shared" si="1386"/>
        <v>-29071</v>
      </c>
      <c r="AY177" s="22">
        <f t="shared" si="1386"/>
        <v>-34769.97335582973</v>
      </c>
      <c r="AZ177" s="22">
        <f t="shared" si="1386"/>
        <v>-32326</v>
      </c>
      <c r="BA177" s="22">
        <f t="shared" si="1386"/>
        <v>-38743.480296407601</v>
      </c>
      <c r="BB177" s="22">
        <f t="shared" si="1386"/>
        <v>-45514</v>
      </c>
      <c r="BC177" s="22">
        <f t="shared" si="1386"/>
        <v>-51503.888266648675</v>
      </c>
      <c r="BD177" s="22">
        <f t="shared" si="1386"/>
        <v>-33563</v>
      </c>
      <c r="BE177" s="22">
        <f t="shared" si="1386"/>
        <v>-39782.429259028853</v>
      </c>
      <c r="BF177" s="22">
        <f t="shared" si="1386"/>
        <v>-42633</v>
      </c>
      <c r="BG177" s="22">
        <f t="shared" si="1386"/>
        <v>-48162.794356975835</v>
      </c>
      <c r="BH177" s="22">
        <f t="shared" si="1386"/>
        <v>-34079</v>
      </c>
      <c r="BI177" s="22">
        <f t="shared" si="1386"/>
        <v>-41818.879036196886</v>
      </c>
      <c r="BJ177" s="22">
        <f t="shared" si="1386"/>
        <v>-41939</v>
      </c>
      <c r="BK177" s="22">
        <f t="shared" si="1386"/>
        <v>-49958.245146014211</v>
      </c>
      <c r="BL177" s="22">
        <f t="shared" si="1386"/>
        <v>-46648</v>
      </c>
      <c r="BM177" s="22">
        <f t="shared" si="1386"/>
        <v>-54150.387715832418</v>
      </c>
      <c r="BN177" s="22">
        <f t="shared" si="1386"/>
        <v>-35806</v>
      </c>
      <c r="BO177" s="22">
        <f t="shared" si="1386"/>
        <v>-44014.498072397735</v>
      </c>
      <c r="BP177" s="22">
        <f t="shared" si="1386"/>
        <v>-46980</v>
      </c>
      <c r="BQ177" s="22">
        <f t="shared" si="1386"/>
        <v>-54361.744487355179</v>
      </c>
      <c r="BR177" s="22">
        <f t="shared" si="1386"/>
        <v>-38489</v>
      </c>
      <c r="BS177" s="22">
        <f t="shared" si="1386"/>
        <v>-46372.417915570317</v>
      </c>
      <c r="BT177" s="22">
        <f t="shared" si="1386"/>
        <v>-49046</v>
      </c>
      <c r="BU177" s="22">
        <f t="shared" si="1386"/>
        <v>-57465.217338425762</v>
      </c>
      <c r="BV177" s="22">
        <f t="shared" si="1386"/>
        <v>-48483</v>
      </c>
      <c r="BW177" s="22">
        <f t="shared" si="1386"/>
        <v>-56513.863256310411</v>
      </c>
      <c r="BX177" s="22">
        <f t="shared" si="1386"/>
        <v>-50211</v>
      </c>
      <c r="BY177" s="22">
        <f t="shared" si="1386"/>
        <v>-59196.845594749495</v>
      </c>
      <c r="BZ177" s="22">
        <f t="shared" si="1386"/>
        <v>-47929</v>
      </c>
      <c r="CA177" s="22">
        <f t="shared" si="1386"/>
        <v>-58856.904989689341</v>
      </c>
      <c r="CB177" s="22">
        <f t="shared" si="1386"/>
        <v>-57168</v>
      </c>
      <c r="CC177" s="22">
        <f t="shared" si="1386"/>
        <v>-67619.217834885756</v>
      </c>
      <c r="CD177" s="22">
        <f t="shared" si="1386"/>
        <v>-44767</v>
      </c>
      <c r="CE177" s="22">
        <f t="shared" si="1386"/>
        <v>-55826.765435929265</v>
      </c>
      <c r="CF177" s="22">
        <f t="shared" ref="CF177:CG177" si="1387">CF137-CF170</f>
        <v>-52525</v>
      </c>
      <c r="CG177" s="22">
        <f t="shared" si="1387"/>
        <v>-65104.446489985843</v>
      </c>
      <c r="CH177" s="22">
        <f t="shared" ref="CH177:CI177" si="1388">CH137-CH170</f>
        <v>-46152</v>
      </c>
      <c r="CI177" s="22">
        <f t="shared" si="1388"/>
        <v>-60630.902169698675</v>
      </c>
      <c r="CJ177" s="22">
        <f t="shared" ref="CJ177:DB177" si="1389">CJ137-CJ170</f>
        <v>-53282</v>
      </c>
      <c r="CK177" s="22">
        <f t="shared" si="1389"/>
        <v>-64623.469429626595</v>
      </c>
      <c r="CL177" s="22">
        <f t="shared" ref="CL177" si="1390">CL137-CL170</f>
        <v>-46678</v>
      </c>
      <c r="CM177" s="21">
        <f t="shared" si="1389"/>
        <v>-61172.770586849176</v>
      </c>
      <c r="CN177" s="21">
        <f t="shared" si="1389"/>
        <v>-75389.010442173749</v>
      </c>
      <c r="CO177" s="21">
        <f t="shared" si="1389"/>
        <v>-89868.665495465233</v>
      </c>
      <c r="CP177" s="21">
        <f t="shared" si="1389"/>
        <v>-104457.05225455794</v>
      </c>
      <c r="CQ177" s="21">
        <f t="shared" si="1389"/>
        <v>-119388.0222468987</v>
      </c>
      <c r="CR177" s="21">
        <f t="shared" si="1389"/>
        <v>-134611.56787184963</v>
      </c>
      <c r="CS177" s="21">
        <f t="shared" si="1389"/>
        <v>-150099.81415114345</v>
      </c>
      <c r="CT177" s="21">
        <f t="shared" si="1389"/>
        <v>-165852.01584905566</v>
      </c>
      <c r="CU177" s="21">
        <f t="shared" si="1389"/>
        <v>-181910.31626795762</v>
      </c>
      <c r="CV177" s="21">
        <f t="shared" si="1389"/>
        <v>-198263.62329256529</v>
      </c>
      <c r="CW177" s="21">
        <f t="shared" si="1389"/>
        <v>-214911.95102733982</v>
      </c>
      <c r="CX177" s="21">
        <f t="shared" si="1389"/>
        <v>-231862.95485164126</v>
      </c>
      <c r="CY177" s="21">
        <f t="shared" si="1389"/>
        <v>-249126.66042213576</v>
      </c>
      <c r="CZ177" s="21">
        <f t="shared" si="1389"/>
        <v>-266704.28838923405</v>
      </c>
      <c r="DA177" s="21">
        <f t="shared" si="1389"/>
        <v>-284600.51109682157</v>
      </c>
      <c r="DB177" s="21">
        <f t="shared" si="1389"/>
        <v>-302821.29159164039</v>
      </c>
      <c r="DE177" s="126"/>
      <c r="DF177" s="22">
        <v>-75616.443666648673</v>
      </c>
    </row>
    <row r="178" spans="1:110" x14ac:dyDescent="0.2">
      <c r="AA178" s="2"/>
      <c r="CE178" s="111"/>
      <c r="CG178" s="111"/>
      <c r="DF178" s="111"/>
    </row>
    <row r="179" spans="1:110" s="49" customFormat="1" x14ac:dyDescent="0.2">
      <c r="A179" s="49" t="s">
        <v>81</v>
      </c>
      <c r="B179" s="49">
        <f>'Annual Raw'!C85</f>
        <v>0</v>
      </c>
      <c r="C179" s="49">
        <f>'Annual Raw'!D85</f>
        <v>0</v>
      </c>
      <c r="D179" s="49">
        <f>'Annual Raw'!E85</f>
        <v>0</v>
      </c>
      <c r="E179" s="49">
        <f>'Annual Raw'!F85</f>
        <v>59.2</v>
      </c>
      <c r="F179" s="49">
        <f>'Annual Raw'!G85</f>
        <v>229.92</v>
      </c>
      <c r="G179" s="49">
        <f>'Annual Raw'!H85</f>
        <v>390.15</v>
      </c>
      <c r="H179" s="49">
        <f>'Annual Raw'!I85</f>
        <v>2312.4699999999998</v>
      </c>
      <c r="I179" s="49">
        <f>'Annual Raw'!J85</f>
        <v>2273.0100000000002</v>
      </c>
      <c r="J179" s="49">
        <f>'Annual Raw'!K85</f>
        <v>2678.58</v>
      </c>
      <c r="K179" s="49">
        <f>'Annual Raw'!L85</f>
        <v>2631.17</v>
      </c>
      <c r="L179" s="49">
        <f>'Annual Raw'!M85</f>
        <v>1777.4</v>
      </c>
      <c r="M179" s="49">
        <f>'Annual Raw'!N85</f>
        <v>2306.5700000000002</v>
      </c>
      <c r="N179" s="49">
        <f>'Annual Raw'!O85</f>
        <v>3515.12</v>
      </c>
      <c r="O179" s="49">
        <f>'Annual Raw'!P85</f>
        <v>4676.6899999999996</v>
      </c>
      <c r="P179" s="49">
        <f>'Annual Raw'!Q85</f>
        <v>4267.03</v>
      </c>
      <c r="Q179" s="49">
        <f>'Annual Raw'!R85</f>
        <v>15167.92</v>
      </c>
      <c r="R179" s="49">
        <f>'Annual Raw'!S85</f>
        <v>6592</v>
      </c>
      <c r="S179" s="49">
        <f>'Annual Raw'!T85</f>
        <v>3305</v>
      </c>
      <c r="T179" s="49">
        <f>'Annual Raw'!U85</f>
        <v>577</v>
      </c>
      <c r="U179" s="49">
        <f>'Annual Raw'!V85</f>
        <v>728</v>
      </c>
      <c r="V179" s="49">
        <f>'Annual Raw'!W85</f>
        <v>750</v>
      </c>
      <c r="W179" s="49">
        <f>'Annual Raw'!X85</f>
        <v>859</v>
      </c>
      <c r="X179" s="49">
        <f>'Annual Raw'!Y85</f>
        <v>2012</v>
      </c>
      <c r="Y179" s="49">
        <f>'Annual Raw'!Z85</f>
        <v>1387</v>
      </c>
      <c r="Z179" s="49">
        <f>'Annual Raw'!AA85</f>
        <v>1438</v>
      </c>
      <c r="AA179" s="49">
        <f>'Annual Raw'!AB85</f>
        <v>1747</v>
      </c>
      <c r="AB179" s="50"/>
      <c r="AC179" s="50"/>
      <c r="AD179" s="50"/>
      <c r="AE179" s="50"/>
      <c r="CM179" s="50"/>
      <c r="CN179" s="50"/>
      <c r="CO179" s="50"/>
      <c r="CP179" s="50"/>
      <c r="CQ179" s="50"/>
      <c r="CR179" s="50"/>
      <c r="CS179" s="50"/>
      <c r="CT179" s="50"/>
      <c r="CU179" s="50"/>
      <c r="CV179" s="50"/>
      <c r="CW179" s="50"/>
      <c r="CX179" s="50"/>
      <c r="CY179" s="50"/>
      <c r="CZ179" s="50"/>
      <c r="DA179" s="50"/>
      <c r="DB179" s="50"/>
      <c r="DE179" s="138"/>
    </row>
    <row r="180" spans="1:110" s="29" customFormat="1" x14ac:dyDescent="0.2">
      <c r="A180" s="29" t="s">
        <v>82</v>
      </c>
      <c r="B180" s="29">
        <f>'Annual Raw'!C95</f>
        <v>0</v>
      </c>
      <c r="C180" s="29">
        <f>'Annual Raw'!D95</f>
        <v>0</v>
      </c>
      <c r="D180" s="29">
        <f>'Annual Raw'!E95</f>
        <v>0</v>
      </c>
      <c r="E180" s="29">
        <f>'Annual Raw'!F95</f>
        <v>45.47</v>
      </c>
      <c r="F180" s="29">
        <f>'Annual Raw'!G95</f>
        <v>109.93</v>
      </c>
      <c r="G180" s="29">
        <f>'Annual Raw'!H95</f>
        <v>42.21</v>
      </c>
      <c r="H180" s="29">
        <f>'Annual Raw'!I95</f>
        <v>1970.85</v>
      </c>
      <c r="I180" s="29">
        <f>'Annual Raw'!J95</f>
        <v>2121.14</v>
      </c>
      <c r="J180" s="29">
        <f>'Annual Raw'!K95</f>
        <v>2073.9699999999998</v>
      </c>
      <c r="K180" s="29">
        <f>'Annual Raw'!L95</f>
        <v>1923.34</v>
      </c>
      <c r="L180" s="29">
        <f>'Annual Raw'!M95</f>
        <v>705.78</v>
      </c>
      <c r="M180" s="29">
        <f>'Annual Raw'!N95</f>
        <v>651.58000000000004</v>
      </c>
      <c r="N180" s="29">
        <f>'Annual Raw'!O95</f>
        <v>493.86</v>
      </c>
      <c r="O180" s="29">
        <f>'Annual Raw'!P95</f>
        <v>477.75</v>
      </c>
      <c r="P180" s="29">
        <f>'Annual Raw'!Q95</f>
        <v>0</v>
      </c>
      <c r="Q180" s="29">
        <f>'Annual Raw'!R95</f>
        <v>0</v>
      </c>
      <c r="R180" s="29">
        <f>'Annual Raw'!S95</f>
        <v>0</v>
      </c>
      <c r="S180" s="29">
        <f>'Annual Raw'!T95</f>
        <v>0</v>
      </c>
      <c r="T180" s="29">
        <f>'Annual Raw'!U95</f>
        <v>0</v>
      </c>
      <c r="U180" s="29">
        <f>'Annual Raw'!V95</f>
        <v>0</v>
      </c>
      <c r="V180" s="29">
        <f>'Annual Raw'!W95</f>
        <v>0</v>
      </c>
      <c r="W180" s="29">
        <f>'Annual Raw'!X95</f>
        <v>0</v>
      </c>
      <c r="X180" s="29">
        <f>'Annual Raw'!Y95</f>
        <v>0</v>
      </c>
      <c r="Y180" s="29">
        <f>'Annual Raw'!Z95</f>
        <v>0</v>
      </c>
      <c r="Z180" s="29">
        <f>'Annual Raw'!AA95</f>
        <v>0</v>
      </c>
      <c r="AA180" s="29">
        <f>'Annual Raw'!AB95</f>
        <v>0</v>
      </c>
      <c r="AB180" s="30"/>
      <c r="AC180" s="30"/>
      <c r="AD180" s="30"/>
      <c r="AE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E180" s="139"/>
    </row>
    <row r="181" spans="1:110" s="29" customFormat="1" x14ac:dyDescent="0.2">
      <c r="A181" s="29" t="s">
        <v>83</v>
      </c>
      <c r="B181" s="29">
        <f>'Annual Raw'!C93</f>
        <v>0</v>
      </c>
      <c r="C181" s="29">
        <f>'Annual Raw'!D93</f>
        <v>0</v>
      </c>
      <c r="D181" s="29">
        <f>'Annual Raw'!E93</f>
        <v>0</v>
      </c>
      <c r="E181" s="29">
        <f>'Annual Raw'!F93</f>
        <v>13.22</v>
      </c>
      <c r="F181" s="29">
        <f>'Annual Raw'!G93</f>
        <v>119.99</v>
      </c>
      <c r="G181" s="29">
        <f>'Annual Raw'!H93</f>
        <v>304.39999999999998</v>
      </c>
      <c r="H181" s="29">
        <f>'Annual Raw'!I93</f>
        <v>341.62</v>
      </c>
      <c r="I181" s="29">
        <f>'Annual Raw'!J93</f>
        <v>148.91</v>
      </c>
      <c r="J181" s="29">
        <f>'Annual Raw'!K93</f>
        <v>595.73</v>
      </c>
      <c r="K181" s="29">
        <f>'Annual Raw'!L93</f>
        <v>707.83</v>
      </c>
      <c r="L181" s="29">
        <f>'Annual Raw'!M93</f>
        <v>1070.68</v>
      </c>
      <c r="M181" s="29">
        <f>'Annual Raw'!N93</f>
        <v>1654.89</v>
      </c>
      <c r="N181" s="29">
        <f>'Annual Raw'!O93</f>
        <v>3020.6</v>
      </c>
      <c r="O181" s="29">
        <f>'Annual Raw'!P93</f>
        <v>4198.38</v>
      </c>
      <c r="P181" s="29">
        <f>'Annual Raw'!Q93</f>
        <v>4266.6899999999996</v>
      </c>
      <c r="Q181" s="29">
        <f>'Annual Raw'!R93</f>
        <v>15167.92</v>
      </c>
      <c r="R181" s="29">
        <f>'Annual Raw'!S93</f>
        <v>6592</v>
      </c>
      <c r="S181" s="29">
        <f>'Annual Raw'!T93</f>
        <v>3305</v>
      </c>
      <c r="T181" s="29">
        <f>'Annual Raw'!U93</f>
        <v>577</v>
      </c>
      <c r="U181" s="29">
        <f>'Annual Raw'!V93</f>
        <v>728</v>
      </c>
      <c r="V181" s="29">
        <f>'Annual Raw'!W93</f>
        <v>750</v>
      </c>
      <c r="W181" s="29">
        <f>'Annual Raw'!X93</f>
        <v>859</v>
      </c>
      <c r="X181" s="29">
        <f>'Annual Raw'!Y93</f>
        <v>2012</v>
      </c>
      <c r="Y181" s="29">
        <f>'Annual Raw'!Z93</f>
        <v>1387</v>
      </c>
      <c r="Z181" s="29">
        <f>'Annual Raw'!AA93</f>
        <v>1438</v>
      </c>
      <c r="AA181" s="29">
        <f>'Annual Raw'!AB93</f>
        <v>1747</v>
      </c>
      <c r="AB181" s="30"/>
      <c r="AC181" s="30"/>
      <c r="AD181" s="30"/>
      <c r="AE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E181" s="139"/>
    </row>
    <row r="182" spans="1:110" s="29" customFormat="1" x14ac:dyDescent="0.2">
      <c r="A182" s="29" t="s">
        <v>84</v>
      </c>
      <c r="B182" s="29">
        <f t="shared" ref="B182:V182" si="1391">B179-B180-B181</f>
        <v>0</v>
      </c>
      <c r="C182" s="29">
        <f t="shared" si="1391"/>
        <v>0</v>
      </c>
      <c r="D182" s="29">
        <f t="shared" si="1391"/>
        <v>0</v>
      </c>
      <c r="E182" s="29">
        <f t="shared" si="1391"/>
        <v>0.51000000000000334</v>
      </c>
      <c r="F182" s="29">
        <f t="shared" si="1391"/>
        <v>0</v>
      </c>
      <c r="G182" s="29">
        <f t="shared" si="1391"/>
        <v>43.54000000000002</v>
      </c>
      <c r="H182" s="29">
        <f t="shared" si="1391"/>
        <v>0</v>
      </c>
      <c r="I182" s="29">
        <f t="shared" si="1391"/>
        <v>2.960000000000349</v>
      </c>
      <c r="J182" s="29">
        <f t="shared" si="1391"/>
        <v>8.8800000000001091</v>
      </c>
      <c r="K182" s="29">
        <f t="shared" si="1391"/>
        <v>0</v>
      </c>
      <c r="L182" s="29">
        <f t="shared" si="1391"/>
        <v>0.94000000000005457</v>
      </c>
      <c r="M182" s="29">
        <f t="shared" si="1391"/>
        <v>0.10000000000013642</v>
      </c>
      <c r="N182" s="29">
        <f t="shared" si="1391"/>
        <v>0.65999999999985448</v>
      </c>
      <c r="O182" s="29">
        <f t="shared" si="1391"/>
        <v>0.55999999999949068</v>
      </c>
      <c r="P182" s="29">
        <f t="shared" si="1391"/>
        <v>0.34000000000014552</v>
      </c>
      <c r="Q182" s="29">
        <f t="shared" si="1391"/>
        <v>0</v>
      </c>
      <c r="R182" s="29">
        <f t="shared" si="1391"/>
        <v>0</v>
      </c>
      <c r="S182" s="29">
        <f t="shared" si="1391"/>
        <v>0</v>
      </c>
      <c r="T182" s="29">
        <f t="shared" si="1391"/>
        <v>0</v>
      </c>
      <c r="U182" s="29">
        <f t="shared" si="1391"/>
        <v>0</v>
      </c>
      <c r="V182" s="29">
        <f t="shared" si="1391"/>
        <v>0</v>
      </c>
      <c r="W182" s="29">
        <f t="shared" ref="W182" si="1392">W179-W180-W181</f>
        <v>0</v>
      </c>
      <c r="X182" s="29">
        <f t="shared" ref="X182:Y182" si="1393">X179-X180-X181</f>
        <v>0</v>
      </c>
      <c r="Y182" s="29">
        <f t="shared" si="1393"/>
        <v>0</v>
      </c>
      <c r="Z182" s="29">
        <f t="shared" ref="Z182:AA182" si="1394">Z179-Z180-Z181</f>
        <v>0</v>
      </c>
      <c r="AA182" s="29">
        <f t="shared" si="1394"/>
        <v>0</v>
      </c>
      <c r="AB182" s="30">
        <f t="shared" ref="AA182:AD182" si="1395">AB179-AB180-AB181</f>
        <v>0</v>
      </c>
      <c r="AC182" s="30">
        <f t="shared" si="1395"/>
        <v>0</v>
      </c>
      <c r="AD182" s="30">
        <f t="shared" si="1395"/>
        <v>0</v>
      </c>
      <c r="AE182" s="30">
        <f t="shared" ref="AE182" si="1396">AE179-AE180-AE181</f>
        <v>0</v>
      </c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E182" s="139"/>
      <c r="DF182" s="29">
        <v>0</v>
      </c>
    </row>
    <row r="183" spans="1:110" s="5" customFormat="1" x14ac:dyDescent="0.2">
      <c r="AB183" s="63"/>
      <c r="AC183" s="63"/>
      <c r="AD183" s="63"/>
      <c r="AE183" s="63"/>
      <c r="CE183" s="112"/>
      <c r="CG183" s="112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E183" s="139"/>
      <c r="DF183" s="112"/>
    </row>
    <row r="184" spans="1:110" s="95" customFormat="1" x14ac:dyDescent="0.2">
      <c r="A184" s="95" t="s">
        <v>85</v>
      </c>
      <c r="B184" s="95" t="e">
        <f t="shared" ref="B184:W184" si="1397">B179/B129</f>
        <v>#DIV/0!</v>
      </c>
      <c r="C184" s="95" t="e">
        <f t="shared" si="1397"/>
        <v>#DIV/0!</v>
      </c>
      <c r="D184" s="95" t="e">
        <f t="shared" si="1397"/>
        <v>#DIV/0!</v>
      </c>
      <c r="E184" s="95">
        <f t="shared" si="1397"/>
        <v>1.2574341546304164</v>
      </c>
      <c r="F184" s="95">
        <f t="shared" si="1397"/>
        <v>6.6115702479338831E-2</v>
      </c>
      <c r="G184" s="95">
        <f t="shared" si="1397"/>
        <v>6.5037899183338022E-2</v>
      </c>
      <c r="H184" s="95">
        <f t="shared" si="1397"/>
        <v>0.26129309273341539</v>
      </c>
      <c r="I184" s="95">
        <f t="shared" si="1397"/>
        <v>0.18479575809016499</v>
      </c>
      <c r="J184" s="95">
        <f t="shared" si="1397"/>
        <v>0.17061008241396025</v>
      </c>
      <c r="K184" s="95">
        <f t="shared" si="1397"/>
        <v>0.14248171846435101</v>
      </c>
      <c r="L184" s="95">
        <f t="shared" si="1397"/>
        <v>7.2532698682421945E-2</v>
      </c>
      <c r="M184" s="95">
        <f t="shared" si="1397"/>
        <v>7.7979379449701708E-2</v>
      </c>
      <c r="N184" s="95">
        <f t="shared" si="1397"/>
        <v>9.0957526226053936E-2</v>
      </c>
      <c r="O184" s="95">
        <f t="shared" si="1397"/>
        <v>9.5064799584345966E-2</v>
      </c>
      <c r="P184" s="95">
        <f t="shared" si="1397"/>
        <v>8.4270765774341574E-2</v>
      </c>
      <c r="Q184" s="95">
        <f t="shared" si="1397"/>
        <v>0.21341625393966682</v>
      </c>
      <c r="R184" s="95">
        <f t="shared" si="1397"/>
        <v>7.6460899621871165E-2</v>
      </c>
      <c r="S184" s="95">
        <f t="shared" si="1397"/>
        <v>3.8823888732262009E-2</v>
      </c>
      <c r="T184" s="95">
        <f t="shared" si="1397"/>
        <v>6.4508194888536104E-3</v>
      </c>
      <c r="U184" s="95">
        <f t="shared" si="1397"/>
        <v>8.653686137460476E-3</v>
      </c>
      <c r="V184" s="95">
        <f t="shared" si="1397"/>
        <v>8.6772413314359104E-3</v>
      </c>
      <c r="W184" s="95">
        <f t="shared" si="1397"/>
        <v>9.636634918498076E-3</v>
      </c>
      <c r="X184" s="95">
        <f t="shared" ref="X184:Y184" si="1398">X179/X129</f>
        <v>2.2250729894718217E-2</v>
      </c>
      <c r="Y184" s="95">
        <f t="shared" si="1398"/>
        <v>1.5327829901977036E-2</v>
      </c>
      <c r="Z184" s="95">
        <f t="shared" ref="Z184:AA184" si="1399">Z179/Z129</f>
        <v>1.5175820000844274E-2</v>
      </c>
      <c r="AA184" s="95">
        <f t="shared" si="1399"/>
        <v>1.6290563222678106E-2</v>
      </c>
      <c r="AB184" s="87">
        <f t="shared" ref="AA184:AD184" si="1400">AB179/AB129</f>
        <v>0</v>
      </c>
      <c r="AC184" s="87">
        <f t="shared" si="1400"/>
        <v>0</v>
      </c>
      <c r="AD184" s="87">
        <f t="shared" si="1400"/>
        <v>0</v>
      </c>
      <c r="AE184" s="87">
        <f t="shared" ref="AE184" si="1401">AE179/AE129</f>
        <v>0</v>
      </c>
      <c r="CM184" s="96"/>
      <c r="CN184" s="96"/>
      <c r="CO184" s="96"/>
      <c r="CP184" s="96"/>
      <c r="CQ184" s="96"/>
      <c r="CR184" s="96"/>
      <c r="CS184" s="96"/>
      <c r="CT184" s="96"/>
      <c r="CU184" s="96"/>
      <c r="CV184" s="96"/>
      <c r="CW184" s="96"/>
      <c r="CX184" s="96"/>
      <c r="CY184" s="96"/>
      <c r="CZ184" s="96"/>
      <c r="DA184" s="96"/>
      <c r="DB184" s="96"/>
      <c r="DE184" s="140"/>
      <c r="DF184" s="95">
        <v>0</v>
      </c>
    </row>
    <row r="185" spans="1:110" x14ac:dyDescent="0.2">
      <c r="A185" s="152" t="s">
        <v>492</v>
      </c>
      <c r="AA185" s="2"/>
      <c r="CE185" s="111"/>
      <c r="CG185" s="111"/>
      <c r="DF185" s="111"/>
    </row>
    <row r="186" spans="1:110" s="6" customFormat="1" x14ac:dyDescent="0.2">
      <c r="AB186" s="19"/>
      <c r="AC186" s="19"/>
      <c r="AD186" s="19"/>
      <c r="AE186" s="19"/>
      <c r="CE186" s="113"/>
      <c r="CG186" s="113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E186" s="123"/>
      <c r="DF186" s="113"/>
    </row>
    <row r="187" spans="1:110" s="62" customFormat="1" x14ac:dyDescent="0.2">
      <c r="A187" s="153" t="s">
        <v>493</v>
      </c>
      <c r="AB187" s="63"/>
      <c r="AC187" s="63"/>
      <c r="AD187" s="63"/>
      <c r="AE187" s="63"/>
      <c r="CE187" s="114"/>
      <c r="CG187" s="114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E187" s="139"/>
      <c r="DF187" s="114"/>
    </row>
    <row r="188" spans="1:110" s="62" customFormat="1" outlineLevel="1" x14ac:dyDescent="0.2">
      <c r="A188" s="68" t="s">
        <v>464</v>
      </c>
      <c r="B188" s="67" t="e">
        <f t="shared" ref="B188:AE188" si="1402">B153/B17*365</f>
        <v>#DIV/0!</v>
      </c>
      <c r="C188" s="67" t="e">
        <f t="shared" si="1402"/>
        <v>#DIV/0!</v>
      </c>
      <c r="D188" s="67" t="e">
        <f t="shared" si="1402"/>
        <v>#DIV/0!</v>
      </c>
      <c r="E188" s="67" t="e">
        <f t="shared" si="1402"/>
        <v>#DIV/0!</v>
      </c>
      <c r="F188" s="67">
        <f t="shared" si="1402"/>
        <v>1.1974599086731776</v>
      </c>
      <c r="G188" s="67">
        <f t="shared" si="1402"/>
        <v>2.2187061617912107</v>
      </c>
      <c r="H188" s="67">
        <f t="shared" si="1402"/>
        <v>0.81252913069978416</v>
      </c>
      <c r="I188" s="67">
        <f t="shared" si="1402"/>
        <v>0.68458626093221975</v>
      </c>
      <c r="J188" s="67">
        <f t="shared" si="1402"/>
        <v>0.48028111491082504</v>
      </c>
      <c r="K188" s="67">
        <f t="shared" si="1402"/>
        <v>0.21623373963637524</v>
      </c>
      <c r="L188" s="67">
        <f t="shared" si="1402"/>
        <v>0.22315737694904028</v>
      </c>
      <c r="M188" s="67">
        <f t="shared" si="1402"/>
        <v>0.13265511898372973</v>
      </c>
      <c r="N188" s="67">
        <f t="shared" si="1402"/>
        <v>0.12255458380099792</v>
      </c>
      <c r="O188" s="67">
        <f t="shared" si="1402"/>
        <v>6.7858204081502949E-2</v>
      </c>
      <c r="P188" s="67">
        <f t="shared" si="1402"/>
        <v>6.1969308787406571E-2</v>
      </c>
      <c r="Q188" s="67">
        <f t="shared" si="1402"/>
        <v>5.375255416674337E-2</v>
      </c>
      <c r="R188" s="67">
        <f t="shared" si="1402"/>
        <v>6.497634911754234E-2</v>
      </c>
      <c r="S188" s="67">
        <f t="shared" si="1402"/>
        <v>7.7089290356121651E-2</v>
      </c>
      <c r="T188" s="67">
        <f t="shared" si="1402"/>
        <v>2.4920969801246733E-2</v>
      </c>
      <c r="U188" s="67">
        <f t="shared" si="1402"/>
        <v>1.162798106391248E-2</v>
      </c>
      <c r="V188" s="67">
        <f t="shared" si="1402"/>
        <v>1.7785682525566917E-2</v>
      </c>
      <c r="W188" s="67">
        <f t="shared" si="1402"/>
        <v>3.8069610021172956E-2</v>
      </c>
      <c r="X188" s="67">
        <f t="shared" si="1402"/>
        <v>4.5329950589466775E-2</v>
      </c>
      <c r="Y188" s="67">
        <f t="shared" si="1402"/>
        <v>4.2425475210985789E-2</v>
      </c>
      <c r="Z188" s="67">
        <f t="shared" si="1402"/>
        <v>3.0020679607087462E-2</v>
      </c>
      <c r="AA188" s="67">
        <f t="shared" ref="AA188" si="1403">AA153/AA17*365</f>
        <v>3.9641076919043818E-2</v>
      </c>
      <c r="AB188" s="18">
        <f t="shared" si="1402"/>
        <v>3.8139584138894754E-2</v>
      </c>
      <c r="AC188" s="18">
        <f t="shared" si="1402"/>
        <v>3.8139584138894754E-2</v>
      </c>
      <c r="AD188" s="18">
        <f t="shared" si="1402"/>
        <v>3.8139584138894754E-2</v>
      </c>
      <c r="AE188" s="18">
        <f t="shared" si="1402"/>
        <v>3.8139584138894747E-2</v>
      </c>
      <c r="AI188" s="67">
        <f>AJ153/AI17*90</f>
        <v>0.13734210970554947</v>
      </c>
      <c r="AJ188" s="67">
        <f>AJ153/AJ17*90</f>
        <v>0.13072995854872527</v>
      </c>
      <c r="AK188" s="67">
        <f t="shared" ref="AK188:CE188" si="1404">+AJ188</f>
        <v>0.13072995854872527</v>
      </c>
      <c r="AL188" s="67">
        <f>AL153/AL17*90</f>
        <v>0.11585450840500568</v>
      </c>
      <c r="AM188" s="67">
        <f t="shared" ref="AM188:AM189" si="1405">+AL188</f>
        <v>0.11585450840500568</v>
      </c>
      <c r="AN188" s="67">
        <f>AN153/AN17*90</f>
        <v>0.11026236053932738</v>
      </c>
      <c r="AO188" s="67">
        <f t="shared" ref="AO188:AO189" si="1406">+AN188</f>
        <v>0.11026236053932738</v>
      </c>
      <c r="AP188" s="67">
        <f>AP153/AP17*90</f>
        <v>6.3518828978023856E-2</v>
      </c>
      <c r="AQ188" s="67">
        <f t="shared" ref="AQ188:AQ189" si="1407">+AP188</f>
        <v>6.3518828978023856E-2</v>
      </c>
      <c r="AR188" s="67">
        <f>AR153/AR17*90</f>
        <v>9.2696317843778769E-2</v>
      </c>
      <c r="AS188" s="67">
        <f t="shared" ref="AS188:AS189" si="1408">+AR188</f>
        <v>9.2696317843778769E-2</v>
      </c>
      <c r="AT188" s="67">
        <f>AT153/AT17*90</f>
        <v>5.9715703210931906E-2</v>
      </c>
      <c r="AU188" s="67">
        <f t="shared" ref="AU188:AU189" si="1409">+AT188</f>
        <v>5.9715703210931906E-2</v>
      </c>
      <c r="AV188" s="67">
        <f>AV153/AV17*90</f>
        <v>6.6659304251794588E-2</v>
      </c>
      <c r="AW188" s="67">
        <f t="shared" ref="AW188:AW189" si="1410">+AV188</f>
        <v>6.6659304251794588E-2</v>
      </c>
      <c r="AX188" s="67">
        <f>AX153/AX17*90</f>
        <v>5.0616893388168299E-2</v>
      </c>
      <c r="AY188" s="67">
        <f t="shared" ref="AY188:AY189" si="1411">+AX188</f>
        <v>5.0616893388168299E-2</v>
      </c>
      <c r="AZ188" s="67">
        <f>AZ153/AZ17*90</f>
        <v>5.2246960797705237E-2</v>
      </c>
      <c r="BA188" s="67">
        <f t="shared" ref="BA188:BA189" si="1412">+AZ188</f>
        <v>5.2246960797705237E-2</v>
      </c>
      <c r="BB188" s="67">
        <f>BB153/BB17*90</f>
        <v>6.3760879832669856E-2</v>
      </c>
      <c r="BC188" s="67">
        <f t="shared" ref="BC188:BC189" si="1413">+BB188</f>
        <v>6.3760879832669856E-2</v>
      </c>
      <c r="BD188" s="67">
        <f>BD153/BD17*90</f>
        <v>8.5458891326413683E-2</v>
      </c>
      <c r="BE188" s="67">
        <f t="shared" ref="BE188:BE189" si="1414">+BD188</f>
        <v>8.5458891326413683E-2</v>
      </c>
      <c r="BF188" s="67">
        <f>BF153/BF17*90</f>
        <v>7.2954014029618083E-2</v>
      </c>
      <c r="BG188" s="67">
        <f t="shared" ref="BG188:BG189" si="1415">+BF188</f>
        <v>7.2954014029618083E-2</v>
      </c>
      <c r="BH188" s="67">
        <f>BH153/BH17*90</f>
        <v>4.1515167960058615E-2</v>
      </c>
      <c r="BI188" s="67">
        <f t="shared" ref="BI188:BI189" si="1416">+BH188</f>
        <v>4.1515167960058615E-2</v>
      </c>
      <c r="BJ188" s="67">
        <f>BJ153/BJ17*90</f>
        <v>2.3677979479084454E-2</v>
      </c>
      <c r="BK188" s="67">
        <f t="shared" ref="BK188:BK189" si="1417">+BJ188</f>
        <v>2.3677979479084454E-2</v>
      </c>
      <c r="BL188" s="67">
        <f>BL153/BL17*90</f>
        <v>1.6163378402647716E-2</v>
      </c>
      <c r="BM188" s="67">
        <f t="shared" ref="BM188:BM189" si="1418">+BL188</f>
        <v>1.6163378402647716E-2</v>
      </c>
      <c r="BN188" s="67">
        <f>BN153/BN17*90</f>
        <v>1.1265208030841637E-2</v>
      </c>
      <c r="BO188" s="67">
        <f t="shared" ref="BO188:BO189" si="1419">+BN188</f>
        <v>1.1265208030841637E-2</v>
      </c>
      <c r="BP188" s="67">
        <f>BP153/BP17*90</f>
        <v>1.1212158963498194E-2</v>
      </c>
      <c r="BQ188" s="67">
        <f t="shared" ref="BQ188:BQ189" si="1420">+BP188</f>
        <v>1.1212158963498194E-2</v>
      </c>
      <c r="BR188" s="67">
        <f>BR153/BR17*90</f>
        <v>1.6474087632993937E-2</v>
      </c>
      <c r="BS188" s="67">
        <f t="shared" ref="BS188:BS189" si="1421">+BR188</f>
        <v>1.6474087632993937E-2</v>
      </c>
      <c r="BT188" s="67">
        <f>BT153/BT17*90</f>
        <v>2.6884588303070389E-2</v>
      </c>
      <c r="BU188" s="67">
        <f t="shared" ref="BU188:BU189" si="1422">+BT188</f>
        <v>2.6884588303070389E-2</v>
      </c>
      <c r="BV188" s="67">
        <f>BV153/BV17*90</f>
        <v>3.5579450890474588E-2</v>
      </c>
      <c r="BW188" s="67">
        <f t="shared" ref="BW188:BW189" si="1423">+BV188</f>
        <v>3.5579450890474588E-2</v>
      </c>
      <c r="BX188" s="67">
        <f>BX153/BX17*90</f>
        <v>5.2071091504095175E-2</v>
      </c>
      <c r="BY188" s="67">
        <f t="shared" ref="BY188:BY189" si="1424">+BX188</f>
        <v>5.2071091504095175E-2</v>
      </c>
      <c r="BZ188" s="67">
        <f>BZ153/BZ17*90</f>
        <v>4.2594908894222641E-2</v>
      </c>
      <c r="CA188" s="67">
        <f t="shared" ref="CA188:CA189" si="1425">+BZ188</f>
        <v>4.2594908894222641E-2</v>
      </c>
      <c r="CB188" s="67">
        <f>CB153/CB17*90</f>
        <v>4.2216712457280703E-2</v>
      </c>
      <c r="CC188" s="67">
        <f t="shared" ref="CC188:CC189" si="1426">+CB188</f>
        <v>4.2216712457280703E-2</v>
      </c>
      <c r="CD188" s="67">
        <f>CD153/CD17*90</f>
        <v>4.1151591358165818E-2</v>
      </c>
      <c r="CE188" s="67">
        <f t="shared" si="1404"/>
        <v>4.1151591358165818E-2</v>
      </c>
      <c r="CF188" s="67">
        <f>CF153/CF17*90</f>
        <v>4.0616878569538897E-2</v>
      </c>
      <c r="CG188" s="67">
        <f t="shared" ref="CG188:CI189" si="1427">+CF188</f>
        <v>4.0616878569538897E-2</v>
      </c>
      <c r="CH188" s="67">
        <f>CH153/CH17*90</f>
        <v>2.9311868980598337E-2</v>
      </c>
      <c r="CI188" s="67">
        <f t="shared" si="1427"/>
        <v>2.9311868980598337E-2</v>
      </c>
      <c r="CJ188" s="67">
        <f>CJ153/CJ17*90</f>
        <v>3.5562850499247713E-2</v>
      </c>
      <c r="CK188" s="67">
        <f t="shared" ref="CK188:CK189" si="1428">+CJ188</f>
        <v>3.5562850499247713E-2</v>
      </c>
      <c r="CL188" s="67">
        <f>CL153/CL17*90</f>
        <v>3.6917593142663158E-2</v>
      </c>
      <c r="CM188" s="30">
        <f t="shared" ref="CM188:CM189" si="1429">+CL188</f>
        <v>3.6917593142663158E-2</v>
      </c>
      <c r="CN188" s="30">
        <f t="shared" ref="CN188:CN189" si="1430">+CM188</f>
        <v>3.6917593142663158E-2</v>
      </c>
      <c r="CO188" s="30">
        <f t="shared" ref="CO188:CO189" si="1431">+CN188</f>
        <v>3.6917593142663158E-2</v>
      </c>
      <c r="CP188" s="30">
        <f t="shared" ref="CP188:CP189" si="1432">+CO188</f>
        <v>3.6917593142663158E-2</v>
      </c>
      <c r="CQ188" s="30">
        <f t="shared" ref="CQ188:CQ189" si="1433">+CP188</f>
        <v>3.6917593142663158E-2</v>
      </c>
      <c r="CR188" s="30">
        <f t="shared" ref="CR188:CR189" si="1434">+CQ188</f>
        <v>3.6917593142663158E-2</v>
      </c>
      <c r="CS188" s="30">
        <f t="shared" ref="CS188:CS189" si="1435">+CR188</f>
        <v>3.6917593142663158E-2</v>
      </c>
      <c r="CT188" s="30">
        <f t="shared" ref="CT188:CT189" si="1436">+CS188</f>
        <v>3.6917593142663158E-2</v>
      </c>
      <c r="CU188" s="30">
        <f t="shared" ref="CU188:CU189" si="1437">+CT188</f>
        <v>3.6917593142663158E-2</v>
      </c>
      <c r="CV188" s="30">
        <f t="shared" ref="CV188:CV189" si="1438">+CU188</f>
        <v>3.6917593142663158E-2</v>
      </c>
      <c r="CW188" s="30">
        <f t="shared" ref="CW188:CW189" si="1439">+CV188</f>
        <v>3.6917593142663158E-2</v>
      </c>
      <c r="CX188" s="30">
        <f t="shared" ref="CX188:CX189" si="1440">+CW188</f>
        <v>3.6917593142663158E-2</v>
      </c>
      <c r="CY188" s="30">
        <f t="shared" ref="CY188:CY189" si="1441">+CX188</f>
        <v>3.6917593142663158E-2</v>
      </c>
      <c r="CZ188" s="30">
        <f t="shared" ref="CZ188:CZ189" si="1442">+CY188</f>
        <v>3.6917593142663158E-2</v>
      </c>
      <c r="DA188" s="30">
        <f t="shared" ref="DA188:DA189" si="1443">+CZ188</f>
        <v>3.6917593142663158E-2</v>
      </c>
      <c r="DB188" s="30">
        <f t="shared" ref="DB188:DB189" si="1444">+DA188</f>
        <v>3.6917593142663158E-2</v>
      </c>
      <c r="DE188" s="139"/>
      <c r="DF188" s="114">
        <v>3.5562850499247713E-2</v>
      </c>
    </row>
    <row r="189" spans="1:110" s="62" customFormat="1" outlineLevel="1" x14ac:dyDescent="0.2">
      <c r="A189" s="68" t="s">
        <v>465</v>
      </c>
      <c r="B189" s="67" t="e">
        <f t="shared" ref="B189:AE189" si="1445">B154/B17*365</f>
        <v>#DIV/0!</v>
      </c>
      <c r="C189" s="67" t="e">
        <f t="shared" si="1445"/>
        <v>#DIV/0!</v>
      </c>
      <c r="D189" s="67" t="e">
        <f t="shared" si="1445"/>
        <v>#DIV/0!</v>
      </c>
      <c r="E189" s="67" t="e">
        <f t="shared" si="1445"/>
        <v>#DIV/0!</v>
      </c>
      <c r="F189" s="67">
        <f t="shared" si="1445"/>
        <v>85.333612535600849</v>
      </c>
      <c r="G189" s="67">
        <f t="shared" si="1445"/>
        <v>102.71365909072064</v>
      </c>
      <c r="H189" s="67">
        <f t="shared" si="1445"/>
        <v>99.25023799547607</v>
      </c>
      <c r="I189" s="67">
        <f t="shared" si="1445"/>
        <v>108.59429060199317</v>
      </c>
      <c r="J189" s="67">
        <f t="shared" si="1445"/>
        <v>99.932590232019024</v>
      </c>
      <c r="K189" s="67">
        <f t="shared" si="1445"/>
        <v>85.770893503713538</v>
      </c>
      <c r="L189" s="67">
        <f t="shared" si="1445"/>
        <v>93.329265437063526</v>
      </c>
      <c r="M189" s="67">
        <f t="shared" si="1445"/>
        <v>102.78054418858069</v>
      </c>
      <c r="N189" s="67">
        <f t="shared" si="1445"/>
        <v>99.878277290312937</v>
      </c>
      <c r="O189" s="67">
        <f t="shared" si="1445"/>
        <v>99.20418833256673</v>
      </c>
      <c r="P189" s="67">
        <f t="shared" si="1445"/>
        <v>93.571034045587808</v>
      </c>
      <c r="Q189" s="67">
        <f t="shared" si="1445"/>
        <v>94.285339543103291</v>
      </c>
      <c r="R189" s="67">
        <f t="shared" si="1445"/>
        <v>86.093662580743597</v>
      </c>
      <c r="S189" s="67">
        <f t="shared" si="1445"/>
        <v>93.779121718221987</v>
      </c>
      <c r="T189" s="67">
        <f t="shared" si="1445"/>
        <v>81.000628144992248</v>
      </c>
      <c r="U189" s="67">
        <f t="shared" si="1445"/>
        <v>84.335421060344444</v>
      </c>
      <c r="V189" s="67">
        <f t="shared" si="1445"/>
        <v>81.507336594041803</v>
      </c>
      <c r="W189" s="67">
        <f t="shared" si="1445"/>
        <v>79.584519749262071</v>
      </c>
      <c r="X189" s="67">
        <f t="shared" si="1445"/>
        <v>80.871869705222267</v>
      </c>
      <c r="Y189" s="67">
        <f t="shared" si="1445"/>
        <v>81.179631620678066</v>
      </c>
      <c r="Z189" s="67">
        <f t="shared" si="1445"/>
        <v>84.409573718099367</v>
      </c>
      <c r="AA189" s="67">
        <f t="shared" ref="AA189" si="1446">AA154/AA17*365</f>
        <v>92.560547672280464</v>
      </c>
      <c r="AB189" s="18">
        <f t="shared" si="1445"/>
        <v>89.054613806245513</v>
      </c>
      <c r="AC189" s="18">
        <f t="shared" si="1445"/>
        <v>89.054613806245513</v>
      </c>
      <c r="AD189" s="18">
        <f t="shared" si="1445"/>
        <v>89.054613806245484</v>
      </c>
      <c r="AE189" s="18">
        <f t="shared" si="1445"/>
        <v>89.054613806245484</v>
      </c>
      <c r="AI189" s="67">
        <f>AJ154/AI17*90</f>
        <v>76.314515516140943</v>
      </c>
      <c r="AJ189" s="67">
        <f>AJ154/AJ17*90</f>
        <v>72.640455803978682</v>
      </c>
      <c r="AK189" s="67">
        <f>+AJ189</f>
        <v>72.640455803978682</v>
      </c>
      <c r="AL189" s="67">
        <f>AL154/AL17*90</f>
        <v>94.417918587177567</v>
      </c>
      <c r="AM189" s="67">
        <f t="shared" si="1405"/>
        <v>94.417918587177567</v>
      </c>
      <c r="AN189" s="67">
        <f>AN154/AN17*90</f>
        <v>73.974459938485708</v>
      </c>
      <c r="AO189" s="67">
        <f t="shared" si="1406"/>
        <v>73.974459938485708</v>
      </c>
      <c r="AP189" s="67">
        <f>AP154/AP17*90</f>
        <v>92.860310081763842</v>
      </c>
      <c r="AQ189" s="67">
        <f t="shared" si="1407"/>
        <v>92.860310081763842</v>
      </c>
      <c r="AR189" s="67">
        <f>AR154/AR17*90</f>
        <v>92.424086178981938</v>
      </c>
      <c r="AS189" s="67">
        <f t="shared" si="1408"/>
        <v>92.424086178981938</v>
      </c>
      <c r="AT189" s="67">
        <f>AT154/AT17*90</f>
        <v>90.168184986143544</v>
      </c>
      <c r="AU189" s="67">
        <f t="shared" si="1409"/>
        <v>90.168184986143544</v>
      </c>
      <c r="AV189" s="67">
        <f>AV154/AV17*90</f>
        <v>88.596311430149086</v>
      </c>
      <c r="AW189" s="67">
        <f t="shared" si="1410"/>
        <v>88.596311430149086</v>
      </c>
      <c r="AX189" s="67">
        <f>AX154/AX17*90</f>
        <v>88.785194558683955</v>
      </c>
      <c r="AY189" s="67">
        <f t="shared" si="1411"/>
        <v>88.785194558683955</v>
      </c>
      <c r="AZ189" s="67">
        <f>AZ154/AZ17*90</f>
        <v>91.502868460592808</v>
      </c>
      <c r="BA189" s="67">
        <f t="shared" si="1412"/>
        <v>91.502868460592808</v>
      </c>
      <c r="BB189" s="67">
        <f>BB154/BB17*90</f>
        <v>84.483165778287571</v>
      </c>
      <c r="BC189" s="67">
        <f t="shared" si="1413"/>
        <v>84.483165778287571</v>
      </c>
      <c r="BD189" s="67">
        <f>BD154/BD17*90</f>
        <v>93.138404112504489</v>
      </c>
      <c r="BE189" s="67">
        <f t="shared" si="1414"/>
        <v>93.138404112504489</v>
      </c>
      <c r="BF189" s="67">
        <f>BF154/BF17*90</f>
        <v>88.748558067030402</v>
      </c>
      <c r="BG189" s="67">
        <f t="shared" si="1415"/>
        <v>88.748558067030402</v>
      </c>
      <c r="BH189" s="67">
        <f>BH154/BH17*90</f>
        <v>83.120692462147929</v>
      </c>
      <c r="BI189" s="67">
        <f t="shared" si="1416"/>
        <v>83.120692462147929</v>
      </c>
      <c r="BJ189" s="67">
        <f>BJ154/BJ17*90</f>
        <v>76.96053670086819</v>
      </c>
      <c r="BK189" s="67">
        <f t="shared" si="1417"/>
        <v>76.96053670086819</v>
      </c>
      <c r="BL189" s="67">
        <f>BL154/BL17*90</f>
        <v>78.708725658721804</v>
      </c>
      <c r="BM189" s="67">
        <f t="shared" si="1418"/>
        <v>78.708725658721804</v>
      </c>
      <c r="BN189" s="67">
        <f>BN154/BN17*90</f>
        <v>81.704300806088213</v>
      </c>
      <c r="BO189" s="67">
        <f t="shared" si="1419"/>
        <v>81.704300806088213</v>
      </c>
      <c r="BP189" s="67">
        <f>BP154/BP17*90</f>
        <v>76.126074498567334</v>
      </c>
      <c r="BQ189" s="67">
        <f t="shared" si="1420"/>
        <v>76.126074498567334</v>
      </c>
      <c r="BR189" s="67">
        <f>BR154/BR17*90</f>
        <v>75.49662510010296</v>
      </c>
      <c r="BS189" s="67">
        <f t="shared" si="1421"/>
        <v>75.49662510010296</v>
      </c>
      <c r="BT189" s="67">
        <f>BT154/BT17*90</f>
        <v>75.874069174472439</v>
      </c>
      <c r="BU189" s="67">
        <f t="shared" si="1422"/>
        <v>75.874069174472439</v>
      </c>
      <c r="BV189" s="67">
        <f>BV154/BV17*90</f>
        <v>74.378842086537134</v>
      </c>
      <c r="BW189" s="67">
        <f t="shared" si="1423"/>
        <v>74.378842086537134</v>
      </c>
      <c r="BX189" s="67">
        <f>BX154/BX17*90</f>
        <v>75.101158943390772</v>
      </c>
      <c r="BY189" s="67">
        <f t="shared" si="1424"/>
        <v>75.101158943390772</v>
      </c>
      <c r="BZ189" s="67">
        <f>BZ154/BZ17*90</f>
        <v>75.992359960785635</v>
      </c>
      <c r="CA189" s="67">
        <f t="shared" si="1425"/>
        <v>75.992359960785635</v>
      </c>
      <c r="CB189" s="67">
        <f>CB154/CB17*90</f>
        <v>77.128425919721238</v>
      </c>
      <c r="CC189" s="67">
        <f t="shared" si="1426"/>
        <v>77.128425919721238</v>
      </c>
      <c r="CD189" s="67">
        <f>CD154/CD17*90</f>
        <v>78.742100364158915</v>
      </c>
      <c r="CE189" s="114">
        <f t="shared" ref="CE189" si="1447">+CD189</f>
        <v>78.742100364158915</v>
      </c>
      <c r="CF189" s="67">
        <f>CF154/CF17*90</f>
        <v>80.827588353382396</v>
      </c>
      <c r="CG189" s="67">
        <f t="shared" si="1427"/>
        <v>80.827588353382396</v>
      </c>
      <c r="CH189" s="67">
        <f>CH154/CH17*90</f>
        <v>82.416600753733775</v>
      </c>
      <c r="CI189" s="67">
        <f t="shared" si="1427"/>
        <v>82.416600753733775</v>
      </c>
      <c r="CJ189" s="67">
        <f>CJ154/CJ17*90</f>
        <v>86.587334154014499</v>
      </c>
      <c r="CK189" s="67">
        <f t="shared" si="1428"/>
        <v>86.587334154014499</v>
      </c>
      <c r="CL189" s="67">
        <f>CL154/CL17*90</f>
        <v>86.201306967665275</v>
      </c>
      <c r="CM189" s="30">
        <f t="shared" si="1429"/>
        <v>86.201306967665275</v>
      </c>
      <c r="CN189" s="30">
        <f t="shared" si="1430"/>
        <v>86.201306967665275</v>
      </c>
      <c r="CO189" s="30">
        <f t="shared" si="1431"/>
        <v>86.201306967665275</v>
      </c>
      <c r="CP189" s="30">
        <f t="shared" si="1432"/>
        <v>86.201306967665275</v>
      </c>
      <c r="CQ189" s="30">
        <f t="shared" si="1433"/>
        <v>86.201306967665275</v>
      </c>
      <c r="CR189" s="30">
        <f t="shared" si="1434"/>
        <v>86.201306967665275</v>
      </c>
      <c r="CS189" s="30">
        <f t="shared" si="1435"/>
        <v>86.201306967665275</v>
      </c>
      <c r="CT189" s="30">
        <f t="shared" si="1436"/>
        <v>86.201306967665275</v>
      </c>
      <c r="CU189" s="30">
        <f t="shared" si="1437"/>
        <v>86.201306967665275</v>
      </c>
      <c r="CV189" s="30">
        <f t="shared" si="1438"/>
        <v>86.201306967665275</v>
      </c>
      <c r="CW189" s="30">
        <f t="shared" si="1439"/>
        <v>86.201306967665275</v>
      </c>
      <c r="CX189" s="30">
        <f t="shared" si="1440"/>
        <v>86.201306967665275</v>
      </c>
      <c r="CY189" s="30">
        <f t="shared" si="1441"/>
        <v>86.201306967665275</v>
      </c>
      <c r="CZ189" s="30">
        <f t="shared" si="1442"/>
        <v>86.201306967665275</v>
      </c>
      <c r="DA189" s="30">
        <f t="shared" si="1443"/>
        <v>86.201306967665275</v>
      </c>
      <c r="DB189" s="30">
        <f t="shared" si="1444"/>
        <v>86.201306967665275</v>
      </c>
      <c r="DE189" s="139"/>
      <c r="DF189" s="114">
        <v>86.587334154014499</v>
      </c>
    </row>
    <row r="190" spans="1:110" s="62" customFormat="1" outlineLevel="1" x14ac:dyDescent="0.2">
      <c r="A190" s="68" t="s">
        <v>466</v>
      </c>
      <c r="B190" s="67" t="e">
        <f>B191-B189-B188</f>
        <v>#DIV/0!</v>
      </c>
      <c r="C190" s="67" t="e">
        <f t="shared" ref="C190:U190" si="1448">C191-C189-C188</f>
        <v>#DIV/0!</v>
      </c>
      <c r="D190" s="67" t="e">
        <f t="shared" si="1448"/>
        <v>#DIV/0!</v>
      </c>
      <c r="E190" s="67" t="e">
        <f t="shared" si="1448"/>
        <v>#DIV/0!</v>
      </c>
      <c r="F190" s="67">
        <f t="shared" si="1448"/>
        <v>24.830453825002724</v>
      </c>
      <c r="G190" s="67">
        <f t="shared" si="1448"/>
        <v>25.548687595685529</v>
      </c>
      <c r="H190" s="67">
        <f t="shared" si="1448"/>
        <v>25.5298215421893</v>
      </c>
      <c r="I190" s="67">
        <f t="shared" si="1448"/>
        <v>32.819158929112149</v>
      </c>
      <c r="J190" s="67">
        <f t="shared" si="1448"/>
        <v>41.489464662181803</v>
      </c>
      <c r="K190" s="67">
        <f t="shared" si="1448"/>
        <v>48.569938836423511</v>
      </c>
      <c r="L190" s="67">
        <f t="shared" si="1448"/>
        <v>76.449688383963689</v>
      </c>
      <c r="M190" s="67">
        <f t="shared" si="1448"/>
        <v>74.776055710629961</v>
      </c>
      <c r="N190" s="67">
        <f t="shared" si="1448"/>
        <v>82.340571484815911</v>
      </c>
      <c r="O190" s="67">
        <f t="shared" si="1448"/>
        <v>61.878294652003731</v>
      </c>
      <c r="P190" s="67">
        <f t="shared" si="1448"/>
        <v>54.617404189007168</v>
      </c>
      <c r="Q190" s="67">
        <f t="shared" si="1448"/>
        <v>50.571074866999247</v>
      </c>
      <c r="R190" s="67">
        <f t="shared" si="1448"/>
        <v>40.863935371208655</v>
      </c>
      <c r="S190" s="67">
        <f t="shared" si="1448"/>
        <v>43.798576813101128</v>
      </c>
      <c r="T190" s="67">
        <f t="shared" si="1448"/>
        <v>60.665116787174938</v>
      </c>
      <c r="U190" s="67">
        <f t="shared" si="1448"/>
        <v>55.688726911289677</v>
      </c>
      <c r="V190" s="67">
        <f>V191-V189-V188</f>
        <v>65.604713205869274</v>
      </c>
      <c r="W190" s="67">
        <f t="shared" ref="W190" si="1449">W191-W189-W188</f>
        <v>47.143501569719554</v>
      </c>
      <c r="X190" s="67">
        <f t="shared" ref="X190:Y190" si="1450">X191-X189-X188</f>
        <v>33.055247540561872</v>
      </c>
      <c r="Y190" s="67">
        <f t="shared" si="1450"/>
        <v>35.190416491969451</v>
      </c>
      <c r="Z190" s="67">
        <f t="shared" ref="Z190:AA190" si="1451">Z191-Z189-Z188</f>
        <v>37.108419106703622</v>
      </c>
      <c r="AA190" s="67">
        <f t="shared" si="1451"/>
        <v>39.996479677628336</v>
      </c>
      <c r="AB190" s="18">
        <f t="shared" ref="AA190:AD190" si="1452">AB191-AB189-AB188</f>
        <v>52.983773317367373</v>
      </c>
      <c r="AC190" s="18">
        <f t="shared" si="1452"/>
        <v>52.983773317367373</v>
      </c>
      <c r="AD190" s="18">
        <f t="shared" si="1452"/>
        <v>52.983773317367344</v>
      </c>
      <c r="AE190" s="18">
        <f t="shared" ref="AE190" si="1453">AE191-AE189-AE188</f>
        <v>52.983773317367344</v>
      </c>
      <c r="AI190" s="67">
        <f t="shared" ref="AI190:AK190" si="1454">AI191-AI189-AI188</f>
        <v>-76.451857625846486</v>
      </c>
      <c r="AJ190" s="67">
        <f t="shared" ref="AJ190:AM190" si="1455">AJ191-AJ189-AJ188</f>
        <v>73.644178416529286</v>
      </c>
      <c r="AK190" s="67">
        <f t="shared" si="1454"/>
        <v>71.253186033135023</v>
      </c>
      <c r="AL190" s="67">
        <f t="shared" si="1455"/>
        <v>77.839001490557848</v>
      </c>
      <c r="AM190" s="67">
        <f t="shared" si="1455"/>
        <v>70.552431760764279</v>
      </c>
      <c r="AN190" s="67">
        <f t="shared" ref="AN190:AY190" si="1456">AN191-AN189-AN188</f>
        <v>82.950674159231596</v>
      </c>
      <c r="AO190" s="67">
        <f t="shared" si="1456"/>
        <v>81.716890611234362</v>
      </c>
      <c r="AP190" s="67">
        <f t="shared" si="1456"/>
        <v>57.956692677725378</v>
      </c>
      <c r="AQ190" s="67">
        <f t="shared" si="1456"/>
        <v>56.488996668178764</v>
      </c>
      <c r="AR190" s="67">
        <f t="shared" si="1456"/>
        <v>49.794436457444597</v>
      </c>
      <c r="AS190" s="67">
        <f t="shared" si="1456"/>
        <v>48.402980432747235</v>
      </c>
      <c r="AT190" s="67">
        <f t="shared" si="1456"/>
        <v>52.631161497884356</v>
      </c>
      <c r="AU190" s="67">
        <f t="shared" si="1456"/>
        <v>49.661605890603077</v>
      </c>
      <c r="AV190" s="67">
        <f t="shared" si="1456"/>
        <v>45.588834897846489</v>
      </c>
      <c r="AW190" s="67">
        <f t="shared" si="1456"/>
        <v>45.257297909662334</v>
      </c>
      <c r="AX190" s="67">
        <f t="shared" si="1456"/>
        <v>47.621006010756091</v>
      </c>
      <c r="AY190" s="67">
        <f t="shared" si="1456"/>
        <v>46.229994881419557</v>
      </c>
      <c r="AZ190" s="67">
        <f t="shared" ref="AZ190:BC190" si="1457">AZ191-AZ189-AZ188</f>
        <v>45.233574648272096</v>
      </c>
      <c r="BA190" s="67">
        <f t="shared" si="1457"/>
        <v>44.547502942660159</v>
      </c>
      <c r="BB190" s="67">
        <f t="shared" si="1457"/>
        <v>40.099520950003352</v>
      </c>
      <c r="BC190" s="67">
        <f t="shared" si="1457"/>
        <v>40.178136830719311</v>
      </c>
      <c r="BD190" s="67">
        <f t="shared" ref="BD190:CE190" si="1458">BD191-BD189-BD188</f>
        <v>34.616744703840766</v>
      </c>
      <c r="BE190" s="67">
        <f t="shared" si="1458"/>
        <v>34.210134610406413</v>
      </c>
      <c r="BF190" s="67">
        <f t="shared" si="1458"/>
        <v>41.449103663289165</v>
      </c>
      <c r="BG190" s="67">
        <f t="shared" si="1458"/>
        <v>38.804471556580367</v>
      </c>
      <c r="BH190" s="67">
        <f t="shared" si="1458"/>
        <v>42.516416128507089</v>
      </c>
      <c r="BI190" s="67">
        <f t="shared" si="1458"/>
        <v>41.965290053029079</v>
      </c>
      <c r="BJ190" s="67">
        <f t="shared" si="1458"/>
        <v>57.639305445935285</v>
      </c>
      <c r="BK190" s="67">
        <f t="shared" si="1458"/>
        <v>57.394687205281336</v>
      </c>
      <c r="BL190" s="67">
        <f t="shared" si="1458"/>
        <v>71.033429971521656</v>
      </c>
      <c r="BM190" s="67">
        <f t="shared" si="1458"/>
        <v>69.470316655793624</v>
      </c>
      <c r="BN190" s="67">
        <f t="shared" si="1458"/>
        <v>71.962148901016377</v>
      </c>
      <c r="BO190" s="67">
        <f t="shared" si="1458"/>
        <v>75.011742602160666</v>
      </c>
      <c r="BP190" s="67">
        <f t="shared" si="1458"/>
        <v>79.115236078235966</v>
      </c>
      <c r="BQ190" s="67">
        <f t="shared" si="1458"/>
        <v>75.575151731524443</v>
      </c>
      <c r="BR190" s="67">
        <f t="shared" si="1458"/>
        <v>76.485070358082581</v>
      </c>
      <c r="BS190" s="67">
        <f t="shared" si="1458"/>
        <v>73.611679989429845</v>
      </c>
      <c r="BT190" s="67">
        <f t="shared" si="1458"/>
        <v>69.869204344208072</v>
      </c>
      <c r="BU190" s="67">
        <f t="shared" si="1458"/>
        <v>66.984964713102187</v>
      </c>
      <c r="BV190" s="67">
        <f t="shared" si="1458"/>
        <v>57.6440473602024</v>
      </c>
      <c r="BW190" s="67">
        <f t="shared" si="1458"/>
        <v>55.276356192425801</v>
      </c>
      <c r="BX190" s="67">
        <f t="shared" si="1458"/>
        <v>55.41828635484277</v>
      </c>
      <c r="BY190" s="67">
        <f t="shared" si="1458"/>
        <v>52.639234745573525</v>
      </c>
      <c r="BZ190" s="67">
        <f t="shared" si="1458"/>
        <v>42.561441465805764</v>
      </c>
      <c r="CA190" s="67">
        <f t="shared" si="1458"/>
        <v>42.404472811168539</v>
      </c>
      <c r="CB190" s="67">
        <f t="shared" si="1458"/>
        <v>44.487368491590153</v>
      </c>
      <c r="CC190" s="67">
        <f t="shared" si="1458"/>
        <v>43.833088490170518</v>
      </c>
      <c r="CD190" s="67">
        <f t="shared" si="1458"/>
        <v>45.723827097996313</v>
      </c>
      <c r="CE190" s="114">
        <f t="shared" si="1458"/>
        <v>44.718988069570223</v>
      </c>
      <c r="CF190" s="67">
        <f t="shared" ref="CF190:CG190" si="1459">CF191-CF189-CF188</f>
        <v>47.523148508380174</v>
      </c>
      <c r="CG190" s="67">
        <f t="shared" si="1459"/>
        <v>47.735607209291416</v>
      </c>
      <c r="CH190" s="67">
        <f t="shared" ref="CH190" si="1460">CH191-CH189-CH188</f>
        <v>36.232261666589125</v>
      </c>
      <c r="CI190" s="67">
        <f>CH190</f>
        <v>36.232261666589125</v>
      </c>
      <c r="CJ190" s="67">
        <f t="shared" ref="CJ190" si="1461">CJ191-CJ189-CJ188</f>
        <v>53.178771713855824</v>
      </c>
      <c r="CK190" s="67">
        <f t="shared" ref="CK190:DB190" si="1462">CJ190</f>
        <v>53.178771713855824</v>
      </c>
      <c r="CL190" s="67">
        <f t="shared" ref="CL190" si="1463">CL191-CL189-CL188</f>
        <v>51.286174997878305</v>
      </c>
      <c r="CM190" s="30">
        <f t="shared" si="1462"/>
        <v>51.286174997878305</v>
      </c>
      <c r="CN190" s="30">
        <f t="shared" si="1462"/>
        <v>51.286174997878305</v>
      </c>
      <c r="CO190" s="30">
        <f t="shared" si="1462"/>
        <v>51.286174997878305</v>
      </c>
      <c r="CP190" s="30">
        <f t="shared" si="1462"/>
        <v>51.286174997878305</v>
      </c>
      <c r="CQ190" s="30">
        <f t="shared" si="1462"/>
        <v>51.286174997878305</v>
      </c>
      <c r="CR190" s="30">
        <f t="shared" si="1462"/>
        <v>51.286174997878305</v>
      </c>
      <c r="CS190" s="30">
        <f t="shared" si="1462"/>
        <v>51.286174997878305</v>
      </c>
      <c r="CT190" s="30">
        <f t="shared" si="1462"/>
        <v>51.286174997878305</v>
      </c>
      <c r="CU190" s="30">
        <f t="shared" si="1462"/>
        <v>51.286174997878305</v>
      </c>
      <c r="CV190" s="30">
        <f t="shared" si="1462"/>
        <v>51.286174997878305</v>
      </c>
      <c r="CW190" s="30">
        <f t="shared" si="1462"/>
        <v>51.286174997878305</v>
      </c>
      <c r="CX190" s="30">
        <f t="shared" si="1462"/>
        <v>51.286174997878305</v>
      </c>
      <c r="CY190" s="30">
        <f t="shared" si="1462"/>
        <v>51.286174997878305</v>
      </c>
      <c r="CZ190" s="30">
        <f t="shared" si="1462"/>
        <v>51.286174997878305</v>
      </c>
      <c r="DA190" s="30">
        <f t="shared" si="1462"/>
        <v>51.286174997878305</v>
      </c>
      <c r="DB190" s="30">
        <f t="shared" si="1462"/>
        <v>51.286174997878305</v>
      </c>
      <c r="DE190" s="139"/>
      <c r="DF190" s="114">
        <v>53.178771713855824</v>
      </c>
    </row>
    <row r="191" spans="1:110" s="7" customFormat="1" outlineLevel="1" x14ac:dyDescent="0.2">
      <c r="A191" s="69" t="s">
        <v>467</v>
      </c>
      <c r="B191" s="70" t="e">
        <f t="shared" ref="B191:AE191" si="1464">B157/B17*365</f>
        <v>#DIV/0!</v>
      </c>
      <c r="C191" s="70" t="e">
        <f t="shared" si="1464"/>
        <v>#DIV/0!</v>
      </c>
      <c r="D191" s="70" t="e">
        <f t="shared" si="1464"/>
        <v>#DIV/0!</v>
      </c>
      <c r="E191" s="70" t="e">
        <f t="shared" si="1464"/>
        <v>#DIV/0!</v>
      </c>
      <c r="F191" s="70">
        <f t="shared" si="1464"/>
        <v>111.36152626927675</v>
      </c>
      <c r="G191" s="70">
        <f t="shared" si="1464"/>
        <v>130.48105284819738</v>
      </c>
      <c r="H191" s="70">
        <f t="shared" si="1464"/>
        <v>125.59258866836515</v>
      </c>
      <c r="I191" s="70">
        <f t="shared" si="1464"/>
        <v>142.09803579203754</v>
      </c>
      <c r="J191" s="70">
        <f t="shared" si="1464"/>
        <v>141.90233600911165</v>
      </c>
      <c r="K191" s="70">
        <f t="shared" si="1464"/>
        <v>134.55706607977342</v>
      </c>
      <c r="L191" s="70">
        <f t="shared" si="1464"/>
        <v>170.00211119797626</v>
      </c>
      <c r="M191" s="70">
        <f t="shared" si="1464"/>
        <v>177.68925501819439</v>
      </c>
      <c r="N191" s="70">
        <f t="shared" si="1464"/>
        <v>182.34140335892985</v>
      </c>
      <c r="O191" s="70">
        <f t="shared" si="1464"/>
        <v>161.15034118865196</v>
      </c>
      <c r="P191" s="70">
        <f t="shared" si="1464"/>
        <v>148.25040754338238</v>
      </c>
      <c r="Q191" s="70">
        <f t="shared" si="1464"/>
        <v>144.91016696426928</v>
      </c>
      <c r="R191" s="70">
        <f t="shared" si="1464"/>
        <v>127.0225743010698</v>
      </c>
      <c r="S191" s="70">
        <f t="shared" si="1464"/>
        <v>137.65478782167924</v>
      </c>
      <c r="T191" s="70">
        <f t="shared" si="1464"/>
        <v>141.69066590196843</v>
      </c>
      <c r="U191" s="70">
        <f t="shared" si="1464"/>
        <v>140.03577595269803</v>
      </c>
      <c r="V191" s="70">
        <f t="shared" si="1464"/>
        <v>147.12983548243665</v>
      </c>
      <c r="W191" s="70">
        <f t="shared" si="1464"/>
        <v>126.7660909290028</v>
      </c>
      <c r="X191" s="70">
        <f t="shared" si="1464"/>
        <v>113.97244719637361</v>
      </c>
      <c r="Y191" s="70">
        <f t="shared" si="1464"/>
        <v>116.4124735878585</v>
      </c>
      <c r="Z191" s="70">
        <f t="shared" si="1464"/>
        <v>121.54801350441008</v>
      </c>
      <c r="AA191" s="70">
        <f t="shared" ref="AA191" si="1465">AA157/AA17*365</f>
        <v>132.59666842682785</v>
      </c>
      <c r="AB191" s="71">
        <f t="shared" si="1464"/>
        <v>142.07652670775178</v>
      </c>
      <c r="AC191" s="71">
        <f t="shared" si="1464"/>
        <v>142.07652670775178</v>
      </c>
      <c r="AD191" s="71">
        <f t="shared" si="1464"/>
        <v>142.07652670775173</v>
      </c>
      <c r="AE191" s="71">
        <f t="shared" si="1464"/>
        <v>142.07652670775173</v>
      </c>
      <c r="AI191" s="70">
        <f t="shared" ref="AI191:CD191" si="1466">AI157/AI17*90</f>
        <v>0</v>
      </c>
      <c r="AJ191" s="70">
        <f t="shared" si="1466"/>
        <v>146.4153641790567</v>
      </c>
      <c r="AK191" s="70">
        <f t="shared" si="1466"/>
        <v>144.02437179566243</v>
      </c>
      <c r="AL191" s="70">
        <f t="shared" si="1466"/>
        <v>172.37277458614042</v>
      </c>
      <c r="AM191" s="70">
        <f t="shared" si="1466"/>
        <v>165.08620485634685</v>
      </c>
      <c r="AN191" s="70">
        <f t="shared" si="1466"/>
        <v>157.03539645825663</v>
      </c>
      <c r="AO191" s="70">
        <f t="shared" si="1466"/>
        <v>155.80161291025939</v>
      </c>
      <c r="AP191" s="70">
        <f t="shared" si="1466"/>
        <v>150.88052158846725</v>
      </c>
      <c r="AQ191" s="70">
        <f t="shared" si="1466"/>
        <v>149.41282557892063</v>
      </c>
      <c r="AR191" s="70">
        <f t="shared" si="1466"/>
        <v>142.31121895427032</v>
      </c>
      <c r="AS191" s="70">
        <f t="shared" si="1466"/>
        <v>140.91976292957295</v>
      </c>
      <c r="AT191" s="70">
        <f t="shared" si="1466"/>
        <v>142.85906218723883</v>
      </c>
      <c r="AU191" s="70">
        <f t="shared" si="1466"/>
        <v>139.88950657995755</v>
      </c>
      <c r="AV191" s="70">
        <f t="shared" si="1466"/>
        <v>134.25180563224737</v>
      </c>
      <c r="AW191" s="70">
        <f t="shared" si="1466"/>
        <v>133.92026864406321</v>
      </c>
      <c r="AX191" s="70">
        <f t="shared" si="1466"/>
        <v>136.45681746282821</v>
      </c>
      <c r="AY191" s="70">
        <f t="shared" si="1466"/>
        <v>135.06580633349168</v>
      </c>
      <c r="AZ191" s="70">
        <f t="shared" si="1466"/>
        <v>136.78869006966261</v>
      </c>
      <c r="BA191" s="70">
        <f t="shared" si="1466"/>
        <v>136.10261836405067</v>
      </c>
      <c r="BB191" s="70">
        <f t="shared" si="1466"/>
        <v>124.64644760812359</v>
      </c>
      <c r="BC191" s="70">
        <f t="shared" si="1466"/>
        <v>124.72506348883955</v>
      </c>
      <c r="BD191" s="70">
        <f t="shared" si="1466"/>
        <v>127.84060770767167</v>
      </c>
      <c r="BE191" s="70">
        <f t="shared" si="1466"/>
        <v>127.43399761423731</v>
      </c>
      <c r="BF191" s="70">
        <f t="shared" si="1466"/>
        <v>130.27061574434919</v>
      </c>
      <c r="BG191" s="70">
        <f t="shared" si="1466"/>
        <v>127.62598363764039</v>
      </c>
      <c r="BH191" s="70">
        <f t="shared" si="1466"/>
        <v>125.67862375861507</v>
      </c>
      <c r="BI191" s="70">
        <f t="shared" si="1466"/>
        <v>125.12749768313707</v>
      </c>
      <c r="BJ191" s="70">
        <f t="shared" si="1466"/>
        <v>134.62352012628256</v>
      </c>
      <c r="BK191" s="70">
        <f t="shared" si="1466"/>
        <v>134.37890188562861</v>
      </c>
      <c r="BL191" s="70">
        <f t="shared" si="1466"/>
        <v>149.75831900864611</v>
      </c>
      <c r="BM191" s="70">
        <f t="shared" si="1466"/>
        <v>148.19520569291808</v>
      </c>
      <c r="BN191" s="70">
        <f t="shared" si="1466"/>
        <v>153.67771491513543</v>
      </c>
      <c r="BO191" s="70">
        <f t="shared" si="1466"/>
        <v>156.72730861627971</v>
      </c>
      <c r="BP191" s="70">
        <f t="shared" si="1466"/>
        <v>155.2525227357668</v>
      </c>
      <c r="BQ191" s="70">
        <f t="shared" si="1466"/>
        <v>151.71243838905528</v>
      </c>
      <c r="BR191" s="70">
        <f t="shared" si="1466"/>
        <v>151.99816954581854</v>
      </c>
      <c r="BS191" s="70">
        <f t="shared" si="1466"/>
        <v>149.12477917716581</v>
      </c>
      <c r="BT191" s="70">
        <f t="shared" si="1466"/>
        <v>145.77015810698359</v>
      </c>
      <c r="BU191" s="70">
        <f t="shared" si="1466"/>
        <v>142.8859184758777</v>
      </c>
      <c r="BV191" s="70">
        <f t="shared" si="1466"/>
        <v>132.05846889763001</v>
      </c>
      <c r="BW191" s="70">
        <f t="shared" si="1466"/>
        <v>129.69077772985341</v>
      </c>
      <c r="BX191" s="70">
        <f t="shared" si="1466"/>
        <v>130.57151638973764</v>
      </c>
      <c r="BY191" s="70">
        <f t="shared" si="1466"/>
        <v>127.79246478046839</v>
      </c>
      <c r="BZ191" s="70">
        <f t="shared" si="1466"/>
        <v>118.59639633548562</v>
      </c>
      <c r="CA191" s="70">
        <f t="shared" si="1466"/>
        <v>118.4394276808484</v>
      </c>
      <c r="CB191" s="70">
        <f t="shared" si="1466"/>
        <v>121.65801112376867</v>
      </c>
      <c r="CC191" s="70">
        <f t="shared" si="1466"/>
        <v>121.00373112234904</v>
      </c>
      <c r="CD191" s="70">
        <f t="shared" si="1466"/>
        <v>124.50707905351339</v>
      </c>
      <c r="CE191" s="115">
        <f>CE157/CE19*90</f>
        <v>123.5022400250873</v>
      </c>
      <c r="CF191" s="70">
        <f>CF157/CF17*90</f>
        <v>128.39135374033211</v>
      </c>
      <c r="CG191" s="70">
        <f>CG157/CG19*90</f>
        <v>128.60381244124335</v>
      </c>
      <c r="CH191" s="70">
        <f>CH157/CH17*90</f>
        <v>118.6781742893035</v>
      </c>
      <c r="CI191" s="70">
        <f>CI188+CI189+CI190</f>
        <v>118.6781742893035</v>
      </c>
      <c r="CJ191" s="70">
        <f>CJ157/CJ17*90</f>
        <v>139.80166871836957</v>
      </c>
      <c r="CK191" s="70">
        <f t="shared" ref="CK191:DB191" si="1467">CK188+CK189+CK190</f>
        <v>139.80166871836957</v>
      </c>
      <c r="CL191" s="70">
        <f>CL157/CL17*90</f>
        <v>137.52439955868624</v>
      </c>
      <c r="CM191" s="50">
        <f t="shared" si="1467"/>
        <v>137.52439955868624</v>
      </c>
      <c r="CN191" s="50">
        <f t="shared" si="1467"/>
        <v>137.52439955868624</v>
      </c>
      <c r="CO191" s="50">
        <f t="shared" si="1467"/>
        <v>137.52439955868624</v>
      </c>
      <c r="CP191" s="50">
        <f t="shared" si="1467"/>
        <v>137.52439955868624</v>
      </c>
      <c r="CQ191" s="50">
        <f t="shared" si="1467"/>
        <v>137.52439955868624</v>
      </c>
      <c r="CR191" s="50">
        <f t="shared" si="1467"/>
        <v>137.52439955868624</v>
      </c>
      <c r="CS191" s="50">
        <f t="shared" si="1467"/>
        <v>137.52439955868624</v>
      </c>
      <c r="CT191" s="50">
        <f t="shared" si="1467"/>
        <v>137.52439955868624</v>
      </c>
      <c r="CU191" s="50">
        <f t="shared" si="1467"/>
        <v>137.52439955868624</v>
      </c>
      <c r="CV191" s="50">
        <f t="shared" si="1467"/>
        <v>137.52439955868624</v>
      </c>
      <c r="CW191" s="50">
        <f t="shared" si="1467"/>
        <v>137.52439955868624</v>
      </c>
      <c r="CX191" s="50">
        <f t="shared" si="1467"/>
        <v>137.52439955868624</v>
      </c>
      <c r="CY191" s="50">
        <f t="shared" si="1467"/>
        <v>137.52439955868624</v>
      </c>
      <c r="CZ191" s="50">
        <f t="shared" si="1467"/>
        <v>137.52439955868624</v>
      </c>
      <c r="DA191" s="50">
        <f t="shared" si="1467"/>
        <v>137.52439955868624</v>
      </c>
      <c r="DB191" s="50">
        <f t="shared" si="1467"/>
        <v>137.52439955868624</v>
      </c>
      <c r="DE191" s="138"/>
      <c r="DF191" s="115">
        <v>139.80166871836957</v>
      </c>
    </row>
    <row r="192" spans="1:110" s="62" customFormat="1" outlineLevel="1" x14ac:dyDescent="0.2">
      <c r="A192" s="68" t="s">
        <v>468</v>
      </c>
      <c r="B192" s="67" t="e">
        <f t="shared" ref="B192:AE192" si="1468">B162/B17*365</f>
        <v>#DIV/0!</v>
      </c>
      <c r="C192" s="67" t="e">
        <f t="shared" si="1468"/>
        <v>#DIV/0!</v>
      </c>
      <c r="D192" s="67" t="e">
        <f t="shared" si="1468"/>
        <v>#DIV/0!</v>
      </c>
      <c r="E192" s="67" t="e">
        <f t="shared" si="1468"/>
        <v>#DIV/0!</v>
      </c>
      <c r="F192" s="67">
        <f t="shared" si="1468"/>
        <v>24.795652646406904</v>
      </c>
      <c r="G192" s="67">
        <f t="shared" si="1468"/>
        <v>28.157813405738381</v>
      </c>
      <c r="H192" s="67">
        <f t="shared" si="1468"/>
        <v>25.969876381484138</v>
      </c>
      <c r="I192" s="67">
        <f t="shared" si="1468"/>
        <v>30.460942386622083</v>
      </c>
      <c r="J192" s="67">
        <f t="shared" si="1468"/>
        <v>30.313611811773232</v>
      </c>
      <c r="K192" s="67">
        <f t="shared" si="1468"/>
        <v>36.193687101035621</v>
      </c>
      <c r="L192" s="67">
        <f t="shared" si="1468"/>
        <v>25.154882359654898</v>
      </c>
      <c r="M192" s="67">
        <f t="shared" si="1468"/>
        <v>24.267451192455201</v>
      </c>
      <c r="N192" s="67">
        <f t="shared" si="1468"/>
        <v>24.741018061511056</v>
      </c>
      <c r="O192" s="67">
        <f t="shared" si="1468"/>
        <v>24.698512489104662</v>
      </c>
      <c r="P192" s="67">
        <f t="shared" si="1468"/>
        <v>34.05392831673754</v>
      </c>
      <c r="Q192" s="67">
        <f t="shared" si="1468"/>
        <v>25.334250685713233</v>
      </c>
      <c r="R192" s="67">
        <f t="shared" si="1468"/>
        <v>15.176618686740246</v>
      </c>
      <c r="S192" s="67">
        <f t="shared" si="1468"/>
        <v>15.103570964387835</v>
      </c>
      <c r="T192" s="67">
        <f t="shared" si="1468"/>
        <v>15.680274198944444</v>
      </c>
      <c r="U192" s="67">
        <f t="shared" si="1468"/>
        <v>15.674518474154024</v>
      </c>
      <c r="V192" s="67">
        <f t="shared" si="1468"/>
        <v>17.474433081369497</v>
      </c>
      <c r="W192" s="67">
        <f t="shared" si="1468"/>
        <v>15.313500631016822</v>
      </c>
      <c r="X192" s="67">
        <f t="shared" si="1468"/>
        <v>17.023015373151541</v>
      </c>
      <c r="Y192" s="67">
        <f t="shared" si="1468"/>
        <v>15.123166717173184</v>
      </c>
      <c r="Z192" s="67">
        <f t="shared" si="1468"/>
        <v>19.883696793094266</v>
      </c>
      <c r="AA192" s="67">
        <f t="shared" ref="AA192" si="1469">AA162/AA17*365</f>
        <v>20.241554035075893</v>
      </c>
      <c r="AB192" s="18">
        <f t="shared" si="1468"/>
        <v>19.474860756163917</v>
      </c>
      <c r="AC192" s="18">
        <f t="shared" si="1468"/>
        <v>19.474860756163917</v>
      </c>
      <c r="AD192" s="18">
        <f t="shared" si="1468"/>
        <v>19.474860756163917</v>
      </c>
      <c r="AE192" s="18">
        <f t="shared" si="1468"/>
        <v>19.474860756163913</v>
      </c>
      <c r="AI192" s="67">
        <f>AJ162/AI17*90</f>
        <v>0</v>
      </c>
      <c r="AJ192" s="67">
        <f>AJ162/AJ17*90</f>
        <v>0</v>
      </c>
      <c r="AK192" s="67">
        <f t="shared" ref="AK192:CE192" si="1470">+AJ192</f>
        <v>0</v>
      </c>
      <c r="AL192" s="67">
        <f>AL162/AL17*90</f>
        <v>23.388423313566758</v>
      </c>
      <c r="AM192" s="67">
        <f t="shared" ref="AM192" si="1471">+AL192</f>
        <v>23.388423313566758</v>
      </c>
      <c r="AN192" s="67">
        <f>AN162/AN17*90</f>
        <v>21.387508556893088</v>
      </c>
      <c r="AO192" s="67">
        <f t="shared" ref="AO192" si="1472">+AN192</f>
        <v>21.387508556893088</v>
      </c>
      <c r="AP192" s="67">
        <f>AP162/AP17*90</f>
        <v>23.11909977639182</v>
      </c>
      <c r="AQ192" s="67">
        <f t="shared" ref="AQ192" si="1473">+AP192</f>
        <v>23.11909977639182</v>
      </c>
      <c r="AR192" s="67">
        <f>AR162/AR17*90</f>
        <v>24.28061577529509</v>
      </c>
      <c r="AS192" s="67">
        <f t="shared" ref="AS192" si="1474">+AR192</f>
        <v>24.28061577529509</v>
      </c>
      <c r="AT192" s="67">
        <f>AT162/AT17*90</f>
        <v>32.815506842346913</v>
      </c>
      <c r="AU192" s="67">
        <f t="shared" ref="AU192" si="1475">+AT192</f>
        <v>32.815506842346913</v>
      </c>
      <c r="AV192" s="67">
        <f>AV162/AV17*90</f>
        <v>21.229497515184981</v>
      </c>
      <c r="AW192" s="67">
        <f t="shared" ref="AW192" si="1476">+AV192</f>
        <v>21.229497515184981</v>
      </c>
      <c r="AX192" s="67">
        <f>AX162/AX17*90</f>
        <v>23.856374565011073</v>
      </c>
      <c r="AY192" s="67">
        <f t="shared" ref="AY192" si="1477">+AX192</f>
        <v>23.856374565011073</v>
      </c>
      <c r="AZ192" s="67">
        <f>AZ162/AZ17*90</f>
        <v>19.611050402950418</v>
      </c>
      <c r="BA192" s="67">
        <f t="shared" ref="BA192" si="1478">+AZ192</f>
        <v>19.611050402950418</v>
      </c>
      <c r="BB192" s="67">
        <f>BB162/BB17*90</f>
        <v>14.89271978948789</v>
      </c>
      <c r="BC192" s="67">
        <f t="shared" ref="BC192" si="1479">+BB192</f>
        <v>14.89271978948789</v>
      </c>
      <c r="BD192" s="67">
        <f>BD162/BD17*90</f>
        <v>15.974918961396156</v>
      </c>
      <c r="BE192" s="67">
        <f t="shared" ref="BE192" si="1480">+BD192</f>
        <v>15.974918961396156</v>
      </c>
      <c r="BF192" s="67">
        <f>BF162/BF17*90</f>
        <v>14.293374902572095</v>
      </c>
      <c r="BG192" s="67">
        <f t="shared" ref="BG192" si="1481">+BF192</f>
        <v>14.293374902572095</v>
      </c>
      <c r="BH192" s="67">
        <f>BH162/BH17*90</f>
        <v>15.267813534487436</v>
      </c>
      <c r="BI192" s="67">
        <f t="shared" ref="BI192" si="1482">+BH192</f>
        <v>15.267813534487436</v>
      </c>
      <c r="BJ192" s="67">
        <f>BJ162/BJ17*90</f>
        <v>14.898184688239937</v>
      </c>
      <c r="BK192" s="67">
        <f t="shared" ref="BK192" si="1483">+BJ192</f>
        <v>14.898184688239937</v>
      </c>
      <c r="BL192" s="67">
        <f>BL162/BL17*90</f>
        <v>15.549170023347102</v>
      </c>
      <c r="BM192" s="67">
        <f t="shared" ref="BM192" si="1484">+BL192</f>
        <v>15.549170023347102</v>
      </c>
      <c r="BN192" s="67">
        <f>BN162/BN17*90</f>
        <v>15.185500425574526</v>
      </c>
      <c r="BO192" s="67">
        <f t="shared" ref="BO192" si="1485">+BN192</f>
        <v>15.185500425574526</v>
      </c>
      <c r="BP192" s="67">
        <f>BP162/BP17*90</f>
        <v>12.981437647938209</v>
      </c>
      <c r="BQ192" s="67">
        <f t="shared" ref="BQ192" si="1486">+BP192</f>
        <v>12.981437647938209</v>
      </c>
      <c r="BR192" s="67">
        <f>BR162/BR17*90</f>
        <v>16.185791099416544</v>
      </c>
      <c r="BS192" s="67">
        <f t="shared" ref="BS192" si="1487">+BR192</f>
        <v>16.185791099416544</v>
      </c>
      <c r="BT192" s="67">
        <f>BT162/BT17*90</f>
        <v>15.702519896729042</v>
      </c>
      <c r="BU192" s="67">
        <f t="shared" ref="BU192" si="1488">+BT192</f>
        <v>15.702519896729042</v>
      </c>
      <c r="BV192" s="67">
        <f>BV162/BV17*90</f>
        <v>14.311834120693405</v>
      </c>
      <c r="BW192" s="67">
        <f t="shared" ref="BW192" si="1489">+BV192</f>
        <v>14.311834120693405</v>
      </c>
      <c r="BX192" s="67">
        <f>BX162/BX17*90</f>
        <v>17.819703845667071</v>
      </c>
      <c r="BY192" s="67">
        <f t="shared" ref="BY192" si="1490">+BX192</f>
        <v>17.819703845667071</v>
      </c>
      <c r="BZ192" s="67">
        <f>BZ162/BZ17*90</f>
        <v>15.995909536526824</v>
      </c>
      <c r="CA192" s="67">
        <f t="shared" ref="CA192" si="1491">+BZ192</f>
        <v>15.995909536526824</v>
      </c>
      <c r="CB192" s="67">
        <f>CB162/CB17*90</f>
        <v>15.879514842860015</v>
      </c>
      <c r="CC192" s="67">
        <f t="shared" ref="CC192" si="1492">+CB192</f>
        <v>15.879514842860015</v>
      </c>
      <c r="CD192" s="67">
        <f>CD162/CD17*90</f>
        <v>14.669072619494749</v>
      </c>
      <c r="CE192" s="114">
        <f t="shared" si="1470"/>
        <v>14.669072619494749</v>
      </c>
      <c r="CF192" s="67">
        <f>CF162/CF17*90</f>
        <v>18.105323767876872</v>
      </c>
      <c r="CG192" s="67">
        <f t="shared" ref="CG192:CI192" si="1493">+CF192</f>
        <v>18.105323767876872</v>
      </c>
      <c r="CH192" s="67">
        <f>CH162/CH17*90</f>
        <v>19.414227888149629</v>
      </c>
      <c r="CI192" s="67">
        <f t="shared" si="1493"/>
        <v>19.414227888149629</v>
      </c>
      <c r="CJ192" s="67">
        <f>CJ162/CJ17*90</f>
        <v>19.485706469703189</v>
      </c>
      <c r="CK192" s="67">
        <f t="shared" ref="CK192" si="1494">+CJ192</f>
        <v>19.485706469703189</v>
      </c>
      <c r="CL192" s="67">
        <f>CL162/CL17*90</f>
        <v>18.850886870915726</v>
      </c>
      <c r="CM192" s="30">
        <f t="shared" ref="CM192" si="1495">+CL192</f>
        <v>18.850886870915726</v>
      </c>
      <c r="CN192" s="30">
        <f t="shared" ref="CN192" si="1496">+CM192</f>
        <v>18.850886870915726</v>
      </c>
      <c r="CO192" s="30">
        <f t="shared" ref="CO192" si="1497">+CN192</f>
        <v>18.850886870915726</v>
      </c>
      <c r="CP192" s="30">
        <f t="shared" ref="CP192" si="1498">+CO192</f>
        <v>18.850886870915726</v>
      </c>
      <c r="CQ192" s="30">
        <f t="shared" ref="CQ192" si="1499">+CP192</f>
        <v>18.850886870915726</v>
      </c>
      <c r="CR192" s="30">
        <f t="shared" ref="CR192" si="1500">+CQ192</f>
        <v>18.850886870915726</v>
      </c>
      <c r="CS192" s="30">
        <f t="shared" ref="CS192" si="1501">+CR192</f>
        <v>18.850886870915726</v>
      </c>
      <c r="CT192" s="30">
        <f t="shared" ref="CT192" si="1502">+CS192</f>
        <v>18.850886870915726</v>
      </c>
      <c r="CU192" s="30">
        <f t="shared" ref="CU192" si="1503">+CT192</f>
        <v>18.850886870915726</v>
      </c>
      <c r="CV192" s="30">
        <f t="shared" ref="CV192" si="1504">+CU192</f>
        <v>18.850886870915726</v>
      </c>
      <c r="CW192" s="30">
        <f t="shared" ref="CW192" si="1505">+CV192</f>
        <v>18.850886870915726</v>
      </c>
      <c r="CX192" s="30">
        <f t="shared" ref="CX192" si="1506">+CW192</f>
        <v>18.850886870915726</v>
      </c>
      <c r="CY192" s="30">
        <f t="shared" ref="CY192" si="1507">+CX192</f>
        <v>18.850886870915726</v>
      </c>
      <c r="CZ192" s="30">
        <f t="shared" ref="CZ192" si="1508">+CY192</f>
        <v>18.850886870915726</v>
      </c>
      <c r="DA192" s="30">
        <f t="shared" ref="DA192" si="1509">+CZ192</f>
        <v>18.850886870915726</v>
      </c>
      <c r="DB192" s="30">
        <f t="shared" ref="DB192" si="1510">+DA192</f>
        <v>18.850886870915726</v>
      </c>
      <c r="DE192" s="139"/>
      <c r="DF192" s="114">
        <v>19.485706469703189</v>
      </c>
    </row>
    <row r="193" spans="1:110" s="62" customFormat="1" outlineLevel="1" x14ac:dyDescent="0.2">
      <c r="A193" s="68" t="s">
        <v>466</v>
      </c>
      <c r="B193" s="67" t="e">
        <f>B194-B192</f>
        <v>#DIV/0!</v>
      </c>
      <c r="C193" s="67" t="e">
        <f t="shared" ref="C193:V193" si="1511">C194-C192</f>
        <v>#DIV/0!</v>
      </c>
      <c r="D193" s="67" t="e">
        <f t="shared" si="1511"/>
        <v>#DIV/0!</v>
      </c>
      <c r="E193" s="67" t="e">
        <f t="shared" si="1511"/>
        <v>#DIV/0!</v>
      </c>
      <c r="F193" s="67">
        <f t="shared" si="1511"/>
        <v>29.596718467743425</v>
      </c>
      <c r="G193" s="67">
        <f t="shared" si="1511"/>
        <v>35.071460284891351</v>
      </c>
      <c r="H193" s="67">
        <f t="shared" si="1511"/>
        <v>42.303079145067798</v>
      </c>
      <c r="I193" s="67">
        <f t="shared" si="1511"/>
        <v>41.776057748200344</v>
      </c>
      <c r="J193" s="67">
        <f t="shared" si="1511"/>
        <v>47.997667442268494</v>
      </c>
      <c r="K193" s="67">
        <f t="shared" si="1511"/>
        <v>65.831930537198502</v>
      </c>
      <c r="L193" s="67">
        <f t="shared" si="1511"/>
        <v>48.518051546452533</v>
      </c>
      <c r="M193" s="67">
        <f t="shared" si="1511"/>
        <v>57.046254884026879</v>
      </c>
      <c r="N193" s="67">
        <f t="shared" si="1511"/>
        <v>46.874202059682204</v>
      </c>
      <c r="O193" s="67">
        <f t="shared" si="1511"/>
        <v>49.492053232445755</v>
      </c>
      <c r="P193" s="67">
        <f t="shared" si="1511"/>
        <v>47.688872982752699</v>
      </c>
      <c r="Q193" s="67">
        <f t="shared" si="1511"/>
        <v>30.497855420356014</v>
      </c>
      <c r="R193" s="67">
        <f t="shared" si="1511"/>
        <v>32.67072715867284</v>
      </c>
      <c r="S193" s="67">
        <f t="shared" si="1511"/>
        <v>42.265685924096701</v>
      </c>
      <c r="T193" s="67">
        <f t="shared" si="1511"/>
        <v>44.090179772365715</v>
      </c>
      <c r="U193" s="67">
        <f t="shared" si="1511"/>
        <v>66.584145168175638</v>
      </c>
      <c r="V193" s="67">
        <f t="shared" si="1511"/>
        <v>77.865718096931971</v>
      </c>
      <c r="W193" s="67">
        <f t="shared" ref="W193" si="1512">W194-W192</f>
        <v>81.912476402056797</v>
      </c>
      <c r="X193" s="67">
        <f t="shared" ref="X193:Y193" si="1513">X194-X192</f>
        <v>66.599410976767302</v>
      </c>
      <c r="Y193" s="67">
        <f t="shared" si="1513"/>
        <v>66.929217536416587</v>
      </c>
      <c r="Z193" s="67">
        <f t="shared" ref="Z193:AA193" si="1514">Z194-Z192</f>
        <v>70.003936175212658</v>
      </c>
      <c r="AA193" s="67">
        <f t="shared" si="1514"/>
        <v>79.119488729350877</v>
      </c>
      <c r="AB193" s="18">
        <f t="shared" ref="AA193:AD193" si="1515">AB194-AB192</f>
        <v>76.12266446701264</v>
      </c>
      <c r="AC193" s="18">
        <f t="shared" si="1515"/>
        <v>76.122664467012669</v>
      </c>
      <c r="AD193" s="18">
        <f t="shared" si="1515"/>
        <v>76.12266446701264</v>
      </c>
      <c r="AE193" s="18">
        <f t="shared" ref="AE193" si="1516">AE194-AE192</f>
        <v>76.12266446701264</v>
      </c>
      <c r="AI193" s="67">
        <f t="shared" ref="AI193:AK193" si="1517">AI194-AI192</f>
        <v>0</v>
      </c>
      <c r="AJ193" s="67">
        <f t="shared" ref="AJ193:AM193" si="1518">AJ194-AJ192</f>
        <v>52.272739785221582</v>
      </c>
      <c r="AK193" s="67">
        <f t="shared" si="1517"/>
        <v>50.811633902574563</v>
      </c>
      <c r="AL193" s="67">
        <f t="shared" si="1518"/>
        <v>44.42809503782388</v>
      </c>
      <c r="AM193" s="67">
        <f t="shared" si="1518"/>
        <v>40.446588283796672</v>
      </c>
      <c r="AN193" s="67">
        <f t="shared" ref="AN193:AY193" si="1519">AN194-AN192</f>
        <v>32.768214502956539</v>
      </c>
      <c r="AO193" s="67">
        <f t="shared" si="1519"/>
        <v>32.28082986912721</v>
      </c>
      <c r="AP193" s="67">
        <f t="shared" si="1519"/>
        <v>46.504719714872891</v>
      </c>
      <c r="AQ193" s="67">
        <f t="shared" si="1519"/>
        <v>45.327033611731352</v>
      </c>
      <c r="AR193" s="67">
        <f t="shared" si="1519"/>
        <v>32.092500655008635</v>
      </c>
      <c r="AS193" s="67">
        <f t="shared" si="1519"/>
        <v>31.195707628298123</v>
      </c>
      <c r="AT193" s="67">
        <f t="shared" si="1519"/>
        <v>46.169639996432657</v>
      </c>
      <c r="AU193" s="67">
        <f t="shared" si="1519"/>
        <v>43.564656381486664</v>
      </c>
      <c r="AV193" s="67">
        <f t="shared" si="1519"/>
        <v>30.707145223633354</v>
      </c>
      <c r="AW193" s="67">
        <f t="shared" si="1519"/>
        <v>30.483832772986403</v>
      </c>
      <c r="AX193" s="67">
        <f t="shared" si="1519"/>
        <v>28.873774122113254</v>
      </c>
      <c r="AY193" s="67">
        <f t="shared" si="1519"/>
        <v>28.030370243985665</v>
      </c>
      <c r="AZ193" s="67">
        <f t="shared" ref="AZ193:BC193" si="1520">AZ194-AZ192</f>
        <v>27.887583663433958</v>
      </c>
      <c r="BA193" s="67">
        <f t="shared" si="1520"/>
        <v>27.464604002017822</v>
      </c>
      <c r="BB193" s="67">
        <f t="shared" si="1520"/>
        <v>32.11422980905472</v>
      </c>
      <c r="BC193" s="67">
        <f t="shared" si="1520"/>
        <v>32.177190373174689</v>
      </c>
      <c r="BD193" s="67">
        <f t="shared" ref="BD193:CE193" si="1521">BD194-BD192</f>
        <v>35.589207949968895</v>
      </c>
      <c r="BE193" s="67">
        <f t="shared" si="1521"/>
        <v>35.171175252394505</v>
      </c>
      <c r="BF193" s="67">
        <f t="shared" si="1521"/>
        <v>40.032112236944656</v>
      </c>
      <c r="BG193" s="67">
        <f t="shared" si="1521"/>
        <v>37.47789031260033</v>
      </c>
      <c r="BH193" s="67">
        <f t="shared" si="1521"/>
        <v>43.522548434362619</v>
      </c>
      <c r="BI193" s="67">
        <f t="shared" si="1521"/>
        <v>42.958380202474693</v>
      </c>
      <c r="BJ193" s="67">
        <f t="shared" si="1521"/>
        <v>41.933701657458556</v>
      </c>
      <c r="BK193" s="67">
        <f t="shared" si="1521"/>
        <v>41.755737189563042</v>
      </c>
      <c r="BL193" s="67">
        <f t="shared" si="1521"/>
        <v>55.726710624214277</v>
      </c>
      <c r="BM193" s="67">
        <f t="shared" si="1521"/>
        <v>54.500426556932808</v>
      </c>
      <c r="BN193" s="67">
        <f t="shared" si="1521"/>
        <v>64.50683422620537</v>
      </c>
      <c r="BO193" s="67">
        <f t="shared" si="1521"/>
        <v>67.240488492249867</v>
      </c>
      <c r="BP193" s="67">
        <f t="shared" si="1521"/>
        <v>69.952659773265225</v>
      </c>
      <c r="BQ193" s="67">
        <f t="shared" si="1521"/>
        <v>66.822563370224913</v>
      </c>
      <c r="BR193" s="67">
        <f t="shared" si="1521"/>
        <v>72.123555657247451</v>
      </c>
      <c r="BS193" s="67">
        <f t="shared" si="1521"/>
        <v>69.414018629847391</v>
      </c>
      <c r="BT193" s="67">
        <f t="shared" si="1521"/>
        <v>68.546098534149834</v>
      </c>
      <c r="BU193" s="67">
        <f t="shared" si="1521"/>
        <v>65.71647744706965</v>
      </c>
      <c r="BV193" s="67">
        <f t="shared" si="1521"/>
        <v>76.554525508489647</v>
      </c>
      <c r="BW193" s="67">
        <f t="shared" si="1521"/>
        <v>73.410098942340497</v>
      </c>
      <c r="BX193" s="67">
        <f t="shared" si="1521"/>
        <v>62.496700356180732</v>
      </c>
      <c r="BY193" s="67">
        <f t="shared" si="1521"/>
        <v>59.362688694636695</v>
      </c>
      <c r="BZ193" s="67">
        <f t="shared" si="1521"/>
        <v>62.581048646090395</v>
      </c>
      <c r="CA193" s="67">
        <f t="shared" si="1521"/>
        <v>62.350246711911211</v>
      </c>
      <c r="CB193" s="67">
        <f t="shared" si="1521"/>
        <v>63.411009850566245</v>
      </c>
      <c r="CC193" s="67">
        <f t="shared" si="1521"/>
        <v>62.478418038063481</v>
      </c>
      <c r="CD193" s="67">
        <f t="shared" si="1521"/>
        <v>64.919574766889298</v>
      </c>
      <c r="CE193" s="114">
        <f t="shared" si="1521"/>
        <v>63.492884864165582</v>
      </c>
      <c r="CF193" s="67">
        <f t="shared" ref="CF193:CG193" si="1522">CF194-CF192</f>
        <v>62.852518713331989</v>
      </c>
      <c r="CG193" s="67">
        <f t="shared" si="1522"/>
        <v>63.133509449298927</v>
      </c>
      <c r="CH193" s="67">
        <f t="shared" ref="CH193" si="1523">CH194-CH192</f>
        <v>68.351091052900955</v>
      </c>
      <c r="CI193" s="67">
        <f>CH193</f>
        <v>68.351091052900955</v>
      </c>
      <c r="CJ193" s="67">
        <f t="shared" ref="CJ193" si="1524">CJ194-CJ192</f>
        <v>71.715223635617562</v>
      </c>
      <c r="CK193" s="67">
        <f t="shared" ref="CK193:DB193" si="1525">CJ193</f>
        <v>71.715223635617562</v>
      </c>
      <c r="CL193" s="67">
        <f t="shared" ref="CL193" si="1526">CL194-CL192</f>
        <v>73.683696851396064</v>
      </c>
      <c r="CM193" s="30">
        <f t="shared" si="1525"/>
        <v>73.683696851396064</v>
      </c>
      <c r="CN193" s="30">
        <f t="shared" si="1525"/>
        <v>73.683696851396064</v>
      </c>
      <c r="CO193" s="30">
        <f t="shared" si="1525"/>
        <v>73.683696851396064</v>
      </c>
      <c r="CP193" s="30">
        <f t="shared" si="1525"/>
        <v>73.683696851396064</v>
      </c>
      <c r="CQ193" s="30">
        <f t="shared" si="1525"/>
        <v>73.683696851396064</v>
      </c>
      <c r="CR193" s="30">
        <f t="shared" si="1525"/>
        <v>73.683696851396064</v>
      </c>
      <c r="CS193" s="30">
        <f t="shared" si="1525"/>
        <v>73.683696851396064</v>
      </c>
      <c r="CT193" s="30">
        <f t="shared" si="1525"/>
        <v>73.683696851396064</v>
      </c>
      <c r="CU193" s="30">
        <f t="shared" si="1525"/>
        <v>73.683696851396064</v>
      </c>
      <c r="CV193" s="30">
        <f t="shared" si="1525"/>
        <v>73.683696851396064</v>
      </c>
      <c r="CW193" s="30">
        <f t="shared" si="1525"/>
        <v>73.683696851396064</v>
      </c>
      <c r="CX193" s="30">
        <f t="shared" si="1525"/>
        <v>73.683696851396064</v>
      </c>
      <c r="CY193" s="30">
        <f t="shared" si="1525"/>
        <v>73.683696851396064</v>
      </c>
      <c r="CZ193" s="30">
        <f t="shared" si="1525"/>
        <v>73.683696851396064</v>
      </c>
      <c r="DA193" s="30">
        <f t="shared" si="1525"/>
        <v>73.683696851396064</v>
      </c>
      <c r="DB193" s="30">
        <f t="shared" si="1525"/>
        <v>73.683696851396064</v>
      </c>
      <c r="DE193" s="139"/>
      <c r="DF193" s="114">
        <v>71.715223635617562</v>
      </c>
    </row>
    <row r="194" spans="1:110" s="7" customFormat="1" outlineLevel="1" x14ac:dyDescent="0.2">
      <c r="A194" s="69" t="s">
        <v>469</v>
      </c>
      <c r="B194" s="70" t="e">
        <f t="shared" ref="B194:AE194" si="1527">B165/B17*365</f>
        <v>#DIV/0!</v>
      </c>
      <c r="C194" s="70" t="e">
        <f t="shared" si="1527"/>
        <v>#DIV/0!</v>
      </c>
      <c r="D194" s="70" t="e">
        <f t="shared" si="1527"/>
        <v>#DIV/0!</v>
      </c>
      <c r="E194" s="70" t="e">
        <f t="shared" si="1527"/>
        <v>#DIV/0!</v>
      </c>
      <c r="F194" s="70">
        <f t="shared" si="1527"/>
        <v>54.392371114150329</v>
      </c>
      <c r="G194" s="70">
        <f t="shared" si="1527"/>
        <v>63.229273690629732</v>
      </c>
      <c r="H194" s="70">
        <f t="shared" si="1527"/>
        <v>68.272955526551939</v>
      </c>
      <c r="I194" s="70">
        <f t="shared" si="1527"/>
        <v>72.237000134822424</v>
      </c>
      <c r="J194" s="70">
        <f t="shared" si="1527"/>
        <v>78.311279254041722</v>
      </c>
      <c r="K194" s="70">
        <f t="shared" si="1527"/>
        <v>102.02561763823412</v>
      </c>
      <c r="L194" s="70">
        <f t="shared" si="1527"/>
        <v>73.672933906107431</v>
      </c>
      <c r="M194" s="70">
        <f t="shared" si="1527"/>
        <v>81.313706076482077</v>
      </c>
      <c r="N194" s="70">
        <f t="shared" si="1527"/>
        <v>71.615220121193261</v>
      </c>
      <c r="O194" s="70">
        <f t="shared" si="1527"/>
        <v>74.190565721550414</v>
      </c>
      <c r="P194" s="70">
        <f t="shared" si="1527"/>
        <v>81.742801299490239</v>
      </c>
      <c r="Q194" s="70">
        <f t="shared" si="1527"/>
        <v>55.832106106069247</v>
      </c>
      <c r="R194" s="70">
        <f t="shared" si="1527"/>
        <v>47.847345845413088</v>
      </c>
      <c r="S194" s="70">
        <f t="shared" si="1527"/>
        <v>57.369256888484536</v>
      </c>
      <c r="T194" s="70">
        <f t="shared" si="1527"/>
        <v>59.770453971310161</v>
      </c>
      <c r="U194" s="70">
        <f t="shared" si="1527"/>
        <v>82.258663642329665</v>
      </c>
      <c r="V194" s="70">
        <f t="shared" si="1527"/>
        <v>95.340151178301468</v>
      </c>
      <c r="W194" s="70">
        <f t="shared" si="1527"/>
        <v>97.225977033073619</v>
      </c>
      <c r="X194" s="70">
        <f t="shared" si="1527"/>
        <v>83.62242634991884</v>
      </c>
      <c r="Y194" s="70">
        <f t="shared" si="1527"/>
        <v>82.052384253589764</v>
      </c>
      <c r="Z194" s="70">
        <f t="shared" si="1527"/>
        <v>89.887632968306932</v>
      </c>
      <c r="AA194" s="70">
        <f t="shared" ref="AA194" si="1528">AA165/AA17*365</f>
        <v>99.36104276442677</v>
      </c>
      <c r="AB194" s="71">
        <f t="shared" si="1527"/>
        <v>95.597525223176561</v>
      </c>
      <c r="AC194" s="71">
        <f t="shared" si="1527"/>
        <v>95.597525223176589</v>
      </c>
      <c r="AD194" s="71">
        <f t="shared" si="1527"/>
        <v>95.597525223176561</v>
      </c>
      <c r="AE194" s="71">
        <f t="shared" si="1527"/>
        <v>95.597525223176547</v>
      </c>
      <c r="AI194" s="70">
        <f t="shared" ref="AI194:CD194" si="1529">AI165/AI17*90</f>
        <v>0</v>
      </c>
      <c r="AJ194" s="70">
        <f t="shared" si="1529"/>
        <v>52.272739785221582</v>
      </c>
      <c r="AK194" s="70">
        <f>AK165/AK17*90</f>
        <v>50.811633902574563</v>
      </c>
      <c r="AL194" s="70">
        <f t="shared" si="1529"/>
        <v>67.816518351390641</v>
      </c>
      <c r="AM194" s="70">
        <f t="shared" si="1529"/>
        <v>63.835011597363433</v>
      </c>
      <c r="AN194" s="70">
        <f t="shared" si="1529"/>
        <v>54.155723059849628</v>
      </c>
      <c r="AO194" s="70">
        <f t="shared" si="1529"/>
        <v>53.668338426020298</v>
      </c>
      <c r="AP194" s="70">
        <f t="shared" si="1529"/>
        <v>69.623819491264712</v>
      </c>
      <c r="AQ194" s="70">
        <f t="shared" si="1529"/>
        <v>68.446133388123172</v>
      </c>
      <c r="AR194" s="70">
        <f t="shared" si="1529"/>
        <v>56.373116430303725</v>
      </c>
      <c r="AS194" s="70">
        <f t="shared" si="1529"/>
        <v>55.476323403593213</v>
      </c>
      <c r="AT194" s="70">
        <f t="shared" si="1529"/>
        <v>78.985146838779571</v>
      </c>
      <c r="AU194" s="70">
        <f t="shared" si="1529"/>
        <v>76.380163223833577</v>
      </c>
      <c r="AV194" s="70">
        <f t="shared" si="1529"/>
        <v>51.936642738818335</v>
      </c>
      <c r="AW194" s="70">
        <f t="shared" si="1529"/>
        <v>51.713330288171385</v>
      </c>
      <c r="AX194" s="70">
        <f t="shared" si="1529"/>
        <v>52.730148687124327</v>
      </c>
      <c r="AY194" s="70">
        <f t="shared" si="1529"/>
        <v>51.886744808996738</v>
      </c>
      <c r="AZ194" s="70">
        <f t="shared" si="1529"/>
        <v>47.498634066384376</v>
      </c>
      <c r="BA194" s="70">
        <f t="shared" si="1529"/>
        <v>47.07565440496824</v>
      </c>
      <c r="BB194" s="70">
        <f t="shared" si="1529"/>
        <v>47.006949598542612</v>
      </c>
      <c r="BC194" s="70">
        <f t="shared" si="1529"/>
        <v>47.06991016266258</v>
      </c>
      <c r="BD194" s="70">
        <f t="shared" si="1529"/>
        <v>51.564126911365051</v>
      </c>
      <c r="BE194" s="70">
        <f t="shared" si="1529"/>
        <v>51.146094213790661</v>
      </c>
      <c r="BF194" s="70">
        <f t="shared" si="1529"/>
        <v>54.325487139516753</v>
      </c>
      <c r="BG194" s="70">
        <f t="shared" si="1529"/>
        <v>51.771265215172427</v>
      </c>
      <c r="BH194" s="70">
        <f t="shared" si="1529"/>
        <v>58.790361968850057</v>
      </c>
      <c r="BI194" s="70">
        <f t="shared" si="1529"/>
        <v>58.226193736962131</v>
      </c>
      <c r="BJ194" s="70">
        <f t="shared" si="1529"/>
        <v>56.831886345698493</v>
      </c>
      <c r="BK194" s="70">
        <f t="shared" si="1529"/>
        <v>56.653921877802979</v>
      </c>
      <c r="BL194" s="70">
        <f t="shared" si="1529"/>
        <v>71.27588064756138</v>
      </c>
      <c r="BM194" s="70">
        <f t="shared" si="1529"/>
        <v>70.049596580279911</v>
      </c>
      <c r="BN194" s="70">
        <f t="shared" si="1529"/>
        <v>79.692334651779902</v>
      </c>
      <c r="BO194" s="70">
        <f t="shared" si="1529"/>
        <v>82.425988917824398</v>
      </c>
      <c r="BP194" s="70">
        <f t="shared" si="1529"/>
        <v>82.934097421203433</v>
      </c>
      <c r="BQ194" s="70">
        <f t="shared" si="1529"/>
        <v>79.80400101816312</v>
      </c>
      <c r="BR194" s="70">
        <f t="shared" si="1529"/>
        <v>88.309346756663999</v>
      </c>
      <c r="BS194" s="70">
        <f t="shared" si="1529"/>
        <v>85.599809729263939</v>
      </c>
      <c r="BT194" s="70">
        <f t="shared" si="1529"/>
        <v>84.248618430878878</v>
      </c>
      <c r="BU194" s="70">
        <f t="shared" si="1529"/>
        <v>81.418997343798694</v>
      </c>
      <c r="BV194" s="70">
        <f t="shared" si="1529"/>
        <v>90.866359629183052</v>
      </c>
      <c r="BW194" s="70">
        <f t="shared" si="1529"/>
        <v>87.721933063033902</v>
      </c>
      <c r="BX194" s="70">
        <f t="shared" si="1529"/>
        <v>80.316404201847803</v>
      </c>
      <c r="BY194" s="70">
        <f t="shared" si="1529"/>
        <v>77.182392540303766</v>
      </c>
      <c r="BZ194" s="70">
        <f t="shared" si="1529"/>
        <v>78.576958182617219</v>
      </c>
      <c r="CA194" s="70">
        <f t="shared" si="1529"/>
        <v>78.346156248438035</v>
      </c>
      <c r="CB194" s="70">
        <f t="shared" si="1529"/>
        <v>79.290524693426264</v>
      </c>
      <c r="CC194" s="70">
        <f t="shared" si="1529"/>
        <v>78.357932880923499</v>
      </c>
      <c r="CD194" s="70">
        <f t="shared" si="1529"/>
        <v>79.588647386384039</v>
      </c>
      <c r="CE194" s="115">
        <f>CE165/CE19*90</f>
        <v>78.161957483660331</v>
      </c>
      <c r="CF194" s="70">
        <f>CF165/CF17*90</f>
        <v>80.957842481208857</v>
      </c>
      <c r="CG194" s="70">
        <f>CG165/CG19*90</f>
        <v>81.238833217175795</v>
      </c>
      <c r="CH194" s="70">
        <f>CH165/CH17*90</f>
        <v>87.76531894105058</v>
      </c>
      <c r="CI194" s="70">
        <f>CI192+CI193</f>
        <v>87.76531894105058</v>
      </c>
      <c r="CJ194" s="70">
        <f>CJ165/CJ17*90</f>
        <v>91.200930105320751</v>
      </c>
      <c r="CK194" s="70">
        <f t="shared" ref="CK194:DB194" si="1530">CK192+CK193</f>
        <v>91.200930105320751</v>
      </c>
      <c r="CL194" s="70">
        <f>CL165/CL17*90</f>
        <v>92.534583722311794</v>
      </c>
      <c r="CM194" s="50">
        <f t="shared" si="1530"/>
        <v>92.534583722311794</v>
      </c>
      <c r="CN194" s="50">
        <f t="shared" si="1530"/>
        <v>92.534583722311794</v>
      </c>
      <c r="CO194" s="50">
        <f t="shared" si="1530"/>
        <v>92.534583722311794</v>
      </c>
      <c r="CP194" s="50">
        <f t="shared" si="1530"/>
        <v>92.534583722311794</v>
      </c>
      <c r="CQ194" s="50">
        <f t="shared" si="1530"/>
        <v>92.534583722311794</v>
      </c>
      <c r="CR194" s="50">
        <f t="shared" si="1530"/>
        <v>92.534583722311794</v>
      </c>
      <c r="CS194" s="50">
        <f t="shared" si="1530"/>
        <v>92.534583722311794</v>
      </c>
      <c r="CT194" s="50">
        <f t="shared" si="1530"/>
        <v>92.534583722311794</v>
      </c>
      <c r="CU194" s="50">
        <f t="shared" si="1530"/>
        <v>92.534583722311794</v>
      </c>
      <c r="CV194" s="50">
        <f t="shared" si="1530"/>
        <v>92.534583722311794</v>
      </c>
      <c r="CW194" s="50">
        <f t="shared" si="1530"/>
        <v>92.534583722311794</v>
      </c>
      <c r="CX194" s="50">
        <f t="shared" si="1530"/>
        <v>92.534583722311794</v>
      </c>
      <c r="CY194" s="50">
        <f t="shared" si="1530"/>
        <v>92.534583722311794</v>
      </c>
      <c r="CZ194" s="50">
        <f t="shared" si="1530"/>
        <v>92.534583722311794</v>
      </c>
      <c r="DA194" s="50">
        <f t="shared" si="1530"/>
        <v>92.534583722311794</v>
      </c>
      <c r="DB194" s="50">
        <f t="shared" si="1530"/>
        <v>92.534583722311794</v>
      </c>
      <c r="DE194" s="138"/>
      <c r="DF194" s="115">
        <v>91.200930105320751</v>
      </c>
    </row>
    <row r="195" spans="1:110" s="7" customFormat="1" x14ac:dyDescent="0.2">
      <c r="A195" s="69" t="s">
        <v>470</v>
      </c>
      <c r="B195" s="70" t="e">
        <f>B191-B194</f>
        <v>#DIV/0!</v>
      </c>
      <c r="C195" s="70" t="e">
        <f t="shared" ref="C195:V195" si="1531">C191-C194</f>
        <v>#DIV/0!</v>
      </c>
      <c r="D195" s="70" t="e">
        <f t="shared" si="1531"/>
        <v>#DIV/0!</v>
      </c>
      <c r="E195" s="70" t="e">
        <f t="shared" si="1531"/>
        <v>#DIV/0!</v>
      </c>
      <c r="F195" s="70">
        <f t="shared" si="1531"/>
        <v>56.969155155126423</v>
      </c>
      <c r="G195" s="70">
        <f t="shared" si="1531"/>
        <v>67.251779157567654</v>
      </c>
      <c r="H195" s="70">
        <f t="shared" si="1531"/>
        <v>57.319633141813213</v>
      </c>
      <c r="I195" s="70">
        <f t="shared" si="1531"/>
        <v>69.861035657215112</v>
      </c>
      <c r="J195" s="70">
        <f t="shared" si="1531"/>
        <v>63.591056755069928</v>
      </c>
      <c r="K195" s="70">
        <f t="shared" si="1531"/>
        <v>32.531448441539297</v>
      </c>
      <c r="L195" s="70">
        <f t="shared" si="1531"/>
        <v>96.329177291868831</v>
      </c>
      <c r="M195" s="70">
        <f t="shared" si="1531"/>
        <v>96.37554894171231</v>
      </c>
      <c r="N195" s="70">
        <f t="shared" si="1531"/>
        <v>110.72618323773659</v>
      </c>
      <c r="O195" s="70">
        <f t="shared" si="1531"/>
        <v>86.959775467101551</v>
      </c>
      <c r="P195" s="70">
        <f t="shared" si="1531"/>
        <v>66.507606243892141</v>
      </c>
      <c r="Q195" s="70">
        <f t="shared" si="1531"/>
        <v>89.078060858200033</v>
      </c>
      <c r="R195" s="70">
        <f t="shared" si="1531"/>
        <v>79.175228455656708</v>
      </c>
      <c r="S195" s="70">
        <f t="shared" si="1531"/>
        <v>80.285530933194707</v>
      </c>
      <c r="T195" s="70">
        <f t="shared" si="1531"/>
        <v>81.920211930658269</v>
      </c>
      <c r="U195" s="70">
        <f t="shared" si="1531"/>
        <v>57.777112310368366</v>
      </c>
      <c r="V195" s="70">
        <f t="shared" si="1531"/>
        <v>51.789684304135179</v>
      </c>
      <c r="W195" s="70">
        <f t="shared" ref="W195" si="1532">W191-W194</f>
        <v>29.540113895929181</v>
      </c>
      <c r="X195" s="70">
        <f t="shared" ref="X195:Y195" si="1533">X191-X194</f>
        <v>30.350020846454768</v>
      </c>
      <c r="Y195" s="70">
        <f t="shared" si="1533"/>
        <v>34.360089334268736</v>
      </c>
      <c r="Z195" s="70">
        <f t="shared" ref="Z195:AA195" si="1534">Z191-Z194</f>
        <v>31.660380536103148</v>
      </c>
      <c r="AA195" s="70">
        <f t="shared" si="1534"/>
        <v>33.235625662401077</v>
      </c>
      <c r="AB195" s="71">
        <f t="shared" ref="AA195:AD195" si="1535">AB191-AB194</f>
        <v>46.479001484575221</v>
      </c>
      <c r="AC195" s="71">
        <f t="shared" si="1535"/>
        <v>46.479001484575193</v>
      </c>
      <c r="AD195" s="71">
        <f t="shared" si="1535"/>
        <v>46.479001484575164</v>
      </c>
      <c r="AE195" s="71">
        <f t="shared" ref="AE195" si="1536">AE191-AE194</f>
        <v>46.479001484575178</v>
      </c>
      <c r="AI195" s="70">
        <f t="shared" ref="AI195:AK195" si="1537">AI191-AI194</f>
        <v>0</v>
      </c>
      <c r="AJ195" s="70">
        <f t="shared" ref="AJ195:AM195" si="1538">AJ191-AJ194</f>
        <v>94.142624393835121</v>
      </c>
      <c r="AK195" s="70">
        <f t="shared" si="1537"/>
        <v>93.212737893087876</v>
      </c>
      <c r="AL195" s="70">
        <f t="shared" si="1538"/>
        <v>104.55625623474978</v>
      </c>
      <c r="AM195" s="70">
        <f t="shared" si="1538"/>
        <v>101.25119325898342</v>
      </c>
      <c r="AN195" s="70">
        <f t="shared" ref="AN195:AY195" si="1539">AN191-AN194</f>
        <v>102.87967339840699</v>
      </c>
      <c r="AO195" s="70">
        <f t="shared" si="1539"/>
        <v>102.1332744842391</v>
      </c>
      <c r="AP195" s="70">
        <f t="shared" si="1539"/>
        <v>81.256702097202535</v>
      </c>
      <c r="AQ195" s="70">
        <f t="shared" si="1539"/>
        <v>80.96669219079746</v>
      </c>
      <c r="AR195" s="70">
        <f t="shared" si="1539"/>
        <v>85.938102523966592</v>
      </c>
      <c r="AS195" s="70">
        <f t="shared" si="1539"/>
        <v>85.443439525979741</v>
      </c>
      <c r="AT195" s="70">
        <f t="shared" si="1539"/>
        <v>63.873915348459263</v>
      </c>
      <c r="AU195" s="70">
        <f t="shared" si="1539"/>
        <v>63.509343356123978</v>
      </c>
      <c r="AV195" s="70">
        <f t="shared" si="1539"/>
        <v>82.315162893429033</v>
      </c>
      <c r="AW195" s="70">
        <f t="shared" si="1539"/>
        <v>82.206938355891822</v>
      </c>
      <c r="AX195" s="70">
        <f t="shared" si="1539"/>
        <v>83.726668775703885</v>
      </c>
      <c r="AY195" s="70">
        <f t="shared" si="1539"/>
        <v>83.179061524494941</v>
      </c>
      <c r="AZ195" s="70">
        <f t="shared" ref="AZ195:BC195" si="1540">AZ191-AZ194</f>
        <v>89.290056003278238</v>
      </c>
      <c r="BA195" s="70">
        <f t="shared" si="1540"/>
        <v>89.026963959082423</v>
      </c>
      <c r="BB195" s="70">
        <f t="shared" si="1540"/>
        <v>77.63949800958099</v>
      </c>
      <c r="BC195" s="70">
        <f t="shared" si="1540"/>
        <v>77.655153326176972</v>
      </c>
      <c r="BD195" s="70">
        <f t="shared" ref="BD195:CE195" si="1541">BD191-BD194</f>
        <v>76.276480796306615</v>
      </c>
      <c r="BE195" s="70">
        <f t="shared" si="1541"/>
        <v>76.287903400446652</v>
      </c>
      <c r="BF195" s="70">
        <f t="shared" si="1541"/>
        <v>75.945128604832433</v>
      </c>
      <c r="BG195" s="70">
        <f t="shared" si="1541"/>
        <v>75.854718422467954</v>
      </c>
      <c r="BH195" s="70">
        <f t="shared" si="1541"/>
        <v>66.888261789765011</v>
      </c>
      <c r="BI195" s="70">
        <f t="shared" si="1541"/>
        <v>66.901303946174934</v>
      </c>
      <c r="BJ195" s="70">
        <f t="shared" si="1541"/>
        <v>77.791633780584064</v>
      </c>
      <c r="BK195" s="70">
        <f t="shared" si="1541"/>
        <v>77.724980007825621</v>
      </c>
      <c r="BL195" s="70">
        <f t="shared" si="1541"/>
        <v>78.482438361084732</v>
      </c>
      <c r="BM195" s="70">
        <f t="shared" si="1541"/>
        <v>78.145609112638169</v>
      </c>
      <c r="BN195" s="70">
        <f t="shared" si="1541"/>
        <v>73.985380263355523</v>
      </c>
      <c r="BO195" s="70">
        <f t="shared" si="1541"/>
        <v>74.301319698455316</v>
      </c>
      <c r="BP195" s="70">
        <f t="shared" si="1541"/>
        <v>72.31842531456337</v>
      </c>
      <c r="BQ195" s="70">
        <f t="shared" si="1541"/>
        <v>71.908437370892159</v>
      </c>
      <c r="BR195" s="70">
        <f t="shared" si="1541"/>
        <v>63.688822789154543</v>
      </c>
      <c r="BS195" s="70">
        <f t="shared" si="1541"/>
        <v>63.524969447901867</v>
      </c>
      <c r="BT195" s="70">
        <f t="shared" si="1541"/>
        <v>61.521539676104709</v>
      </c>
      <c r="BU195" s="70">
        <f t="shared" si="1541"/>
        <v>61.466921132079008</v>
      </c>
      <c r="BV195" s="70">
        <f t="shared" si="1541"/>
        <v>41.192109268446956</v>
      </c>
      <c r="BW195" s="70">
        <f t="shared" si="1541"/>
        <v>41.968844666819507</v>
      </c>
      <c r="BX195" s="70">
        <f t="shared" si="1541"/>
        <v>50.255112187889836</v>
      </c>
      <c r="BY195" s="70">
        <f t="shared" si="1541"/>
        <v>50.610072240164627</v>
      </c>
      <c r="BZ195" s="70">
        <f t="shared" si="1541"/>
        <v>40.019438152868403</v>
      </c>
      <c r="CA195" s="70">
        <f t="shared" si="1541"/>
        <v>40.093271432410361</v>
      </c>
      <c r="CB195" s="70">
        <f t="shared" si="1541"/>
        <v>42.36748643034241</v>
      </c>
      <c r="CC195" s="70">
        <f t="shared" si="1541"/>
        <v>42.645798241425538</v>
      </c>
      <c r="CD195" s="70">
        <f t="shared" si="1541"/>
        <v>44.918431667129354</v>
      </c>
      <c r="CE195" s="115">
        <f t="shared" si="1541"/>
        <v>45.340282541426973</v>
      </c>
      <c r="CF195" s="70">
        <f t="shared" ref="CF195:CG195" si="1542">CF191-CF194</f>
        <v>47.43351125912325</v>
      </c>
      <c r="CG195" s="70">
        <f t="shared" si="1542"/>
        <v>47.364979224067554</v>
      </c>
      <c r="CH195" s="70">
        <f t="shared" ref="CH195:CI195" si="1543">CH191-CH194</f>
        <v>30.912855348252918</v>
      </c>
      <c r="CI195" s="70">
        <f t="shared" si="1543"/>
        <v>30.912855348252918</v>
      </c>
      <c r="CJ195" s="70">
        <f t="shared" ref="CJ195:DB195" si="1544">CJ191-CJ194</f>
        <v>48.600738613048819</v>
      </c>
      <c r="CK195" s="70">
        <f t="shared" si="1544"/>
        <v>48.600738613048819</v>
      </c>
      <c r="CL195" s="70">
        <f t="shared" ref="CL195" si="1545">CL191-CL194</f>
        <v>44.989815836374447</v>
      </c>
      <c r="CM195" s="50">
        <f t="shared" si="1544"/>
        <v>44.989815836374447</v>
      </c>
      <c r="CN195" s="50">
        <f t="shared" si="1544"/>
        <v>44.989815836374447</v>
      </c>
      <c r="CO195" s="50">
        <f t="shared" si="1544"/>
        <v>44.989815836374447</v>
      </c>
      <c r="CP195" s="50">
        <f t="shared" si="1544"/>
        <v>44.989815836374447</v>
      </c>
      <c r="CQ195" s="50">
        <f t="shared" si="1544"/>
        <v>44.989815836374447</v>
      </c>
      <c r="CR195" s="50">
        <f t="shared" si="1544"/>
        <v>44.989815836374447</v>
      </c>
      <c r="CS195" s="50">
        <f t="shared" si="1544"/>
        <v>44.989815836374447</v>
      </c>
      <c r="CT195" s="50">
        <f t="shared" si="1544"/>
        <v>44.989815836374447</v>
      </c>
      <c r="CU195" s="50">
        <f t="shared" si="1544"/>
        <v>44.989815836374447</v>
      </c>
      <c r="CV195" s="50">
        <f t="shared" si="1544"/>
        <v>44.989815836374447</v>
      </c>
      <c r="CW195" s="50">
        <f t="shared" si="1544"/>
        <v>44.989815836374447</v>
      </c>
      <c r="CX195" s="50">
        <f t="shared" si="1544"/>
        <v>44.989815836374447</v>
      </c>
      <c r="CY195" s="50">
        <f t="shared" si="1544"/>
        <v>44.989815836374447</v>
      </c>
      <c r="CZ195" s="50">
        <f t="shared" si="1544"/>
        <v>44.989815836374447</v>
      </c>
      <c r="DA195" s="50">
        <f t="shared" si="1544"/>
        <v>44.989815836374447</v>
      </c>
      <c r="DB195" s="50">
        <f t="shared" si="1544"/>
        <v>44.989815836374447</v>
      </c>
      <c r="DE195" s="138"/>
      <c r="DF195" s="115">
        <v>48.600738613048819</v>
      </c>
    </row>
    <row r="196" spans="1:110" s="7" customFormat="1" x14ac:dyDescent="0.2">
      <c r="A196" s="69" t="s">
        <v>86</v>
      </c>
      <c r="AB196" s="77"/>
      <c r="AC196" s="77"/>
      <c r="AD196" s="77"/>
      <c r="AE196" s="77"/>
      <c r="CE196" s="115"/>
      <c r="CG196" s="115"/>
      <c r="CM196" s="50"/>
      <c r="CN196" s="50"/>
      <c r="CO196" s="50"/>
      <c r="CP196" s="50"/>
      <c r="CQ196" s="50"/>
      <c r="CR196" s="50"/>
      <c r="CS196" s="50"/>
      <c r="CT196" s="50"/>
      <c r="CU196" s="50"/>
      <c r="CV196" s="50"/>
      <c r="CW196" s="50"/>
      <c r="CX196" s="50"/>
      <c r="CY196" s="50"/>
      <c r="CZ196" s="50"/>
      <c r="DA196" s="50"/>
      <c r="DB196" s="50"/>
      <c r="DE196" s="138"/>
      <c r="DF196" s="115"/>
    </row>
    <row r="197" spans="1:110" s="86" customFormat="1" x14ac:dyDescent="0.2">
      <c r="A197" s="86" t="s">
        <v>440</v>
      </c>
      <c r="C197" s="86" t="e">
        <f t="shared" ref="C197:Y197" si="1546">C19/B19-1</f>
        <v>#DIV/0!</v>
      </c>
      <c r="D197" s="86" t="e">
        <f t="shared" si="1546"/>
        <v>#DIV/0!</v>
      </c>
      <c r="E197" s="86" t="e">
        <f t="shared" si="1546"/>
        <v>#DIV/0!</v>
      </c>
      <c r="F197" s="86" t="e">
        <f t="shared" si="1546"/>
        <v>#DIV/0!</v>
      </c>
      <c r="G197" s="86">
        <f t="shared" si="1546"/>
        <v>0.36062274387673154</v>
      </c>
      <c r="H197" s="86">
        <f t="shared" si="1546"/>
        <v>0.40871713564319667</v>
      </c>
      <c r="I197" s="86">
        <f t="shared" si="1546"/>
        <v>0.21055744088506323</v>
      </c>
      <c r="J197" s="86">
        <f t="shared" si="1546"/>
        <v>0.22959638400814875</v>
      </c>
      <c r="K197" s="86">
        <f t="shared" si="1546"/>
        <v>7.9676754079404999E-2</v>
      </c>
      <c r="L197" s="86">
        <f t="shared" si="1546"/>
        <v>0.24295212748244022</v>
      </c>
      <c r="M197" s="86">
        <f t="shared" si="1546"/>
        <v>0.30996575708562557</v>
      </c>
      <c r="N197" s="86">
        <f t="shared" si="1546"/>
        <v>0.28829097659152492</v>
      </c>
      <c r="O197" s="86">
        <f t="shared" si="1546"/>
        <v>0.29877814517598811</v>
      </c>
      <c r="P197" s="86">
        <f t="shared" si="1546"/>
        <v>0.156938643695538</v>
      </c>
      <c r="Q197" s="86">
        <f t="shared" si="1546"/>
        <v>0.1478903871707935</v>
      </c>
      <c r="R197" s="86">
        <f t="shared" si="1546"/>
        <v>8.578318575925481E-2</v>
      </c>
      <c r="S197" s="86">
        <f t="shared" si="1546"/>
        <v>4.3554922604818413E-2</v>
      </c>
      <c r="T197" s="86">
        <f t="shared" si="1546"/>
        <v>0.18975012997140639</v>
      </c>
      <c r="U197" s="86">
        <f t="shared" si="1546"/>
        <v>7.1594873790650215E-2</v>
      </c>
      <c r="V197" s="86">
        <f t="shared" si="1546"/>
        <v>4.6053176509566862E-2</v>
      </c>
      <c r="W197" s="86">
        <f t="shared" si="1546"/>
        <v>0.1679711530847805</v>
      </c>
      <c r="X197" s="86">
        <f t="shared" si="1546"/>
        <v>0.17576686796624852</v>
      </c>
      <c r="Y197" s="86">
        <f t="shared" si="1546"/>
        <v>6.8460644554639849E-2</v>
      </c>
      <c r="Z197" s="86">
        <f>Z19/Y19-1</f>
        <v>5.9906265437351891E-2</v>
      </c>
      <c r="AA197" s="86">
        <f>AA19/Z19-1</f>
        <v>4.581237956478823E-2</v>
      </c>
      <c r="AB197" s="87">
        <f t="shared" ref="AA197:AE197" si="1547">AB19/AA19-1</f>
        <v>7.2184421059616088E-2</v>
      </c>
      <c r="AC197" s="87">
        <f t="shared" si="1547"/>
        <v>5.1607744322249349E-2</v>
      </c>
      <c r="AD197" s="87">
        <f t="shared" si="1547"/>
        <v>5.1607744322249127E-2</v>
      </c>
      <c r="AE197" s="87">
        <f t="shared" si="1547"/>
        <v>5.1607744322249127E-2</v>
      </c>
      <c r="AN197" s="86">
        <f t="shared" ref="AN197:CI197" si="1548">+(AN19+AM19)/(AJ19+AI19)-1</f>
        <v>0.26605234751877815</v>
      </c>
      <c r="AO197" s="86">
        <f t="shared" si="1548"/>
        <v>0.32503174691031012</v>
      </c>
      <c r="AP197" s="86">
        <f t="shared" si="1548"/>
        <v>0.3212937283877213</v>
      </c>
      <c r="AQ197" s="86">
        <f t="shared" si="1548"/>
        <v>0.27247510036356726</v>
      </c>
      <c r="AR197" s="86">
        <f t="shared" si="1548"/>
        <v>0.1934629608840992</v>
      </c>
      <c r="AS197" s="86">
        <f t="shared" si="1548"/>
        <v>0.15333416400398514</v>
      </c>
      <c r="AT197" s="86">
        <f t="shared" si="1548"/>
        <v>0.13714186352915902</v>
      </c>
      <c r="AU197" s="86">
        <f t="shared" si="1548"/>
        <v>0.14258675483462557</v>
      </c>
      <c r="AV197" s="86">
        <f t="shared" si="1548"/>
        <v>0.15035628972700699</v>
      </c>
      <c r="AW197" s="86">
        <f t="shared" si="1548"/>
        <v>0.12855310340203019</v>
      </c>
      <c r="AX197" s="86">
        <f t="shared" si="1548"/>
        <v>0.14556586598359234</v>
      </c>
      <c r="AY197" s="86">
        <f t="shared" si="1548"/>
        <v>0.15767875727432945</v>
      </c>
      <c r="AZ197" s="86">
        <f t="shared" si="1548"/>
        <v>0.10894705960289963</v>
      </c>
      <c r="BA197" s="86">
        <f t="shared" si="1548"/>
        <v>8.2341506354416838E-2</v>
      </c>
      <c r="BB197" s="86">
        <f t="shared" si="1548"/>
        <v>6.3856090874885751E-2</v>
      </c>
      <c r="BC197" s="86">
        <f t="shared" si="1548"/>
        <v>2.5487412127298548E-2</v>
      </c>
      <c r="BD197" s="86">
        <f t="shared" si="1548"/>
        <v>2.6216525286316461E-2</v>
      </c>
      <c r="BE197" s="86">
        <f t="shared" si="1548"/>
        <v>4.1105406733424887E-2</v>
      </c>
      <c r="BF197" s="86">
        <f t="shared" si="1548"/>
        <v>6.0663219765229037E-2</v>
      </c>
      <c r="BG197" s="86">
        <f t="shared" si="1548"/>
        <v>0.12004862729206778</v>
      </c>
      <c r="BH197" s="86">
        <f t="shared" si="1548"/>
        <v>0.18278586278586273</v>
      </c>
      <c r="BI197" s="86">
        <f t="shared" si="1548"/>
        <v>0.20745382048986905</v>
      </c>
      <c r="BJ197" s="86">
        <f t="shared" si="1548"/>
        <v>0.19639879959986661</v>
      </c>
      <c r="BK197" s="86">
        <f t="shared" si="1548"/>
        <v>0.1484261939218523</v>
      </c>
      <c r="BL197" s="86">
        <f t="shared" si="1548"/>
        <v>8.4848484848484951E-2</v>
      </c>
      <c r="BM197" s="86">
        <f t="shared" si="1548"/>
        <v>6.2526957084321655E-2</v>
      </c>
      <c r="BN197" s="86">
        <f t="shared" si="1548"/>
        <v>5.9085841694537455E-2</v>
      </c>
      <c r="BO197" s="86">
        <f t="shared" si="1548"/>
        <v>2.7381796224829946E-2</v>
      </c>
      <c r="BP197" s="86">
        <f t="shared" si="1548"/>
        <v>1.6954205498451058E-2</v>
      </c>
      <c r="BQ197" s="86">
        <f t="shared" si="1548"/>
        <v>4.2102726084915831E-2</v>
      </c>
      <c r="BR197" s="86">
        <f t="shared" si="1548"/>
        <v>7.418546365914791E-2</v>
      </c>
      <c r="BS197" s="86">
        <f t="shared" si="1548"/>
        <v>0.13860070526907542</v>
      </c>
      <c r="BT197" s="86">
        <f t="shared" si="1548"/>
        <v>0.17616018965802915</v>
      </c>
      <c r="BU197" s="86">
        <f t="shared" si="1548"/>
        <v>0.16557516737674982</v>
      </c>
      <c r="BV197" s="86">
        <f t="shared" si="1548"/>
        <v>0.16047596826878219</v>
      </c>
      <c r="BW197" s="86">
        <f t="shared" si="1548"/>
        <v>0.15971318281790037</v>
      </c>
      <c r="BX197" s="86">
        <f t="shared" si="1548"/>
        <v>0.17110253798305131</v>
      </c>
      <c r="BY197" s="86">
        <f t="shared" si="1548"/>
        <v>0.18575068928064176</v>
      </c>
      <c r="BZ197" s="86">
        <f t="shared" si="1548"/>
        <v>0.18009369094052841</v>
      </c>
      <c r="CA197" s="86">
        <f t="shared" si="1548"/>
        <v>0.14701642009114746</v>
      </c>
      <c r="CB197" s="86">
        <f t="shared" si="1548"/>
        <v>0.10184422626703804</v>
      </c>
      <c r="CC197" s="86">
        <f t="shared" si="1548"/>
        <v>5.9336962074371558E-2</v>
      </c>
      <c r="CD197" s="86">
        <f t="shared" si="1548"/>
        <v>3.7728616333449816E-2</v>
      </c>
      <c r="CE197" s="86">
        <f t="shared" si="1548"/>
        <v>4.4768564993293625E-2</v>
      </c>
      <c r="CF197" s="86">
        <f t="shared" si="1548"/>
        <v>6.5497635904025353E-2</v>
      </c>
      <c r="CG197" s="86">
        <f t="shared" si="1548"/>
        <v>6.6156724173768389E-2</v>
      </c>
      <c r="CH197" s="86">
        <f t="shared" si="1548"/>
        <v>5.4440978492858338E-2</v>
      </c>
      <c r="CI197" s="86">
        <f t="shared" si="1548"/>
        <v>3.2830036334275281E-2</v>
      </c>
      <c r="CJ197" s="86">
        <f>+(CJ19+CI19)/(CF19+CE19)-1</f>
        <v>1.8632952897408517E-2</v>
      </c>
      <c r="CL197" s="86">
        <f>+(CL19+CK19)/(CH19+CG19)-1</f>
        <v>7.2657490735839048E-2</v>
      </c>
      <c r="CM197" s="87"/>
      <c r="CN197" s="87"/>
      <c r="CO197" s="87"/>
      <c r="CP197" s="87"/>
      <c r="CQ197" s="87"/>
      <c r="CR197" s="87"/>
      <c r="CS197" s="87"/>
      <c r="CT197" s="87"/>
      <c r="CU197" s="87"/>
      <c r="CV197" s="87"/>
      <c r="CW197" s="87"/>
      <c r="CX197" s="87"/>
      <c r="CY197" s="87"/>
      <c r="CZ197" s="87"/>
      <c r="DA197" s="87"/>
      <c r="DB197" s="87"/>
      <c r="DE197" s="141"/>
      <c r="DF197" s="86">
        <v>4.581237956478823E-2</v>
      </c>
    </row>
    <row r="198" spans="1:110" s="86" customFormat="1" x14ac:dyDescent="0.2">
      <c r="A198" s="86" t="s">
        <v>441</v>
      </c>
      <c r="C198" s="86" t="e">
        <f t="shared" ref="C198" si="1549">C195/B195-1</f>
        <v>#DIV/0!</v>
      </c>
      <c r="D198" s="86" t="e">
        <f t="shared" ref="D198" si="1550">D195/C195-1</f>
        <v>#DIV/0!</v>
      </c>
      <c r="E198" s="86" t="e">
        <f>E195/D195-1</f>
        <v>#DIV/0!</v>
      </c>
      <c r="F198" s="86" t="e">
        <f t="shared" ref="F198" si="1551">F195/E195-1</f>
        <v>#DIV/0!</v>
      </c>
      <c r="G198" s="86">
        <f t="shared" ref="G198" si="1552">G195/F195-1</f>
        <v>0.18049458473522639</v>
      </c>
      <c r="H198" s="86">
        <f t="shared" ref="H198" si="1553">H195/G195-1</f>
        <v>-0.14768599641778857</v>
      </c>
      <c r="I198" s="86">
        <f t="shared" ref="I198" si="1554">I195/H195-1</f>
        <v>0.21879767590929089</v>
      </c>
      <c r="J198" s="86">
        <f t="shared" ref="J198" si="1555">J195/I195-1</f>
        <v>-8.9749297919227589E-2</v>
      </c>
      <c r="K198" s="86">
        <f>K195/J195-1</f>
        <v>-0.48842730249256849</v>
      </c>
      <c r="L198" s="86">
        <f t="shared" ref="L198" si="1556">L195/K195-1</f>
        <v>1.9611093851224415</v>
      </c>
      <c r="M198" s="86">
        <f t="shared" ref="M198" si="1557">M195/L195-1</f>
        <v>4.8138737552982924E-4</v>
      </c>
      <c r="N198" s="86">
        <f t="shared" ref="N198" si="1558">N195/M195-1</f>
        <v>0.14890326907194584</v>
      </c>
      <c r="O198" s="86">
        <f t="shared" ref="O198" si="1559">O195/N195-1</f>
        <v>-0.21464126257839988</v>
      </c>
      <c r="P198" s="86">
        <f t="shared" ref="P198" si="1560">P195/O195-1</f>
        <v>-0.23519114571480049</v>
      </c>
      <c r="Q198" s="86">
        <f t="shared" ref="Q198" si="1561">Q195/P195-1</f>
        <v>0.33936651593712552</v>
      </c>
      <c r="R198" s="86">
        <f t="shared" ref="R198" si="1562">R195/Q195-1</f>
        <v>-0.11117027365814869</v>
      </c>
      <c r="S198" s="86">
        <f t="shared" ref="S198" si="1563">S195/R195-1</f>
        <v>1.4023356789678809E-2</v>
      </c>
      <c r="T198" s="86">
        <f t="shared" ref="T198" si="1564">T195/S195-1</f>
        <v>2.0360841841150279E-2</v>
      </c>
      <c r="U198" s="86">
        <f t="shared" ref="U198" si="1565">U195/T195-1</f>
        <v>-0.29471480909651382</v>
      </c>
      <c r="V198" s="86">
        <f t="shared" ref="V198" si="1566">V195/U195-1</f>
        <v>-0.10362975522331042</v>
      </c>
      <c r="W198" s="86">
        <f t="shared" ref="W198:AA198" si="1567">W195/V195-1</f>
        <v>-0.42961394160167654</v>
      </c>
      <c r="X198" s="86">
        <f t="shared" si="1567"/>
        <v>2.7417191192251833E-2</v>
      </c>
      <c r="Y198" s="86">
        <f t="shared" si="1567"/>
        <v>0.13212737177682654</v>
      </c>
      <c r="Z198" s="86">
        <f t="shared" si="1567"/>
        <v>-7.8571064583148664E-2</v>
      </c>
      <c r="AA198" s="86">
        <f t="shared" si="1567"/>
        <v>4.9754459662973316E-2</v>
      </c>
      <c r="AB198" s="87">
        <f t="shared" ref="AB198" si="1568">AB195/AA195-1</f>
        <v>0.39846927982331204</v>
      </c>
      <c r="AC198" s="87">
        <f t="shared" ref="AC198" si="1569">AC195/AB195-1</f>
        <v>0</v>
      </c>
      <c r="AD198" s="87">
        <f t="shared" ref="AD198" si="1570">AD195/AC195-1</f>
        <v>0</v>
      </c>
      <c r="AE198" s="87">
        <f t="shared" ref="AE198" si="1571">AE195/AD195-1</f>
        <v>0</v>
      </c>
      <c r="AN198" s="86">
        <f t="shared" ref="AN198:CI198" si="1572">+AN195/AJ195-1</f>
        <v>9.2806516291933816E-2</v>
      </c>
      <c r="AO198" s="86">
        <f t="shared" si="1572"/>
        <v>9.5700832233710287E-2</v>
      </c>
      <c r="AP198" s="86">
        <f t="shared" si="1572"/>
        <v>-0.22284227626929443</v>
      </c>
      <c r="AQ198" s="86">
        <f t="shared" si="1572"/>
        <v>-0.20033839024792166</v>
      </c>
      <c r="AR198" s="86">
        <f t="shared" si="1572"/>
        <v>-0.16467364557849318</v>
      </c>
      <c r="AS198" s="86">
        <f t="shared" si="1572"/>
        <v>-0.16341231633413345</v>
      </c>
      <c r="AT198" s="86">
        <f t="shared" si="1572"/>
        <v>-0.21392434470142885</v>
      </c>
      <c r="AU198" s="86">
        <f t="shared" si="1572"/>
        <v>-0.2156114861841627</v>
      </c>
      <c r="AV198" s="86">
        <f t="shared" si="1572"/>
        <v>-4.2157547399038542E-2</v>
      </c>
      <c r="AW198" s="86">
        <f t="shared" si="1572"/>
        <v>-3.7878872714432799E-2</v>
      </c>
      <c r="AX198" s="86">
        <f t="shared" si="1572"/>
        <v>0.31081159373023315</v>
      </c>
      <c r="AY198" s="86">
        <f t="shared" si="1572"/>
        <v>0.3097137701152799</v>
      </c>
      <c r="AZ198" s="86">
        <f t="shared" si="1572"/>
        <v>8.4734001181281604E-2</v>
      </c>
      <c r="BA198" s="86">
        <f t="shared" si="1572"/>
        <v>8.2961678656188642E-2</v>
      </c>
      <c r="BB198" s="86">
        <f t="shared" si="1572"/>
        <v>-7.2702889714027386E-2</v>
      </c>
      <c r="BC198" s="86">
        <f t="shared" si="1572"/>
        <v>-6.6409840374205942E-2</v>
      </c>
      <c r="BD198" s="86">
        <f t="shared" si="1572"/>
        <v>-0.14574495514364816</v>
      </c>
      <c r="BE198" s="86">
        <f t="shared" si="1572"/>
        <v>-0.14309215985946411</v>
      </c>
      <c r="BF198" s="86">
        <f t="shared" si="1572"/>
        <v>-2.1823549200942316E-2</v>
      </c>
      <c r="BG198" s="86">
        <f t="shared" si="1572"/>
        <v>-2.3185002238635732E-2</v>
      </c>
      <c r="BH198" s="86">
        <f t="shared" si="1572"/>
        <v>-0.12308143884630018</v>
      </c>
      <c r="BI198" s="86">
        <f t="shared" si="1572"/>
        <v>-0.12304178035933233</v>
      </c>
      <c r="BJ198" s="86">
        <f t="shared" si="1572"/>
        <v>2.4313675013437841E-2</v>
      </c>
      <c r="BK198" s="86">
        <f t="shared" si="1572"/>
        <v>2.4655837161524641E-2</v>
      </c>
      <c r="BL198" s="86">
        <f t="shared" si="1572"/>
        <v>0.17333649075470237</v>
      </c>
      <c r="BM198" s="86">
        <f t="shared" si="1572"/>
        <v>0.16807303450333011</v>
      </c>
      <c r="BN198" s="86">
        <f t="shared" si="1572"/>
        <v>-4.8928828618824305E-2</v>
      </c>
      <c r="BO198" s="86">
        <f t="shared" si="1572"/>
        <v>-4.4048390993804087E-2</v>
      </c>
      <c r="BP198" s="86">
        <f t="shared" si="1572"/>
        <v>-7.8540029785539534E-2</v>
      </c>
      <c r="BQ198" s="86">
        <f t="shared" si="1572"/>
        <v>-7.9814743433067714E-2</v>
      </c>
      <c r="BR198" s="86">
        <f t="shared" si="1572"/>
        <v>-0.13917016358569423</v>
      </c>
      <c r="BS198" s="86">
        <f t="shared" si="1572"/>
        <v>-0.14503578529006245</v>
      </c>
      <c r="BT198" s="86">
        <f t="shared" si="1572"/>
        <v>-0.14929647031853166</v>
      </c>
      <c r="BU198" s="86">
        <f t="shared" si="1572"/>
        <v>-0.14520571744533239</v>
      </c>
      <c r="BV198" s="86">
        <f t="shared" si="1572"/>
        <v>-0.35322859703631571</v>
      </c>
      <c r="BW198" s="86">
        <f t="shared" si="1572"/>
        <v>-0.33933309954223556</v>
      </c>
      <c r="BX198" s="86">
        <f t="shared" si="1572"/>
        <v>-0.18312980376514887</v>
      </c>
      <c r="BY198" s="86">
        <f t="shared" si="1572"/>
        <v>-0.17662913144104586</v>
      </c>
      <c r="BZ198" s="86">
        <f t="shared" si="1572"/>
        <v>-2.8468343486280689E-2</v>
      </c>
      <c r="CA198" s="86">
        <f t="shared" si="1572"/>
        <v>-4.4689656084146878E-2</v>
      </c>
      <c r="CB198" s="86">
        <f t="shared" si="1572"/>
        <v>-0.15695170927203972</v>
      </c>
      <c r="CC198" s="86">
        <f t="shared" si="1572"/>
        <v>-0.15736539479622724</v>
      </c>
      <c r="CD198" s="86">
        <f t="shared" si="1572"/>
        <v>0.12241534964952572</v>
      </c>
      <c r="CE198" s="86">
        <f t="shared" si="1572"/>
        <v>0.13087011664443682</v>
      </c>
      <c r="CF198" s="86">
        <f t="shared" si="1572"/>
        <v>0.1195734100749648</v>
      </c>
      <c r="CG198" s="86">
        <f t="shared" si="1572"/>
        <v>0.11065992846296102</v>
      </c>
      <c r="CH198" s="86">
        <f t="shared" si="1572"/>
        <v>-0.31180020759997973</v>
      </c>
      <c r="CI198" s="86">
        <f t="shared" si="1572"/>
        <v>-0.31820329262376901</v>
      </c>
      <c r="CJ198" s="86">
        <f>+CJ195/CF195-1</f>
        <v>2.4607652331474217E-2</v>
      </c>
      <c r="CL198" s="86">
        <f>+CL195/CH195-1</f>
        <v>0.45537561411055827</v>
      </c>
      <c r="CM198" s="87"/>
      <c r="CN198" s="87"/>
      <c r="CO198" s="87"/>
      <c r="CP198" s="87"/>
      <c r="CQ198" s="87"/>
      <c r="CR198" s="87"/>
      <c r="CS198" s="87"/>
      <c r="CT198" s="87"/>
      <c r="CU198" s="87"/>
      <c r="CV198" s="87"/>
      <c r="CW198" s="87"/>
      <c r="CX198" s="87"/>
      <c r="CY198" s="87"/>
      <c r="CZ198" s="87"/>
      <c r="DA198" s="87"/>
      <c r="DB198" s="87"/>
      <c r="DE198" s="141"/>
      <c r="DF198" s="86">
        <v>0.52584405523357525</v>
      </c>
    </row>
    <row r="199" spans="1:110" s="103" customFormat="1" x14ac:dyDescent="0.2">
      <c r="A199" s="147" t="s">
        <v>87</v>
      </c>
      <c r="C199" s="103" t="e">
        <f>IF(C198&gt;C197,"RF",0)</f>
        <v>#DIV/0!</v>
      </c>
      <c r="D199" s="103" t="e">
        <f>IF(D198&gt;D197,"RF",0)</f>
        <v>#DIV/0!</v>
      </c>
      <c r="E199" s="103" t="e">
        <f t="shared" ref="E199:U199" si="1573">IF(E198&gt;E197,"RF",0)</f>
        <v>#DIV/0!</v>
      </c>
      <c r="F199" s="103" t="e">
        <f t="shared" si="1573"/>
        <v>#DIV/0!</v>
      </c>
      <c r="G199" s="103">
        <f t="shared" si="1573"/>
        <v>0</v>
      </c>
      <c r="H199" s="103">
        <f t="shared" si="1573"/>
        <v>0</v>
      </c>
      <c r="I199" s="103" t="str">
        <f t="shared" si="1573"/>
        <v>RF</v>
      </c>
      <c r="J199" s="103">
        <f t="shared" si="1573"/>
        <v>0</v>
      </c>
      <c r="K199" s="103">
        <f t="shared" si="1573"/>
        <v>0</v>
      </c>
      <c r="L199" s="103" t="str">
        <f t="shared" si="1573"/>
        <v>RF</v>
      </c>
      <c r="M199" s="103">
        <f t="shared" si="1573"/>
        <v>0</v>
      </c>
      <c r="N199" s="103">
        <f t="shared" si="1573"/>
        <v>0</v>
      </c>
      <c r="O199" s="103">
        <f t="shared" si="1573"/>
        <v>0</v>
      </c>
      <c r="P199" s="103">
        <f t="shared" si="1573"/>
        <v>0</v>
      </c>
      <c r="Q199" s="103" t="str">
        <f t="shared" si="1573"/>
        <v>RF</v>
      </c>
      <c r="R199" s="103">
        <f t="shared" si="1573"/>
        <v>0</v>
      </c>
      <c r="S199" s="103">
        <f t="shared" si="1573"/>
        <v>0</v>
      </c>
      <c r="T199" s="103">
        <f t="shared" si="1573"/>
        <v>0</v>
      </c>
      <c r="U199" s="103">
        <f t="shared" si="1573"/>
        <v>0</v>
      </c>
      <c r="V199" s="103">
        <f>IF(V198&gt;V197,"RF",0)</f>
        <v>0</v>
      </c>
      <c r="W199" s="103">
        <f t="shared" ref="W199" si="1574">IF(W198&gt;W197,"RF",0)</f>
        <v>0</v>
      </c>
      <c r="X199" s="103">
        <f t="shared" ref="X199:Y199" si="1575">IF(X198&gt;X197,"RF",0)</f>
        <v>0</v>
      </c>
      <c r="Y199" s="103" t="str">
        <f t="shared" si="1575"/>
        <v>RF</v>
      </c>
      <c r="Z199" s="103">
        <f t="shared" ref="Z199:AA199" si="1576">IF(Z198&gt;Z197,"RF",0)</f>
        <v>0</v>
      </c>
      <c r="AA199" s="103" t="str">
        <f t="shared" si="1576"/>
        <v>RF</v>
      </c>
      <c r="AB199" s="73" t="str">
        <f t="shared" ref="AA199:AD199" si="1577">IF(AB198&gt;AB197,"RF",0)</f>
        <v>RF</v>
      </c>
      <c r="AC199" s="73">
        <f t="shared" si="1577"/>
        <v>0</v>
      </c>
      <c r="AD199" s="73">
        <f t="shared" si="1577"/>
        <v>0</v>
      </c>
      <c r="AE199" s="73">
        <f t="shared" ref="AE199" si="1578">IF(AE198&gt;AE197,"RF",0)</f>
        <v>0</v>
      </c>
      <c r="CM199" s="73"/>
      <c r="CN199" s="73"/>
      <c r="CO199" s="73"/>
      <c r="CP199" s="73"/>
      <c r="CQ199" s="73"/>
      <c r="CR199" s="73"/>
      <c r="CS199" s="73"/>
      <c r="CT199" s="73"/>
      <c r="CU199" s="73"/>
      <c r="CV199" s="73"/>
      <c r="CW199" s="73"/>
      <c r="CX199" s="73"/>
      <c r="CY199" s="73"/>
      <c r="CZ199" s="73"/>
      <c r="DA199" s="73"/>
      <c r="DB199" s="73"/>
      <c r="DE199" s="142"/>
      <c r="DF199" s="103" t="s">
        <v>530</v>
      </c>
    </row>
    <row r="200" spans="1:110" x14ac:dyDescent="0.2">
      <c r="A200" s="153" t="s">
        <v>494</v>
      </c>
      <c r="AA200" s="2"/>
      <c r="DF200" s="111"/>
    </row>
    <row r="201" spans="1:110" x14ac:dyDescent="0.2">
      <c r="A201" s="152" t="s">
        <v>495</v>
      </c>
      <c r="AA201" s="2"/>
      <c r="DF201" s="111"/>
    </row>
    <row r="202" spans="1:110" s="23" customFormat="1" x14ac:dyDescent="0.2">
      <c r="A202" s="23" t="s">
        <v>22</v>
      </c>
      <c r="C202" s="23">
        <f t="shared" ref="C202:AE202" si="1579">C57</f>
        <v>0</v>
      </c>
      <c r="D202" s="23">
        <f t="shared" si="1579"/>
        <v>0</v>
      </c>
      <c r="E202" s="23">
        <f t="shared" si="1579"/>
        <v>6.68</v>
      </c>
      <c r="F202" s="23">
        <f t="shared" si="1579"/>
        <v>1976.8999999999987</v>
      </c>
      <c r="G202" s="23">
        <f t="shared" si="1579"/>
        <v>2966.7399999999993</v>
      </c>
      <c r="H202" s="23">
        <f t="shared" si="1579"/>
        <v>4212.6300000000037</v>
      </c>
      <c r="I202" s="23">
        <f t="shared" si="1579"/>
        <v>5026.0199999999959</v>
      </c>
      <c r="J202" s="23">
        <f t="shared" si="1579"/>
        <v>5256.4199999999992</v>
      </c>
      <c r="K202" s="23">
        <f t="shared" si="1579"/>
        <v>7000.6400000000031</v>
      </c>
      <c r="L202" s="23">
        <f t="shared" si="1579"/>
        <v>9068.0399999999991</v>
      </c>
      <c r="M202" s="23">
        <f t="shared" si="1579"/>
        <v>10413.490000000005</v>
      </c>
      <c r="N202" s="23">
        <f t="shared" si="1579"/>
        <v>13917.310000000003</v>
      </c>
      <c r="O202" s="23">
        <f t="shared" si="1579"/>
        <v>19163.869999999995</v>
      </c>
      <c r="P202" s="23">
        <f t="shared" si="1579"/>
        <v>19852.180000000008</v>
      </c>
      <c r="Q202" s="23">
        <f t="shared" si="1579"/>
        <v>24270</v>
      </c>
      <c r="R202" s="23">
        <f t="shared" si="1579"/>
        <v>26289</v>
      </c>
      <c r="S202" s="23">
        <f t="shared" si="1579"/>
        <v>25826</v>
      </c>
      <c r="T202" s="23">
        <f t="shared" si="1579"/>
        <v>31472</v>
      </c>
      <c r="U202" s="23">
        <f t="shared" si="1579"/>
        <v>32340</v>
      </c>
      <c r="V202" s="23">
        <f t="shared" si="1579"/>
        <v>32430</v>
      </c>
      <c r="W202" s="23">
        <f t="shared" si="1579"/>
        <v>38327</v>
      </c>
      <c r="X202" s="23">
        <f t="shared" si="1579"/>
        <v>42147</v>
      </c>
      <c r="Y202" s="23">
        <f t="shared" si="1579"/>
        <v>45908</v>
      </c>
      <c r="Z202" s="23">
        <f t="shared" si="1579"/>
        <v>48553</v>
      </c>
      <c r="AA202" s="23">
        <f t="shared" ref="AA202" si="1580">AA57</f>
        <v>49210</v>
      </c>
      <c r="AB202" s="24">
        <f t="shared" si="1579"/>
        <v>57054.399231120537</v>
      </c>
      <c r="AC202" s="24">
        <f t="shared" si="1579"/>
        <v>62269.522075162786</v>
      </c>
      <c r="AD202" s="24">
        <f t="shared" si="1579"/>
        <v>67438.634258135426</v>
      </c>
      <c r="AE202" s="24">
        <f t="shared" si="1579"/>
        <v>72737.632398142712</v>
      </c>
      <c r="AI202" s="23">
        <f t="shared" ref="AI202:BN202" si="1581">AI57</f>
        <v>3317.68</v>
      </c>
      <c r="AJ202" s="23">
        <f t="shared" si="1581"/>
        <v>3434.37</v>
      </c>
      <c r="AK202" s="23">
        <f t="shared" si="1581"/>
        <v>3549.6200000000017</v>
      </c>
      <c r="AL202" s="23">
        <f t="shared" si="1581"/>
        <v>3615.6399999999994</v>
      </c>
      <c r="AM202" s="23">
        <f t="shared" si="1581"/>
        <v>3839.5000000000009</v>
      </c>
      <c r="AN202" s="23">
        <f t="shared" si="1581"/>
        <v>4633.3300000000008</v>
      </c>
      <c r="AO202" s="23">
        <f t="shared" si="1581"/>
        <v>5333.4299999999994</v>
      </c>
      <c r="AP202" s="23">
        <f t="shared" si="1581"/>
        <v>5357.6100000000033</v>
      </c>
      <c r="AQ202" s="23">
        <f t="shared" si="1581"/>
        <v>5567.6799999999994</v>
      </c>
      <c r="AR202" s="23">
        <f t="shared" si="1581"/>
        <v>5244.2799999999988</v>
      </c>
      <c r="AS202" s="23">
        <f t="shared" si="1581"/>
        <v>5327.5499999999993</v>
      </c>
      <c r="AT202" s="23">
        <f t="shared" si="1581"/>
        <v>3712.6699999999996</v>
      </c>
      <c r="AU202" s="23">
        <f t="shared" si="1581"/>
        <v>5747</v>
      </c>
      <c r="AV202" s="23">
        <f t="shared" si="1581"/>
        <v>6073</v>
      </c>
      <c r="AW202" s="23">
        <f t="shared" si="1581"/>
        <v>6110</v>
      </c>
      <c r="AX202" s="23">
        <f t="shared" si="1581"/>
        <v>6340</v>
      </c>
      <c r="AY202" s="23">
        <f t="shared" si="1581"/>
        <v>6317</v>
      </c>
      <c r="AZ202" s="23">
        <f t="shared" si="1581"/>
        <v>6586</v>
      </c>
      <c r="BA202" s="23">
        <f t="shared" si="1581"/>
        <v>6778</v>
      </c>
      <c r="BB202" s="23">
        <f t="shared" si="1581"/>
        <v>6608</v>
      </c>
      <c r="BC202" s="23">
        <f t="shared" si="1581"/>
        <v>5945</v>
      </c>
      <c r="BD202" s="23">
        <f t="shared" si="1581"/>
        <v>6446</v>
      </c>
      <c r="BE202" s="23">
        <f t="shared" si="1581"/>
        <v>6531</v>
      </c>
      <c r="BF202" s="23">
        <f t="shared" si="1581"/>
        <v>6904</v>
      </c>
      <c r="BG202" s="23">
        <f t="shared" si="1581"/>
        <v>7340</v>
      </c>
      <c r="BH202" s="23">
        <f t="shared" si="1581"/>
        <v>7901</v>
      </c>
      <c r="BI202" s="23">
        <f t="shared" si="1581"/>
        <v>8105</v>
      </c>
      <c r="BJ202" s="23">
        <f t="shared" si="1581"/>
        <v>8126</v>
      </c>
      <c r="BK202" s="23">
        <f t="shared" si="1581"/>
        <v>8131</v>
      </c>
      <c r="BL202" s="23">
        <f t="shared" si="1581"/>
        <v>8042</v>
      </c>
      <c r="BM202" s="23">
        <f t="shared" si="1581"/>
        <v>8118</v>
      </c>
      <c r="BN202" s="23">
        <f t="shared" si="1581"/>
        <v>8049</v>
      </c>
      <c r="BO202" s="23">
        <f t="shared" ref="BO202:CT202" si="1582">BO57</f>
        <v>7008</v>
      </c>
      <c r="BP202" s="23">
        <f t="shared" si="1582"/>
        <v>7475</v>
      </c>
      <c r="BQ202" s="23">
        <f t="shared" si="1582"/>
        <v>8701</v>
      </c>
      <c r="BR202" s="23">
        <f t="shared" si="1582"/>
        <v>9246</v>
      </c>
      <c r="BS202" s="23">
        <f t="shared" si="1582"/>
        <v>9008</v>
      </c>
      <c r="BT202" s="23">
        <f t="shared" si="1582"/>
        <v>9624</v>
      </c>
      <c r="BU202" s="23">
        <f t="shared" si="1582"/>
        <v>9769</v>
      </c>
      <c r="BV202" s="23">
        <f t="shared" si="1582"/>
        <v>9926</v>
      </c>
      <c r="BW202" s="23">
        <f t="shared" si="1582"/>
        <v>9478</v>
      </c>
      <c r="BX202" s="23">
        <f t="shared" si="1582"/>
        <v>10431</v>
      </c>
      <c r="BY202" s="23">
        <f t="shared" si="1582"/>
        <v>10846</v>
      </c>
      <c r="BZ202" s="23">
        <f t="shared" si="1582"/>
        <v>11392</v>
      </c>
      <c r="CA202" s="23">
        <f t="shared" si="1582"/>
        <v>11074</v>
      </c>
      <c r="CB202" s="23">
        <f t="shared" si="1582"/>
        <v>11342</v>
      </c>
      <c r="CC202" s="23">
        <f t="shared" si="1582"/>
        <v>11058</v>
      </c>
      <c r="CD202" s="23">
        <f t="shared" si="1582"/>
        <v>12434</v>
      </c>
      <c r="CE202" s="23">
        <f t="shared" si="1582"/>
        <v>12040</v>
      </c>
      <c r="CF202" s="23">
        <f t="shared" si="1582"/>
        <v>11909</v>
      </c>
      <c r="CG202" s="23">
        <f t="shared" si="1582"/>
        <v>12380</v>
      </c>
      <c r="CH202" s="23">
        <f t="shared" si="1582"/>
        <v>12224</v>
      </c>
      <c r="CI202" s="23">
        <f t="shared" si="1582"/>
        <v>12760</v>
      </c>
      <c r="CJ202" s="23">
        <f t="shared" si="1582"/>
        <v>12075</v>
      </c>
      <c r="CK202" s="23">
        <f t="shared" si="1582"/>
        <v>10657</v>
      </c>
      <c r="CL202" s="23">
        <f t="shared" si="1582"/>
        <v>13718</v>
      </c>
      <c r="CM202" s="24">
        <f t="shared" si="1582"/>
        <v>13691.563724565167</v>
      </c>
      <c r="CN202" s="24">
        <f t="shared" si="1582"/>
        <v>14171.499484870375</v>
      </c>
      <c r="CO202" s="24">
        <f t="shared" si="1582"/>
        <v>14509.010486624782</v>
      </c>
      <c r="CP202" s="24">
        <f t="shared" si="1582"/>
        <v>14682.325535060188</v>
      </c>
      <c r="CQ202" s="24">
        <f t="shared" si="1582"/>
        <v>15081.321981459962</v>
      </c>
      <c r="CR202" s="24">
        <f t="shared" si="1582"/>
        <v>15423.295280690123</v>
      </c>
      <c r="CS202" s="24">
        <f t="shared" si="1582"/>
        <v>15731.371170307393</v>
      </c>
      <c r="CT202" s="24">
        <f t="shared" si="1582"/>
        <v>16033.533642705268</v>
      </c>
      <c r="CU202" s="24">
        <f t="shared" ref="CU202:DB202" si="1583">CU57</f>
        <v>16373.406059281227</v>
      </c>
      <c r="CV202" s="24">
        <f t="shared" si="1583"/>
        <v>16698.385117091773</v>
      </c>
      <c r="CW202" s="24">
        <f t="shared" si="1583"/>
        <v>17020.120819971558</v>
      </c>
      <c r="CX202" s="24">
        <f t="shared" si="1583"/>
        <v>17346.722261790841</v>
      </c>
      <c r="CY202" s="24">
        <f t="shared" si="1583"/>
        <v>17680.962208435809</v>
      </c>
      <c r="CZ202" s="24">
        <f t="shared" si="1583"/>
        <v>18014.381958046106</v>
      </c>
      <c r="DA202" s="24">
        <f t="shared" si="1583"/>
        <v>18350.73119034079</v>
      </c>
      <c r="DB202" s="24">
        <f t="shared" si="1583"/>
        <v>18691.557041319982</v>
      </c>
      <c r="DE202" s="123"/>
      <c r="DF202" s="23">
        <v>11864.390513924349</v>
      </c>
    </row>
    <row r="203" spans="1:110" s="23" customFormat="1" x14ac:dyDescent="0.2">
      <c r="A203" s="23" t="s">
        <v>88</v>
      </c>
      <c r="C203" s="23">
        <f t="shared" ref="C203:AE203" si="1584">C41</f>
        <v>0</v>
      </c>
      <c r="D203" s="23">
        <f t="shared" si="1584"/>
        <v>0</v>
      </c>
      <c r="E203" s="23">
        <f t="shared" si="1584"/>
        <v>0.84</v>
      </c>
      <c r="F203" s="23">
        <f t="shared" si="1584"/>
        <v>158.82</v>
      </c>
      <c r="G203" s="23">
        <f t="shared" si="1584"/>
        <v>282.43</v>
      </c>
      <c r="H203" s="23">
        <f t="shared" si="1584"/>
        <v>440.17</v>
      </c>
      <c r="I203" s="23">
        <f t="shared" si="1584"/>
        <v>563.71</v>
      </c>
      <c r="J203" s="23">
        <f t="shared" si="1584"/>
        <v>564.08000000000004</v>
      </c>
      <c r="K203" s="23">
        <f t="shared" si="1584"/>
        <v>660.89</v>
      </c>
      <c r="L203" s="23">
        <f t="shared" si="1584"/>
        <v>735.26</v>
      </c>
      <c r="M203" s="23">
        <f t="shared" si="1584"/>
        <v>917.94</v>
      </c>
      <c r="N203" s="23">
        <f t="shared" si="1584"/>
        <v>1079.92</v>
      </c>
      <c r="O203" s="23">
        <f t="shared" si="1584"/>
        <v>1349.15</v>
      </c>
      <c r="P203" s="23">
        <f t="shared" si="1584"/>
        <v>1798.69</v>
      </c>
      <c r="Q203" s="23">
        <f t="shared" si="1584"/>
        <v>1888</v>
      </c>
      <c r="R203" s="23">
        <f t="shared" si="1584"/>
        <v>1987</v>
      </c>
      <c r="S203" s="23">
        <f t="shared" si="1584"/>
        <v>2014</v>
      </c>
      <c r="T203" s="23">
        <f t="shared" si="1584"/>
        <v>2056</v>
      </c>
      <c r="U203" s="23">
        <f t="shared" si="1584"/>
        <v>3529</v>
      </c>
      <c r="V203" s="23">
        <f t="shared" si="1584"/>
        <v>4065</v>
      </c>
      <c r="W203" s="23">
        <f t="shared" si="1584"/>
        <v>4604</v>
      </c>
      <c r="X203" s="23">
        <f t="shared" si="1584"/>
        <v>5022</v>
      </c>
      <c r="Y203" s="23">
        <f t="shared" si="1584"/>
        <v>4985</v>
      </c>
      <c r="Z203" s="23">
        <f t="shared" si="1584"/>
        <v>5242</v>
      </c>
      <c r="AA203" s="23">
        <f t="shared" ref="AA203" si="1585">AA41</f>
        <v>5560</v>
      </c>
      <c r="AB203" s="24">
        <f t="shared" si="1584"/>
        <v>5840.4773574051032</v>
      </c>
      <c r="AC203" s="24">
        <f t="shared" si="1584"/>
        <v>5006.8959883635107</v>
      </c>
      <c r="AD203" s="24">
        <f t="shared" si="1584"/>
        <v>4550.8568346702978</v>
      </c>
      <c r="AE203" s="24">
        <f t="shared" si="1584"/>
        <v>4301.3650424768912</v>
      </c>
      <c r="AI203" s="23">
        <f t="shared" ref="AI203:BN203" si="1586">AI41</f>
        <v>247.04</v>
      </c>
      <c r="AJ203" s="23">
        <f t="shared" si="1586"/>
        <v>265.58</v>
      </c>
      <c r="AK203" s="23">
        <f t="shared" si="1586"/>
        <v>277.42</v>
      </c>
      <c r="AL203" s="23">
        <f t="shared" si="1586"/>
        <v>289.88</v>
      </c>
      <c r="AM203" s="23">
        <f t="shared" si="1586"/>
        <v>297.14999999999998</v>
      </c>
      <c r="AN203" s="23">
        <f t="shared" si="1586"/>
        <v>327.87</v>
      </c>
      <c r="AO203" s="23">
        <f t="shared" si="1586"/>
        <v>349.27</v>
      </c>
      <c r="AP203" s="23">
        <f t="shared" si="1586"/>
        <v>374.86</v>
      </c>
      <c r="AQ203" s="23">
        <f t="shared" si="1586"/>
        <v>417.49</v>
      </c>
      <c r="AR203" s="23">
        <f t="shared" si="1586"/>
        <v>449.21</v>
      </c>
      <c r="AS203" s="23">
        <f t="shared" si="1586"/>
        <v>461.86</v>
      </c>
      <c r="AT203" s="23">
        <f t="shared" si="1586"/>
        <v>470.13</v>
      </c>
      <c r="AU203" s="23">
        <f t="shared" si="1586"/>
        <v>453</v>
      </c>
      <c r="AV203" s="23">
        <f t="shared" si="1586"/>
        <v>469</v>
      </c>
      <c r="AW203" s="23">
        <f t="shared" si="1586"/>
        <v>471</v>
      </c>
      <c r="AX203" s="23">
        <f t="shared" si="1586"/>
        <v>495</v>
      </c>
      <c r="AY203" s="23">
        <f t="shared" si="1586"/>
        <v>490</v>
      </c>
      <c r="AZ203" s="23">
        <f t="shared" si="1586"/>
        <v>496</v>
      </c>
      <c r="BA203" s="23">
        <f t="shared" si="1586"/>
        <v>496</v>
      </c>
      <c r="BB203" s="23">
        <f t="shared" si="1586"/>
        <v>505</v>
      </c>
      <c r="BC203" s="23">
        <f t="shared" si="1586"/>
        <v>499</v>
      </c>
      <c r="BD203" s="23">
        <f t="shared" si="1586"/>
        <v>504</v>
      </c>
      <c r="BE203" s="23">
        <f t="shared" si="1586"/>
        <v>506</v>
      </c>
      <c r="BF203" s="23">
        <f t="shared" si="1586"/>
        <v>505</v>
      </c>
      <c r="BG203" s="23">
        <f t="shared" si="1586"/>
        <v>493</v>
      </c>
      <c r="BH203" s="23">
        <f t="shared" si="1586"/>
        <v>507</v>
      </c>
      <c r="BI203" s="23">
        <f t="shared" si="1586"/>
        <v>519</v>
      </c>
      <c r="BJ203" s="23">
        <f t="shared" si="1586"/>
        <v>537</v>
      </c>
      <c r="BK203" s="23">
        <f t="shared" si="1586"/>
        <v>817</v>
      </c>
      <c r="BL203" s="23">
        <f t="shared" si="1586"/>
        <v>864</v>
      </c>
      <c r="BM203" s="23">
        <f t="shared" si="1586"/>
        <v>897</v>
      </c>
      <c r="BN203" s="23">
        <f t="shared" si="1586"/>
        <v>951</v>
      </c>
      <c r="BO203" s="23">
        <f t="shared" ref="BO203:CT203" si="1587">BO41</f>
        <v>976</v>
      </c>
      <c r="BP203" s="23">
        <f t="shared" si="1587"/>
        <v>998</v>
      </c>
      <c r="BQ203" s="23">
        <f t="shared" si="1587"/>
        <v>1024</v>
      </c>
      <c r="BR203" s="23">
        <f t="shared" si="1587"/>
        <v>1067</v>
      </c>
      <c r="BS203" s="23">
        <f t="shared" si="1587"/>
        <v>1075</v>
      </c>
      <c r="BT203" s="23">
        <f t="shared" si="1587"/>
        <v>1116</v>
      </c>
      <c r="BU203" s="23">
        <f t="shared" si="1587"/>
        <v>1196</v>
      </c>
      <c r="BV203" s="23">
        <f t="shared" si="1587"/>
        <v>1217</v>
      </c>
      <c r="BW203" s="23">
        <f t="shared" si="1587"/>
        <v>1230</v>
      </c>
      <c r="BX203" s="23">
        <f t="shared" si="1587"/>
        <v>1237</v>
      </c>
      <c r="BY203" s="23">
        <f t="shared" si="1587"/>
        <v>1269</v>
      </c>
      <c r="BZ203" s="23">
        <f t="shared" si="1587"/>
        <v>1286</v>
      </c>
      <c r="CA203" s="23">
        <f t="shared" si="1587"/>
        <v>1243</v>
      </c>
      <c r="CB203" s="23">
        <f t="shared" si="1587"/>
        <v>1263</v>
      </c>
      <c r="CC203" s="23">
        <f t="shared" si="1587"/>
        <v>1233</v>
      </c>
      <c r="CD203" s="23">
        <f t="shared" si="1587"/>
        <v>1246</v>
      </c>
      <c r="CE203" s="23">
        <f t="shared" si="1587"/>
        <v>1220</v>
      </c>
      <c r="CF203" s="23">
        <f t="shared" si="1587"/>
        <v>1266</v>
      </c>
      <c r="CG203" s="23">
        <f t="shared" si="1587"/>
        <v>1377</v>
      </c>
      <c r="CH203" s="23">
        <f t="shared" si="1587"/>
        <v>1379</v>
      </c>
      <c r="CI203" s="23">
        <f t="shared" si="1587"/>
        <v>1361</v>
      </c>
      <c r="CJ203" s="23">
        <f t="shared" si="1587"/>
        <v>1413</v>
      </c>
      <c r="CK203" s="23">
        <f t="shared" si="1587"/>
        <v>1380</v>
      </c>
      <c r="CL203" s="23">
        <f t="shared" si="1587"/>
        <v>1406</v>
      </c>
      <c r="CM203" s="24">
        <f t="shared" si="1587"/>
        <v>1568.7852663016424</v>
      </c>
      <c r="CN203" s="24">
        <f t="shared" si="1587"/>
        <v>1489.1723161353793</v>
      </c>
      <c r="CO203" s="24">
        <f t="shared" si="1587"/>
        <v>1420.7028013034883</v>
      </c>
      <c r="CP203" s="24">
        <f t="shared" si="1587"/>
        <v>1361.8169736645932</v>
      </c>
      <c r="CQ203" s="24">
        <f t="shared" si="1587"/>
        <v>1311.1734032342877</v>
      </c>
      <c r="CR203" s="24">
        <f t="shared" si="1587"/>
        <v>1267.618420163366</v>
      </c>
      <c r="CS203" s="24">
        <f t="shared" si="1587"/>
        <v>1230.1598339264629</v>
      </c>
      <c r="CT203" s="24">
        <f t="shared" si="1587"/>
        <v>1197.9443310393945</v>
      </c>
      <c r="CU203" s="24">
        <f t="shared" ref="CU203:DB203" si="1588">CU41</f>
        <v>1170.2380364210376</v>
      </c>
      <c r="CV203" s="24">
        <f t="shared" si="1588"/>
        <v>1146.4097955840059</v>
      </c>
      <c r="CW203" s="24">
        <f t="shared" si="1588"/>
        <v>1125.916796819336</v>
      </c>
      <c r="CX203" s="24">
        <f t="shared" si="1588"/>
        <v>1108.2922058459178</v>
      </c>
      <c r="CY203" s="24">
        <f t="shared" si="1588"/>
        <v>1093.13453123971</v>
      </c>
      <c r="CZ203" s="24">
        <f t="shared" si="1588"/>
        <v>1080.0984783852518</v>
      </c>
      <c r="DA203" s="24">
        <f t="shared" si="1588"/>
        <v>1068.887083600815</v>
      </c>
      <c r="DB203" s="24">
        <f t="shared" si="1588"/>
        <v>1059.2449492511143</v>
      </c>
      <c r="DE203" s="123"/>
      <c r="DF203" s="23">
        <v>1334.1006564551421</v>
      </c>
    </row>
    <row r="204" spans="1:110" s="22" customFormat="1" x14ac:dyDescent="0.2">
      <c r="A204" s="22" t="s">
        <v>89</v>
      </c>
      <c r="C204" s="22">
        <f t="shared" ref="C204:W204" si="1589">C202+C203</f>
        <v>0</v>
      </c>
      <c r="D204" s="22">
        <f t="shared" si="1589"/>
        <v>0</v>
      </c>
      <c r="E204" s="22">
        <f t="shared" si="1589"/>
        <v>7.52</v>
      </c>
      <c r="F204" s="22">
        <f t="shared" si="1589"/>
        <v>2135.7199999999989</v>
      </c>
      <c r="G204" s="22">
        <f t="shared" si="1589"/>
        <v>3249.1699999999992</v>
      </c>
      <c r="H204" s="22">
        <f t="shared" si="1589"/>
        <v>4652.8000000000038</v>
      </c>
      <c r="I204" s="22">
        <f t="shared" si="1589"/>
        <v>5589.7299999999959</v>
      </c>
      <c r="J204" s="22">
        <f t="shared" si="1589"/>
        <v>5820.4999999999991</v>
      </c>
      <c r="K204" s="22">
        <f t="shared" si="1589"/>
        <v>7661.5300000000034</v>
      </c>
      <c r="L204" s="22">
        <f t="shared" si="1589"/>
        <v>9803.2999999999993</v>
      </c>
      <c r="M204" s="22">
        <f t="shared" si="1589"/>
        <v>11331.430000000006</v>
      </c>
      <c r="N204" s="22">
        <f t="shared" si="1589"/>
        <v>14997.230000000003</v>
      </c>
      <c r="O204" s="22">
        <f t="shared" si="1589"/>
        <v>20513.019999999997</v>
      </c>
      <c r="P204" s="22">
        <f t="shared" si="1589"/>
        <v>21650.870000000006</v>
      </c>
      <c r="Q204" s="22">
        <f t="shared" si="1589"/>
        <v>26158</v>
      </c>
      <c r="R204" s="22">
        <f t="shared" si="1589"/>
        <v>28276</v>
      </c>
      <c r="S204" s="22">
        <f t="shared" si="1589"/>
        <v>27840</v>
      </c>
      <c r="T204" s="22">
        <f t="shared" si="1589"/>
        <v>33528</v>
      </c>
      <c r="U204" s="22">
        <f t="shared" si="1589"/>
        <v>35869</v>
      </c>
      <c r="V204" s="22">
        <f t="shared" si="1589"/>
        <v>36495</v>
      </c>
      <c r="W204" s="22">
        <f t="shared" si="1589"/>
        <v>42931</v>
      </c>
      <c r="X204" s="22">
        <f t="shared" ref="X204:Y204" si="1590">X202+X203</f>
        <v>47169</v>
      </c>
      <c r="Y204" s="22">
        <f t="shared" si="1590"/>
        <v>50893</v>
      </c>
      <c r="Z204" s="22">
        <f t="shared" ref="Z204:AA204" si="1591">Z202+Z203</f>
        <v>53795</v>
      </c>
      <c r="AA204" s="22">
        <f t="shared" si="1591"/>
        <v>54770</v>
      </c>
      <c r="AB204" s="21">
        <f t="shared" ref="AA204:AD204" si="1592">AB202+AB203</f>
        <v>62894.876588525643</v>
      </c>
      <c r="AC204" s="21">
        <f t="shared" si="1592"/>
        <v>67276.418063526304</v>
      </c>
      <c r="AD204" s="21">
        <f t="shared" si="1592"/>
        <v>71989.491092805722</v>
      </c>
      <c r="AE204" s="21">
        <f t="shared" ref="AE204" si="1593">AE202+AE203</f>
        <v>77038.997440619598</v>
      </c>
      <c r="AI204" s="22">
        <f t="shared" ref="AI204" si="1594">AI202+AI203</f>
        <v>3564.72</v>
      </c>
      <c r="AJ204" s="22">
        <f t="shared" ref="AJ204:AL204" si="1595">AJ202+AJ203</f>
        <v>3699.95</v>
      </c>
      <c r="AK204" s="22">
        <f t="shared" si="1595"/>
        <v>3827.0400000000018</v>
      </c>
      <c r="AL204" s="22">
        <f t="shared" si="1595"/>
        <v>3905.5199999999995</v>
      </c>
      <c r="AM204" s="22">
        <f t="shared" ref="AM204" si="1596">AM202+AM203</f>
        <v>4136.6500000000005</v>
      </c>
      <c r="AN204" s="22">
        <f t="shared" ref="AN204:CD204" si="1597">AN202+AN203</f>
        <v>4961.2000000000007</v>
      </c>
      <c r="AO204" s="22">
        <f t="shared" si="1597"/>
        <v>5682.6999999999989</v>
      </c>
      <c r="AP204" s="22">
        <f t="shared" si="1597"/>
        <v>5732.470000000003</v>
      </c>
      <c r="AQ204" s="22">
        <f t="shared" si="1597"/>
        <v>5985.1699999999992</v>
      </c>
      <c r="AR204" s="22">
        <f t="shared" si="1597"/>
        <v>5693.4899999999989</v>
      </c>
      <c r="AS204" s="22">
        <f t="shared" si="1597"/>
        <v>5789.4099999999989</v>
      </c>
      <c r="AT204" s="22">
        <f t="shared" si="1597"/>
        <v>4182.7999999999993</v>
      </c>
      <c r="AU204" s="22">
        <f t="shared" si="1597"/>
        <v>6200</v>
      </c>
      <c r="AV204" s="22">
        <f t="shared" si="1597"/>
        <v>6542</v>
      </c>
      <c r="AW204" s="22">
        <f t="shared" si="1597"/>
        <v>6581</v>
      </c>
      <c r="AX204" s="22">
        <f t="shared" si="1597"/>
        <v>6835</v>
      </c>
      <c r="AY204" s="22">
        <f t="shared" si="1597"/>
        <v>6807</v>
      </c>
      <c r="AZ204" s="22">
        <f t="shared" si="1597"/>
        <v>7082</v>
      </c>
      <c r="BA204" s="22">
        <f t="shared" si="1597"/>
        <v>7274</v>
      </c>
      <c r="BB204" s="22">
        <f t="shared" si="1597"/>
        <v>7113</v>
      </c>
      <c r="BC204" s="22">
        <f t="shared" si="1597"/>
        <v>6444</v>
      </c>
      <c r="BD204" s="22">
        <f t="shared" si="1597"/>
        <v>6950</v>
      </c>
      <c r="BE204" s="22">
        <f t="shared" si="1597"/>
        <v>7037</v>
      </c>
      <c r="BF204" s="22">
        <f t="shared" si="1597"/>
        <v>7409</v>
      </c>
      <c r="BG204" s="22">
        <f t="shared" si="1597"/>
        <v>7833</v>
      </c>
      <c r="BH204" s="22">
        <f t="shared" si="1597"/>
        <v>8408</v>
      </c>
      <c r="BI204" s="22">
        <f t="shared" si="1597"/>
        <v>8624</v>
      </c>
      <c r="BJ204" s="22">
        <f t="shared" si="1597"/>
        <v>8663</v>
      </c>
      <c r="BK204" s="22">
        <f t="shared" si="1597"/>
        <v>8948</v>
      </c>
      <c r="BL204" s="22">
        <f t="shared" si="1597"/>
        <v>8906</v>
      </c>
      <c r="BM204" s="22">
        <f t="shared" si="1597"/>
        <v>9015</v>
      </c>
      <c r="BN204" s="22">
        <f t="shared" si="1597"/>
        <v>9000</v>
      </c>
      <c r="BO204" s="22">
        <f t="shared" si="1597"/>
        <v>7984</v>
      </c>
      <c r="BP204" s="22">
        <f t="shared" si="1597"/>
        <v>8473</v>
      </c>
      <c r="BQ204" s="22">
        <f t="shared" si="1597"/>
        <v>9725</v>
      </c>
      <c r="BR204" s="22">
        <f t="shared" si="1597"/>
        <v>10313</v>
      </c>
      <c r="BS204" s="22">
        <f t="shared" si="1597"/>
        <v>10083</v>
      </c>
      <c r="BT204" s="22">
        <f t="shared" si="1597"/>
        <v>10740</v>
      </c>
      <c r="BU204" s="22">
        <f t="shared" si="1597"/>
        <v>10965</v>
      </c>
      <c r="BV204" s="22">
        <f t="shared" si="1597"/>
        <v>11143</v>
      </c>
      <c r="BW204" s="22">
        <f t="shared" si="1597"/>
        <v>10708</v>
      </c>
      <c r="BX204" s="22">
        <f t="shared" si="1597"/>
        <v>11668</v>
      </c>
      <c r="BY204" s="22">
        <f t="shared" si="1597"/>
        <v>12115</v>
      </c>
      <c r="BZ204" s="22">
        <f t="shared" si="1597"/>
        <v>12678</v>
      </c>
      <c r="CA204" s="22">
        <f t="shared" si="1597"/>
        <v>12317</v>
      </c>
      <c r="CB204" s="22">
        <f t="shared" si="1597"/>
        <v>12605</v>
      </c>
      <c r="CC204" s="22">
        <f t="shared" si="1597"/>
        <v>12291</v>
      </c>
      <c r="CD204" s="22">
        <f t="shared" si="1597"/>
        <v>13680</v>
      </c>
      <c r="CE204" s="22">
        <f t="shared" ref="CE204:CF204" si="1598">CE202+CE203</f>
        <v>13260</v>
      </c>
      <c r="CF204" s="22">
        <f t="shared" si="1598"/>
        <v>13175</v>
      </c>
      <c r="CG204" s="22">
        <f t="shared" ref="CG204:CH204" si="1599">CG202+CG203</f>
        <v>13757</v>
      </c>
      <c r="CH204" s="22">
        <f t="shared" si="1599"/>
        <v>13603</v>
      </c>
      <c r="CI204" s="22">
        <f t="shared" ref="CI204:CJ204" si="1600">CI202+CI203</f>
        <v>14121</v>
      </c>
      <c r="CJ204" s="22">
        <f t="shared" si="1600"/>
        <v>13488</v>
      </c>
      <c r="CK204" s="22">
        <f t="shared" ref="CK204:DB204" si="1601">CK202+CK203</f>
        <v>12037</v>
      </c>
      <c r="CL204" s="22">
        <f t="shared" si="1601"/>
        <v>15124</v>
      </c>
      <c r="CM204" s="21">
        <f t="shared" si="1601"/>
        <v>15260.348990866809</v>
      </c>
      <c r="CN204" s="21">
        <f t="shared" si="1601"/>
        <v>15660.671801005756</v>
      </c>
      <c r="CO204" s="21">
        <f t="shared" si="1601"/>
        <v>15929.713287928271</v>
      </c>
      <c r="CP204" s="21">
        <f t="shared" si="1601"/>
        <v>16044.142508724781</v>
      </c>
      <c r="CQ204" s="21">
        <f t="shared" si="1601"/>
        <v>16392.495384694248</v>
      </c>
      <c r="CR204" s="21">
        <f t="shared" si="1601"/>
        <v>16690.913700853489</v>
      </c>
      <c r="CS204" s="21">
        <f t="shared" si="1601"/>
        <v>16961.531004233857</v>
      </c>
      <c r="CT204" s="21">
        <f t="shared" si="1601"/>
        <v>17231.477973744662</v>
      </c>
      <c r="CU204" s="21">
        <f t="shared" si="1601"/>
        <v>17543.644095702264</v>
      </c>
      <c r="CV204" s="21">
        <f t="shared" si="1601"/>
        <v>17844.794912675778</v>
      </c>
      <c r="CW204" s="21">
        <f t="shared" si="1601"/>
        <v>18146.037616790894</v>
      </c>
      <c r="CX204" s="21">
        <f t="shared" si="1601"/>
        <v>18455.01446763676</v>
      </c>
      <c r="CY204" s="21">
        <f t="shared" si="1601"/>
        <v>18774.096739675519</v>
      </c>
      <c r="CZ204" s="21">
        <f t="shared" si="1601"/>
        <v>19094.480436431357</v>
      </c>
      <c r="DA204" s="21">
        <f t="shared" si="1601"/>
        <v>19419.618273941604</v>
      </c>
      <c r="DB204" s="21">
        <f t="shared" si="1601"/>
        <v>19750.801990571097</v>
      </c>
      <c r="DE204" s="126"/>
      <c r="DF204" s="22">
        <v>13198.491170379491</v>
      </c>
    </row>
    <row r="205" spans="1:110" s="23" customFormat="1" x14ac:dyDescent="0.2">
      <c r="A205" s="23" t="s">
        <v>65</v>
      </c>
      <c r="C205" s="23">
        <f t="shared" ref="C205:AA205" si="1602">B157-C157+B172+B173-C172-C173</f>
        <v>0</v>
      </c>
      <c r="D205" s="23">
        <f t="shared" si="1602"/>
        <v>0</v>
      </c>
      <c r="E205" s="23">
        <f>D157-E157+D172+D173-E172-E173</f>
        <v>-344.82000000000005</v>
      </c>
      <c r="F205" s="23">
        <f t="shared" si="1602"/>
        <v>-2565.1200000000003</v>
      </c>
      <c r="G205" s="23">
        <f t="shared" si="1602"/>
        <v>-1799.3899999999996</v>
      </c>
      <c r="H205" s="23">
        <f t="shared" si="1602"/>
        <v>-1721.5200000000009</v>
      </c>
      <c r="I205" s="23">
        <f t="shared" si="1602"/>
        <v>-2343.2199999999998</v>
      </c>
      <c r="J205" s="23">
        <f>I157-J157+I172+I173-J172-J173</f>
        <v>-1971.139999999999</v>
      </c>
      <c r="K205" s="23">
        <f>J157-K157+J172+J173-K172-K173</f>
        <v>-424.26000000000153</v>
      </c>
      <c r="L205" s="23">
        <f t="shared" si="1602"/>
        <v>-6265.579999999999</v>
      </c>
      <c r="M205" s="23">
        <f t="shared" si="1602"/>
        <v>-6450.1499999999969</v>
      </c>
      <c r="N205" s="23">
        <f t="shared" si="1602"/>
        <v>-7657.3200000000015</v>
      </c>
      <c r="O205" s="23">
        <f t="shared" si="1602"/>
        <v>-4698.0700000000024</v>
      </c>
      <c r="P205" s="23">
        <f t="shared" si="1602"/>
        <v>-2454.9700000000012</v>
      </c>
      <c r="Q205" s="23">
        <f t="shared" si="1602"/>
        <v>-6541.4399999999987</v>
      </c>
      <c r="R205" s="23">
        <f t="shared" si="1602"/>
        <v>2275</v>
      </c>
      <c r="S205" s="23">
        <f t="shared" si="1602"/>
        <v>-5744</v>
      </c>
      <c r="T205" s="23">
        <f t="shared" si="1602"/>
        <v>-9764</v>
      </c>
      <c r="U205" s="23">
        <f t="shared" si="1602"/>
        <v>-3794</v>
      </c>
      <c r="V205" s="23">
        <f t="shared" si="1602"/>
        <v>-7079</v>
      </c>
      <c r="W205" s="23">
        <f t="shared" si="1602"/>
        <v>-372</v>
      </c>
      <c r="X205" s="23">
        <f t="shared" si="1602"/>
        <v>-3200</v>
      </c>
      <c r="Y205" s="23">
        <f t="shared" si="1602"/>
        <v>-6341</v>
      </c>
      <c r="Z205" s="23">
        <f t="shared" si="1602"/>
        <v>-8367</v>
      </c>
      <c r="AA205" s="23">
        <f t="shared" si="1602"/>
        <v>-12640</v>
      </c>
      <c r="AB205" s="24">
        <f t="shared" ref="AB205" si="1603">AA157-AB157+AA172+AA173-AB172-AB173</f>
        <v>-14437.840179919192</v>
      </c>
      <c r="AC205" s="24">
        <f t="shared" ref="AC205" si="1604">AB157-AC157+AB172+AB173-AC172-AC173</f>
        <v>-5751.210387061903</v>
      </c>
      <c r="AD205" s="24">
        <f t="shared" ref="AD205" si="1605">AC157-AD157+AC172+AC173-AD172-AD173</f>
        <v>-6048.017382260834</v>
      </c>
      <c r="AE205" s="24">
        <f t="shared" ref="AE205" si="1606">AD157-AE157+AD172+AD173-AE172-AE173</f>
        <v>-6360.1419169810833</v>
      </c>
      <c r="AI205" s="23">
        <f>AH157-AI157+AH172+AH173-AI172-AJ173</f>
        <v>0</v>
      </c>
      <c r="AJ205" s="23">
        <f t="shared" ref="AJ205:AL205" si="1607">AI157-AJ157+AI172+AI173-AJ172-AK173</f>
        <v>-25470.39</v>
      </c>
      <c r="AK205" s="23">
        <f t="shared" si="1607"/>
        <v>-303.81970055855345</v>
      </c>
      <c r="AL205" s="23">
        <f t="shared" si="1607"/>
        <v>-5768.3102994414467</v>
      </c>
      <c r="AM205" s="23">
        <f t="shared" ref="AM205" si="1608">AL157-AM157+AL172+AL173-AM172-AM173</f>
        <v>-1525.7435865050065</v>
      </c>
      <c r="AN205" s="23">
        <f t="shared" ref="AN205" si="1609">AM157-AN157+AM172+AM173-AN172-AN173</f>
        <v>-3687.0064134949921</v>
      </c>
      <c r="AO205" s="23">
        <f t="shared" ref="AO205" si="1610">AN157-AO157+AN172+AN173-AO172-AO173</f>
        <v>-260.71236940607923</v>
      </c>
      <c r="AP205" s="23">
        <f t="shared" ref="AP205" si="1611">AO157-AP157+AO172+AO173-AP172-AP173</f>
        <v>775.39236940607486</v>
      </c>
      <c r="AQ205" s="23">
        <f t="shared" ref="AQ205" si="1612">AP157-AQ157+AP172+AP173-AQ172-AQ173</f>
        <v>-578.13076400312275</v>
      </c>
      <c r="AR205" s="23">
        <f t="shared" ref="AR205" si="1613">AQ157-AR157+AQ172+AQ173-AR172-AR173</f>
        <v>-1022.2092359968767</v>
      </c>
      <c r="AS205" s="23">
        <f t="shared" ref="AS205" si="1614">AR157-AS157+AR172+AR173-AS172-AS173</f>
        <v>-703.8060033808506</v>
      </c>
      <c r="AT205" s="23">
        <f t="shared" ref="AT205" si="1615">AS157-AT157+AS172+AS173-AT172-AT173</f>
        <v>-150.82399661914269</v>
      </c>
      <c r="AU205" s="23">
        <f t="shared" ref="AU205" si="1616">AT157-AU157+AT172+AT173-AU172-AU173</f>
        <v>-1451.9072766039026</v>
      </c>
      <c r="AV205" s="23">
        <f t="shared" ref="AV205" si="1617">AU157-AV157+AU172+AU173-AV172-AV173</f>
        <v>-694.24272339610116</v>
      </c>
      <c r="AW205" s="23">
        <f t="shared" ref="AW205" si="1618">AV157-AW157+AV172+AV173-AW172-AW173</f>
        <v>-196.04367973495391</v>
      </c>
      <c r="AX205" s="23">
        <f t="shared" ref="AX205" si="1619">AW157-AX157+AW172+AW173-AX172-AX173</f>
        <v>-4199.2463202650479</v>
      </c>
      <c r="AY205" s="23">
        <f t="shared" ref="AY205" si="1620">AX157-AY157+AX172+AX173-AY172-AY173</f>
        <v>-844.92727336637472</v>
      </c>
      <c r="AZ205" s="23">
        <f t="shared" ref="AZ205" si="1621">AY157-AZ157+AY172+AY173-AZ172-AZ173</f>
        <v>-154.07272663362528</v>
      </c>
      <c r="BA205" s="23">
        <f t="shared" ref="BA205" si="1622">AZ157-BA157+AZ172+AZ173-BA172-BA173</f>
        <v>-458.79285616718698</v>
      </c>
      <c r="BB205" s="23">
        <f t="shared" ref="BB205" si="1623">BA157-BB157+BA172+BA173-BB172-BB173</f>
        <v>3732.792856167187</v>
      </c>
      <c r="BC205" s="23">
        <f t="shared" ref="BC205" si="1624">BB157-BC157+BB172+BB173-BC172-BC173</f>
        <v>54.485797179673682</v>
      </c>
      <c r="BD205" s="23">
        <f t="shared" ref="BD205" si="1625">BC157-BD157+BC172+BC173-BD172-BD173</f>
        <v>-2761.4857971796737</v>
      </c>
      <c r="BE205" s="23">
        <f t="shared" ref="BE205" si="1626">BD157-BE157+BD172+BD173-BE172-BE173</f>
        <v>-376.00291411544458</v>
      </c>
      <c r="BF205" s="23">
        <f t="shared" ref="BF205" si="1627">BE157-BF157+BE172+BE173-BF172-BF173</f>
        <v>-2660.9970858845554</v>
      </c>
      <c r="BG205" s="23">
        <f t="shared" ref="BG205" si="1628">BF157-BG157+BF172+BF173-BG172-BG173</f>
        <v>-2157.3758378799685</v>
      </c>
      <c r="BH205" s="23">
        <f t="shared" ref="BH205" si="1629">BG157-BH157+BG172+BG173-BH172-BH173</f>
        <v>-2137.6241621200315</v>
      </c>
      <c r="BI205" s="23">
        <f t="shared" ref="BI205" si="1630">BH157-BI157+BH172+BH173-BI172-BI173</f>
        <v>-447.22787214413256</v>
      </c>
      <c r="BJ205" s="23">
        <f t="shared" ref="BJ205" si="1631">BI157-BJ157+BI172+BI173-BJ172-BJ173</f>
        <v>-5021.7721278558674</v>
      </c>
      <c r="BK205" s="23">
        <f t="shared" ref="BK205" si="1632">BJ157-BK157+BJ172+BJ173-BK172-BK173</f>
        <v>-138.57158642462309</v>
      </c>
      <c r="BL205" s="23">
        <f t="shared" ref="BL205" si="1633">BK157-BL157+BK172+BK173-BL172-BL173</f>
        <v>-7640.4284135753769</v>
      </c>
      <c r="BM205" s="23">
        <f t="shared" ref="BM205" si="1634">BL157-BM157+BL172+BL173-BM172-BM173</f>
        <v>-767.13030761730624</v>
      </c>
      <c r="BN205" s="23">
        <f t="shared" ref="BN205" si="1635">BM157-BN157+BM172+BM173-BN172-BN173</f>
        <v>-3241.8696923826938</v>
      </c>
      <c r="BO205" s="23">
        <f t="shared" ref="BO205" si="1636">BN157-BO157+BN172+BN173-BO172-BO173</f>
        <v>1474.5119911881047</v>
      </c>
      <c r="BP205" s="23">
        <f t="shared" ref="BP205" si="1637">BO157-BP157+BO172+BO173-BP172-BP173</f>
        <v>-2863.5119911881047</v>
      </c>
      <c r="BQ205" s="23">
        <f t="shared" ref="BQ205" si="1638">BP157-BQ157+BP172+BP173-BQ172-BQ173</f>
        <v>-1590.4233212906402</v>
      </c>
      <c r="BR205" s="23">
        <f t="shared" ref="BR205" si="1639">BQ157-BR157+BQ172+BQ173-BR172-BR173</f>
        <v>-3738.5766787093598</v>
      </c>
      <c r="BS205" s="23">
        <f t="shared" ref="BS205" si="1640">BR157-BS157+BR172+BR173-BS172-BS173</f>
        <v>-1431.392746825295</v>
      </c>
      <c r="BT205" s="23">
        <f t="shared" ref="BT205" si="1641">BS157-BT157+BS172+BS173-BT172-BT173</f>
        <v>274.39274682529503</v>
      </c>
      <c r="BU205" s="23">
        <f t="shared" ref="BU205" si="1642">BT157-BU157+BT172+BT173-BU172-BU173</f>
        <v>-1701.8680521475617</v>
      </c>
      <c r="BV205" s="23">
        <f t="shared" ref="BV205" si="1643">BU157-BV157+BU172+BU173-BV172-BV173</f>
        <v>2483.8680521475617</v>
      </c>
      <c r="BW205" s="23">
        <f t="shared" ref="BW205" si="1644">BV157-BW157+BV172+BV173-BW172-BW173</f>
        <v>-1791.7339052400639</v>
      </c>
      <c r="BX205" s="23">
        <f t="shared" ref="BX205" si="1645">BW157-BX157+BW172+BW173-BX172-BX173</f>
        <v>-3353.2660947599361</v>
      </c>
      <c r="BY205" s="23">
        <f t="shared" ref="BY205" si="1646">BX157-BY157+BX172+BX173-BY172-BY173</f>
        <v>-2438.3047966877057</v>
      </c>
      <c r="BZ205" s="23">
        <f t="shared" ref="BZ205" si="1647">BY157-BZ157+BY172+BY173-BZ172-BZ173</f>
        <v>4459.3047966877057</v>
      </c>
      <c r="CA205" s="23">
        <f t="shared" ref="CA205" si="1648">BZ157-CA157+BZ172+BZ173-CA172-CA173</f>
        <v>-185.01839018287137</v>
      </c>
      <c r="CB205" s="23">
        <f t="shared" ref="CB205" si="1649">CA157-CB157+CA172+CA173-CB172-CB173</f>
        <v>-2543.9816098171286</v>
      </c>
      <c r="CC205" s="23">
        <f t="shared" ref="CC205" si="1650">CB157-CC157+CB172+CB173-CC172-CC173</f>
        <v>-763.98936205856444</v>
      </c>
      <c r="CD205" s="23">
        <f t="shared" ref="CD205" si="1651">CC157-CD157+CC172+CC173-CD172-CD173</f>
        <v>-3174.0106379414356</v>
      </c>
      <c r="CE205" s="23">
        <f t="shared" ref="CE205" si="1652">CD157-CE157+CD172+CD173-CE172-CE173</f>
        <v>-1204.5083854532277</v>
      </c>
      <c r="CF205" s="23">
        <f t="shared" ref="CF205" si="1653">CE157-CF157+CE172+CE173-CF172-CF173</f>
        <v>-5773.4916145467723</v>
      </c>
      <c r="CG205" s="23">
        <f t="shared" ref="CG205" si="1654">CF157-CG157+CF172+CF173-CG172-CG173</f>
        <v>256.98118551487278</v>
      </c>
      <c r="CH205" s="23">
        <f t="shared" ref="CH205:CJ205" si="1655">CG157-CH157+CG172+CG173-CH172-CH173</f>
        <v>6240.0188144851272</v>
      </c>
      <c r="CI205" s="23">
        <f t="shared" si="1655"/>
        <v>1374.0295289939386</v>
      </c>
      <c r="CJ205" s="23">
        <f t="shared" si="1655"/>
        <v>-18696.029528993939</v>
      </c>
      <c r="CK205" s="23">
        <f t="shared" ref="CK205" si="1656">CJ157-CK157+CJ172+CJ173-CK172-CK173</f>
        <v>-2000.7172145473305</v>
      </c>
      <c r="CL205" s="23">
        <f t="shared" ref="CL205" si="1657">CK157-CL157+CK172+CK173-CL172-CL173</f>
        <v>-4344.2827854526695</v>
      </c>
      <c r="CM205" s="24">
        <f t="shared" ref="CM205" si="1658">CL157-CM157+CL172+CL173-CM172-CM173</f>
        <v>716.57748829908087</v>
      </c>
      <c r="CN205" s="24">
        <f t="shared" ref="CN205" si="1659">CM157-CN157+CM172+CM173-CN172-CN173</f>
        <v>-1358.5349337013904</v>
      </c>
      <c r="CO205" s="24">
        <f t="shared" ref="CO205" si="1660">CN157-CO157+CN172+CN173-CO172-CO173</f>
        <v>-1375.7333150677878</v>
      </c>
      <c r="CP205" s="24">
        <f t="shared" ref="CP205" si="1661">CO157-CP157+CO172+CO173-CP172-CP173</f>
        <v>-1393.1494194490951</v>
      </c>
      <c r="CQ205" s="24">
        <f t="shared" ref="CQ205" si="1662">CP157-CQ157+CP172+CP173-CQ172-CQ173</f>
        <v>-1410.7860031110904</v>
      </c>
      <c r="CR205" s="24">
        <f t="shared" ref="CR205" si="1663">CQ157-CR157+CQ172+CQ173-CR172-CR173</f>
        <v>-1428.6458572126867</v>
      </c>
      <c r="CS205" s="24">
        <f t="shared" ref="CS205" si="1664">CR157-CS157+CR172+CR173-CS172-CS173</f>
        <v>-1446.731808247423</v>
      </c>
      <c r="CT205" s="24">
        <f t="shared" ref="CT205" si="1665">CS157-CT157+CS172+CS173-CT172-CT173</f>
        <v>-1465.0467184907029</v>
      </c>
      <c r="CU205" s="24">
        <f t="shared" ref="CU205" si="1666">CT157-CU157+CT172+CT173-CU172-CU173</f>
        <v>-1483.5934864530573</v>
      </c>
      <c r="CV205" s="24">
        <f t="shared" ref="CV205" si="1667">CU157-CV157+CU172+CU173-CV172-CV173</f>
        <v>-1502.3750473387918</v>
      </c>
      <c r="CW205" s="24">
        <f t="shared" ref="CW205" si="1668">CV157-CW157+CV172+CV173-CW172-CW173</f>
        <v>-1521.3943735102948</v>
      </c>
      <c r="CX205" s="24">
        <f t="shared" ref="CX205" si="1669">CW157-CX157+CW172+CW173-CX172-CX173</f>
        <v>-1540.6544749586901</v>
      </c>
      <c r="CY205" s="24">
        <f t="shared" ref="CY205" si="1670">CX157-CY157+CX172+CX173-CY172-CY173</f>
        <v>-1560.1583997800772</v>
      </c>
      <c r="CZ205" s="24">
        <f t="shared" ref="CZ205" si="1671">CY157-CZ157+CY172+CY173-CZ172-CZ173</f>
        <v>-1579.9092346580001</v>
      </c>
      <c r="DA205" s="24">
        <f t="shared" ref="DA205" si="1672">CZ157-DA157+CZ172+CZ173-DA172-DA173</f>
        <v>-1599.9101053517079</v>
      </c>
      <c r="DB205" s="24">
        <f t="shared" ref="DB205" si="1673">DA157-DB157+DA172+DA173-DB172-DB173</f>
        <v>-1620.1641771912982</v>
      </c>
      <c r="DE205" s="123"/>
      <c r="DF205" s="23">
        <v>-1632.4816571408301</v>
      </c>
    </row>
    <row r="206" spans="1:110" s="23" customFormat="1" x14ac:dyDescent="0.2">
      <c r="A206" s="23" t="s">
        <v>73</v>
      </c>
      <c r="C206" s="23">
        <f t="shared" ref="C206:AA206" si="1674">B165-C165</f>
        <v>0</v>
      </c>
      <c r="D206" s="23">
        <f t="shared" si="1674"/>
        <v>0</v>
      </c>
      <c r="E206" s="23">
        <f>D165-E165</f>
        <v>-421.02</v>
      </c>
      <c r="F206" s="23">
        <f t="shared" si="1674"/>
        <v>-1032.52</v>
      </c>
      <c r="G206" s="23">
        <f t="shared" si="1674"/>
        <v>-844.56</v>
      </c>
      <c r="H206" s="23">
        <f t="shared" si="1674"/>
        <v>-1197.3499999999999</v>
      </c>
      <c r="I206" s="23">
        <f t="shared" si="1674"/>
        <v>-981.73000000000047</v>
      </c>
      <c r="J206" s="23">
        <f>I165-J165</f>
        <v>-1490.5600000000004</v>
      </c>
      <c r="K206" s="23">
        <f>J165-K165</f>
        <v>-2426.12</v>
      </c>
      <c r="L206" s="23">
        <f t="shared" si="1674"/>
        <v>860.09000000000015</v>
      </c>
      <c r="M206" s="23">
        <f t="shared" si="1674"/>
        <v>-3358.7200000000012</v>
      </c>
      <c r="N206" s="23">
        <f t="shared" si="1674"/>
        <v>-1466.5899999999983</v>
      </c>
      <c r="O206" s="23">
        <f t="shared" si="1674"/>
        <v>-4270.2800000000007</v>
      </c>
      <c r="P206" s="23">
        <f t="shared" si="1674"/>
        <v>-4568.34</v>
      </c>
      <c r="Q206" s="23">
        <f t="shared" si="1674"/>
        <v>4578.7000000000007</v>
      </c>
      <c r="R206" s="23">
        <f t="shared" si="1674"/>
        <v>1155</v>
      </c>
      <c r="S206" s="23">
        <f t="shared" si="1674"/>
        <v>-3885</v>
      </c>
      <c r="T206" s="23">
        <f t="shared" si="1674"/>
        <v>-4635</v>
      </c>
      <c r="U206" s="23">
        <f t="shared" si="1674"/>
        <v>-11387</v>
      </c>
      <c r="V206" s="23">
        <f t="shared" si="1674"/>
        <v>-7513</v>
      </c>
      <c r="W206" s="23">
        <f t="shared" si="1674"/>
        <v>-8194</v>
      </c>
      <c r="X206" s="23">
        <f t="shared" si="1674"/>
        <v>-575</v>
      </c>
      <c r="Y206" s="23">
        <f t="shared" si="1674"/>
        <v>-2500</v>
      </c>
      <c r="Z206" s="23">
        <f t="shared" si="1674"/>
        <v>-8725</v>
      </c>
      <c r="AA206" s="23">
        <f t="shared" si="1674"/>
        <v>-9811</v>
      </c>
      <c r="AB206" s="24">
        <f t="shared" ref="AB206" si="1675">AA165-AB165</f>
        <v>-2295.0158459515224</v>
      </c>
      <c r="AC206" s="24">
        <f t="shared" ref="AC206" si="1676">AB165-AC165</f>
        <v>-3869.7559180333628</v>
      </c>
      <c r="AD206" s="24">
        <f t="shared" ref="AD206" si="1677">AC165-AD165</f>
        <v>-4069.4652920407098</v>
      </c>
      <c r="AE206" s="24">
        <f t="shared" ref="AE206" si="1678">AD165-AE165</f>
        <v>-4279.4812163606111</v>
      </c>
      <c r="AI206" s="23">
        <f t="shared" ref="AI206" si="1679">AH165-AI165</f>
        <v>0</v>
      </c>
      <c r="AJ206" s="23">
        <f t="shared" ref="AJ206" si="1680">AI165-AJ165</f>
        <v>-9072.66</v>
      </c>
      <c r="AK206" s="23">
        <f t="shared" ref="AK206" si="1681">AJ165-AK165</f>
        <v>0</v>
      </c>
      <c r="AL206" s="23">
        <f t="shared" ref="AL206" si="1682">AK165-AL165</f>
        <v>-3307.6899999999987</v>
      </c>
      <c r="AM206" s="23">
        <f t="shared" ref="AM206" si="1683">AL165-AM165</f>
        <v>-377.48135613986597</v>
      </c>
      <c r="AN206" s="23">
        <f t="shared" ref="AN206" si="1684">AM165-AN165</f>
        <v>135.19135613986327</v>
      </c>
      <c r="AO206" s="23">
        <f t="shared" ref="AO206" si="1685">AN165-AO165</f>
        <v>-75.265019001544715</v>
      </c>
      <c r="AP206" s="23">
        <f t="shared" ref="AP206" si="1686">AO165-AP165</f>
        <v>-3973.9749809984551</v>
      </c>
      <c r="AQ206" s="23">
        <f t="shared" ref="AQ206" si="1687">AP165-AQ165</f>
        <v>-143.836763653253</v>
      </c>
      <c r="AR206" s="23">
        <f t="shared" ref="AR206" si="1688">AQ165-AR165</f>
        <v>1897.8367636532548</v>
      </c>
      <c r="AS206" s="23">
        <f t="shared" ref="AS206" si="1689">AR165-AS165</f>
        <v>-184.71073774126307</v>
      </c>
      <c r="AT206" s="23">
        <f t="shared" ref="AT206" si="1690">AS165-AT165</f>
        <v>-6152.9792622587374</v>
      </c>
      <c r="AU206" s="23">
        <f t="shared" ref="AU206" si="1691">AT165-AU165</f>
        <v>-528.05255143733666</v>
      </c>
      <c r="AV206" s="23">
        <f t="shared" ref="AV206" si="1692">AU165-AV165</f>
        <v>6107.4125514373372</v>
      </c>
      <c r="AW206" s="23">
        <f t="shared" ref="AW206" si="1693">AV165-AW165</f>
        <v>-46.940777839132352</v>
      </c>
      <c r="AX206" s="23">
        <f t="shared" ref="AX206" si="1694">AW165-AX165</f>
        <v>-944.84922216086852</v>
      </c>
      <c r="AY206" s="23">
        <f t="shared" ref="AY206" si="1695">AX165-AY165</f>
        <v>-226.900629196105</v>
      </c>
      <c r="AZ206" s="23">
        <f t="shared" ref="AZ206" si="1696">AY165-AZ165</f>
        <v>1439.900629196105</v>
      </c>
      <c r="BA206" s="23">
        <f t="shared" ref="BA206" si="1697">AZ165-BA165</f>
        <v>-98.273152574785854</v>
      </c>
      <c r="BB206" s="23">
        <f t="shared" ref="BB206" si="1698">BA165-BB165</f>
        <v>71.273152574785854</v>
      </c>
      <c r="BC206" s="23">
        <f t="shared" ref="BC206" si="1699">BB165-BC165</f>
        <v>9.5975305310021213</v>
      </c>
      <c r="BD206" s="23">
        <f t="shared" ref="BD206" si="1700">BC165-BD165</f>
        <v>-2025.5975305310021</v>
      </c>
      <c r="BE206" s="23">
        <f t="shared" ref="BE206" si="1701">BD165-BE165</f>
        <v>-64.432173144297849</v>
      </c>
      <c r="BF206" s="23">
        <f t="shared" ref="BF206" si="1702">BE165-BF165</f>
        <v>-1798.5678268557022</v>
      </c>
      <c r="BG206" s="23">
        <f t="shared" ref="BG206" si="1703">BF165-BG165</f>
        <v>-347.17019485580749</v>
      </c>
      <c r="BH206" s="23">
        <f t="shared" ref="BH206" si="1704">BG165-BH165</f>
        <v>-4365.8298051441925</v>
      </c>
      <c r="BI206" s="23">
        <f t="shared" ref="BI206" si="1705">BH165-BI165</f>
        <v>-82.106908341022063</v>
      </c>
      <c r="BJ206" s="23">
        <f t="shared" ref="BJ206" si="1706">BI165-BJ165</f>
        <v>154.10690834102206</v>
      </c>
      <c r="BK206" s="23">
        <f t="shared" ref="BK206" si="1707">BJ165-BK165</f>
        <v>-26.816732438834151</v>
      </c>
      <c r="BL206" s="23">
        <f t="shared" ref="BL206" si="1708">BK165-BL165</f>
        <v>-6839.1832675611658</v>
      </c>
      <c r="BM206" s="23">
        <f t="shared" ref="BM206" si="1709">BL165-BM165</f>
        <v>-151.51802344972748</v>
      </c>
      <c r="BN206" s="23">
        <f t="shared" ref="BN206" si="1710">BM165-BN165</f>
        <v>-4351.4819765502725</v>
      </c>
      <c r="BO206" s="23">
        <f t="shared" ref="BO206" si="1711">BN165-BO165</f>
        <v>274.01391879036964</v>
      </c>
      <c r="BP206" s="23">
        <f t="shared" ref="BP206" si="1712">BO165-BP165</f>
        <v>-1887.0139187903696</v>
      </c>
      <c r="BQ206" s="23">
        <f t="shared" ref="BQ206" si="1713">BP165-BQ165</f>
        <v>-271.1678086458196</v>
      </c>
      <c r="BR206" s="23">
        <f t="shared" ref="BR206" si="1714">BQ165-BR165</f>
        <v>-5628.8321913541804</v>
      </c>
      <c r="BS206" s="23">
        <f t="shared" ref="BS206" si="1715">BR165-BS165</f>
        <v>-306.81066239561187</v>
      </c>
      <c r="BT206" s="23">
        <f t="shared" ref="BT206" si="1716">BS165-BT165</f>
        <v>-681.18933760438813</v>
      </c>
      <c r="BU206" s="23">
        <f t="shared" ref="BU206" si="1717">BT165-BU165</f>
        <v>-352.08539057332382</v>
      </c>
      <c r="BV206" s="23">
        <f t="shared" ref="BV206" si="1718">BU165-BV165</f>
        <v>-6853.9146094266762</v>
      </c>
      <c r="BW206" s="23">
        <f t="shared" ref="BW206" si="1719">BV165-BW165</f>
        <v>-344.59716155047499</v>
      </c>
      <c r="BX206" s="23">
        <f t="shared" ref="BX206" si="1720">BW165-BX165</f>
        <v>2064.597161550475</v>
      </c>
      <c r="BY206" s="23">
        <f t="shared" ref="BY206" si="1721">BX165-BY165</f>
        <v>-578.1503914372006</v>
      </c>
      <c r="BZ206" s="23">
        <f t="shared" ref="BZ206" si="1722">BY165-BZ165</f>
        <v>-1716.8496085627994</v>
      </c>
      <c r="CA206" s="23">
        <f t="shared" ref="CA206" si="1723">BZ165-CA165</f>
        <v>-38.923379872212536</v>
      </c>
      <c r="CB206" s="23">
        <f t="shared" ref="CB206" si="1724">CA165-CB165</f>
        <v>-897.07662012778746</v>
      </c>
      <c r="CC206" s="23">
        <f t="shared" ref="CC206" si="1725">CB165-CC165</f>
        <v>-157.20719694431318</v>
      </c>
      <c r="CD206" s="23">
        <f t="shared" ref="CD206" si="1726">CC165-CD165</f>
        <v>-1406.7928030556868</v>
      </c>
      <c r="CE206" s="23">
        <f t="shared" ref="CE206" si="1727">CD165-CE165</f>
        <v>-224.27382138249232</v>
      </c>
      <c r="CF206" s="23">
        <f t="shared" ref="CF206" si="1728">CE165-CF165</f>
        <v>-3425.7261786175077</v>
      </c>
      <c r="CG206" s="23">
        <f t="shared" ref="CG206" si="1729">CF165-CG165</f>
        <v>57.534695529029705</v>
      </c>
      <c r="CH206" s="23">
        <f t="shared" ref="CH206:CJ206" si="1730">CG165-CH165</f>
        <v>-5132.5346955290297</v>
      </c>
      <c r="CI206" s="23">
        <f t="shared" si="1730"/>
        <v>1016.1273592952639</v>
      </c>
      <c r="CJ206" s="23">
        <f t="shared" si="1730"/>
        <v>-4815.1273592952639</v>
      </c>
      <c r="CK206" s="23">
        <f t="shared" ref="CK206" si="1731">CJ165-CK165</f>
        <v>-1305.1866441739257</v>
      </c>
      <c r="CL206" s="23">
        <f t="shared" ref="CL206" si="1732">CK165-CL165</f>
        <v>-4706.8133558260743</v>
      </c>
      <c r="CM206" s="24">
        <f t="shared" ref="CM206" si="1733">CL165-CM165</f>
        <v>482.15589231671765</v>
      </c>
      <c r="CN206" s="24">
        <f t="shared" ref="CN206" si="1734">CM165-CN165</f>
        <v>-914.10298802021134</v>
      </c>
      <c r="CO206" s="24">
        <f t="shared" ref="CO206" si="1735">CN165-CO165</f>
        <v>-925.67508043099951</v>
      </c>
      <c r="CP206" s="24">
        <f t="shared" ref="CP206" si="1736">CO165-CP165</f>
        <v>-937.39366981702915</v>
      </c>
      <c r="CQ206" s="24">
        <f t="shared" ref="CQ206" si="1737">CP165-CQ165</f>
        <v>-949.26061075759935</v>
      </c>
      <c r="CR206" s="24">
        <f t="shared" ref="CR206" si="1738">CQ165-CR165</f>
        <v>-961.27778131014202</v>
      </c>
      <c r="CS206" s="24">
        <f t="shared" ref="CS206" si="1739">CR165-CS165</f>
        <v>-973.44708330737194</v>
      </c>
      <c r="CT206" s="24">
        <f t="shared" ref="CT206" si="1740">CS165-CT165</f>
        <v>-985.77044265824952</v>
      </c>
      <c r="CU206" s="24">
        <f t="shared" ref="CU206" si="1741">CT165-CU165</f>
        <v>-998.24980965274153</v>
      </c>
      <c r="CV206" s="24">
        <f t="shared" ref="CV206" si="1742">CU165-CV165</f>
        <v>-1010.887159270671</v>
      </c>
      <c r="CW206" s="24">
        <f t="shared" ref="CW206" si="1743">CV165-CW165</f>
        <v>-1023.6844914939284</v>
      </c>
      <c r="CX206" s="24">
        <f t="shared" ref="CX206" si="1744">CW165-CX165</f>
        <v>-1036.6438316233689</v>
      </c>
      <c r="CY206" s="24">
        <f t="shared" ref="CY206" si="1745">CX165-CY165</f>
        <v>-1049.7672305990418</v>
      </c>
      <c r="CZ206" s="24">
        <f t="shared" ref="CZ206" si="1746">CY165-CZ165</f>
        <v>-1063.0567653249454</v>
      </c>
      <c r="DA206" s="24">
        <f t="shared" ref="DA206" si="1747">CZ165-DA165</f>
        <v>-1076.5145389976096</v>
      </c>
      <c r="DB206" s="24">
        <f t="shared" ref="DB206" si="1748">DA165-DB165</f>
        <v>-1090.1426814390143</v>
      </c>
      <c r="DE206" s="123"/>
      <c r="DF206" s="23">
        <v>-1064.9647237834142</v>
      </c>
    </row>
    <row r="207" spans="1:110" s="22" customFormat="1" x14ac:dyDescent="0.2">
      <c r="A207" s="22" t="s">
        <v>90</v>
      </c>
      <c r="C207" s="22">
        <f t="shared" ref="C207:W207" si="1749">C205-C206</f>
        <v>0</v>
      </c>
      <c r="D207" s="22">
        <f t="shared" si="1749"/>
        <v>0</v>
      </c>
      <c r="E207" s="22">
        <f t="shared" si="1749"/>
        <v>76.199999999999932</v>
      </c>
      <c r="F207" s="22">
        <f t="shared" si="1749"/>
        <v>-1532.6000000000004</v>
      </c>
      <c r="G207" s="22">
        <f t="shared" si="1749"/>
        <v>-954.8299999999997</v>
      </c>
      <c r="H207" s="22">
        <f t="shared" si="1749"/>
        <v>-524.17000000000098</v>
      </c>
      <c r="I207" s="22">
        <f t="shared" si="1749"/>
        <v>-1361.4899999999993</v>
      </c>
      <c r="J207" s="22">
        <f>J205-J206</f>
        <v>-480.57999999999856</v>
      </c>
      <c r="K207" s="22">
        <f t="shared" si="1749"/>
        <v>2001.8599999999983</v>
      </c>
      <c r="L207" s="22">
        <f t="shared" si="1749"/>
        <v>-7125.6699999999992</v>
      </c>
      <c r="M207" s="22">
        <f t="shared" si="1749"/>
        <v>-3091.4299999999957</v>
      </c>
      <c r="N207" s="22">
        <f t="shared" si="1749"/>
        <v>-6190.7300000000032</v>
      </c>
      <c r="O207" s="22">
        <f t="shared" si="1749"/>
        <v>-427.79000000000178</v>
      </c>
      <c r="P207" s="22">
        <f t="shared" si="1749"/>
        <v>2113.369999999999</v>
      </c>
      <c r="Q207" s="22">
        <f t="shared" si="1749"/>
        <v>-11120.14</v>
      </c>
      <c r="R207" s="22">
        <f t="shared" si="1749"/>
        <v>1120</v>
      </c>
      <c r="S207" s="22">
        <f t="shared" si="1749"/>
        <v>-1859</v>
      </c>
      <c r="T207" s="22">
        <f t="shared" si="1749"/>
        <v>-5129</v>
      </c>
      <c r="U207" s="22">
        <f t="shared" si="1749"/>
        <v>7593</v>
      </c>
      <c r="V207" s="22">
        <f t="shared" si="1749"/>
        <v>434</v>
      </c>
      <c r="W207" s="22">
        <f t="shared" si="1749"/>
        <v>7822</v>
      </c>
      <c r="X207" s="22">
        <f t="shared" ref="X207:Y207" si="1750">X205-X206</f>
        <v>-2625</v>
      </c>
      <c r="Y207" s="22">
        <f t="shared" si="1750"/>
        <v>-3841</v>
      </c>
      <c r="Z207" s="22">
        <f t="shared" ref="Z207:AA207" si="1751">Z205-Z206</f>
        <v>358</v>
      </c>
      <c r="AA207" s="22">
        <f t="shared" si="1751"/>
        <v>-2829</v>
      </c>
      <c r="AB207" s="21">
        <f t="shared" ref="AA207:AD207" si="1752">AB205-AB206</f>
        <v>-12142.82433396767</v>
      </c>
      <c r="AC207" s="21">
        <f t="shared" si="1752"/>
        <v>-1881.4544690285402</v>
      </c>
      <c r="AD207" s="21">
        <f t="shared" si="1752"/>
        <v>-1978.5520902201242</v>
      </c>
      <c r="AE207" s="21">
        <f t="shared" ref="AE207" si="1753">AE205-AE206</f>
        <v>-2080.6607006204722</v>
      </c>
      <c r="AI207" s="22">
        <f t="shared" ref="AI207" si="1754">AI205-AI206</f>
        <v>0</v>
      </c>
      <c r="AJ207" s="22">
        <f t="shared" ref="AJ207:AL207" si="1755">AJ205-AJ206</f>
        <v>-16397.73</v>
      </c>
      <c r="AK207" s="22">
        <f t="shared" si="1755"/>
        <v>-303.81970055855345</v>
      </c>
      <c r="AL207" s="22">
        <f t="shared" si="1755"/>
        <v>-2460.620299441448</v>
      </c>
      <c r="AM207" s="22">
        <f t="shared" ref="AM207" si="1756">AM205-AM206</f>
        <v>-1148.2622303651406</v>
      </c>
      <c r="AN207" s="22">
        <f t="shared" ref="AN207:CD207" si="1757">AN205-AN206</f>
        <v>-3822.1977696348554</v>
      </c>
      <c r="AO207" s="22">
        <f t="shared" si="1757"/>
        <v>-185.44735040453452</v>
      </c>
      <c r="AP207" s="22">
        <f t="shared" si="1757"/>
        <v>4749.36735040453</v>
      </c>
      <c r="AQ207" s="22">
        <f t="shared" si="1757"/>
        <v>-434.29400034986975</v>
      </c>
      <c r="AR207" s="22">
        <f t="shared" si="1757"/>
        <v>-2920.0459996501313</v>
      </c>
      <c r="AS207" s="22">
        <f t="shared" si="1757"/>
        <v>-519.09526563958752</v>
      </c>
      <c r="AT207" s="22">
        <f t="shared" si="1757"/>
        <v>6002.1552656395943</v>
      </c>
      <c r="AU207" s="22">
        <f t="shared" si="1757"/>
        <v>-923.85472516656591</v>
      </c>
      <c r="AV207" s="22">
        <f t="shared" si="1757"/>
        <v>-6801.6552748334379</v>
      </c>
      <c r="AW207" s="22">
        <f t="shared" si="1757"/>
        <v>-149.10290189582156</v>
      </c>
      <c r="AX207" s="22">
        <f t="shared" si="1757"/>
        <v>-3254.3970981041793</v>
      </c>
      <c r="AY207" s="22">
        <f t="shared" si="1757"/>
        <v>-618.02664417026972</v>
      </c>
      <c r="AZ207" s="22">
        <f t="shared" si="1757"/>
        <v>-1593.9733558297303</v>
      </c>
      <c r="BA207" s="22">
        <f t="shared" si="1757"/>
        <v>-360.51970359240113</v>
      </c>
      <c r="BB207" s="22">
        <f t="shared" si="1757"/>
        <v>3661.5197035924011</v>
      </c>
      <c r="BC207" s="22">
        <f t="shared" si="1757"/>
        <v>44.888266648671561</v>
      </c>
      <c r="BD207" s="22">
        <f t="shared" si="1757"/>
        <v>-735.88826664867156</v>
      </c>
      <c r="BE207" s="22">
        <f t="shared" si="1757"/>
        <v>-311.57074097114673</v>
      </c>
      <c r="BF207" s="22">
        <f t="shared" si="1757"/>
        <v>-862.42925902885327</v>
      </c>
      <c r="BG207" s="22">
        <f t="shared" si="1757"/>
        <v>-1810.205643024161</v>
      </c>
      <c r="BH207" s="22">
        <f t="shared" si="1757"/>
        <v>2228.205643024161</v>
      </c>
      <c r="BI207" s="22">
        <f t="shared" si="1757"/>
        <v>-365.1209638031105</v>
      </c>
      <c r="BJ207" s="22">
        <f t="shared" si="1757"/>
        <v>-5175.8790361968895</v>
      </c>
      <c r="BK207" s="22">
        <f t="shared" si="1757"/>
        <v>-111.75485398578894</v>
      </c>
      <c r="BL207" s="22">
        <f t="shared" si="1757"/>
        <v>-801.24514601421106</v>
      </c>
      <c r="BM207" s="22">
        <f t="shared" si="1757"/>
        <v>-615.61228416757876</v>
      </c>
      <c r="BN207" s="22">
        <f t="shared" si="1757"/>
        <v>1109.6122841675788</v>
      </c>
      <c r="BO207" s="22">
        <f t="shared" si="1757"/>
        <v>1200.4980723977351</v>
      </c>
      <c r="BP207" s="22">
        <f t="shared" si="1757"/>
        <v>-976.49807239773509</v>
      </c>
      <c r="BQ207" s="22">
        <f t="shared" si="1757"/>
        <v>-1319.2555126448206</v>
      </c>
      <c r="BR207" s="22">
        <f t="shared" si="1757"/>
        <v>1890.2555126448206</v>
      </c>
      <c r="BS207" s="22">
        <f t="shared" si="1757"/>
        <v>-1124.5820844296832</v>
      </c>
      <c r="BT207" s="22">
        <f t="shared" si="1757"/>
        <v>955.58208442968316</v>
      </c>
      <c r="BU207" s="22">
        <f t="shared" si="1757"/>
        <v>-1349.7826615742379</v>
      </c>
      <c r="BV207" s="22">
        <f t="shared" si="1757"/>
        <v>9337.7826615742379</v>
      </c>
      <c r="BW207" s="22">
        <f t="shared" si="1757"/>
        <v>-1447.1367436895889</v>
      </c>
      <c r="BX207" s="22">
        <f t="shared" si="1757"/>
        <v>-5417.8632563104111</v>
      </c>
      <c r="BY207" s="22">
        <f t="shared" si="1757"/>
        <v>-1860.1544052505051</v>
      </c>
      <c r="BZ207" s="22">
        <f t="shared" si="1757"/>
        <v>6176.1544052505051</v>
      </c>
      <c r="CA207" s="22">
        <f t="shared" si="1757"/>
        <v>-146.09501031065884</v>
      </c>
      <c r="CB207" s="22">
        <f t="shared" si="1757"/>
        <v>-1646.9049896893412</v>
      </c>
      <c r="CC207" s="22">
        <f t="shared" si="1757"/>
        <v>-606.78216511425126</v>
      </c>
      <c r="CD207" s="22">
        <f t="shared" si="1757"/>
        <v>-1767.2178348857487</v>
      </c>
      <c r="CE207" s="22">
        <f t="shared" ref="CE207:CF207" si="1758">CE205-CE206</f>
        <v>-980.23456407073536</v>
      </c>
      <c r="CF207" s="22">
        <f t="shared" si="1758"/>
        <v>-2347.7654359292646</v>
      </c>
      <c r="CG207" s="22">
        <f t="shared" ref="CG207:CH207" si="1759">CG205-CG206</f>
        <v>199.44648998584307</v>
      </c>
      <c r="CH207" s="22">
        <f t="shared" si="1759"/>
        <v>11372.553510014157</v>
      </c>
      <c r="CI207" s="22">
        <f t="shared" ref="CI207:CJ207" si="1760">CI205-CI206</f>
        <v>357.9021696986747</v>
      </c>
      <c r="CJ207" s="22">
        <f t="shared" si="1760"/>
        <v>-13880.902169698675</v>
      </c>
      <c r="CK207" s="22">
        <f t="shared" ref="CK207:DB207" si="1761">CK205-CK206</f>
        <v>-695.53057037340477</v>
      </c>
      <c r="CL207" s="22">
        <f t="shared" si="1761"/>
        <v>362.53057037340477</v>
      </c>
      <c r="CM207" s="21">
        <f t="shared" si="1761"/>
        <v>234.42159598236321</v>
      </c>
      <c r="CN207" s="21">
        <f t="shared" si="1761"/>
        <v>-444.43194568117906</v>
      </c>
      <c r="CO207" s="21">
        <f t="shared" si="1761"/>
        <v>-450.05823463678826</v>
      </c>
      <c r="CP207" s="21">
        <f t="shared" si="1761"/>
        <v>-455.755749632066</v>
      </c>
      <c r="CQ207" s="21">
        <f t="shared" si="1761"/>
        <v>-461.52539235349104</v>
      </c>
      <c r="CR207" s="21">
        <f t="shared" si="1761"/>
        <v>-467.36807590254466</v>
      </c>
      <c r="CS207" s="21">
        <f t="shared" si="1761"/>
        <v>-473.28472494005109</v>
      </c>
      <c r="CT207" s="21">
        <f t="shared" si="1761"/>
        <v>-479.27627583245339</v>
      </c>
      <c r="CU207" s="21">
        <f t="shared" si="1761"/>
        <v>-485.34367680031573</v>
      </c>
      <c r="CV207" s="21">
        <f t="shared" si="1761"/>
        <v>-491.48788806812081</v>
      </c>
      <c r="CW207" s="21">
        <f t="shared" si="1761"/>
        <v>-497.70988201636646</v>
      </c>
      <c r="CX207" s="21">
        <f t="shared" si="1761"/>
        <v>-504.01064333532122</v>
      </c>
      <c r="CY207" s="21">
        <f t="shared" si="1761"/>
        <v>-510.39116918103537</v>
      </c>
      <c r="CZ207" s="21">
        <f t="shared" si="1761"/>
        <v>-516.85246933305461</v>
      </c>
      <c r="DA207" s="21">
        <f t="shared" si="1761"/>
        <v>-523.39556635409826</v>
      </c>
      <c r="DB207" s="21">
        <f t="shared" si="1761"/>
        <v>-530.02149575228395</v>
      </c>
      <c r="DE207" s="126"/>
      <c r="DF207" s="22">
        <v>-567.51693335741584</v>
      </c>
    </row>
    <row r="208" spans="1:110" s="22" customFormat="1" x14ac:dyDescent="0.2">
      <c r="A208" s="22" t="s">
        <v>91</v>
      </c>
      <c r="C208" s="22">
        <f t="shared" ref="C208:W208" si="1762">C204+C207</f>
        <v>0</v>
      </c>
      <c r="D208" s="22">
        <f>D204+D207</f>
        <v>0</v>
      </c>
      <c r="E208" s="22">
        <f t="shared" si="1762"/>
        <v>83.719999999999928</v>
      </c>
      <c r="F208" s="22">
        <f t="shared" si="1762"/>
        <v>603.11999999999853</v>
      </c>
      <c r="G208" s="22">
        <f t="shared" si="1762"/>
        <v>2294.3399999999992</v>
      </c>
      <c r="H208" s="22">
        <f t="shared" si="1762"/>
        <v>4128.6300000000028</v>
      </c>
      <c r="I208" s="22">
        <f t="shared" si="1762"/>
        <v>4228.2399999999961</v>
      </c>
      <c r="J208" s="22">
        <f>J204+J207</f>
        <v>5339.92</v>
      </c>
      <c r="K208" s="22">
        <f t="shared" si="1762"/>
        <v>9663.3900000000012</v>
      </c>
      <c r="L208" s="22">
        <f t="shared" si="1762"/>
        <v>2677.63</v>
      </c>
      <c r="M208" s="22">
        <f t="shared" si="1762"/>
        <v>8240.0000000000109</v>
      </c>
      <c r="N208" s="22">
        <f t="shared" si="1762"/>
        <v>8806.5</v>
      </c>
      <c r="O208" s="22">
        <f t="shared" si="1762"/>
        <v>20085.229999999996</v>
      </c>
      <c r="P208" s="22">
        <f t="shared" si="1762"/>
        <v>23764.240000000005</v>
      </c>
      <c r="Q208" s="22">
        <f t="shared" si="1762"/>
        <v>15037.86</v>
      </c>
      <c r="R208" s="22">
        <f t="shared" si="1762"/>
        <v>29396</v>
      </c>
      <c r="S208" s="22">
        <f t="shared" si="1762"/>
        <v>25981</v>
      </c>
      <c r="T208" s="22">
        <f t="shared" si="1762"/>
        <v>28399</v>
      </c>
      <c r="U208" s="22">
        <f t="shared" si="1762"/>
        <v>43462</v>
      </c>
      <c r="V208" s="22">
        <f t="shared" si="1762"/>
        <v>36929</v>
      </c>
      <c r="W208" s="22">
        <f t="shared" si="1762"/>
        <v>50753</v>
      </c>
      <c r="X208" s="22">
        <f t="shared" ref="X208:Y208" si="1763">X204+X207</f>
        <v>44544</v>
      </c>
      <c r="Y208" s="22">
        <f t="shared" si="1763"/>
        <v>47052</v>
      </c>
      <c r="Z208" s="22">
        <f t="shared" ref="Z208:AA208" si="1764">Z204+Z207</f>
        <v>54153</v>
      </c>
      <c r="AA208" s="22">
        <f t="shared" si="1764"/>
        <v>51941</v>
      </c>
      <c r="AB208" s="21">
        <f t="shared" ref="AA208:AD208" si="1765">AB204+AB207</f>
        <v>50752.052254557973</v>
      </c>
      <c r="AC208" s="21">
        <f t="shared" si="1765"/>
        <v>65394.963594497764</v>
      </c>
      <c r="AD208" s="21">
        <f t="shared" si="1765"/>
        <v>70010.939002585597</v>
      </c>
      <c r="AE208" s="21">
        <f t="shared" ref="AE208" si="1766">AE204+AE207</f>
        <v>74958.336739999126</v>
      </c>
      <c r="AI208" s="22">
        <f t="shared" ref="AI208" si="1767">AI204+AI207</f>
        <v>3564.72</v>
      </c>
      <c r="AJ208" s="22">
        <f t="shared" ref="AJ208:AL208" si="1768">AJ204+AJ207</f>
        <v>-12697.779999999999</v>
      </c>
      <c r="AK208" s="22">
        <f t="shared" si="1768"/>
        <v>3523.2202994414483</v>
      </c>
      <c r="AL208" s="22">
        <f t="shared" si="1768"/>
        <v>1444.8997005585516</v>
      </c>
      <c r="AM208" s="22">
        <f t="shared" ref="AM208" si="1769">AM204+AM207</f>
        <v>2988.38776963486</v>
      </c>
      <c r="AN208" s="22">
        <f t="shared" ref="AN208:CD208" si="1770">AN204+AN207</f>
        <v>1139.0022303651454</v>
      </c>
      <c r="AO208" s="22">
        <f t="shared" si="1770"/>
        <v>5497.2526495954644</v>
      </c>
      <c r="AP208" s="22">
        <f t="shared" si="1770"/>
        <v>10481.837350404534</v>
      </c>
      <c r="AQ208" s="22">
        <f t="shared" si="1770"/>
        <v>5550.8759996501294</v>
      </c>
      <c r="AR208" s="22">
        <f t="shared" si="1770"/>
        <v>2773.4440003498676</v>
      </c>
      <c r="AS208" s="22">
        <f t="shared" si="1770"/>
        <v>5270.3147343604114</v>
      </c>
      <c r="AT208" s="22">
        <f t="shared" si="1770"/>
        <v>10184.955265639594</v>
      </c>
      <c r="AU208" s="22">
        <f t="shared" si="1770"/>
        <v>5276.1452748334341</v>
      </c>
      <c r="AV208" s="22">
        <f t="shared" si="1770"/>
        <v>-259.65527483343794</v>
      </c>
      <c r="AW208" s="22">
        <f t="shared" si="1770"/>
        <v>6431.8970981041784</v>
      </c>
      <c r="AX208" s="22">
        <f t="shared" si="1770"/>
        <v>3580.6029018958207</v>
      </c>
      <c r="AY208" s="22">
        <f t="shared" si="1770"/>
        <v>6188.9733558297303</v>
      </c>
      <c r="AZ208" s="22">
        <f t="shared" si="1770"/>
        <v>5488.0266441702697</v>
      </c>
      <c r="BA208" s="22">
        <f t="shared" si="1770"/>
        <v>6913.4802964075989</v>
      </c>
      <c r="BB208" s="22">
        <f t="shared" si="1770"/>
        <v>10774.519703592401</v>
      </c>
      <c r="BC208" s="22">
        <f t="shared" si="1770"/>
        <v>6488.8882666486716</v>
      </c>
      <c r="BD208" s="22">
        <f t="shared" si="1770"/>
        <v>6214.1117333513284</v>
      </c>
      <c r="BE208" s="22">
        <f t="shared" si="1770"/>
        <v>6725.4292590288533</v>
      </c>
      <c r="BF208" s="22">
        <f t="shared" si="1770"/>
        <v>6546.5707409711467</v>
      </c>
      <c r="BG208" s="22">
        <f t="shared" si="1770"/>
        <v>6022.794356975839</v>
      </c>
      <c r="BH208" s="22">
        <f t="shared" si="1770"/>
        <v>10636.205643024161</v>
      </c>
      <c r="BI208" s="22">
        <f t="shared" si="1770"/>
        <v>8258.8790361968895</v>
      </c>
      <c r="BJ208" s="22">
        <f t="shared" si="1770"/>
        <v>3487.1209638031105</v>
      </c>
      <c r="BK208" s="22">
        <f t="shared" si="1770"/>
        <v>8836.2451460142111</v>
      </c>
      <c r="BL208" s="22">
        <f t="shared" si="1770"/>
        <v>8104.7548539857889</v>
      </c>
      <c r="BM208" s="22">
        <f t="shared" si="1770"/>
        <v>8399.3877158324212</v>
      </c>
      <c r="BN208" s="22">
        <f t="shared" si="1770"/>
        <v>10109.612284167579</v>
      </c>
      <c r="BO208" s="22">
        <f t="shared" si="1770"/>
        <v>9184.4980723977351</v>
      </c>
      <c r="BP208" s="22">
        <f t="shared" si="1770"/>
        <v>7496.5019276022649</v>
      </c>
      <c r="BQ208" s="22">
        <f t="shared" si="1770"/>
        <v>8405.7444873551794</v>
      </c>
      <c r="BR208" s="22">
        <f t="shared" si="1770"/>
        <v>12203.255512644821</v>
      </c>
      <c r="BS208" s="22">
        <f t="shared" si="1770"/>
        <v>8958.4179155703168</v>
      </c>
      <c r="BT208" s="22">
        <f t="shared" si="1770"/>
        <v>11695.582084429683</v>
      </c>
      <c r="BU208" s="22">
        <f t="shared" si="1770"/>
        <v>9615.2173384257621</v>
      </c>
      <c r="BV208" s="22">
        <f t="shared" si="1770"/>
        <v>20480.782661574238</v>
      </c>
      <c r="BW208" s="22">
        <f t="shared" si="1770"/>
        <v>9260.8632563104111</v>
      </c>
      <c r="BX208" s="22">
        <f t="shared" si="1770"/>
        <v>6250.1367436895889</v>
      </c>
      <c r="BY208" s="22">
        <f t="shared" si="1770"/>
        <v>10254.845594749495</v>
      </c>
      <c r="BZ208" s="22">
        <f t="shared" si="1770"/>
        <v>18854.154405250505</v>
      </c>
      <c r="CA208" s="22">
        <f t="shared" si="1770"/>
        <v>12170.904989689341</v>
      </c>
      <c r="CB208" s="22">
        <f t="shared" si="1770"/>
        <v>10958.095010310659</v>
      </c>
      <c r="CC208" s="22">
        <f t="shared" si="1770"/>
        <v>11684.217834885749</v>
      </c>
      <c r="CD208" s="22">
        <f t="shared" si="1770"/>
        <v>11912.782165114251</v>
      </c>
      <c r="CE208" s="22">
        <f t="shared" ref="CE208:CF208" si="1771">CE204+CE207</f>
        <v>12279.765435929265</v>
      </c>
      <c r="CF208" s="22">
        <f t="shared" si="1771"/>
        <v>10827.234564070735</v>
      </c>
      <c r="CG208" s="22">
        <f t="shared" ref="CG208:CH208" si="1772">CG204+CG207</f>
        <v>13956.446489985843</v>
      </c>
      <c r="CH208" s="22">
        <f t="shared" si="1772"/>
        <v>24975.553510014157</v>
      </c>
      <c r="CI208" s="22">
        <f t="shared" ref="CI208:CJ208" si="1773">CI204+CI207</f>
        <v>14478.902169698675</v>
      </c>
      <c r="CJ208" s="22">
        <f t="shared" si="1773"/>
        <v>-392.9021696986747</v>
      </c>
      <c r="CK208" s="22">
        <f t="shared" ref="CK208:DB208" si="1774">CK204+CK207</f>
        <v>11341.469429626595</v>
      </c>
      <c r="CL208" s="22">
        <f t="shared" si="1774"/>
        <v>15486.530570373405</v>
      </c>
      <c r="CM208" s="21">
        <f t="shared" si="1774"/>
        <v>15494.770586849172</v>
      </c>
      <c r="CN208" s="21">
        <f t="shared" si="1774"/>
        <v>15216.239855324577</v>
      </c>
      <c r="CO208" s="21">
        <f t="shared" si="1774"/>
        <v>15479.655053291483</v>
      </c>
      <c r="CP208" s="21">
        <f t="shared" si="1774"/>
        <v>15588.386759092715</v>
      </c>
      <c r="CQ208" s="21">
        <f t="shared" si="1774"/>
        <v>15930.969992340757</v>
      </c>
      <c r="CR208" s="21">
        <f t="shared" si="1774"/>
        <v>16223.545624950944</v>
      </c>
      <c r="CS208" s="21">
        <f t="shared" si="1774"/>
        <v>16488.246279293806</v>
      </c>
      <c r="CT208" s="21">
        <f t="shared" si="1774"/>
        <v>16752.201697912209</v>
      </c>
      <c r="CU208" s="21">
        <f t="shared" si="1774"/>
        <v>17058.300418901948</v>
      </c>
      <c r="CV208" s="21">
        <f t="shared" si="1774"/>
        <v>17353.307024607657</v>
      </c>
      <c r="CW208" s="21">
        <f t="shared" si="1774"/>
        <v>17648.327734774528</v>
      </c>
      <c r="CX208" s="21">
        <f t="shared" si="1774"/>
        <v>17951.003824301439</v>
      </c>
      <c r="CY208" s="21">
        <f t="shared" si="1774"/>
        <v>18263.705570494483</v>
      </c>
      <c r="CZ208" s="21">
        <f t="shared" si="1774"/>
        <v>18577.627967098302</v>
      </c>
      <c r="DA208" s="21">
        <f t="shared" si="1774"/>
        <v>18896.222707587505</v>
      </c>
      <c r="DB208" s="21">
        <f t="shared" si="1774"/>
        <v>19220.780494818813</v>
      </c>
      <c r="DE208" s="126"/>
      <c r="DF208" s="22">
        <v>12630.974237022076</v>
      </c>
    </row>
    <row r="209" spans="1:110" s="23" customFormat="1" x14ac:dyDescent="0.2">
      <c r="AB209" s="24"/>
      <c r="AC209" s="24"/>
      <c r="AD209" s="24"/>
      <c r="AE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E209" s="123"/>
    </row>
    <row r="210" spans="1:110" s="22" customFormat="1" x14ac:dyDescent="0.2">
      <c r="A210" s="22" t="s">
        <v>92</v>
      </c>
      <c r="C210" s="22">
        <f t="shared" ref="C210:W210" si="1775">C211+C212</f>
        <v>0</v>
      </c>
      <c r="D210" s="22">
        <f>D211+D212</f>
        <v>0</v>
      </c>
      <c r="E210" s="22">
        <f t="shared" si="1775"/>
        <v>-593.35</v>
      </c>
      <c r="F210" s="22">
        <f t="shared" si="1775"/>
        <v>-1192.5899999999997</v>
      </c>
      <c r="G210" s="22">
        <f t="shared" si="1775"/>
        <v>-1416.3000000000004</v>
      </c>
      <c r="H210" s="22">
        <f t="shared" si="1775"/>
        <v>-1678.51</v>
      </c>
      <c r="I210" s="22">
        <f t="shared" si="1775"/>
        <v>-1421.5299999999997</v>
      </c>
      <c r="J210" s="22">
        <f t="shared" si="1775"/>
        <v>-3188.7800000000007</v>
      </c>
      <c r="K210" s="22">
        <f t="shared" si="1775"/>
        <v>-2157.920000000001</v>
      </c>
      <c r="L210" s="22">
        <f t="shared" si="1775"/>
        <v>-1508.8799999999983</v>
      </c>
      <c r="M210" s="22">
        <f t="shared" si="1775"/>
        <v>-1849.2700000000029</v>
      </c>
      <c r="N210" s="22">
        <f t="shared" si="1775"/>
        <v>-3088.5999999999967</v>
      </c>
      <c r="O210" s="22">
        <f t="shared" si="1775"/>
        <v>-3645.5600000000022</v>
      </c>
      <c r="P210" s="22">
        <f t="shared" si="1775"/>
        <v>-1384.33</v>
      </c>
      <c r="Q210" s="22">
        <f t="shared" si="1775"/>
        <v>-1101.2799999999991</v>
      </c>
      <c r="R210" s="22">
        <f t="shared" si="1775"/>
        <v>-1786</v>
      </c>
      <c r="S210" s="22">
        <f t="shared" si="1775"/>
        <v>-1980</v>
      </c>
      <c r="T210" s="22">
        <f t="shared" si="1775"/>
        <v>-1996</v>
      </c>
      <c r="U210" s="22">
        <f t="shared" si="1775"/>
        <v>-12087</v>
      </c>
      <c r="V210" s="22">
        <f t="shared" si="1775"/>
        <v>-4175</v>
      </c>
      <c r="W210" s="22">
        <f t="shared" si="1775"/>
        <v>-5170</v>
      </c>
      <c r="X210" s="22">
        <f t="shared" ref="X210:Y210" si="1776">X211+X212</f>
        <v>-4311</v>
      </c>
      <c r="Y210" s="22">
        <f t="shared" si="1776"/>
        <v>-4419</v>
      </c>
      <c r="Z210" s="22">
        <f t="shared" ref="Z210:AA210" si="1777">Z211+Z212</f>
        <v>-8667</v>
      </c>
      <c r="AA210" s="22">
        <f t="shared" si="1777"/>
        <v>-14912</v>
      </c>
      <c r="AB210" s="21">
        <f t="shared" ref="AA210:AD210" si="1778">AB211+AB212</f>
        <v>7027.0000000000036</v>
      </c>
      <c r="AC210" s="21">
        <f t="shared" si="1778"/>
        <v>-4000</v>
      </c>
      <c r="AD210" s="21">
        <f t="shared" si="1778"/>
        <v>-4000.0000000000018</v>
      </c>
      <c r="AE210" s="21">
        <f t="shared" ref="AE210" si="1779">AE211+AE212</f>
        <v>-3999.9999999999982</v>
      </c>
      <c r="AI210" s="22">
        <f t="shared" ref="AI210" si="1780">AI211+AI212</f>
        <v>-247.04</v>
      </c>
      <c r="AJ210" s="22">
        <f t="shared" ref="AJ210:AL210" si="1781">AJ211+AJ212</f>
        <v>-12025.19</v>
      </c>
      <c r="AK210" s="22">
        <f t="shared" si="1781"/>
        <v>-277.42000000000007</v>
      </c>
      <c r="AL210" s="22">
        <f t="shared" si="1781"/>
        <v>-1221.9399999999978</v>
      </c>
      <c r="AM210" s="22">
        <f t="shared" ref="AM210" si="1782">AM211+AM212</f>
        <v>-297.14999999999964</v>
      </c>
      <c r="AN210" s="22">
        <f t="shared" ref="AN210:CD210" si="1783">AN211+AN212</f>
        <v>-2078.1500000000015</v>
      </c>
      <c r="AO210" s="22">
        <f t="shared" si="1783"/>
        <v>-349.27000000000044</v>
      </c>
      <c r="AP210" s="22">
        <f t="shared" si="1783"/>
        <v>-920.99000000000251</v>
      </c>
      <c r="AQ210" s="22">
        <f t="shared" si="1783"/>
        <v>-417.48999999999978</v>
      </c>
      <c r="AR210" s="22">
        <f t="shared" si="1783"/>
        <v>258.55000000000246</v>
      </c>
      <c r="AS210" s="22">
        <f t="shared" si="1783"/>
        <v>-461.86000000000058</v>
      </c>
      <c r="AT210" s="22">
        <f t="shared" si="1783"/>
        <v>-763.52999999999872</v>
      </c>
      <c r="AU210" s="22">
        <f t="shared" si="1783"/>
        <v>-453</v>
      </c>
      <c r="AV210" s="22">
        <f t="shared" si="1783"/>
        <v>-272.58000000000203</v>
      </c>
      <c r="AW210" s="22">
        <f t="shared" si="1783"/>
        <v>-471</v>
      </c>
      <c r="AX210" s="22">
        <f t="shared" si="1783"/>
        <v>95.300000000001091</v>
      </c>
      <c r="AY210" s="22">
        <f t="shared" si="1783"/>
        <v>-490</v>
      </c>
      <c r="AZ210" s="22">
        <f t="shared" si="1783"/>
        <v>-345</v>
      </c>
      <c r="BA210" s="22">
        <f t="shared" si="1783"/>
        <v>-496</v>
      </c>
      <c r="BB210" s="22">
        <f t="shared" si="1783"/>
        <v>-455</v>
      </c>
      <c r="BC210" s="22">
        <f t="shared" si="1783"/>
        <v>-499</v>
      </c>
      <c r="BD210" s="22">
        <f t="shared" si="1783"/>
        <v>-596</v>
      </c>
      <c r="BE210" s="22">
        <f t="shared" si="1783"/>
        <v>-506</v>
      </c>
      <c r="BF210" s="22">
        <f t="shared" si="1783"/>
        <v>-379</v>
      </c>
      <c r="BG210" s="22">
        <f t="shared" si="1783"/>
        <v>-493</v>
      </c>
      <c r="BH210" s="22">
        <f t="shared" si="1783"/>
        <v>-518</v>
      </c>
      <c r="BI210" s="22">
        <f t="shared" si="1783"/>
        <v>-519</v>
      </c>
      <c r="BJ210" s="22">
        <f t="shared" si="1783"/>
        <v>-466</v>
      </c>
      <c r="BK210" s="22">
        <f t="shared" si="1783"/>
        <v>-817</v>
      </c>
      <c r="BL210" s="22">
        <f t="shared" si="1783"/>
        <v>-902</v>
      </c>
      <c r="BM210" s="22">
        <f t="shared" si="1783"/>
        <v>-897</v>
      </c>
      <c r="BN210" s="22">
        <f t="shared" si="1783"/>
        <v>-1477</v>
      </c>
      <c r="BO210" s="22">
        <f t="shared" si="1783"/>
        <v>-976</v>
      </c>
      <c r="BP210" s="22">
        <f t="shared" si="1783"/>
        <v>-1074</v>
      </c>
      <c r="BQ210" s="22">
        <f t="shared" si="1783"/>
        <v>-1024</v>
      </c>
      <c r="BR210" s="22">
        <f t="shared" si="1783"/>
        <v>-1462</v>
      </c>
      <c r="BS210" s="22">
        <f t="shared" si="1783"/>
        <v>-1075</v>
      </c>
      <c r="BT210" s="22">
        <f t="shared" si="1783"/>
        <v>-908</v>
      </c>
      <c r="BU210" s="22">
        <f t="shared" si="1783"/>
        <v>-1196</v>
      </c>
      <c r="BV210" s="22">
        <f t="shared" si="1783"/>
        <v>-1988</v>
      </c>
      <c r="BW210" s="22">
        <f t="shared" si="1783"/>
        <v>-1230</v>
      </c>
      <c r="BX210" s="22">
        <f t="shared" si="1783"/>
        <v>-910</v>
      </c>
      <c r="BY210" s="22">
        <f t="shared" si="1783"/>
        <v>-1269</v>
      </c>
      <c r="BZ210" s="22">
        <f t="shared" si="1783"/>
        <v>-978</v>
      </c>
      <c r="CA210" s="22">
        <f t="shared" si="1783"/>
        <v>-1243</v>
      </c>
      <c r="CB210" s="22">
        <f t="shared" si="1783"/>
        <v>-437</v>
      </c>
      <c r="CC210" s="22">
        <f t="shared" si="1783"/>
        <v>-1233</v>
      </c>
      <c r="CD210" s="22">
        <f t="shared" si="1783"/>
        <v>-1180</v>
      </c>
      <c r="CE210" s="22">
        <f t="shared" ref="CE210:CF210" si="1784">CE211+CE212</f>
        <v>-1220</v>
      </c>
      <c r="CF210" s="22">
        <f t="shared" si="1784"/>
        <v>-1244</v>
      </c>
      <c r="CG210" s="22">
        <f t="shared" ref="CG210:CH210" si="1785">CG211+CG212</f>
        <v>-1377</v>
      </c>
      <c r="CH210" s="22">
        <f t="shared" si="1785"/>
        <v>-12712</v>
      </c>
      <c r="CI210" s="22">
        <f t="shared" ref="CI210:CJ210" si="1786">CI211+CI212</f>
        <v>0</v>
      </c>
      <c r="CJ210" s="22">
        <f t="shared" si="1786"/>
        <v>6189</v>
      </c>
      <c r="CK210" s="22">
        <f t="shared" ref="CK210:DB210" si="1787">CK211+CK212</f>
        <v>0</v>
      </c>
      <c r="CL210" s="22">
        <f t="shared" si="1787"/>
        <v>-10074</v>
      </c>
      <c r="CM210" s="21">
        <f t="shared" si="1787"/>
        <v>-999.99999999999636</v>
      </c>
      <c r="CN210" s="21">
        <f t="shared" si="1787"/>
        <v>-1000</v>
      </c>
      <c r="CO210" s="21">
        <f t="shared" si="1787"/>
        <v>-1000</v>
      </c>
      <c r="CP210" s="21">
        <f t="shared" si="1787"/>
        <v>-1000</v>
      </c>
      <c r="CQ210" s="21">
        <f t="shared" si="1787"/>
        <v>-1000</v>
      </c>
      <c r="CR210" s="21">
        <f t="shared" si="1787"/>
        <v>-1000</v>
      </c>
      <c r="CS210" s="21">
        <f t="shared" si="1787"/>
        <v>-1000.0000000000036</v>
      </c>
      <c r="CT210" s="21">
        <f t="shared" si="1787"/>
        <v>-999.99999999999636</v>
      </c>
      <c r="CU210" s="21">
        <f t="shared" si="1787"/>
        <v>-999.99999999999636</v>
      </c>
      <c r="CV210" s="21">
        <f t="shared" si="1787"/>
        <v>-1000</v>
      </c>
      <c r="CW210" s="21">
        <f t="shared" si="1787"/>
        <v>-1000</v>
      </c>
      <c r="CX210" s="21">
        <f t="shared" si="1787"/>
        <v>-1000.0000000000036</v>
      </c>
      <c r="CY210" s="21">
        <f t="shared" si="1787"/>
        <v>-1000</v>
      </c>
      <c r="CZ210" s="21">
        <f t="shared" si="1787"/>
        <v>-999.99999999999636</v>
      </c>
      <c r="DA210" s="21">
        <f t="shared" si="1787"/>
        <v>-1000</v>
      </c>
      <c r="DB210" s="21">
        <f t="shared" si="1787"/>
        <v>-1000</v>
      </c>
      <c r="DE210" s="126"/>
      <c r="DF210" s="22">
        <v>-1000</v>
      </c>
    </row>
    <row r="211" spans="1:110" s="23" customFormat="1" x14ac:dyDescent="0.2">
      <c r="A211" s="23" t="s">
        <v>93</v>
      </c>
      <c r="C211" s="23">
        <f t="shared" ref="C211:AA211" si="1788">B149-C149</f>
        <v>0</v>
      </c>
      <c r="D211" s="23">
        <f t="shared" si="1788"/>
        <v>0</v>
      </c>
      <c r="E211" s="23">
        <f>D149-E149</f>
        <v>-13.25</v>
      </c>
      <c r="F211" s="23">
        <f t="shared" si="1788"/>
        <v>4.6300000000000008</v>
      </c>
      <c r="G211" s="23">
        <f t="shared" si="1788"/>
        <v>-19.54</v>
      </c>
      <c r="H211" s="23">
        <f t="shared" si="1788"/>
        <v>9.6000000000001009</v>
      </c>
      <c r="I211" s="23">
        <f t="shared" si="1788"/>
        <v>3.67</v>
      </c>
      <c r="J211" s="23">
        <f>I149-J149</f>
        <v>-15.090000000000101</v>
      </c>
      <c r="K211" s="23">
        <f>J149-K149</f>
        <v>-1192.6600000000001</v>
      </c>
      <c r="L211" s="23">
        <f t="shared" si="1788"/>
        <v>143.96000000000004</v>
      </c>
      <c r="M211" s="23">
        <f t="shared" si="1788"/>
        <v>504.12000000000012</v>
      </c>
      <c r="N211" s="23">
        <f t="shared" si="1788"/>
        <v>-393.74</v>
      </c>
      <c r="O211" s="23">
        <f t="shared" si="1788"/>
        <v>-1306.97</v>
      </c>
      <c r="P211" s="23">
        <f t="shared" si="1788"/>
        <v>2106.09</v>
      </c>
      <c r="Q211" s="23">
        <f t="shared" si="1788"/>
        <v>-173.82</v>
      </c>
      <c r="R211" s="23">
        <f t="shared" si="1788"/>
        <v>-1</v>
      </c>
      <c r="S211" s="23">
        <f t="shared" si="1788"/>
        <v>43</v>
      </c>
      <c r="T211" s="23">
        <f t="shared" si="1788"/>
        <v>62</v>
      </c>
      <c r="U211" s="23">
        <f t="shared" si="1788"/>
        <v>23</v>
      </c>
      <c r="V211" s="23">
        <f t="shared" si="1788"/>
        <v>3</v>
      </c>
      <c r="W211" s="23">
        <f t="shared" si="1788"/>
        <v>-10</v>
      </c>
      <c r="X211" s="23">
        <f t="shared" si="1788"/>
        <v>-43</v>
      </c>
      <c r="Y211" s="23">
        <f t="shared" si="1788"/>
        <v>-15</v>
      </c>
      <c r="Z211" s="23">
        <f t="shared" si="1788"/>
        <v>6</v>
      </c>
      <c r="AA211" s="23">
        <f t="shared" si="1788"/>
        <v>57</v>
      </c>
      <c r="AB211" s="24">
        <f t="shared" ref="AB211" si="1789">AA149-AB149</f>
        <v>0</v>
      </c>
      <c r="AC211" s="24">
        <f t="shared" ref="AC211" si="1790">AB149-AC149</f>
        <v>0</v>
      </c>
      <c r="AD211" s="24">
        <f t="shared" ref="AD211" si="1791">AC149-AD149</f>
        <v>0</v>
      </c>
      <c r="AE211" s="24">
        <f t="shared" ref="AE211" si="1792">AD149-AE149</f>
        <v>0</v>
      </c>
      <c r="AI211" s="23">
        <f t="shared" ref="AI211" si="1793">AH149-AI149</f>
        <v>0</v>
      </c>
      <c r="AJ211" s="23">
        <f t="shared" ref="AJ211" si="1794">AI149-AJ149</f>
        <v>-899.18</v>
      </c>
      <c r="AK211" s="23">
        <f t="shared" ref="AK211" si="1795">AJ149-AK149</f>
        <v>0</v>
      </c>
      <c r="AL211" s="23">
        <f t="shared" ref="AL211" si="1796">AK149-AL149</f>
        <v>-69.12</v>
      </c>
      <c r="AM211" s="23">
        <f t="shared" ref="AM211" si="1797">AL149-AM149</f>
        <v>0</v>
      </c>
      <c r="AN211" s="23">
        <f t="shared" ref="AN211" si="1798">AM149-AN149</f>
        <v>-1917.4199999999998</v>
      </c>
      <c r="AO211" s="23">
        <f t="shared" ref="AO211" si="1799">AN149-AO149</f>
        <v>0</v>
      </c>
      <c r="AP211" s="23">
        <f t="shared" ref="AP211" si="1800">AO149-AP149</f>
        <v>610.44999999999982</v>
      </c>
      <c r="AQ211" s="23">
        <f t="shared" ref="AQ211" si="1801">AP149-AQ149</f>
        <v>0</v>
      </c>
      <c r="AR211" s="23">
        <f t="shared" ref="AR211" si="1802">AQ149-AR149</f>
        <v>2107.9299999999998</v>
      </c>
      <c r="AS211" s="23">
        <f t="shared" ref="AS211" si="1803">AR149-AS149</f>
        <v>0</v>
      </c>
      <c r="AT211" s="23">
        <f t="shared" ref="AT211" si="1804">AS149-AT149</f>
        <v>-1.8400000000000034</v>
      </c>
      <c r="AU211" s="23">
        <f t="shared" ref="AU211" si="1805">AT149-AU149</f>
        <v>0</v>
      </c>
      <c r="AV211" s="23">
        <f t="shared" ref="AV211" si="1806">AU149-AV149</f>
        <v>-6.3199999999999932</v>
      </c>
      <c r="AW211" s="23">
        <f t="shared" ref="AW211" si="1807">AV149-AW149</f>
        <v>0</v>
      </c>
      <c r="AX211" s="23">
        <f t="shared" ref="AX211" si="1808">AW149-AX149</f>
        <v>-167.5</v>
      </c>
      <c r="AY211" s="23">
        <f t="shared" ref="AY211" si="1809">AX149-AY149</f>
        <v>0</v>
      </c>
      <c r="AZ211" s="23">
        <f t="shared" ref="AZ211" si="1810">AY149-AZ149</f>
        <v>82</v>
      </c>
      <c r="BA211" s="23">
        <f t="shared" ref="BA211" si="1811">AZ149-BA149</f>
        <v>0</v>
      </c>
      <c r="BB211" s="23">
        <f t="shared" ref="BB211" si="1812">BA149-BB149</f>
        <v>-83</v>
      </c>
      <c r="BC211" s="23">
        <f t="shared" ref="BC211" si="1813">BB149-BC149</f>
        <v>0</v>
      </c>
      <c r="BD211" s="23">
        <f t="shared" ref="BD211" si="1814">BC149-BD149</f>
        <v>76</v>
      </c>
      <c r="BE211" s="23">
        <f t="shared" ref="BE211" si="1815">BD149-BE149</f>
        <v>0</v>
      </c>
      <c r="BF211" s="23">
        <f t="shared" ref="BF211" si="1816">BE149-BF149</f>
        <v>-33</v>
      </c>
      <c r="BG211" s="23">
        <f t="shared" ref="BG211" si="1817">BF149-BG149</f>
        <v>0</v>
      </c>
      <c r="BH211" s="23">
        <f t="shared" ref="BH211" si="1818">BG149-BH149</f>
        <v>59</v>
      </c>
      <c r="BI211" s="23">
        <f t="shared" ref="BI211" si="1819">BH149-BI149</f>
        <v>0</v>
      </c>
      <c r="BJ211" s="23">
        <f t="shared" ref="BJ211" si="1820">BI149-BJ149</f>
        <v>3</v>
      </c>
      <c r="BK211" s="23">
        <f t="shared" ref="BK211" si="1821">BJ149-BK149</f>
        <v>0</v>
      </c>
      <c r="BL211" s="23">
        <f t="shared" ref="BL211" si="1822">BK149-BL149</f>
        <v>20</v>
      </c>
      <c r="BM211" s="23">
        <f t="shared" ref="BM211" si="1823">BL149-BM149</f>
        <v>0</v>
      </c>
      <c r="BN211" s="23">
        <f t="shared" ref="BN211" si="1824">BM149-BN149</f>
        <v>3</v>
      </c>
      <c r="BO211" s="23">
        <f t="shared" ref="BO211" si="1825">BN149-BO149</f>
        <v>0</v>
      </c>
      <c r="BP211" s="23">
        <f t="shared" ref="BP211" si="1826">BO149-BP149</f>
        <v>1</v>
      </c>
      <c r="BQ211" s="23">
        <f t="shared" ref="BQ211" si="1827">BP149-BQ149</f>
        <v>0</v>
      </c>
      <c r="BR211" s="23">
        <f t="shared" ref="BR211" si="1828">BQ149-BR149</f>
        <v>2</v>
      </c>
      <c r="BS211" s="23">
        <f t="shared" ref="BS211" si="1829">BR149-BS149</f>
        <v>0</v>
      </c>
      <c r="BT211" s="23">
        <f t="shared" ref="BT211" si="1830">BS149-BT149</f>
        <v>-24</v>
      </c>
      <c r="BU211" s="23">
        <f t="shared" ref="BU211" si="1831">BT149-BU149</f>
        <v>0</v>
      </c>
      <c r="BV211" s="23">
        <f t="shared" ref="BV211" si="1832">BU149-BV149</f>
        <v>14</v>
      </c>
      <c r="BW211" s="23">
        <f t="shared" ref="BW211" si="1833">BV149-BW149</f>
        <v>0</v>
      </c>
      <c r="BX211" s="23">
        <f t="shared" ref="BX211" si="1834">BW149-BX149</f>
        <v>-34</v>
      </c>
      <c r="BY211" s="23">
        <f t="shared" ref="BY211" si="1835">BX149-BY149</f>
        <v>0</v>
      </c>
      <c r="BZ211" s="23">
        <f t="shared" ref="BZ211" si="1836">BY149-BZ149</f>
        <v>-9</v>
      </c>
      <c r="CA211" s="23">
        <f t="shared" ref="CA211" si="1837">BZ149-CA149</f>
        <v>0</v>
      </c>
      <c r="CB211" s="23">
        <f t="shared" ref="CB211" si="1838">CA149-CB149</f>
        <v>-22</v>
      </c>
      <c r="CC211" s="23">
        <f t="shared" ref="CC211" si="1839">CB149-CC149</f>
        <v>0</v>
      </c>
      <c r="CD211" s="23">
        <f t="shared" ref="CD211" si="1840">CC149-CD149</f>
        <v>7</v>
      </c>
      <c r="CE211" s="23">
        <f t="shared" ref="CE211" si="1841">CD149-CE149</f>
        <v>0</v>
      </c>
      <c r="CF211" s="23">
        <f t="shared" ref="CF211" si="1842">CE149-CF149</f>
        <v>-8</v>
      </c>
      <c r="CG211" s="23">
        <f t="shared" ref="CG211" si="1843">CF149-CG149</f>
        <v>0</v>
      </c>
      <c r="CH211" s="23">
        <f t="shared" ref="CH211:CJ211" si="1844">CG149-CH149</f>
        <v>14</v>
      </c>
      <c r="CI211" s="23">
        <f t="shared" si="1844"/>
        <v>0</v>
      </c>
      <c r="CJ211" s="23">
        <f t="shared" si="1844"/>
        <v>42</v>
      </c>
      <c r="CK211" s="23">
        <f t="shared" ref="CK211" si="1845">CJ149-CK149</f>
        <v>0</v>
      </c>
      <c r="CL211" s="23">
        <f t="shared" ref="CL211" si="1846">CK149-CL149</f>
        <v>15</v>
      </c>
      <c r="CM211" s="24">
        <f t="shared" ref="CM211" si="1847">CL149-CM149</f>
        <v>0</v>
      </c>
      <c r="CN211" s="24">
        <f t="shared" ref="CN211" si="1848">CM149-CN149</f>
        <v>0</v>
      </c>
      <c r="CO211" s="24">
        <f t="shared" ref="CO211" si="1849">CN149-CO149</f>
        <v>0</v>
      </c>
      <c r="CP211" s="24">
        <f t="shared" ref="CP211" si="1850">CO149-CP149</f>
        <v>0</v>
      </c>
      <c r="CQ211" s="24">
        <f t="shared" ref="CQ211" si="1851">CP149-CQ149</f>
        <v>0</v>
      </c>
      <c r="CR211" s="24">
        <f t="shared" ref="CR211" si="1852">CQ149-CR149</f>
        <v>0</v>
      </c>
      <c r="CS211" s="24">
        <f t="shared" ref="CS211" si="1853">CR149-CS149</f>
        <v>0</v>
      </c>
      <c r="CT211" s="24">
        <f t="shared" ref="CT211" si="1854">CS149-CT149</f>
        <v>0</v>
      </c>
      <c r="CU211" s="24">
        <f t="shared" ref="CU211" si="1855">CT149-CU149</f>
        <v>0</v>
      </c>
      <c r="CV211" s="24">
        <f t="shared" ref="CV211" si="1856">CU149-CV149</f>
        <v>0</v>
      </c>
      <c r="CW211" s="24">
        <f t="shared" ref="CW211" si="1857">CV149-CW149</f>
        <v>0</v>
      </c>
      <c r="CX211" s="24">
        <f t="shared" ref="CX211" si="1858">CW149-CX149</f>
        <v>0</v>
      </c>
      <c r="CY211" s="24">
        <f t="shared" ref="CY211" si="1859">CX149-CY149</f>
        <v>0</v>
      </c>
      <c r="CZ211" s="24">
        <f t="shared" ref="CZ211" si="1860">CY149-CZ149</f>
        <v>0</v>
      </c>
      <c r="DA211" s="24">
        <f t="shared" ref="DA211" si="1861">CZ149-DA149</f>
        <v>0</v>
      </c>
      <c r="DB211" s="24">
        <f t="shared" ref="DB211" si="1862">DA149-DB149</f>
        <v>0</v>
      </c>
      <c r="DE211" s="123"/>
      <c r="DF211" s="23">
        <v>0</v>
      </c>
    </row>
    <row r="212" spans="1:110" s="23" customFormat="1" x14ac:dyDescent="0.2">
      <c r="A212" s="23" t="s">
        <v>94</v>
      </c>
      <c r="C212" s="23">
        <f t="shared" ref="C212:AE212" si="1863">B147-C41-C147</f>
        <v>0</v>
      </c>
      <c r="D212" s="23">
        <f t="shared" si="1863"/>
        <v>0</v>
      </c>
      <c r="E212" s="23">
        <f t="shared" si="1863"/>
        <v>-580.1</v>
      </c>
      <c r="F212" s="23">
        <f t="shared" si="1863"/>
        <v>-1197.2199999999998</v>
      </c>
      <c r="G212" s="23">
        <f t="shared" si="1863"/>
        <v>-1396.7600000000004</v>
      </c>
      <c r="H212" s="23">
        <f t="shared" si="1863"/>
        <v>-1688.1100000000001</v>
      </c>
      <c r="I212" s="23">
        <f t="shared" si="1863"/>
        <v>-1425.1999999999998</v>
      </c>
      <c r="J212" s="23">
        <f t="shared" si="1863"/>
        <v>-3173.6900000000005</v>
      </c>
      <c r="K212" s="23">
        <f t="shared" si="1863"/>
        <v>-965.26000000000113</v>
      </c>
      <c r="L212" s="23">
        <f t="shared" si="1863"/>
        <v>-1652.8399999999983</v>
      </c>
      <c r="M212" s="23">
        <f t="shared" si="1863"/>
        <v>-2353.3900000000031</v>
      </c>
      <c r="N212" s="23">
        <f t="shared" si="1863"/>
        <v>-2694.8599999999969</v>
      </c>
      <c r="O212" s="23">
        <f t="shared" si="1863"/>
        <v>-2338.590000000002</v>
      </c>
      <c r="P212" s="23">
        <f t="shared" si="1863"/>
        <v>-3490.42</v>
      </c>
      <c r="Q212" s="23">
        <f t="shared" si="1863"/>
        <v>-927.45999999999913</v>
      </c>
      <c r="R212" s="23">
        <f t="shared" si="1863"/>
        <v>-1785</v>
      </c>
      <c r="S212" s="23">
        <f t="shared" si="1863"/>
        <v>-2023</v>
      </c>
      <c r="T212" s="23">
        <f t="shared" si="1863"/>
        <v>-2058</v>
      </c>
      <c r="U212" s="23">
        <f t="shared" si="1863"/>
        <v>-12110</v>
      </c>
      <c r="V212" s="23">
        <f t="shared" si="1863"/>
        <v>-4178</v>
      </c>
      <c r="W212" s="23">
        <f t="shared" si="1863"/>
        <v>-5160</v>
      </c>
      <c r="X212" s="23">
        <f t="shared" si="1863"/>
        <v>-4268</v>
      </c>
      <c r="Y212" s="23">
        <f t="shared" si="1863"/>
        <v>-4404</v>
      </c>
      <c r="Z212" s="23">
        <f t="shared" si="1863"/>
        <v>-8673</v>
      </c>
      <c r="AA212" s="23">
        <f t="shared" si="1863"/>
        <v>-14969</v>
      </c>
      <c r="AB212" s="24">
        <f t="shared" si="1863"/>
        <v>7027.0000000000036</v>
      </c>
      <c r="AC212" s="24">
        <f t="shared" si="1863"/>
        <v>-4000</v>
      </c>
      <c r="AD212" s="24">
        <f t="shared" si="1863"/>
        <v>-4000.0000000000018</v>
      </c>
      <c r="AE212" s="24">
        <f t="shared" si="1863"/>
        <v>-3999.9999999999982</v>
      </c>
      <c r="AI212" s="23">
        <f t="shared" ref="AI212:BN212" si="1864">AH147-AI41-AI147</f>
        <v>-247.04</v>
      </c>
      <c r="AJ212" s="23">
        <f t="shared" si="1864"/>
        <v>-11126.01</v>
      </c>
      <c r="AK212" s="23">
        <f t="shared" si="1864"/>
        <v>-277.42000000000007</v>
      </c>
      <c r="AL212" s="23">
        <f t="shared" si="1864"/>
        <v>-1152.8199999999979</v>
      </c>
      <c r="AM212" s="23">
        <f t="shared" si="1864"/>
        <v>-297.14999999999964</v>
      </c>
      <c r="AN212" s="23">
        <f t="shared" si="1864"/>
        <v>-160.73000000000138</v>
      </c>
      <c r="AO212" s="23">
        <f t="shared" si="1864"/>
        <v>-349.27000000000044</v>
      </c>
      <c r="AP212" s="23">
        <f t="shared" si="1864"/>
        <v>-1531.4400000000023</v>
      </c>
      <c r="AQ212" s="23">
        <f t="shared" si="1864"/>
        <v>-417.48999999999978</v>
      </c>
      <c r="AR212" s="23">
        <f t="shared" si="1864"/>
        <v>-1849.3799999999974</v>
      </c>
      <c r="AS212" s="23">
        <f t="shared" si="1864"/>
        <v>-461.86000000000058</v>
      </c>
      <c r="AT212" s="23">
        <f t="shared" si="1864"/>
        <v>-761.68999999999869</v>
      </c>
      <c r="AU212" s="23">
        <f t="shared" si="1864"/>
        <v>-453</v>
      </c>
      <c r="AV212" s="23">
        <f t="shared" si="1864"/>
        <v>-266.26000000000204</v>
      </c>
      <c r="AW212" s="23">
        <f t="shared" si="1864"/>
        <v>-471</v>
      </c>
      <c r="AX212" s="23">
        <f t="shared" si="1864"/>
        <v>262.80000000000109</v>
      </c>
      <c r="AY212" s="23">
        <f t="shared" si="1864"/>
        <v>-490</v>
      </c>
      <c r="AZ212" s="23">
        <f t="shared" si="1864"/>
        <v>-427</v>
      </c>
      <c r="BA212" s="23">
        <f t="shared" si="1864"/>
        <v>-496</v>
      </c>
      <c r="BB212" s="23">
        <f t="shared" si="1864"/>
        <v>-372</v>
      </c>
      <c r="BC212" s="23">
        <f t="shared" si="1864"/>
        <v>-499</v>
      </c>
      <c r="BD212" s="23">
        <f t="shared" si="1864"/>
        <v>-672</v>
      </c>
      <c r="BE212" s="23">
        <f t="shared" si="1864"/>
        <v>-506</v>
      </c>
      <c r="BF212" s="23">
        <f t="shared" si="1864"/>
        <v>-346</v>
      </c>
      <c r="BG212" s="23">
        <f t="shared" si="1864"/>
        <v>-493</v>
      </c>
      <c r="BH212" s="23">
        <f t="shared" si="1864"/>
        <v>-577</v>
      </c>
      <c r="BI212" s="23">
        <f t="shared" si="1864"/>
        <v>-519</v>
      </c>
      <c r="BJ212" s="23">
        <f t="shared" si="1864"/>
        <v>-469</v>
      </c>
      <c r="BK212" s="23">
        <f t="shared" si="1864"/>
        <v>-817</v>
      </c>
      <c r="BL212" s="23">
        <f t="shared" si="1864"/>
        <v>-922</v>
      </c>
      <c r="BM212" s="23">
        <f t="shared" si="1864"/>
        <v>-897</v>
      </c>
      <c r="BN212" s="23">
        <f t="shared" si="1864"/>
        <v>-1480</v>
      </c>
      <c r="BO212" s="23">
        <f t="shared" ref="BO212:CT212" si="1865">BN147-BO41-BO147</f>
        <v>-976</v>
      </c>
      <c r="BP212" s="23">
        <f t="shared" si="1865"/>
        <v>-1075</v>
      </c>
      <c r="BQ212" s="23">
        <f t="shared" si="1865"/>
        <v>-1024</v>
      </c>
      <c r="BR212" s="23">
        <f t="shared" si="1865"/>
        <v>-1464</v>
      </c>
      <c r="BS212" s="23">
        <f t="shared" si="1865"/>
        <v>-1075</v>
      </c>
      <c r="BT212" s="23">
        <f t="shared" si="1865"/>
        <v>-884</v>
      </c>
      <c r="BU212" s="23">
        <f t="shared" si="1865"/>
        <v>-1196</v>
      </c>
      <c r="BV212" s="23">
        <f t="shared" si="1865"/>
        <v>-2002</v>
      </c>
      <c r="BW212" s="23">
        <f t="shared" si="1865"/>
        <v>-1230</v>
      </c>
      <c r="BX212" s="23">
        <f t="shared" si="1865"/>
        <v>-876</v>
      </c>
      <c r="BY212" s="23">
        <f t="shared" si="1865"/>
        <v>-1269</v>
      </c>
      <c r="BZ212" s="23">
        <f t="shared" si="1865"/>
        <v>-969</v>
      </c>
      <c r="CA212" s="23">
        <f t="shared" si="1865"/>
        <v>-1243</v>
      </c>
      <c r="CB212" s="23">
        <f t="shared" si="1865"/>
        <v>-415</v>
      </c>
      <c r="CC212" s="23">
        <f t="shared" si="1865"/>
        <v>-1233</v>
      </c>
      <c r="CD212" s="23">
        <f t="shared" si="1865"/>
        <v>-1187</v>
      </c>
      <c r="CE212" s="23">
        <f t="shared" si="1865"/>
        <v>-1220</v>
      </c>
      <c r="CF212" s="23">
        <f t="shared" si="1865"/>
        <v>-1236</v>
      </c>
      <c r="CG212" s="23">
        <f t="shared" si="1865"/>
        <v>-1377</v>
      </c>
      <c r="CH212" s="23">
        <f t="shared" si="1865"/>
        <v>-12726</v>
      </c>
      <c r="CI212" s="23">
        <f t="shared" si="1865"/>
        <v>0</v>
      </c>
      <c r="CJ212" s="23">
        <f t="shared" si="1865"/>
        <v>6147</v>
      </c>
      <c r="CK212" s="23">
        <f t="shared" si="1865"/>
        <v>0</v>
      </c>
      <c r="CL212" s="23">
        <f t="shared" si="1865"/>
        <v>-10089</v>
      </c>
      <c r="CM212" s="24">
        <f t="shared" si="1865"/>
        <v>-999.99999999999636</v>
      </c>
      <c r="CN212" s="24">
        <f t="shared" si="1865"/>
        <v>-1000</v>
      </c>
      <c r="CO212" s="24">
        <f t="shared" si="1865"/>
        <v>-1000</v>
      </c>
      <c r="CP212" s="24">
        <f t="shared" si="1865"/>
        <v>-1000</v>
      </c>
      <c r="CQ212" s="24">
        <f t="shared" si="1865"/>
        <v>-1000</v>
      </c>
      <c r="CR212" s="24">
        <f t="shared" si="1865"/>
        <v>-1000</v>
      </c>
      <c r="CS212" s="24">
        <f t="shared" si="1865"/>
        <v>-1000.0000000000036</v>
      </c>
      <c r="CT212" s="24">
        <f t="shared" si="1865"/>
        <v>-999.99999999999636</v>
      </c>
      <c r="CU212" s="24">
        <f t="shared" ref="CU212:DB212" si="1866">CT147-CU41-CU147</f>
        <v>-999.99999999999636</v>
      </c>
      <c r="CV212" s="24">
        <f t="shared" si="1866"/>
        <v>-1000</v>
      </c>
      <c r="CW212" s="24">
        <f t="shared" si="1866"/>
        <v>-1000</v>
      </c>
      <c r="CX212" s="24">
        <f t="shared" si="1866"/>
        <v>-1000.0000000000036</v>
      </c>
      <c r="CY212" s="24">
        <f t="shared" si="1866"/>
        <v>-1000</v>
      </c>
      <c r="CZ212" s="24">
        <f t="shared" si="1866"/>
        <v>-999.99999999999636</v>
      </c>
      <c r="DA212" s="24">
        <f t="shared" si="1866"/>
        <v>-1000</v>
      </c>
      <c r="DB212" s="24">
        <f t="shared" si="1866"/>
        <v>-1000</v>
      </c>
      <c r="DE212" s="123"/>
      <c r="DF212" s="23">
        <v>-1000</v>
      </c>
    </row>
    <row r="213" spans="1:110" s="23" customFormat="1" x14ac:dyDescent="0.2">
      <c r="AB213" s="24"/>
      <c r="AC213" s="24"/>
      <c r="AD213" s="24"/>
      <c r="AE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E213" s="123"/>
    </row>
    <row r="214" spans="1:110" s="22" customFormat="1" x14ac:dyDescent="0.2">
      <c r="A214" s="22" t="s">
        <v>95</v>
      </c>
      <c r="C214" s="22">
        <f t="shared" ref="C214:W214" si="1867">C215+C216</f>
        <v>0</v>
      </c>
      <c r="D214" s="22">
        <f t="shared" si="1867"/>
        <v>0</v>
      </c>
      <c r="E214" s="22">
        <f t="shared" si="1867"/>
        <v>561.65</v>
      </c>
      <c r="F214" s="22">
        <f t="shared" si="1867"/>
        <v>1225.0600000000018</v>
      </c>
      <c r="G214" s="22">
        <f t="shared" si="1867"/>
        <v>-456.80999999999932</v>
      </c>
      <c r="H214" s="22">
        <f t="shared" si="1867"/>
        <v>-924.20000000000391</v>
      </c>
      <c r="I214" s="22">
        <f t="shared" si="1867"/>
        <v>-1626.7999999999954</v>
      </c>
      <c r="J214" s="22">
        <f t="shared" si="1867"/>
        <v>-1683.2400000000007</v>
      </c>
      <c r="K214" s="22">
        <f t="shared" si="1867"/>
        <v>-4610.010000000002</v>
      </c>
      <c r="L214" s="22">
        <f t="shared" si="1867"/>
        <v>-2961.9399999999987</v>
      </c>
      <c r="M214" s="22">
        <f t="shared" si="1867"/>
        <v>-5186.7200000000066</v>
      </c>
      <c r="N214" s="22">
        <f t="shared" si="1867"/>
        <v>-4608.550000000002</v>
      </c>
      <c r="O214" s="22">
        <f t="shared" si="1867"/>
        <v>-8537.5599999999959</v>
      </c>
      <c r="P214" s="22">
        <f t="shared" si="1867"/>
        <v>-17931.580000000009</v>
      </c>
      <c r="Q214" s="22">
        <f t="shared" si="1867"/>
        <v>-4718.2200000000021</v>
      </c>
      <c r="R214" s="22">
        <f t="shared" si="1867"/>
        <v>-11092</v>
      </c>
      <c r="S214" s="22">
        <f t="shared" si="1867"/>
        <v>-26918</v>
      </c>
      <c r="T214" s="22">
        <f t="shared" si="1867"/>
        <v>-27332</v>
      </c>
      <c r="U214" s="22">
        <f t="shared" si="1867"/>
        <v>-37508</v>
      </c>
      <c r="V214" s="22">
        <f t="shared" si="1867"/>
        <v>-30071</v>
      </c>
      <c r="W214" s="22">
        <f t="shared" si="1867"/>
        <v>-35589</v>
      </c>
      <c r="X214" s="22">
        <f t="shared" ref="X214:Y214" si="1868">X215+X216</f>
        <v>-40787</v>
      </c>
      <c r="Y214" s="22">
        <f t="shared" si="1868"/>
        <v>-45795</v>
      </c>
      <c r="Z214" s="22">
        <f t="shared" ref="Z214:AA214" si="1869">Z215+Z216</f>
        <v>-44101</v>
      </c>
      <c r="AA214" s="22">
        <f t="shared" si="1869"/>
        <v>-36503</v>
      </c>
      <c r="AB214" s="21">
        <f t="shared" ref="AA214:AD214" si="1870">AB215+AB216</f>
        <v>0</v>
      </c>
      <c r="AC214" s="21">
        <f t="shared" si="1870"/>
        <v>-2.9103830456733704E-11</v>
      </c>
      <c r="AD214" s="21">
        <f t="shared" si="1870"/>
        <v>-5.8207660913467407E-11</v>
      </c>
      <c r="AE214" s="21">
        <f t="shared" ref="AE214" si="1871">AE215+AE216</f>
        <v>-5.8207660913467407E-11</v>
      </c>
      <c r="AI214" s="22">
        <f t="shared" ref="AI214" si="1872">AI215+AI216</f>
        <v>-3317.68</v>
      </c>
      <c r="AJ214" s="22">
        <f t="shared" ref="AJ214:AL214" si="1873">AJ215+AJ216</f>
        <v>32644.82</v>
      </c>
      <c r="AK214" s="22">
        <f t="shared" si="1873"/>
        <v>0</v>
      </c>
      <c r="AL214" s="22">
        <f t="shared" si="1873"/>
        <v>-3692.4099999999971</v>
      </c>
      <c r="AM214" s="22">
        <f t="shared" ref="AM214" si="1874">AM215+AM216</f>
        <v>0</v>
      </c>
      <c r="AN214" s="22">
        <f t="shared" ref="AN214:CD214" si="1875">AN215+AN216</f>
        <v>-3118.1700000000023</v>
      </c>
      <c r="AO214" s="22">
        <f t="shared" si="1875"/>
        <v>0</v>
      </c>
      <c r="AP214" s="22">
        <f t="shared" si="1875"/>
        <v>-5440.6400000000012</v>
      </c>
      <c r="AQ214" s="22">
        <f t="shared" si="1875"/>
        <v>0</v>
      </c>
      <c r="AR214" s="22">
        <f t="shared" si="1875"/>
        <v>-11229.370000000003</v>
      </c>
      <c r="AS214" s="22">
        <f t="shared" si="1875"/>
        <v>7.2759576141834259E-12</v>
      </c>
      <c r="AT214" s="22">
        <f t="shared" si="1875"/>
        <v>-6717.5599999999977</v>
      </c>
      <c r="AU214" s="22">
        <f t="shared" si="1875"/>
        <v>0</v>
      </c>
      <c r="AV214" s="22">
        <f t="shared" si="1875"/>
        <v>-3027.07</v>
      </c>
      <c r="AW214" s="22">
        <f t="shared" si="1875"/>
        <v>-7.2759576141834259E-12</v>
      </c>
      <c r="AX214" s="22">
        <f t="shared" si="1875"/>
        <v>-1682.2799999999947</v>
      </c>
      <c r="AY214" s="22">
        <f t="shared" si="1875"/>
        <v>0</v>
      </c>
      <c r="AZ214" s="22">
        <f t="shared" si="1875"/>
        <v>-7722</v>
      </c>
      <c r="BA214" s="22">
        <f t="shared" si="1875"/>
        <v>0</v>
      </c>
      <c r="BB214" s="22">
        <f t="shared" si="1875"/>
        <v>-3339</v>
      </c>
      <c r="BC214" s="22">
        <f t="shared" si="1875"/>
        <v>0</v>
      </c>
      <c r="BD214" s="22">
        <f t="shared" si="1875"/>
        <v>-23771</v>
      </c>
      <c r="BE214" s="22">
        <f t="shared" si="1875"/>
        <v>0</v>
      </c>
      <c r="BF214" s="22">
        <f t="shared" si="1875"/>
        <v>-3141</v>
      </c>
      <c r="BG214" s="22">
        <f t="shared" si="1875"/>
        <v>0</v>
      </c>
      <c r="BH214" s="22">
        <f t="shared" si="1875"/>
        <v>-24391</v>
      </c>
      <c r="BI214" s="22">
        <f t="shared" si="1875"/>
        <v>0</v>
      </c>
      <c r="BJ214" s="22">
        <f t="shared" si="1875"/>
        <v>-2947</v>
      </c>
      <c r="BK214" s="22">
        <f t="shared" si="1875"/>
        <v>0</v>
      </c>
      <c r="BL214" s="22">
        <f t="shared" si="1875"/>
        <v>-10513</v>
      </c>
      <c r="BM214" s="22">
        <f t="shared" si="1875"/>
        <v>0</v>
      </c>
      <c r="BN214" s="22">
        <f t="shared" si="1875"/>
        <v>-26977</v>
      </c>
      <c r="BO214" s="22">
        <f t="shared" si="1875"/>
        <v>0</v>
      </c>
      <c r="BP214" s="22">
        <f t="shared" si="1875"/>
        <v>-3457</v>
      </c>
      <c r="BQ214" s="22">
        <f t="shared" si="1875"/>
        <v>0</v>
      </c>
      <c r="BR214" s="22">
        <f t="shared" si="1875"/>
        <v>-26614</v>
      </c>
      <c r="BS214" s="22">
        <f t="shared" si="1875"/>
        <v>0</v>
      </c>
      <c r="BT214" s="22">
        <f t="shared" si="1875"/>
        <v>-8114</v>
      </c>
      <c r="BU214" s="22">
        <f t="shared" si="1875"/>
        <v>0</v>
      </c>
      <c r="BV214" s="22">
        <f t="shared" si="1875"/>
        <v>-27475</v>
      </c>
      <c r="BW214" s="22">
        <f t="shared" si="1875"/>
        <v>0</v>
      </c>
      <c r="BX214" s="22">
        <f t="shared" si="1875"/>
        <v>-11643</v>
      </c>
      <c r="BY214" s="22">
        <f t="shared" si="1875"/>
        <v>0</v>
      </c>
      <c r="BZ214" s="22">
        <f t="shared" si="1875"/>
        <v>-29144</v>
      </c>
      <c r="CA214" s="22">
        <f t="shared" si="1875"/>
        <v>0</v>
      </c>
      <c r="CB214" s="22">
        <f t="shared" si="1875"/>
        <v>-12210</v>
      </c>
      <c r="CC214" s="22">
        <f t="shared" si="1875"/>
        <v>0</v>
      </c>
      <c r="CD214" s="22">
        <f t="shared" si="1875"/>
        <v>-33585</v>
      </c>
      <c r="CE214" s="22">
        <f t="shared" ref="CE214:CF214" si="1876">CE215+CE216</f>
        <v>0</v>
      </c>
      <c r="CF214" s="22">
        <f t="shared" si="1876"/>
        <v>-12885</v>
      </c>
      <c r="CG214" s="22">
        <f t="shared" ref="CG214:CH214" si="1877">CG215+CG216</f>
        <v>0</v>
      </c>
      <c r="CH214" s="22">
        <f t="shared" si="1877"/>
        <v>-31216</v>
      </c>
      <c r="CI214" s="22">
        <f t="shared" ref="CI214:CJ214" si="1878">CI215+CI216</f>
        <v>0</v>
      </c>
      <c r="CJ214" s="22">
        <f t="shared" si="1878"/>
        <v>-13145</v>
      </c>
      <c r="CK214" s="22">
        <f t="shared" ref="CK214:DB214" si="1879">CK215+CK216</f>
        <v>0</v>
      </c>
      <c r="CL214" s="22">
        <f t="shared" si="1879"/>
        <v>-23358</v>
      </c>
      <c r="CM214" s="21">
        <f t="shared" si="1879"/>
        <v>0</v>
      </c>
      <c r="CN214" s="21">
        <f t="shared" si="1879"/>
        <v>0</v>
      </c>
      <c r="CO214" s="21">
        <f t="shared" si="1879"/>
        <v>0</v>
      </c>
      <c r="CP214" s="21">
        <f t="shared" si="1879"/>
        <v>0</v>
      </c>
      <c r="CQ214" s="21">
        <f t="shared" si="1879"/>
        <v>0</v>
      </c>
      <c r="CR214" s="21">
        <f t="shared" si="1879"/>
        <v>0</v>
      </c>
      <c r="CS214" s="21">
        <f t="shared" si="1879"/>
        <v>0</v>
      </c>
      <c r="CT214" s="21">
        <f t="shared" si="1879"/>
        <v>0</v>
      </c>
      <c r="CU214" s="21">
        <f t="shared" si="1879"/>
        <v>0</v>
      </c>
      <c r="CV214" s="21">
        <f t="shared" si="1879"/>
        <v>0</v>
      </c>
      <c r="CW214" s="21">
        <f t="shared" si="1879"/>
        <v>0</v>
      </c>
      <c r="CX214" s="21">
        <f t="shared" si="1879"/>
        <v>0</v>
      </c>
      <c r="CY214" s="21">
        <f t="shared" si="1879"/>
        <v>0</v>
      </c>
      <c r="CZ214" s="21">
        <f t="shared" si="1879"/>
        <v>0</v>
      </c>
      <c r="DA214" s="21">
        <f t="shared" si="1879"/>
        <v>0</v>
      </c>
      <c r="DB214" s="21">
        <f t="shared" si="1879"/>
        <v>0</v>
      </c>
      <c r="DE214" s="126"/>
      <c r="DF214" s="22">
        <v>0</v>
      </c>
    </row>
    <row r="215" spans="1:110" s="23" customFormat="1" x14ac:dyDescent="0.2">
      <c r="A215" s="23" t="s">
        <v>49</v>
      </c>
      <c r="C215" s="23">
        <f t="shared" ref="C215:AA215" si="1880">C137-B137</f>
        <v>0</v>
      </c>
      <c r="D215" s="23">
        <f t="shared" si="1880"/>
        <v>0</v>
      </c>
      <c r="E215" s="23">
        <f>E137-D137</f>
        <v>441.18</v>
      </c>
      <c r="F215" s="23">
        <f t="shared" si="1880"/>
        <v>-238.17000000000002</v>
      </c>
      <c r="G215" s="23">
        <f t="shared" si="1880"/>
        <v>-86.32</v>
      </c>
      <c r="H215" s="23">
        <f t="shared" si="1880"/>
        <v>390.06</v>
      </c>
      <c r="I215" s="23">
        <f t="shared" si="1880"/>
        <v>-51.730000000000018</v>
      </c>
      <c r="J215" s="23">
        <f>J137-I137</f>
        <v>108.86000000000001</v>
      </c>
      <c r="K215" s="23">
        <f>K137-J137</f>
        <v>-460.63</v>
      </c>
      <c r="L215" s="23">
        <f t="shared" si="1880"/>
        <v>-28.449999999999989</v>
      </c>
      <c r="M215" s="23">
        <f t="shared" si="1880"/>
        <v>51.75</v>
      </c>
      <c r="N215" s="23">
        <f t="shared" si="1880"/>
        <v>105.72000000000003</v>
      </c>
      <c r="O215" s="23">
        <f t="shared" si="1880"/>
        <v>64.599999999999966</v>
      </c>
      <c r="P215" s="23">
        <f t="shared" si="1880"/>
        <v>60.829999999999984</v>
      </c>
      <c r="Q215" s="23">
        <f t="shared" si="1880"/>
        <v>-112.69999999999999</v>
      </c>
      <c r="R215" s="23">
        <f t="shared" si="1880"/>
        <v>44</v>
      </c>
      <c r="S215" s="23">
        <f t="shared" si="1880"/>
        <v>-42</v>
      </c>
      <c r="T215" s="23">
        <f t="shared" si="1880"/>
        <v>-229</v>
      </c>
      <c r="U215" s="23">
        <f t="shared" si="1880"/>
        <v>-18</v>
      </c>
      <c r="V215" s="23">
        <f t="shared" si="1880"/>
        <v>0</v>
      </c>
      <c r="W215" s="23">
        <f t="shared" si="1880"/>
        <v>0</v>
      </c>
      <c r="X215" s="23">
        <f t="shared" si="1880"/>
        <v>0</v>
      </c>
      <c r="Y215" s="23">
        <f t="shared" si="1880"/>
        <v>0</v>
      </c>
      <c r="Z215" s="23">
        <f t="shared" si="1880"/>
        <v>0</v>
      </c>
      <c r="AA215" s="23">
        <f t="shared" si="1880"/>
        <v>0</v>
      </c>
      <c r="AB215" s="24">
        <f t="shared" ref="AB215" si="1881">AB137-AA137</f>
        <v>0</v>
      </c>
      <c r="AC215" s="24">
        <f t="shared" ref="AC215" si="1882">AC137-AB137</f>
        <v>0</v>
      </c>
      <c r="AD215" s="24">
        <f t="shared" ref="AD215" si="1883">AD137-AC137</f>
        <v>0</v>
      </c>
      <c r="AE215" s="24">
        <f t="shared" ref="AE215" si="1884">AE137-AD137</f>
        <v>0</v>
      </c>
      <c r="AI215" s="23">
        <f t="shared" ref="AI215" si="1885">AI137-AH137</f>
        <v>0</v>
      </c>
      <c r="AJ215" s="23">
        <f t="shared" ref="AJ215" si="1886">AJ137-AI137</f>
        <v>286.49</v>
      </c>
      <c r="AK215" s="23">
        <f t="shared" ref="AK215" si="1887">AK137-AJ137</f>
        <v>0</v>
      </c>
      <c r="AL215" s="23">
        <f t="shared" ref="AL215" si="1888">AL137-AK137</f>
        <v>-75.490000000000009</v>
      </c>
      <c r="AM215" s="23">
        <f t="shared" ref="AM215" si="1889">AM137-AL137</f>
        <v>0</v>
      </c>
      <c r="AN215" s="23">
        <f t="shared" ref="AN215" si="1890">AN137-AM137</f>
        <v>-24.629999999999995</v>
      </c>
      <c r="AO215" s="23">
        <f t="shared" ref="AO215" si="1891">AO137-AN137</f>
        <v>0</v>
      </c>
      <c r="AP215" s="23">
        <f t="shared" ref="AP215" si="1892">AP137-AO137</f>
        <v>67.980000000000018</v>
      </c>
      <c r="AQ215" s="23">
        <f t="shared" ref="AQ215" si="1893">AQ137-AP137</f>
        <v>0</v>
      </c>
      <c r="AR215" s="23">
        <f t="shared" ref="AR215" si="1894">AR137-AQ137</f>
        <v>-55.690000000000026</v>
      </c>
      <c r="AS215" s="23">
        <f t="shared" ref="AS215" si="1895">AS137-AR137</f>
        <v>0</v>
      </c>
      <c r="AT215" s="23">
        <f t="shared" ref="AT215" si="1896">AT137-AS137</f>
        <v>101.16999999999999</v>
      </c>
      <c r="AU215" s="23">
        <f t="shared" ref="AU215" si="1897">AU137-AT137</f>
        <v>0</v>
      </c>
      <c r="AV215" s="23">
        <f t="shared" ref="AV215" si="1898">AV137-AU137</f>
        <v>-207.23</v>
      </c>
      <c r="AW215" s="23">
        <f t="shared" ref="AW215" si="1899">AW137-AV137</f>
        <v>0</v>
      </c>
      <c r="AX215" s="23">
        <f t="shared" ref="AX215" si="1900">AX137-AW137</f>
        <v>103.4</v>
      </c>
      <c r="AY215" s="23">
        <f t="shared" ref="AY215" si="1901">AY137-AX137</f>
        <v>0</v>
      </c>
      <c r="AZ215" s="23">
        <f t="shared" ref="AZ215" si="1902">AZ137-AY137</f>
        <v>-135</v>
      </c>
      <c r="BA215" s="23">
        <f t="shared" ref="BA215" si="1903">BA137-AZ137</f>
        <v>0</v>
      </c>
      <c r="BB215" s="23">
        <f t="shared" ref="BB215" si="1904">BB137-BA137</f>
        <v>210</v>
      </c>
      <c r="BC215" s="23">
        <f t="shared" ref="BC215" si="1905">BC137-BB137</f>
        <v>0</v>
      </c>
      <c r="BD215" s="23">
        <f t="shared" ref="BD215" si="1906">BD137-BC137</f>
        <v>-212</v>
      </c>
      <c r="BE215" s="23">
        <f t="shared" ref="BE215" si="1907">BE137-BD137</f>
        <v>0</v>
      </c>
      <c r="BF215" s="23">
        <f t="shared" ref="BF215" si="1908">BF137-BE137</f>
        <v>176</v>
      </c>
      <c r="BG215" s="23">
        <f t="shared" ref="BG215" si="1909">BG137-BF137</f>
        <v>0</v>
      </c>
      <c r="BH215" s="23">
        <f t="shared" ref="BH215" si="1910">BH137-BG137</f>
        <v>-189</v>
      </c>
      <c r="BI215" s="23">
        <f t="shared" ref="BI215" si="1911">BI137-BH137</f>
        <v>0</v>
      </c>
      <c r="BJ215" s="23">
        <f t="shared" ref="BJ215" si="1912">BJ137-BI137</f>
        <v>-46</v>
      </c>
      <c r="BK215" s="23">
        <f t="shared" ref="BK215" si="1913">BK137-BJ137</f>
        <v>0</v>
      </c>
      <c r="BL215" s="23">
        <f t="shared" ref="BL215" si="1914">BL137-BK137</f>
        <v>0</v>
      </c>
      <c r="BM215" s="23">
        <f t="shared" ref="BM215" si="1915">BM137-BL137</f>
        <v>0</v>
      </c>
      <c r="BN215" s="23">
        <f t="shared" ref="BN215" si="1916">BN137-BM137</f>
        <v>0</v>
      </c>
      <c r="BO215" s="23">
        <f t="shared" ref="BO215" si="1917">BO137-BN137</f>
        <v>0</v>
      </c>
      <c r="BP215" s="23">
        <f t="shared" ref="BP215" si="1918">BP137-BO137</f>
        <v>0</v>
      </c>
      <c r="BQ215" s="23">
        <f t="shared" ref="BQ215" si="1919">BQ137-BP137</f>
        <v>0</v>
      </c>
      <c r="BR215" s="23">
        <f t="shared" ref="BR215" si="1920">BR137-BQ137</f>
        <v>0</v>
      </c>
      <c r="BS215" s="23">
        <f t="shared" ref="BS215" si="1921">BS137-BR137</f>
        <v>0</v>
      </c>
      <c r="BT215" s="23">
        <f t="shared" ref="BT215" si="1922">BT137-BS137</f>
        <v>0</v>
      </c>
      <c r="BU215" s="23">
        <f t="shared" ref="BU215" si="1923">BU137-BT137</f>
        <v>0</v>
      </c>
      <c r="BV215" s="23">
        <f t="shared" ref="BV215" si="1924">BV137-BU137</f>
        <v>0</v>
      </c>
      <c r="BW215" s="23">
        <f t="shared" ref="BW215" si="1925">BW137-BV137</f>
        <v>0</v>
      </c>
      <c r="BX215" s="23">
        <f t="shared" ref="BX215" si="1926">BX137-BW137</f>
        <v>0</v>
      </c>
      <c r="BY215" s="23">
        <f t="shared" ref="BY215" si="1927">BY137-BX137</f>
        <v>0</v>
      </c>
      <c r="BZ215" s="23">
        <f t="shared" ref="BZ215" si="1928">BZ137-BY137</f>
        <v>0</v>
      </c>
      <c r="CA215" s="23">
        <f t="shared" ref="CA215" si="1929">CA137-BZ137</f>
        <v>0</v>
      </c>
      <c r="CB215" s="23">
        <f t="shared" ref="CB215" si="1930">CB137-CA137</f>
        <v>0</v>
      </c>
      <c r="CC215" s="23">
        <f t="shared" ref="CC215" si="1931">CC137-CB137</f>
        <v>0</v>
      </c>
      <c r="CD215" s="23">
        <f t="shared" ref="CD215" si="1932">CD137-CC137</f>
        <v>0</v>
      </c>
      <c r="CE215" s="23">
        <f t="shared" ref="CE215" si="1933">CE137-CD137</f>
        <v>0</v>
      </c>
      <c r="CF215" s="23">
        <f t="shared" ref="CF215" si="1934">CF137-CE137</f>
        <v>0</v>
      </c>
      <c r="CG215" s="23">
        <f t="shared" ref="CG215" si="1935">CG137-CF137</f>
        <v>0</v>
      </c>
      <c r="CH215" s="23">
        <f t="shared" ref="CH215:CJ215" si="1936">CH137-CG137</f>
        <v>0</v>
      </c>
      <c r="CI215" s="23">
        <f t="shared" si="1936"/>
        <v>0</v>
      </c>
      <c r="CJ215" s="23">
        <f t="shared" si="1936"/>
        <v>0</v>
      </c>
      <c r="CK215" s="23">
        <f t="shared" ref="CK215" si="1937">CK137-CJ137</f>
        <v>0</v>
      </c>
      <c r="CL215" s="23">
        <f t="shared" ref="CL215" si="1938">CL137-CK137</f>
        <v>0</v>
      </c>
      <c r="CM215" s="24">
        <f t="shared" ref="CM215" si="1939">CM137-CL137</f>
        <v>0</v>
      </c>
      <c r="CN215" s="24">
        <f t="shared" ref="CN215" si="1940">CN137-CM137</f>
        <v>0</v>
      </c>
      <c r="CO215" s="24">
        <f t="shared" ref="CO215" si="1941">CO137-CN137</f>
        <v>0</v>
      </c>
      <c r="CP215" s="24">
        <f t="shared" ref="CP215" si="1942">CP137-CO137</f>
        <v>0</v>
      </c>
      <c r="CQ215" s="24">
        <f t="shared" ref="CQ215" si="1943">CQ137-CP137</f>
        <v>0</v>
      </c>
      <c r="CR215" s="24">
        <f t="shared" ref="CR215" si="1944">CR137-CQ137</f>
        <v>0</v>
      </c>
      <c r="CS215" s="24">
        <f t="shared" ref="CS215" si="1945">CS137-CR137</f>
        <v>0</v>
      </c>
      <c r="CT215" s="24">
        <f t="shared" ref="CT215" si="1946">CT137-CS137</f>
        <v>0</v>
      </c>
      <c r="CU215" s="24">
        <f t="shared" ref="CU215" si="1947">CU137-CT137</f>
        <v>0</v>
      </c>
      <c r="CV215" s="24">
        <f t="shared" ref="CV215" si="1948">CV137-CU137</f>
        <v>0</v>
      </c>
      <c r="CW215" s="24">
        <f t="shared" ref="CW215" si="1949">CW137-CV137</f>
        <v>0</v>
      </c>
      <c r="CX215" s="24">
        <f t="shared" ref="CX215" si="1950">CX137-CW137</f>
        <v>0</v>
      </c>
      <c r="CY215" s="24">
        <f t="shared" ref="CY215" si="1951">CY137-CX137</f>
        <v>0</v>
      </c>
      <c r="CZ215" s="24">
        <f t="shared" ref="CZ215" si="1952">CZ137-CY137</f>
        <v>0</v>
      </c>
      <c r="DA215" s="24">
        <f t="shared" ref="DA215" si="1953">DA137-CZ137</f>
        <v>0</v>
      </c>
      <c r="DB215" s="24">
        <f t="shared" ref="DB215" si="1954">DB137-DA137</f>
        <v>0</v>
      </c>
      <c r="DE215" s="123"/>
      <c r="DF215" s="23">
        <v>0</v>
      </c>
    </row>
    <row r="216" spans="1:110" s="23" customFormat="1" x14ac:dyDescent="0.2">
      <c r="A216" s="23" t="s">
        <v>27</v>
      </c>
      <c r="C216" s="23">
        <f t="shared" ref="C216:AE216" si="1955">C129-C57-B129+C131-B131</f>
        <v>0</v>
      </c>
      <c r="D216" s="23">
        <f t="shared" si="1955"/>
        <v>0</v>
      </c>
      <c r="E216" s="23">
        <f t="shared" si="1955"/>
        <v>120.47</v>
      </c>
      <c r="F216" s="23">
        <f t="shared" si="1955"/>
        <v>1463.2300000000018</v>
      </c>
      <c r="G216" s="23">
        <f t="shared" si="1955"/>
        <v>-370.48999999999933</v>
      </c>
      <c r="H216" s="23">
        <f t="shared" si="1955"/>
        <v>-1314.2600000000039</v>
      </c>
      <c r="I216" s="23">
        <f t="shared" si="1955"/>
        <v>-1575.0699999999954</v>
      </c>
      <c r="J216" s="23">
        <f t="shared" si="1955"/>
        <v>-1792.1000000000006</v>
      </c>
      <c r="K216" s="23">
        <f t="shared" si="1955"/>
        <v>-4149.3800000000019</v>
      </c>
      <c r="L216" s="23">
        <f t="shared" si="1955"/>
        <v>-2933.4899999999989</v>
      </c>
      <c r="M216" s="23">
        <f t="shared" si="1955"/>
        <v>-5238.4700000000066</v>
      </c>
      <c r="N216" s="23">
        <f t="shared" si="1955"/>
        <v>-4714.2700000000023</v>
      </c>
      <c r="O216" s="23">
        <f t="shared" si="1955"/>
        <v>-8602.1599999999962</v>
      </c>
      <c r="P216" s="23">
        <f t="shared" si="1955"/>
        <v>-17992.410000000011</v>
      </c>
      <c r="Q216" s="23">
        <f t="shared" si="1955"/>
        <v>-4605.5200000000023</v>
      </c>
      <c r="R216" s="23">
        <f t="shared" si="1955"/>
        <v>-11136</v>
      </c>
      <c r="S216" s="23">
        <f t="shared" si="1955"/>
        <v>-26876</v>
      </c>
      <c r="T216" s="23">
        <f t="shared" si="1955"/>
        <v>-27103</v>
      </c>
      <c r="U216" s="23">
        <f t="shared" si="1955"/>
        <v>-37490</v>
      </c>
      <c r="V216" s="23">
        <f t="shared" si="1955"/>
        <v>-30071</v>
      </c>
      <c r="W216" s="23">
        <f t="shared" si="1955"/>
        <v>-35589</v>
      </c>
      <c r="X216" s="23">
        <f t="shared" si="1955"/>
        <v>-40787</v>
      </c>
      <c r="Y216" s="23">
        <f t="shared" si="1955"/>
        <v>-45795</v>
      </c>
      <c r="Z216" s="23">
        <f t="shared" si="1955"/>
        <v>-44101</v>
      </c>
      <c r="AA216" s="23">
        <f t="shared" si="1955"/>
        <v>-36503</v>
      </c>
      <c r="AB216" s="24">
        <f t="shared" si="1955"/>
        <v>0</v>
      </c>
      <c r="AC216" s="24">
        <f t="shared" si="1955"/>
        <v>-2.9103830456733704E-11</v>
      </c>
      <c r="AD216" s="24">
        <f t="shared" si="1955"/>
        <v>-5.8207660913467407E-11</v>
      </c>
      <c r="AE216" s="24">
        <f t="shared" si="1955"/>
        <v>-5.8207660913467407E-11</v>
      </c>
      <c r="AI216" s="23">
        <f t="shared" ref="AI216:BN216" si="1956">AI129-AI57-AH129+AI131-AH131</f>
        <v>-3317.68</v>
      </c>
      <c r="AJ216" s="23">
        <f t="shared" si="1956"/>
        <v>32358.329999999998</v>
      </c>
      <c r="AK216" s="23">
        <f t="shared" si="1956"/>
        <v>0</v>
      </c>
      <c r="AL216" s="23">
        <f t="shared" si="1956"/>
        <v>-3616.9199999999973</v>
      </c>
      <c r="AM216" s="23">
        <f t="shared" si="1956"/>
        <v>0</v>
      </c>
      <c r="AN216" s="23">
        <f t="shared" si="1956"/>
        <v>-3093.5400000000022</v>
      </c>
      <c r="AO216" s="23">
        <f t="shared" si="1956"/>
        <v>0</v>
      </c>
      <c r="AP216" s="23">
        <f t="shared" si="1956"/>
        <v>-5508.6200000000017</v>
      </c>
      <c r="AQ216" s="23">
        <f t="shared" si="1956"/>
        <v>0</v>
      </c>
      <c r="AR216" s="23">
        <f t="shared" si="1956"/>
        <v>-11173.680000000002</v>
      </c>
      <c r="AS216" s="23">
        <f t="shared" si="1956"/>
        <v>7.2759576141834259E-12</v>
      </c>
      <c r="AT216" s="23">
        <f t="shared" si="1956"/>
        <v>-6818.7299999999977</v>
      </c>
      <c r="AU216" s="23">
        <f t="shared" si="1956"/>
        <v>0</v>
      </c>
      <c r="AV216" s="23">
        <f t="shared" si="1956"/>
        <v>-2819.84</v>
      </c>
      <c r="AW216" s="23">
        <f t="shared" si="1956"/>
        <v>-7.2759576141834259E-12</v>
      </c>
      <c r="AX216" s="23">
        <f t="shared" si="1956"/>
        <v>-1785.6799999999948</v>
      </c>
      <c r="AY216" s="23">
        <f t="shared" si="1956"/>
        <v>0</v>
      </c>
      <c r="AZ216" s="23">
        <f t="shared" si="1956"/>
        <v>-7587</v>
      </c>
      <c r="BA216" s="23">
        <f t="shared" si="1956"/>
        <v>0</v>
      </c>
      <c r="BB216" s="23">
        <f t="shared" si="1956"/>
        <v>-3549</v>
      </c>
      <c r="BC216" s="23">
        <f t="shared" si="1956"/>
        <v>0</v>
      </c>
      <c r="BD216" s="23">
        <f t="shared" si="1956"/>
        <v>-23559</v>
      </c>
      <c r="BE216" s="23">
        <f t="shared" si="1956"/>
        <v>0</v>
      </c>
      <c r="BF216" s="23">
        <f t="shared" si="1956"/>
        <v>-3317</v>
      </c>
      <c r="BG216" s="23">
        <f t="shared" si="1956"/>
        <v>0</v>
      </c>
      <c r="BH216" s="23">
        <f t="shared" si="1956"/>
        <v>-24202</v>
      </c>
      <c r="BI216" s="23">
        <f t="shared" si="1956"/>
        <v>0</v>
      </c>
      <c r="BJ216" s="23">
        <f t="shared" si="1956"/>
        <v>-2901</v>
      </c>
      <c r="BK216" s="23">
        <f t="shared" si="1956"/>
        <v>0</v>
      </c>
      <c r="BL216" s="23">
        <f t="shared" si="1956"/>
        <v>-10513</v>
      </c>
      <c r="BM216" s="23">
        <f t="shared" si="1956"/>
        <v>0</v>
      </c>
      <c r="BN216" s="23">
        <f t="shared" si="1956"/>
        <v>-26977</v>
      </c>
      <c r="BO216" s="23">
        <f t="shared" ref="BO216:CT216" si="1957">BO129-BO57-BN129+BO131-BN131</f>
        <v>0</v>
      </c>
      <c r="BP216" s="23">
        <f t="shared" si="1957"/>
        <v>-3457</v>
      </c>
      <c r="BQ216" s="23">
        <f t="shared" si="1957"/>
        <v>0</v>
      </c>
      <c r="BR216" s="23">
        <f t="shared" si="1957"/>
        <v>-26614</v>
      </c>
      <c r="BS216" s="23">
        <f t="shared" si="1957"/>
        <v>0</v>
      </c>
      <c r="BT216" s="23">
        <f t="shared" si="1957"/>
        <v>-8114</v>
      </c>
      <c r="BU216" s="23">
        <f t="shared" si="1957"/>
        <v>0</v>
      </c>
      <c r="BV216" s="23">
        <f t="shared" si="1957"/>
        <v>-27475</v>
      </c>
      <c r="BW216" s="23">
        <f t="shared" si="1957"/>
        <v>0</v>
      </c>
      <c r="BX216" s="23">
        <f t="shared" si="1957"/>
        <v>-11643</v>
      </c>
      <c r="BY216" s="23">
        <f t="shared" si="1957"/>
        <v>0</v>
      </c>
      <c r="BZ216" s="23">
        <f t="shared" si="1957"/>
        <v>-29144</v>
      </c>
      <c r="CA216" s="23">
        <f t="shared" si="1957"/>
        <v>0</v>
      </c>
      <c r="CB216" s="23">
        <f t="shared" si="1957"/>
        <v>-12210</v>
      </c>
      <c r="CC216" s="23">
        <f t="shared" si="1957"/>
        <v>0</v>
      </c>
      <c r="CD216" s="23">
        <f t="shared" si="1957"/>
        <v>-33585</v>
      </c>
      <c r="CE216" s="23">
        <f t="shared" si="1957"/>
        <v>0</v>
      </c>
      <c r="CF216" s="23">
        <f t="shared" si="1957"/>
        <v>-12885</v>
      </c>
      <c r="CG216" s="23">
        <f t="shared" si="1957"/>
        <v>0</v>
      </c>
      <c r="CH216" s="23">
        <f t="shared" si="1957"/>
        <v>-31216</v>
      </c>
      <c r="CI216" s="23">
        <f t="shared" si="1957"/>
        <v>0</v>
      </c>
      <c r="CJ216" s="23">
        <f t="shared" si="1957"/>
        <v>-13145</v>
      </c>
      <c r="CK216" s="23">
        <f t="shared" si="1957"/>
        <v>0</v>
      </c>
      <c r="CL216" s="23">
        <f t="shared" si="1957"/>
        <v>-23358</v>
      </c>
      <c r="CM216" s="24">
        <f t="shared" si="1957"/>
        <v>0</v>
      </c>
      <c r="CN216" s="24">
        <f t="shared" si="1957"/>
        <v>0</v>
      </c>
      <c r="CO216" s="24">
        <f t="shared" si="1957"/>
        <v>0</v>
      </c>
      <c r="CP216" s="24">
        <f t="shared" si="1957"/>
        <v>0</v>
      </c>
      <c r="CQ216" s="24">
        <f t="shared" si="1957"/>
        <v>0</v>
      </c>
      <c r="CR216" s="24">
        <f t="shared" si="1957"/>
        <v>0</v>
      </c>
      <c r="CS216" s="24">
        <f t="shared" si="1957"/>
        <v>0</v>
      </c>
      <c r="CT216" s="24">
        <f t="shared" si="1957"/>
        <v>0</v>
      </c>
      <c r="CU216" s="24">
        <f t="shared" ref="CU216:DB216" si="1958">CU129-CU57-CT129+CU131-CT131</f>
        <v>0</v>
      </c>
      <c r="CV216" s="24">
        <f t="shared" si="1958"/>
        <v>0</v>
      </c>
      <c r="CW216" s="24">
        <f t="shared" si="1958"/>
        <v>0</v>
      </c>
      <c r="CX216" s="24">
        <f t="shared" si="1958"/>
        <v>0</v>
      </c>
      <c r="CY216" s="24">
        <f t="shared" si="1958"/>
        <v>0</v>
      </c>
      <c r="CZ216" s="24">
        <f t="shared" si="1958"/>
        <v>0</v>
      </c>
      <c r="DA216" s="24">
        <f t="shared" si="1958"/>
        <v>0</v>
      </c>
      <c r="DB216" s="24">
        <f t="shared" si="1958"/>
        <v>0</v>
      </c>
      <c r="DE216" s="123"/>
      <c r="DF216" s="23">
        <v>0</v>
      </c>
    </row>
    <row r="217" spans="1:110" s="23" customFormat="1" x14ac:dyDescent="0.2">
      <c r="AB217" s="24"/>
      <c r="AC217" s="24"/>
      <c r="AD217" s="24"/>
      <c r="AE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E217" s="123"/>
    </row>
    <row r="218" spans="1:110" s="23" customFormat="1" x14ac:dyDescent="0.2">
      <c r="A218" s="23" t="s">
        <v>442</v>
      </c>
      <c r="C218" s="23">
        <f t="shared" ref="C218" si="1959">B170</f>
        <v>0</v>
      </c>
      <c r="D218" s="23">
        <f t="shared" ref="D218" si="1960">C170</f>
        <v>0</v>
      </c>
      <c r="E218" s="23">
        <f>D170</f>
        <v>0</v>
      </c>
      <c r="F218" s="23">
        <f t="shared" ref="F218" si="1961">E170</f>
        <v>52.019999999999996</v>
      </c>
      <c r="G218" s="23">
        <f t="shared" ref="G218" si="1962">F170</f>
        <v>687.61</v>
      </c>
      <c r="H218" s="23">
        <f t="shared" ref="H218" si="1963">G170</f>
        <v>1108.8400000000001</v>
      </c>
      <c r="I218" s="23">
        <f t="shared" ref="I218" si="1964">H170</f>
        <v>2634.76</v>
      </c>
      <c r="J218" s="23">
        <f>I170</f>
        <v>3814.67</v>
      </c>
      <c r="K218" s="23">
        <f>J170</f>
        <v>4282.57</v>
      </c>
      <c r="L218" s="23">
        <f t="shared" ref="L218" si="1965">K170</f>
        <v>7178.0300000000007</v>
      </c>
      <c r="M218" s="23">
        <f t="shared" ref="M218" si="1966">L170</f>
        <v>5384.84</v>
      </c>
      <c r="N218" s="23">
        <f t="shared" ref="N218" si="1967">M170</f>
        <v>6588.85</v>
      </c>
      <c r="O218" s="23">
        <f t="shared" ref="O218" si="1968">N170</f>
        <v>7698.2</v>
      </c>
      <c r="P218" s="23">
        <f t="shared" ref="P218" si="1969">O170</f>
        <v>15600.31</v>
      </c>
      <c r="Q218" s="23">
        <f t="shared" ref="Q218" si="1970">P170</f>
        <v>20048.64</v>
      </c>
      <c r="R218" s="23">
        <f t="shared" ref="R218" si="1971">Q170</f>
        <v>29267</v>
      </c>
      <c r="S218" s="23">
        <f t="shared" ref="S218" si="1972">R170</f>
        <v>45785</v>
      </c>
      <c r="T218" s="23">
        <f t="shared" ref="T218" si="1973">S170</f>
        <v>42868</v>
      </c>
      <c r="U218" s="23">
        <f t="shared" ref="U218" si="1974">T170</f>
        <v>41939</v>
      </c>
      <c r="V218" s="23">
        <f t="shared" ref="V218" si="1975">U170</f>
        <v>35806</v>
      </c>
      <c r="W218" s="23">
        <f t="shared" ref="W218:AA218" si="1976">V170</f>
        <v>38489</v>
      </c>
      <c r="X218" s="23">
        <f t="shared" si="1976"/>
        <v>48483</v>
      </c>
      <c r="Y218" s="23">
        <f t="shared" si="1976"/>
        <v>47929</v>
      </c>
      <c r="Z218" s="23">
        <f t="shared" si="1976"/>
        <v>44767</v>
      </c>
      <c r="AA218" s="23">
        <f t="shared" si="1976"/>
        <v>46152</v>
      </c>
      <c r="AB218" s="24">
        <f t="shared" ref="AB218" si="1977">AA170</f>
        <v>46678</v>
      </c>
      <c r="AC218" s="24">
        <f t="shared" ref="AC218" si="1978">AB170</f>
        <v>104457.05225455794</v>
      </c>
      <c r="AD218" s="24">
        <f t="shared" ref="AD218" si="1979">AC170</f>
        <v>165852.01584905566</v>
      </c>
      <c r="AE218" s="24">
        <f t="shared" ref="AE218" si="1980">AD170</f>
        <v>231862.95485164126</v>
      </c>
      <c r="AI218" s="23">
        <f t="shared" ref="AI218" si="1981">AH170</f>
        <v>0</v>
      </c>
      <c r="AJ218" s="23">
        <f t="shared" ref="AJ218" si="1982">AI170</f>
        <v>0</v>
      </c>
      <c r="AK218" s="23">
        <f t="shared" ref="AK218" si="1983">AJ170</f>
        <v>7921.85</v>
      </c>
      <c r="AL218" s="23">
        <f t="shared" ref="AL218" si="1984">AK170</f>
        <v>11167.650299441448</v>
      </c>
      <c r="AM218" s="23">
        <f t="shared" ref="AM218" si="1985">AL170</f>
        <v>7698.2</v>
      </c>
      <c r="AN218" s="23">
        <f t="shared" ref="AN218" si="1986">AM170</f>
        <v>10389.43776963486</v>
      </c>
      <c r="AO218" s="23">
        <f t="shared" ref="AO218" si="1987">AN170</f>
        <v>6332.1200000000008</v>
      </c>
      <c r="AP218" s="23">
        <f t="shared" ref="AP218" si="1988">AO170</f>
        <v>11480.102649595465</v>
      </c>
      <c r="AQ218" s="23">
        <f t="shared" ref="AQ218" si="1989">AP170</f>
        <v>15600.31</v>
      </c>
      <c r="AR218" s="23">
        <f t="shared" ref="AR218" si="1990">AQ170</f>
        <v>20733.695999650128</v>
      </c>
      <c r="AS218" s="23">
        <f t="shared" ref="AS218" si="1991">AR170</f>
        <v>12536.32</v>
      </c>
      <c r="AT218" s="23">
        <f t="shared" ref="AT218" si="1992">AS170</f>
        <v>17344.774734360417</v>
      </c>
      <c r="AU218" s="23">
        <f t="shared" ref="AU218" si="1993">AT170</f>
        <v>20048.64</v>
      </c>
      <c r="AV218" s="23">
        <f t="shared" ref="AV218" si="1994">AU170</f>
        <v>24871.785274833434</v>
      </c>
      <c r="AW218" s="23">
        <f t="shared" ref="AW218" si="1995">AV170</f>
        <v>21312.480000000003</v>
      </c>
      <c r="AX218" s="23">
        <f t="shared" ref="AX218" si="1996">AW170</f>
        <v>27273.377098104174</v>
      </c>
      <c r="AY218" s="23">
        <f t="shared" ref="AY218" si="1997">AX170</f>
        <v>29267</v>
      </c>
      <c r="AZ218" s="23">
        <f t="shared" ref="AZ218" si="1998">AY170</f>
        <v>34965.97335582973</v>
      </c>
      <c r="BA218" s="23">
        <f t="shared" ref="BA218" si="1999">AZ170</f>
        <v>32387</v>
      </c>
      <c r="BB218" s="23">
        <f t="shared" ref="BB218" si="2000">BA170</f>
        <v>38804.480296407601</v>
      </c>
      <c r="BC218" s="23">
        <f t="shared" ref="BC218" si="2001">BB170</f>
        <v>45785</v>
      </c>
      <c r="BD218" s="23">
        <f t="shared" ref="BD218" si="2002">BC170</f>
        <v>51774.888266648675</v>
      </c>
      <c r="BE218" s="23">
        <f t="shared" ref="BE218" si="2003">BD170</f>
        <v>33622</v>
      </c>
      <c r="BF218" s="23">
        <f t="shared" ref="BF218" si="2004">BE170</f>
        <v>39841.429259028853</v>
      </c>
      <c r="BG218" s="23">
        <f t="shared" ref="BG218" si="2005">BF170</f>
        <v>42868</v>
      </c>
      <c r="BH218" s="23">
        <f t="shared" ref="BH218" si="2006">BG170</f>
        <v>48397.794356975835</v>
      </c>
      <c r="BI218" s="23">
        <f t="shared" ref="BI218" si="2007">BH170</f>
        <v>34125</v>
      </c>
      <c r="BJ218" s="23">
        <f t="shared" ref="BJ218" si="2008">BI170</f>
        <v>41864.879036196886</v>
      </c>
      <c r="BK218" s="23">
        <f t="shared" ref="BK218" si="2009">BJ170</f>
        <v>41939</v>
      </c>
      <c r="BL218" s="23">
        <f t="shared" ref="BL218" si="2010">BK170</f>
        <v>49958.245146014211</v>
      </c>
      <c r="BM218" s="23">
        <f t="shared" ref="BM218" si="2011">BL170</f>
        <v>46648</v>
      </c>
      <c r="BN218" s="23">
        <f t="shared" ref="BN218" si="2012">BM170</f>
        <v>54150.387715832418</v>
      </c>
      <c r="BO218" s="23">
        <f t="shared" ref="BO218" si="2013">BN170</f>
        <v>35806</v>
      </c>
      <c r="BP218" s="23">
        <f t="shared" ref="BP218" si="2014">BO170</f>
        <v>44014.498072397735</v>
      </c>
      <c r="BQ218" s="23">
        <f t="shared" ref="BQ218" si="2015">BP170</f>
        <v>46980</v>
      </c>
      <c r="BR218" s="23">
        <f t="shared" ref="BR218" si="2016">BQ170</f>
        <v>54361.744487355179</v>
      </c>
      <c r="BS218" s="23">
        <f t="shared" ref="BS218" si="2017">BR170</f>
        <v>38489</v>
      </c>
      <c r="BT218" s="23">
        <f t="shared" ref="BT218" si="2018">BS170</f>
        <v>46372.417915570317</v>
      </c>
      <c r="BU218" s="23">
        <f t="shared" ref="BU218" si="2019">BT170</f>
        <v>49046</v>
      </c>
      <c r="BV218" s="23">
        <f t="shared" ref="BV218" si="2020">BU170</f>
        <v>57465.217338425762</v>
      </c>
      <c r="BW218" s="23">
        <f t="shared" ref="BW218" si="2021">BV170</f>
        <v>48483</v>
      </c>
      <c r="BX218" s="23">
        <f t="shared" ref="BX218" si="2022">BW170</f>
        <v>56513.863256310411</v>
      </c>
      <c r="BY218" s="23">
        <f t="shared" ref="BY218" si="2023">BX170</f>
        <v>50211</v>
      </c>
      <c r="BZ218" s="23">
        <f t="shared" ref="BZ218" si="2024">BY170</f>
        <v>59196.845594749495</v>
      </c>
      <c r="CA218" s="23">
        <f t="shared" ref="CA218" si="2025">BZ170</f>
        <v>47929</v>
      </c>
      <c r="CB218" s="23">
        <f t="shared" ref="CB218" si="2026">CA170</f>
        <v>58856.904989689341</v>
      </c>
      <c r="CC218" s="23">
        <f t="shared" ref="CC218" si="2027">CB170</f>
        <v>57168</v>
      </c>
      <c r="CD218" s="23">
        <f t="shared" ref="CD218" si="2028">CC170</f>
        <v>67619.217834885756</v>
      </c>
      <c r="CE218" s="23">
        <f t="shared" ref="CE218" si="2029">CD170</f>
        <v>44767</v>
      </c>
      <c r="CF218" s="23">
        <f t="shared" ref="CF218" si="2030">CE170</f>
        <v>55826.765435929265</v>
      </c>
      <c r="CG218" s="23">
        <f t="shared" ref="CG218" si="2031">CF170</f>
        <v>52525</v>
      </c>
      <c r="CH218" s="23">
        <f t="shared" ref="CH218:CJ218" si="2032">CG170</f>
        <v>65104.446489985843</v>
      </c>
      <c r="CI218" s="23">
        <f t="shared" si="2032"/>
        <v>46152</v>
      </c>
      <c r="CJ218" s="23">
        <f t="shared" si="2032"/>
        <v>60630.902169698675</v>
      </c>
      <c r="CK218" s="23">
        <f t="shared" ref="CK218" si="2033">CJ170</f>
        <v>53282</v>
      </c>
      <c r="CL218" s="23">
        <f t="shared" ref="CL218" si="2034">CK170</f>
        <v>64623.469429626595</v>
      </c>
      <c r="CM218" s="24">
        <f t="shared" ref="CM218" si="2035">CL170</f>
        <v>46678</v>
      </c>
      <c r="CN218" s="24">
        <f t="shared" ref="CN218" si="2036">CM170</f>
        <v>61172.770586849176</v>
      </c>
      <c r="CO218" s="24">
        <f t="shared" ref="CO218" si="2037">CN170</f>
        <v>75389.010442173749</v>
      </c>
      <c r="CP218" s="24">
        <f t="shared" ref="CP218" si="2038">CO170</f>
        <v>89868.665495465233</v>
      </c>
      <c r="CQ218" s="24">
        <f t="shared" ref="CQ218" si="2039">CP170</f>
        <v>104457.05225455794</v>
      </c>
      <c r="CR218" s="24">
        <f t="shared" ref="CR218" si="2040">CQ170</f>
        <v>119388.0222468987</v>
      </c>
      <c r="CS218" s="24">
        <f t="shared" ref="CS218" si="2041">CR170</f>
        <v>134611.56787184963</v>
      </c>
      <c r="CT218" s="24">
        <f t="shared" ref="CT218" si="2042">CS170</f>
        <v>150099.81415114345</v>
      </c>
      <c r="CU218" s="24">
        <f t="shared" ref="CU218" si="2043">CT170</f>
        <v>165852.01584905566</v>
      </c>
      <c r="CV218" s="24">
        <f t="shared" ref="CV218" si="2044">CU170</f>
        <v>181910.31626795762</v>
      </c>
      <c r="CW218" s="24">
        <f t="shared" ref="CW218" si="2045">CV170</f>
        <v>198263.62329256529</v>
      </c>
      <c r="CX218" s="24">
        <f t="shared" ref="CX218" si="2046">CW170</f>
        <v>214911.95102733982</v>
      </c>
      <c r="CY218" s="24">
        <f t="shared" ref="CY218" si="2047">CX170</f>
        <v>231862.95485164126</v>
      </c>
      <c r="CZ218" s="24">
        <f t="shared" ref="CZ218" si="2048">CY170</f>
        <v>249126.66042213576</v>
      </c>
      <c r="DA218" s="24">
        <f t="shared" ref="DA218" si="2049">CZ170</f>
        <v>266704.28838923405</v>
      </c>
      <c r="DB218" s="24">
        <f t="shared" ref="DB218" si="2050">DA170</f>
        <v>284600.51109682157</v>
      </c>
      <c r="DE218" s="123"/>
      <c r="DF218" s="23">
        <v>63985.469429626595</v>
      </c>
    </row>
    <row r="219" spans="1:110" s="23" customFormat="1" x14ac:dyDescent="0.2">
      <c r="A219" s="23" t="s">
        <v>443</v>
      </c>
      <c r="C219" s="23">
        <f t="shared" ref="C219:W219" si="2051">C218+C214+C210+C208</f>
        <v>0</v>
      </c>
      <c r="D219" s="23">
        <f t="shared" si="2051"/>
        <v>0</v>
      </c>
      <c r="E219" s="23">
        <f t="shared" si="2051"/>
        <v>52.019999999999882</v>
      </c>
      <c r="F219" s="23">
        <f t="shared" si="2051"/>
        <v>687.61000000000058</v>
      </c>
      <c r="G219" s="23">
        <f t="shared" si="2051"/>
        <v>1108.8399999999995</v>
      </c>
      <c r="H219" s="23">
        <f t="shared" si="2051"/>
        <v>2634.7599999999993</v>
      </c>
      <c r="I219" s="23">
        <f t="shared" si="2051"/>
        <v>3814.670000000001</v>
      </c>
      <c r="J219" s="23">
        <f>J218+J214+J210+J208</f>
        <v>4282.5699999999988</v>
      </c>
      <c r="K219" s="23">
        <f>K218+K214+K210+K208</f>
        <v>7178.0299999999979</v>
      </c>
      <c r="L219" s="23">
        <f>L218+L214+L210+L208</f>
        <v>5384.8400000000038</v>
      </c>
      <c r="M219" s="23">
        <f>M218+M214+M210+M208</f>
        <v>6588.8500000000013</v>
      </c>
      <c r="N219" s="23">
        <f t="shared" si="2051"/>
        <v>7698.2000000000016</v>
      </c>
      <c r="O219" s="23">
        <f t="shared" si="2051"/>
        <v>15600.309999999998</v>
      </c>
      <c r="P219" s="23">
        <f t="shared" si="2051"/>
        <v>20048.639999999996</v>
      </c>
      <c r="Q219" s="23">
        <f t="shared" si="2051"/>
        <v>29267</v>
      </c>
      <c r="R219" s="23">
        <f t="shared" si="2051"/>
        <v>45785</v>
      </c>
      <c r="S219" s="23">
        <f t="shared" si="2051"/>
        <v>42868</v>
      </c>
      <c r="T219" s="23">
        <f t="shared" si="2051"/>
        <v>41939</v>
      </c>
      <c r="U219" s="23">
        <f t="shared" si="2051"/>
        <v>35806</v>
      </c>
      <c r="V219" s="23">
        <f t="shared" si="2051"/>
        <v>38489</v>
      </c>
      <c r="W219" s="23">
        <f t="shared" si="2051"/>
        <v>48483</v>
      </c>
      <c r="X219" s="23">
        <f t="shared" ref="X219:Y219" si="2052">X218+X214+X210+X208</f>
        <v>47929</v>
      </c>
      <c r="Y219" s="23">
        <f t="shared" si="2052"/>
        <v>44767</v>
      </c>
      <c r="Z219" s="23">
        <f t="shared" ref="Z219:AA219" si="2053">Z218+Z214+Z210+Z208</f>
        <v>46152</v>
      </c>
      <c r="AA219" s="23">
        <f t="shared" si="2053"/>
        <v>46678</v>
      </c>
      <c r="AB219" s="24">
        <f t="shared" ref="AA219:AD219" si="2054">AB218+AB214+AB210+AB208</f>
        <v>104457.05225455797</v>
      </c>
      <c r="AC219" s="24">
        <f t="shared" si="2054"/>
        <v>165852.01584905566</v>
      </c>
      <c r="AD219" s="24">
        <f t="shared" si="2054"/>
        <v>231862.9548516412</v>
      </c>
      <c r="AE219" s="24">
        <f t="shared" ref="AE219" si="2055">AE218+AE214+AE210+AE208</f>
        <v>302821.29159164033</v>
      </c>
      <c r="AI219" s="23">
        <f t="shared" ref="AI219" si="2056">AI218+AI214+AI210+AI208</f>
        <v>0</v>
      </c>
      <c r="AJ219" s="23">
        <f t="shared" ref="AJ219:AL219" si="2057">AJ218+AJ214+AJ210+AJ208</f>
        <v>7921.8499999999985</v>
      </c>
      <c r="AK219" s="23">
        <f t="shared" si="2057"/>
        <v>11167.650299441448</v>
      </c>
      <c r="AL219" s="23">
        <f t="shared" si="2057"/>
        <v>7698.2000000000044</v>
      </c>
      <c r="AM219" s="23">
        <f t="shared" ref="AM219" si="2058">AM218+AM214+AM210+AM208</f>
        <v>10389.43776963486</v>
      </c>
      <c r="AN219" s="23">
        <f t="shared" ref="AN219:CD219" si="2059">AN218+AN214+AN210+AN208</f>
        <v>6332.1200000000026</v>
      </c>
      <c r="AO219" s="23">
        <f t="shared" si="2059"/>
        <v>11480.102649595465</v>
      </c>
      <c r="AP219" s="23">
        <f t="shared" si="2059"/>
        <v>15600.309999999994</v>
      </c>
      <c r="AQ219" s="23">
        <f t="shared" si="2059"/>
        <v>20733.695999650128</v>
      </c>
      <c r="AR219" s="23">
        <f t="shared" si="2059"/>
        <v>12536.319999999996</v>
      </c>
      <c r="AS219" s="23">
        <f t="shared" si="2059"/>
        <v>17344.774734360417</v>
      </c>
      <c r="AT219" s="23">
        <f t="shared" si="2059"/>
        <v>20048.640000000014</v>
      </c>
      <c r="AU219" s="23">
        <f t="shared" si="2059"/>
        <v>24871.785274833434</v>
      </c>
      <c r="AV219" s="23">
        <f t="shared" si="2059"/>
        <v>21312.479999999996</v>
      </c>
      <c r="AW219" s="23">
        <f t="shared" si="2059"/>
        <v>27273.377098104174</v>
      </c>
      <c r="AX219" s="23">
        <f t="shared" si="2059"/>
        <v>29267</v>
      </c>
      <c r="AY219" s="23">
        <f t="shared" si="2059"/>
        <v>34965.97335582973</v>
      </c>
      <c r="AZ219" s="23">
        <f t="shared" si="2059"/>
        <v>32387</v>
      </c>
      <c r="BA219" s="23">
        <f t="shared" si="2059"/>
        <v>38804.480296407601</v>
      </c>
      <c r="BB219" s="23">
        <f t="shared" si="2059"/>
        <v>45785</v>
      </c>
      <c r="BC219" s="23">
        <f t="shared" si="2059"/>
        <v>51774.888266648675</v>
      </c>
      <c r="BD219" s="23">
        <f t="shared" si="2059"/>
        <v>33622</v>
      </c>
      <c r="BE219" s="23">
        <f t="shared" si="2059"/>
        <v>39841.429259028853</v>
      </c>
      <c r="BF219" s="23">
        <f t="shared" si="2059"/>
        <v>42868</v>
      </c>
      <c r="BG219" s="23">
        <f t="shared" si="2059"/>
        <v>48397.794356975835</v>
      </c>
      <c r="BH219" s="23">
        <f t="shared" si="2059"/>
        <v>34125</v>
      </c>
      <c r="BI219" s="23">
        <f t="shared" si="2059"/>
        <v>41864.879036196886</v>
      </c>
      <c r="BJ219" s="23">
        <f t="shared" si="2059"/>
        <v>41939</v>
      </c>
      <c r="BK219" s="23">
        <f t="shared" si="2059"/>
        <v>49958.245146014211</v>
      </c>
      <c r="BL219" s="23">
        <f t="shared" si="2059"/>
        <v>46648</v>
      </c>
      <c r="BM219" s="23">
        <f t="shared" si="2059"/>
        <v>54150.387715832418</v>
      </c>
      <c r="BN219" s="23">
        <f t="shared" si="2059"/>
        <v>35806</v>
      </c>
      <c r="BO219" s="23">
        <f t="shared" si="2059"/>
        <v>44014.498072397735</v>
      </c>
      <c r="BP219" s="23">
        <f t="shared" si="2059"/>
        <v>46980</v>
      </c>
      <c r="BQ219" s="23">
        <f t="shared" si="2059"/>
        <v>54361.744487355179</v>
      </c>
      <c r="BR219" s="23">
        <f t="shared" si="2059"/>
        <v>38489</v>
      </c>
      <c r="BS219" s="23">
        <f t="shared" si="2059"/>
        <v>46372.417915570317</v>
      </c>
      <c r="BT219" s="23">
        <f t="shared" si="2059"/>
        <v>49046</v>
      </c>
      <c r="BU219" s="23">
        <f t="shared" si="2059"/>
        <v>57465.217338425762</v>
      </c>
      <c r="BV219" s="23">
        <f t="shared" si="2059"/>
        <v>48483</v>
      </c>
      <c r="BW219" s="23">
        <f t="shared" si="2059"/>
        <v>56513.863256310411</v>
      </c>
      <c r="BX219" s="23">
        <f t="shared" si="2059"/>
        <v>50211</v>
      </c>
      <c r="BY219" s="23">
        <f t="shared" si="2059"/>
        <v>59196.845594749495</v>
      </c>
      <c r="BZ219" s="23">
        <f t="shared" si="2059"/>
        <v>47929</v>
      </c>
      <c r="CA219" s="23">
        <f t="shared" si="2059"/>
        <v>58856.904989689341</v>
      </c>
      <c r="CB219" s="23">
        <f t="shared" si="2059"/>
        <v>57168</v>
      </c>
      <c r="CC219" s="23">
        <f t="shared" si="2059"/>
        <v>67619.217834885756</v>
      </c>
      <c r="CD219" s="23">
        <f t="shared" si="2059"/>
        <v>44767.000000000007</v>
      </c>
      <c r="CE219" s="23">
        <f t="shared" ref="CE219:CF219" si="2060">CE218+CE214+CE210+CE208</f>
        <v>55826.765435929265</v>
      </c>
      <c r="CF219" s="23">
        <f t="shared" si="2060"/>
        <v>52525</v>
      </c>
      <c r="CG219" s="23">
        <f t="shared" ref="CG219:CH219" si="2061">CG218+CG214+CG210+CG208</f>
        <v>65104.446489985843</v>
      </c>
      <c r="CH219" s="23">
        <f t="shared" si="2061"/>
        <v>46152</v>
      </c>
      <c r="CI219" s="23">
        <f t="shared" ref="CI219:CJ219" si="2062">CI218+CI214+CI210+CI208</f>
        <v>60630.902169698675</v>
      </c>
      <c r="CJ219" s="23">
        <f t="shared" si="2062"/>
        <v>53282</v>
      </c>
      <c r="CK219" s="23">
        <f t="shared" ref="CK219:DB219" si="2063">CK218+CK214+CK210+CK208</f>
        <v>64623.469429626595</v>
      </c>
      <c r="CL219" s="23">
        <f t="shared" si="2063"/>
        <v>46678</v>
      </c>
      <c r="CM219" s="24">
        <f t="shared" si="2063"/>
        <v>61172.770586849176</v>
      </c>
      <c r="CN219" s="24">
        <f t="shared" si="2063"/>
        <v>75389.010442173749</v>
      </c>
      <c r="CO219" s="24">
        <f t="shared" si="2063"/>
        <v>89868.665495465233</v>
      </c>
      <c r="CP219" s="24">
        <f t="shared" si="2063"/>
        <v>104457.05225455794</v>
      </c>
      <c r="CQ219" s="24">
        <f t="shared" si="2063"/>
        <v>119388.0222468987</v>
      </c>
      <c r="CR219" s="24">
        <f t="shared" si="2063"/>
        <v>134611.56787184963</v>
      </c>
      <c r="CS219" s="24">
        <f t="shared" si="2063"/>
        <v>150099.81415114345</v>
      </c>
      <c r="CT219" s="24">
        <f t="shared" si="2063"/>
        <v>165852.01584905566</v>
      </c>
      <c r="CU219" s="24">
        <f t="shared" si="2063"/>
        <v>181910.31626795762</v>
      </c>
      <c r="CV219" s="24">
        <f t="shared" si="2063"/>
        <v>198263.62329256529</v>
      </c>
      <c r="CW219" s="24">
        <f t="shared" si="2063"/>
        <v>214911.95102733982</v>
      </c>
      <c r="CX219" s="24">
        <f t="shared" si="2063"/>
        <v>231862.95485164126</v>
      </c>
      <c r="CY219" s="24">
        <f t="shared" si="2063"/>
        <v>249126.66042213576</v>
      </c>
      <c r="CZ219" s="24">
        <f t="shared" si="2063"/>
        <v>266704.28838923405</v>
      </c>
      <c r="DA219" s="24">
        <f t="shared" si="2063"/>
        <v>284600.51109682157</v>
      </c>
      <c r="DB219" s="24">
        <f t="shared" si="2063"/>
        <v>302821.29159164039</v>
      </c>
      <c r="DE219" s="123"/>
      <c r="DF219" s="23">
        <v>75616.443666648673</v>
      </c>
    </row>
    <row r="220" spans="1:110" s="28" customFormat="1" x14ac:dyDescent="0.2">
      <c r="A220" s="28" t="s">
        <v>444</v>
      </c>
      <c r="C220" s="28">
        <f t="shared" ref="C220:W220" si="2064">C219-C170</f>
        <v>0</v>
      </c>
      <c r="D220" s="28">
        <f t="shared" si="2064"/>
        <v>0</v>
      </c>
      <c r="E220" s="28">
        <f t="shared" si="2064"/>
        <v>-1.1368683772161603E-13</v>
      </c>
      <c r="F220" s="28">
        <f t="shared" si="2064"/>
        <v>0</v>
      </c>
      <c r="G220" s="28">
        <f t="shared" si="2064"/>
        <v>0</v>
      </c>
      <c r="H220" s="28">
        <f t="shared" si="2064"/>
        <v>0</v>
      </c>
      <c r="I220" s="28">
        <f t="shared" si="2064"/>
        <v>0</v>
      </c>
      <c r="J220" s="28">
        <f>J219-J170</f>
        <v>0</v>
      </c>
      <c r="K220" s="28">
        <f t="shared" si="2064"/>
        <v>0</v>
      </c>
      <c r="L220" s="28">
        <f t="shared" si="2064"/>
        <v>0</v>
      </c>
      <c r="M220" s="28">
        <f t="shared" si="2064"/>
        <v>0</v>
      </c>
      <c r="N220" s="28">
        <f t="shared" si="2064"/>
        <v>0</v>
      </c>
      <c r="O220" s="28">
        <f t="shared" si="2064"/>
        <v>0</v>
      </c>
      <c r="P220" s="28">
        <f t="shared" si="2064"/>
        <v>0</v>
      </c>
      <c r="Q220" s="28">
        <f t="shared" si="2064"/>
        <v>0</v>
      </c>
      <c r="R220" s="28">
        <f t="shared" si="2064"/>
        <v>0</v>
      </c>
      <c r="S220" s="28">
        <f t="shared" si="2064"/>
        <v>0</v>
      </c>
      <c r="T220" s="28">
        <f t="shared" si="2064"/>
        <v>0</v>
      </c>
      <c r="U220" s="28">
        <f t="shared" si="2064"/>
        <v>0</v>
      </c>
      <c r="V220" s="28">
        <f t="shared" si="2064"/>
        <v>0</v>
      </c>
      <c r="W220" s="28">
        <f t="shared" si="2064"/>
        <v>0</v>
      </c>
      <c r="X220" s="28">
        <f t="shared" ref="X220:Y220" si="2065">X219-X170</f>
        <v>0</v>
      </c>
      <c r="Y220" s="28">
        <f t="shared" si="2065"/>
        <v>0</v>
      </c>
      <c r="Z220" s="28">
        <f t="shared" ref="Z220:AA220" si="2066">Z219-Z170</f>
        <v>0</v>
      </c>
      <c r="AA220" s="28">
        <f t="shared" si="2066"/>
        <v>0</v>
      </c>
      <c r="AB220" s="30">
        <f t="shared" ref="AA220:AD220" si="2067">AB219-AB170</f>
        <v>0</v>
      </c>
      <c r="AC220" s="30">
        <f t="shared" si="2067"/>
        <v>0</v>
      </c>
      <c r="AD220" s="30">
        <f t="shared" si="2067"/>
        <v>0</v>
      </c>
      <c r="AE220" s="30">
        <f t="shared" ref="AE220" si="2068">AE219-AE170</f>
        <v>0</v>
      </c>
      <c r="AI220" s="28">
        <f t="shared" ref="AI220" si="2069">AI219-AI170</f>
        <v>0</v>
      </c>
      <c r="AJ220" s="28">
        <f t="shared" ref="AJ220:AL220" si="2070">AJ219-AJ170</f>
        <v>0</v>
      </c>
      <c r="AK220" s="28">
        <f t="shared" si="2070"/>
        <v>0</v>
      </c>
      <c r="AL220" s="28">
        <f t="shared" si="2070"/>
        <v>0</v>
      </c>
      <c r="AM220" s="28">
        <f t="shared" ref="AM220" si="2071">AM219-AM170</f>
        <v>0</v>
      </c>
      <c r="AN220" s="28">
        <f t="shared" ref="AN220:CD220" si="2072">AN219-AN170</f>
        <v>0</v>
      </c>
      <c r="AO220" s="28">
        <f t="shared" si="2072"/>
        <v>0</v>
      </c>
      <c r="AP220" s="28">
        <f t="shared" si="2072"/>
        <v>0</v>
      </c>
      <c r="AQ220" s="28">
        <f t="shared" si="2072"/>
        <v>0</v>
      </c>
      <c r="AR220" s="28">
        <f t="shared" si="2072"/>
        <v>0</v>
      </c>
      <c r="AS220" s="28">
        <f t="shared" si="2072"/>
        <v>0</v>
      </c>
      <c r="AT220" s="28">
        <f t="shared" si="2072"/>
        <v>0</v>
      </c>
      <c r="AU220" s="28">
        <f t="shared" si="2072"/>
        <v>0</v>
      </c>
      <c r="AV220" s="28">
        <f t="shared" si="2072"/>
        <v>0</v>
      </c>
      <c r="AW220" s="28">
        <f t="shared" si="2072"/>
        <v>0</v>
      </c>
      <c r="AX220" s="28">
        <f t="shared" si="2072"/>
        <v>0</v>
      </c>
      <c r="AY220" s="28">
        <f t="shared" si="2072"/>
        <v>0</v>
      </c>
      <c r="AZ220" s="28">
        <f t="shared" si="2072"/>
        <v>0</v>
      </c>
      <c r="BA220" s="28">
        <f t="shared" si="2072"/>
        <v>0</v>
      </c>
      <c r="BB220" s="28">
        <f t="shared" si="2072"/>
        <v>0</v>
      </c>
      <c r="BC220" s="28">
        <f t="shared" si="2072"/>
        <v>0</v>
      </c>
      <c r="BD220" s="28">
        <f t="shared" si="2072"/>
        <v>0</v>
      </c>
      <c r="BE220" s="28">
        <f t="shared" si="2072"/>
        <v>0</v>
      </c>
      <c r="BF220" s="28">
        <f t="shared" si="2072"/>
        <v>0</v>
      </c>
      <c r="BG220" s="28">
        <f t="shared" si="2072"/>
        <v>0</v>
      </c>
      <c r="BH220" s="28">
        <f t="shared" si="2072"/>
        <v>0</v>
      </c>
      <c r="BI220" s="28">
        <f t="shared" si="2072"/>
        <v>0</v>
      </c>
      <c r="BJ220" s="28">
        <f t="shared" si="2072"/>
        <v>0</v>
      </c>
      <c r="BK220" s="28">
        <f t="shared" si="2072"/>
        <v>0</v>
      </c>
      <c r="BL220" s="28">
        <f t="shared" si="2072"/>
        <v>0</v>
      </c>
      <c r="BM220" s="28">
        <f t="shared" si="2072"/>
        <v>0</v>
      </c>
      <c r="BN220" s="28">
        <f t="shared" si="2072"/>
        <v>0</v>
      </c>
      <c r="BO220" s="28">
        <f t="shared" si="2072"/>
        <v>0</v>
      </c>
      <c r="BP220" s="28">
        <f t="shared" si="2072"/>
        <v>0</v>
      </c>
      <c r="BQ220" s="28">
        <f t="shared" si="2072"/>
        <v>0</v>
      </c>
      <c r="BR220" s="28">
        <f t="shared" si="2072"/>
        <v>0</v>
      </c>
      <c r="BS220" s="28">
        <f t="shared" si="2072"/>
        <v>0</v>
      </c>
      <c r="BT220" s="28">
        <f t="shared" si="2072"/>
        <v>0</v>
      </c>
      <c r="BU220" s="28">
        <f t="shared" si="2072"/>
        <v>0</v>
      </c>
      <c r="BV220" s="28">
        <f t="shared" si="2072"/>
        <v>0</v>
      </c>
      <c r="BW220" s="28">
        <f t="shared" si="2072"/>
        <v>0</v>
      </c>
      <c r="BX220" s="28">
        <f t="shared" si="2072"/>
        <v>0</v>
      </c>
      <c r="BY220" s="28">
        <f t="shared" si="2072"/>
        <v>0</v>
      </c>
      <c r="BZ220" s="28">
        <f t="shared" si="2072"/>
        <v>0</v>
      </c>
      <c r="CA220" s="28">
        <f t="shared" si="2072"/>
        <v>0</v>
      </c>
      <c r="CB220" s="28">
        <f t="shared" si="2072"/>
        <v>0</v>
      </c>
      <c r="CC220" s="28">
        <f t="shared" si="2072"/>
        <v>0</v>
      </c>
      <c r="CD220" s="28">
        <f t="shared" si="2072"/>
        <v>0</v>
      </c>
      <c r="CE220" s="28">
        <f t="shared" ref="CE220:CF220" si="2073">CE219-CE170</f>
        <v>0</v>
      </c>
      <c r="CF220" s="28">
        <f t="shared" si="2073"/>
        <v>0</v>
      </c>
      <c r="CG220" s="28">
        <f t="shared" ref="CG220:CH220" si="2074">CG219-CG170</f>
        <v>0</v>
      </c>
      <c r="CH220" s="28">
        <f t="shared" si="2074"/>
        <v>0</v>
      </c>
      <c r="CI220" s="28">
        <f t="shared" ref="CI220:CJ220" si="2075">CI219-CI170</f>
        <v>0</v>
      </c>
      <c r="CJ220" s="28">
        <f t="shared" si="2075"/>
        <v>0</v>
      </c>
      <c r="CK220" s="28">
        <f t="shared" ref="CK220:DB220" si="2076">CK219-CK170</f>
        <v>0</v>
      </c>
      <c r="CL220" s="28">
        <f t="shared" si="2076"/>
        <v>0</v>
      </c>
      <c r="CM220" s="30">
        <f t="shared" si="2076"/>
        <v>0</v>
      </c>
      <c r="CN220" s="30">
        <f t="shared" si="2076"/>
        <v>0</v>
      </c>
      <c r="CO220" s="30">
        <f t="shared" si="2076"/>
        <v>0</v>
      </c>
      <c r="CP220" s="30">
        <f t="shared" si="2076"/>
        <v>0</v>
      </c>
      <c r="CQ220" s="30">
        <f t="shared" si="2076"/>
        <v>0</v>
      </c>
      <c r="CR220" s="30">
        <f t="shared" si="2076"/>
        <v>0</v>
      </c>
      <c r="CS220" s="30">
        <f t="shared" si="2076"/>
        <v>0</v>
      </c>
      <c r="CT220" s="30">
        <f t="shared" si="2076"/>
        <v>0</v>
      </c>
      <c r="CU220" s="30">
        <f t="shared" si="2076"/>
        <v>0</v>
      </c>
      <c r="CV220" s="30">
        <f t="shared" si="2076"/>
        <v>0</v>
      </c>
      <c r="CW220" s="30">
        <f t="shared" si="2076"/>
        <v>0</v>
      </c>
      <c r="CX220" s="30">
        <f t="shared" si="2076"/>
        <v>0</v>
      </c>
      <c r="CY220" s="30">
        <f t="shared" si="2076"/>
        <v>0</v>
      </c>
      <c r="CZ220" s="30">
        <f t="shared" si="2076"/>
        <v>0</v>
      </c>
      <c r="DA220" s="30">
        <f t="shared" si="2076"/>
        <v>0</v>
      </c>
      <c r="DB220" s="30">
        <f t="shared" si="2076"/>
        <v>0</v>
      </c>
      <c r="DE220" s="139"/>
      <c r="DF220" s="28">
        <v>0</v>
      </c>
    </row>
    <row r="221" spans="1:110" s="23" customFormat="1" x14ac:dyDescent="0.2">
      <c r="AB221" s="24"/>
      <c r="AC221" s="24"/>
      <c r="AD221" s="24"/>
      <c r="AE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E221" s="123"/>
    </row>
    <row r="222" spans="1:110" s="22" customFormat="1" x14ac:dyDescent="0.2">
      <c r="A222" s="22" t="s">
        <v>96</v>
      </c>
      <c r="C222" s="22">
        <f t="shared" ref="C222:W222" si="2077">C208+C210</f>
        <v>0</v>
      </c>
      <c r="D222" s="22">
        <f t="shared" si="2077"/>
        <v>0</v>
      </c>
      <c r="E222" s="22">
        <f t="shared" si="2077"/>
        <v>-509.63000000000011</v>
      </c>
      <c r="F222" s="22">
        <f t="shared" si="2077"/>
        <v>-589.47000000000116</v>
      </c>
      <c r="G222" s="22">
        <f t="shared" si="2077"/>
        <v>878.03999999999883</v>
      </c>
      <c r="H222" s="22">
        <f t="shared" si="2077"/>
        <v>2450.1200000000026</v>
      </c>
      <c r="I222" s="22">
        <f t="shared" si="2077"/>
        <v>2806.7099999999964</v>
      </c>
      <c r="J222" s="22">
        <f>J208+J210</f>
        <v>2151.1399999999994</v>
      </c>
      <c r="K222" s="22">
        <f t="shared" si="2077"/>
        <v>7505.47</v>
      </c>
      <c r="L222" s="22">
        <f t="shared" si="2077"/>
        <v>1168.7500000000018</v>
      </c>
      <c r="M222" s="22">
        <f t="shared" si="2077"/>
        <v>6390.7300000000077</v>
      </c>
      <c r="N222" s="22">
        <f t="shared" si="2077"/>
        <v>5717.9000000000033</v>
      </c>
      <c r="O222" s="22">
        <f t="shared" si="2077"/>
        <v>16439.669999999995</v>
      </c>
      <c r="P222" s="22">
        <f t="shared" si="2077"/>
        <v>22379.910000000003</v>
      </c>
      <c r="Q222" s="22">
        <f t="shared" si="2077"/>
        <v>13936.580000000002</v>
      </c>
      <c r="R222" s="22">
        <f t="shared" si="2077"/>
        <v>27610</v>
      </c>
      <c r="S222" s="22">
        <f t="shared" si="2077"/>
        <v>24001</v>
      </c>
      <c r="T222" s="22">
        <f t="shared" si="2077"/>
        <v>26403</v>
      </c>
      <c r="U222" s="22">
        <f t="shared" si="2077"/>
        <v>31375</v>
      </c>
      <c r="V222" s="22">
        <f t="shared" si="2077"/>
        <v>32754</v>
      </c>
      <c r="W222" s="22">
        <f t="shared" si="2077"/>
        <v>45583</v>
      </c>
      <c r="X222" s="22">
        <f t="shared" ref="X222:Y222" si="2078">X208+X210</f>
        <v>40233</v>
      </c>
      <c r="Y222" s="22">
        <f t="shared" si="2078"/>
        <v>42633</v>
      </c>
      <c r="Z222" s="22">
        <f t="shared" ref="Z222:AA222" si="2079">Z208+Z210</f>
        <v>45486</v>
      </c>
      <c r="AA222" s="22">
        <f t="shared" si="2079"/>
        <v>37029</v>
      </c>
      <c r="AB222" s="21">
        <f t="shared" ref="AA222:AD222" si="2080">AB208+AB210</f>
        <v>57779.052254557973</v>
      </c>
      <c r="AC222" s="21">
        <f t="shared" si="2080"/>
        <v>61394.963594497764</v>
      </c>
      <c r="AD222" s="21">
        <f t="shared" si="2080"/>
        <v>66010.939002585597</v>
      </c>
      <c r="AE222" s="21">
        <f t="shared" ref="AE222" si="2081">AE208+AE210</f>
        <v>70958.336739999126</v>
      </c>
      <c r="AI222" s="22">
        <f t="shared" ref="AI222" si="2082">AI208+AI210</f>
        <v>3317.68</v>
      </c>
      <c r="AJ222" s="22">
        <f t="shared" ref="AJ222:AL222" si="2083">AJ208+AJ210</f>
        <v>-24722.97</v>
      </c>
      <c r="AK222" s="22">
        <f t="shared" si="2083"/>
        <v>3245.8002994414483</v>
      </c>
      <c r="AL222" s="22">
        <f t="shared" si="2083"/>
        <v>222.95970055855378</v>
      </c>
      <c r="AM222" s="22">
        <f t="shared" ref="AM222" si="2084">AM208+AM210</f>
        <v>2691.2377696348603</v>
      </c>
      <c r="AN222" s="22">
        <f t="shared" ref="AN222:CD222" si="2085">AN208+AN210</f>
        <v>-939.1477696348561</v>
      </c>
      <c r="AO222" s="22">
        <f t="shared" si="2085"/>
        <v>5147.982649595464</v>
      </c>
      <c r="AP222" s="22">
        <f t="shared" si="2085"/>
        <v>9560.8473504045323</v>
      </c>
      <c r="AQ222" s="22">
        <f t="shared" si="2085"/>
        <v>5133.3859996501296</v>
      </c>
      <c r="AR222" s="22">
        <f t="shared" si="2085"/>
        <v>3031.99400034987</v>
      </c>
      <c r="AS222" s="22">
        <f t="shared" si="2085"/>
        <v>4808.4547343604108</v>
      </c>
      <c r="AT222" s="22">
        <f t="shared" si="2085"/>
        <v>9421.4252656395947</v>
      </c>
      <c r="AU222" s="22">
        <f t="shared" si="2085"/>
        <v>4823.1452748334341</v>
      </c>
      <c r="AV222" s="22">
        <f t="shared" si="2085"/>
        <v>-532.23527483343992</v>
      </c>
      <c r="AW222" s="22">
        <f t="shared" si="2085"/>
        <v>5960.8970981041784</v>
      </c>
      <c r="AX222" s="22">
        <f t="shared" si="2085"/>
        <v>3675.9029018958217</v>
      </c>
      <c r="AY222" s="22">
        <f t="shared" si="2085"/>
        <v>5698.9733558297303</v>
      </c>
      <c r="AZ222" s="22">
        <f t="shared" si="2085"/>
        <v>5143.0266441702697</v>
      </c>
      <c r="BA222" s="22">
        <f t="shared" si="2085"/>
        <v>6417.4802964075989</v>
      </c>
      <c r="BB222" s="22">
        <f t="shared" si="2085"/>
        <v>10319.519703592401</v>
      </c>
      <c r="BC222" s="22">
        <f t="shared" si="2085"/>
        <v>5989.8882666486716</v>
      </c>
      <c r="BD222" s="22">
        <f t="shared" si="2085"/>
        <v>5618.1117333513284</v>
      </c>
      <c r="BE222" s="22">
        <f t="shared" si="2085"/>
        <v>6219.4292590288533</v>
      </c>
      <c r="BF222" s="22">
        <f t="shared" si="2085"/>
        <v>6167.5707409711467</v>
      </c>
      <c r="BG222" s="22">
        <f t="shared" si="2085"/>
        <v>5529.794356975839</v>
      </c>
      <c r="BH222" s="22">
        <f t="shared" si="2085"/>
        <v>10118.205643024161</v>
      </c>
      <c r="BI222" s="22">
        <f t="shared" si="2085"/>
        <v>7739.8790361968895</v>
      </c>
      <c r="BJ222" s="22">
        <f t="shared" si="2085"/>
        <v>3021.1209638031105</v>
      </c>
      <c r="BK222" s="22">
        <f t="shared" si="2085"/>
        <v>8019.2451460142111</v>
      </c>
      <c r="BL222" s="22">
        <f t="shared" si="2085"/>
        <v>7202.7548539857889</v>
      </c>
      <c r="BM222" s="22">
        <f t="shared" si="2085"/>
        <v>7502.3877158324212</v>
      </c>
      <c r="BN222" s="22">
        <f t="shared" si="2085"/>
        <v>8632.6122841675788</v>
      </c>
      <c r="BO222" s="22">
        <f t="shared" si="2085"/>
        <v>8208.4980723977351</v>
      </c>
      <c r="BP222" s="22">
        <f t="shared" si="2085"/>
        <v>6422.5019276022649</v>
      </c>
      <c r="BQ222" s="22">
        <f t="shared" si="2085"/>
        <v>7381.7444873551794</v>
      </c>
      <c r="BR222" s="22">
        <f t="shared" si="2085"/>
        <v>10741.255512644821</v>
      </c>
      <c r="BS222" s="22">
        <f t="shared" si="2085"/>
        <v>7883.4179155703168</v>
      </c>
      <c r="BT222" s="22">
        <f t="shared" si="2085"/>
        <v>10787.582084429683</v>
      </c>
      <c r="BU222" s="22">
        <f t="shared" si="2085"/>
        <v>8419.2173384257621</v>
      </c>
      <c r="BV222" s="22">
        <f t="shared" si="2085"/>
        <v>18492.782661574238</v>
      </c>
      <c r="BW222" s="22">
        <f t="shared" si="2085"/>
        <v>8030.8632563104111</v>
      </c>
      <c r="BX222" s="22">
        <f t="shared" si="2085"/>
        <v>5340.1367436895889</v>
      </c>
      <c r="BY222" s="22">
        <f t="shared" si="2085"/>
        <v>8985.8455947494949</v>
      </c>
      <c r="BZ222" s="22">
        <f t="shared" si="2085"/>
        <v>17876.154405250505</v>
      </c>
      <c r="CA222" s="22">
        <f t="shared" si="2085"/>
        <v>10927.904989689341</v>
      </c>
      <c r="CB222" s="22">
        <f t="shared" si="2085"/>
        <v>10521.095010310659</v>
      </c>
      <c r="CC222" s="22">
        <f t="shared" si="2085"/>
        <v>10451.217834885749</v>
      </c>
      <c r="CD222" s="22">
        <f t="shared" si="2085"/>
        <v>10732.782165114251</v>
      </c>
      <c r="CE222" s="22">
        <f t="shared" ref="CE222:CF222" si="2086">CE208+CE210</f>
        <v>11059.765435929265</v>
      </c>
      <c r="CF222" s="22">
        <f t="shared" si="2086"/>
        <v>9583.2345640707354</v>
      </c>
      <c r="CG222" s="22">
        <f t="shared" ref="CG222:CH222" si="2087">CG208+CG210</f>
        <v>12579.446489985843</v>
      </c>
      <c r="CH222" s="22">
        <f t="shared" si="2087"/>
        <v>12263.553510014157</v>
      </c>
      <c r="CI222" s="22">
        <f t="shared" ref="CI222:CJ222" si="2088">CI208+CI210</f>
        <v>14478.902169698675</v>
      </c>
      <c r="CJ222" s="22">
        <f t="shared" si="2088"/>
        <v>5796.0978303013253</v>
      </c>
      <c r="CK222" s="22">
        <f t="shared" ref="CK222:DB222" si="2089">CK208+CK210</f>
        <v>11341.469429626595</v>
      </c>
      <c r="CL222" s="22">
        <f t="shared" si="2089"/>
        <v>5412.5305703734048</v>
      </c>
      <c r="CM222" s="21">
        <f t="shared" si="2089"/>
        <v>14494.770586849176</v>
      </c>
      <c r="CN222" s="21">
        <f t="shared" si="2089"/>
        <v>14216.239855324577</v>
      </c>
      <c r="CO222" s="21">
        <f t="shared" si="2089"/>
        <v>14479.655053291483</v>
      </c>
      <c r="CP222" s="21">
        <f t="shared" si="2089"/>
        <v>14588.386759092715</v>
      </c>
      <c r="CQ222" s="21">
        <f t="shared" si="2089"/>
        <v>14930.969992340757</v>
      </c>
      <c r="CR222" s="21">
        <f t="shared" si="2089"/>
        <v>15223.545624950944</v>
      </c>
      <c r="CS222" s="21">
        <f t="shared" si="2089"/>
        <v>15488.246279293802</v>
      </c>
      <c r="CT222" s="21">
        <f t="shared" si="2089"/>
        <v>15752.201697912213</v>
      </c>
      <c r="CU222" s="21">
        <f t="shared" si="2089"/>
        <v>16058.300418901952</v>
      </c>
      <c r="CV222" s="21">
        <f t="shared" si="2089"/>
        <v>16353.307024607657</v>
      </c>
      <c r="CW222" s="21">
        <f t="shared" si="2089"/>
        <v>16648.327734774528</v>
      </c>
      <c r="CX222" s="21">
        <f t="shared" si="2089"/>
        <v>16951.003824301435</v>
      </c>
      <c r="CY222" s="21">
        <f t="shared" si="2089"/>
        <v>17263.705570494483</v>
      </c>
      <c r="CZ222" s="21">
        <f t="shared" si="2089"/>
        <v>17577.627967098306</v>
      </c>
      <c r="DA222" s="21">
        <f t="shared" si="2089"/>
        <v>17896.222707587505</v>
      </c>
      <c r="DB222" s="21">
        <f t="shared" si="2089"/>
        <v>18220.780494818813</v>
      </c>
      <c r="DE222" s="126"/>
      <c r="DF222" s="22">
        <v>11630.974237022076</v>
      </c>
    </row>
    <row r="223" spans="1:110" x14ac:dyDescent="0.2">
      <c r="A223" s="152" t="s">
        <v>496</v>
      </c>
      <c r="AA223" s="2"/>
      <c r="DF223" s="111"/>
    </row>
    <row r="224" spans="1:110" x14ac:dyDescent="0.2">
      <c r="AA224" s="2"/>
      <c r="DF224" s="111"/>
    </row>
    <row r="225" spans="1:110" s="7" customFormat="1" hidden="1" outlineLevel="1" x14ac:dyDescent="0.2">
      <c r="A225" s="61" t="s">
        <v>97</v>
      </c>
      <c r="AB225" s="77"/>
      <c r="AC225" s="77"/>
      <c r="AD225" s="77"/>
      <c r="AE225" s="77"/>
      <c r="CM225" s="50"/>
      <c r="CN225" s="50"/>
      <c r="CO225" s="50"/>
      <c r="CP225" s="50"/>
      <c r="CQ225" s="50"/>
      <c r="CR225" s="50"/>
      <c r="CS225" s="50"/>
      <c r="CT225" s="50"/>
      <c r="CU225" s="50"/>
      <c r="CV225" s="50"/>
      <c r="CW225" s="50"/>
      <c r="CX225" s="50"/>
      <c r="CY225" s="50"/>
      <c r="CZ225" s="50"/>
      <c r="DA225" s="50"/>
      <c r="DB225" s="50"/>
      <c r="DE225" s="138"/>
      <c r="DF225" s="115"/>
    </row>
    <row r="226" spans="1:110" s="62" customFormat="1" hidden="1" outlineLevel="1" x14ac:dyDescent="0.2">
      <c r="A226" s="62" t="s">
        <v>98</v>
      </c>
      <c r="AB226" s="63"/>
      <c r="AC226" s="63"/>
      <c r="AD226" s="63"/>
      <c r="AE226" s="63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E226" s="139"/>
      <c r="DF226" s="114"/>
    </row>
    <row r="227" spans="1:110" s="62" customFormat="1" hidden="1" outlineLevel="1" x14ac:dyDescent="0.2">
      <c r="A227" s="62" t="s">
        <v>99</v>
      </c>
      <c r="AB227" s="63"/>
      <c r="AC227" s="63"/>
      <c r="AD227" s="63"/>
      <c r="AE227" s="63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E227" s="139"/>
      <c r="DF227" s="114"/>
    </row>
    <row r="228" spans="1:110" s="62" customFormat="1" hidden="1" outlineLevel="1" x14ac:dyDescent="0.2">
      <c r="A228" s="62" t="s">
        <v>100</v>
      </c>
      <c r="AB228" s="63"/>
      <c r="AC228" s="63"/>
      <c r="AD228" s="63"/>
      <c r="AE228" s="63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  <c r="DF228" s="114"/>
    </row>
    <row r="229" spans="1:110" s="62" customFormat="1" hidden="1" outlineLevel="1" x14ac:dyDescent="0.2">
      <c r="AB229" s="63"/>
      <c r="AC229" s="63"/>
      <c r="AD229" s="63"/>
      <c r="AE229" s="63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  <c r="DF229" s="114"/>
    </row>
    <row r="230" spans="1:110" s="62" customFormat="1" hidden="1" outlineLevel="1" x14ac:dyDescent="0.2"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  <c r="DF230" s="114"/>
    </row>
    <row r="231" spans="1:110" s="62" customFormat="1" hidden="1" outlineLevel="1" x14ac:dyDescent="0.2">
      <c r="AB231" s="63"/>
      <c r="AC231" s="63"/>
      <c r="AD231" s="63"/>
      <c r="AE231" s="63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  <c r="DF231" s="114"/>
    </row>
    <row r="232" spans="1:110" s="11" customFormat="1" collapsed="1" x14ac:dyDescent="0.2">
      <c r="AB232" s="63"/>
      <c r="AC232" s="63"/>
      <c r="AD232" s="63"/>
      <c r="AE232" s="63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  <c r="DF232" s="216"/>
    </row>
    <row r="233" spans="1:110" s="83" customFormat="1" x14ac:dyDescent="0.2">
      <c r="A233" s="82" t="s">
        <v>101</v>
      </c>
      <c r="AB233" s="72"/>
      <c r="AC233" s="72"/>
      <c r="AD233" s="72"/>
      <c r="AE233" s="72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66" customFormat="1" x14ac:dyDescent="0.2">
      <c r="A234" s="66" t="s">
        <v>471</v>
      </c>
      <c r="AB234" s="50"/>
      <c r="AC234" s="50"/>
      <c r="AD234" s="50"/>
      <c r="AE234" s="50"/>
      <c r="AL234" s="66">
        <f t="shared" ref="AL234:BQ234" si="2090">SUM(AI19:AL19)</f>
        <v>62822.3</v>
      </c>
      <c r="AM234" s="66">
        <f t="shared" si="2090"/>
        <v>65930</v>
      </c>
      <c r="AN234" s="66">
        <f t="shared" si="2090"/>
        <v>70909.149999999994</v>
      </c>
      <c r="AO234" s="66">
        <f t="shared" si="2090"/>
        <v>76206.61</v>
      </c>
      <c r="AP234" s="66">
        <f t="shared" si="2090"/>
        <v>81327.61</v>
      </c>
      <c r="AQ234" s="66">
        <f t="shared" si="2090"/>
        <v>85555.98</v>
      </c>
      <c r="AR234" s="66">
        <f t="shared" si="2090"/>
        <v>88772.56</v>
      </c>
      <c r="AS234" s="66">
        <f t="shared" si="2090"/>
        <v>91979.739999999991</v>
      </c>
      <c r="AT234" s="66">
        <f t="shared" si="2090"/>
        <v>94648.409999999989</v>
      </c>
      <c r="AU234" s="66">
        <f t="shared" si="2090"/>
        <v>98205.37999999999</v>
      </c>
      <c r="AV234" s="66">
        <f t="shared" si="2090"/>
        <v>101553.9</v>
      </c>
      <c r="AW234" s="66">
        <f t="shared" si="2090"/>
        <v>104416.76</v>
      </c>
      <c r="AX234" s="66">
        <f t="shared" si="2090"/>
        <v>108646</v>
      </c>
      <c r="AY234" s="66">
        <f t="shared" si="2090"/>
        <v>112283</v>
      </c>
      <c r="AZ234" s="66">
        <f t="shared" si="2090"/>
        <v>114402</v>
      </c>
      <c r="BA234" s="66">
        <f t="shared" si="2090"/>
        <v>116773</v>
      </c>
      <c r="BB234" s="66">
        <f t="shared" si="2090"/>
        <v>117966</v>
      </c>
      <c r="BC234" s="66">
        <f t="shared" si="2090"/>
        <v>118245</v>
      </c>
      <c r="BD234" s="66">
        <f t="shared" si="2090"/>
        <v>119502</v>
      </c>
      <c r="BE234" s="66">
        <f t="shared" si="2090"/>
        <v>120671</v>
      </c>
      <c r="BF234" s="66">
        <f t="shared" si="2090"/>
        <v>123104</v>
      </c>
      <c r="BG234" s="66">
        <f t="shared" si="2090"/>
        <v>127781</v>
      </c>
      <c r="BH234" s="66">
        <f t="shared" si="2090"/>
        <v>134094</v>
      </c>
      <c r="BI234" s="66">
        <f t="shared" si="2090"/>
        <v>140528</v>
      </c>
      <c r="BJ234" s="66">
        <f t="shared" si="2090"/>
        <v>146463</v>
      </c>
      <c r="BK234" s="66">
        <f t="shared" si="2090"/>
        <v>150374</v>
      </c>
      <c r="BL234" s="66">
        <f t="shared" si="2090"/>
        <v>152497</v>
      </c>
      <c r="BM234" s="66">
        <f t="shared" si="2090"/>
        <v>155013</v>
      </c>
      <c r="BN234" s="66">
        <f t="shared" si="2090"/>
        <v>156949</v>
      </c>
      <c r="BO234" s="66">
        <f t="shared" si="2090"/>
        <v>157099</v>
      </c>
      <c r="BP234" s="66">
        <f t="shared" si="2090"/>
        <v>158257</v>
      </c>
      <c r="BQ234" s="66">
        <f t="shared" si="2090"/>
        <v>160418</v>
      </c>
      <c r="BR234" s="66">
        <f t="shared" ref="BR234:CW234" si="2091">SUM(BO19:BR19)</f>
        <v>164177</v>
      </c>
      <c r="BS234" s="66">
        <f t="shared" si="2091"/>
        <v>171266</v>
      </c>
      <c r="BT234" s="66">
        <f t="shared" si="2091"/>
        <v>177998</v>
      </c>
      <c r="BU234" s="66">
        <f t="shared" si="2091"/>
        <v>184868</v>
      </c>
      <c r="BV234" s="66">
        <f t="shared" si="2091"/>
        <v>191754</v>
      </c>
      <c r="BW234" s="66">
        <f t="shared" si="2091"/>
        <v>199101</v>
      </c>
      <c r="BX234" s="66">
        <f t="shared" si="2091"/>
        <v>207543</v>
      </c>
      <c r="BY234" s="66">
        <f t="shared" si="2091"/>
        <v>216887</v>
      </c>
      <c r="BZ234" s="66">
        <f t="shared" si="2091"/>
        <v>225458</v>
      </c>
      <c r="CA234" s="66">
        <f t="shared" si="2091"/>
        <v>232081</v>
      </c>
      <c r="CB234" s="66">
        <f t="shared" si="2091"/>
        <v>236464</v>
      </c>
      <c r="CC234" s="66">
        <f t="shared" si="2091"/>
        <v>238818</v>
      </c>
      <c r="CD234" s="66">
        <f t="shared" si="2091"/>
        <v>240893</v>
      </c>
      <c r="CE234" s="66">
        <f t="shared" si="2091"/>
        <v>244125</v>
      </c>
      <c r="CF234" s="66">
        <f t="shared" si="2091"/>
        <v>248692</v>
      </c>
      <c r="CG234" s="66">
        <f t="shared" si="2091"/>
        <v>252082</v>
      </c>
      <c r="CH234" s="66">
        <f t="shared" si="2091"/>
        <v>255324</v>
      </c>
      <c r="CI234" s="66">
        <f t="shared" si="2091"/>
        <v>256148</v>
      </c>
      <c r="CJ234" s="66">
        <f t="shared" si="2091"/>
        <v>257688</v>
      </c>
      <c r="CK234" s="66">
        <f t="shared" si="2091"/>
        <v>260802</v>
      </c>
      <c r="CL234" s="66">
        <f t="shared" si="2091"/>
        <v>267021</v>
      </c>
      <c r="CM234" s="50">
        <f t="shared" si="2091"/>
        <v>273813.05067788792</v>
      </c>
      <c r="CN234" s="50">
        <f t="shared" si="2091"/>
        <v>279132.16645568161</v>
      </c>
      <c r="CO234" s="50">
        <f t="shared" si="2091"/>
        <v>284063.60245849297</v>
      </c>
      <c r="CP234" s="50">
        <f t="shared" si="2091"/>
        <v>286295.75629575975</v>
      </c>
      <c r="CQ234" s="50">
        <f t="shared" si="2091"/>
        <v>289920.11918713845</v>
      </c>
      <c r="CR234" s="50">
        <f t="shared" si="2091"/>
        <v>293590.36472287896</v>
      </c>
      <c r="CS234" s="50">
        <f t="shared" si="2091"/>
        <v>297307.07375460031</v>
      </c>
      <c r="CT234" s="50">
        <f t="shared" si="2091"/>
        <v>301070.83448721631</v>
      </c>
      <c r="CU234" s="50">
        <f t="shared" si="2091"/>
        <v>304882.24257202435</v>
      </c>
      <c r="CV234" s="50">
        <f t="shared" si="2091"/>
        <v>308741.9012009732</v>
      </c>
      <c r="CW234" s="50">
        <f t="shared" si="2091"/>
        <v>312650.42120212381</v>
      </c>
      <c r="CX234" s="50">
        <f t="shared" ref="CX234:DB234" si="2092">SUM(CU19:CX19)</f>
        <v>316608.42113631876</v>
      </c>
      <c r="CY234" s="50">
        <f t="shared" si="2092"/>
        <v>320616.5273950753</v>
      </c>
      <c r="CZ234" s="50">
        <f t="shared" si="2092"/>
        <v>324675.37429971813</v>
      </c>
      <c r="DA234" s="50">
        <f t="shared" si="2092"/>
        <v>328785.60420176649</v>
      </c>
      <c r="DB234" s="50">
        <f t="shared" si="2092"/>
        <v>332947.8675845929</v>
      </c>
      <c r="DE234" s="138"/>
      <c r="DF234" s="66">
        <v>264460.94131200004</v>
      </c>
    </row>
    <row r="235" spans="1:110" s="66" customFormat="1" x14ac:dyDescent="0.2">
      <c r="A235" s="66" t="s">
        <v>472</v>
      </c>
      <c r="AB235" s="50"/>
      <c r="AC235" s="50"/>
      <c r="AD235" s="50"/>
      <c r="AE235" s="50"/>
      <c r="AL235" s="66">
        <f t="shared" ref="AL235:BQ235" si="2093">SUM(AI37:AL37)</f>
        <v>17872.730000000003</v>
      </c>
      <c r="AM235" s="66">
        <f t="shared" si="2093"/>
        <v>18682.300000000003</v>
      </c>
      <c r="AN235" s="66">
        <f t="shared" si="2093"/>
        <v>20499.800000000003</v>
      </c>
      <c r="AO235" s="66">
        <f t="shared" si="2093"/>
        <v>22599.5</v>
      </c>
      <c r="AP235" s="66">
        <f t="shared" si="2093"/>
        <v>24671.040000000005</v>
      </c>
      <c r="AQ235" s="66">
        <f t="shared" si="2093"/>
        <v>25983.88</v>
      </c>
      <c r="AR235" s="66">
        <f t="shared" si="2093"/>
        <v>26528.670000000002</v>
      </c>
      <c r="AS235" s="66">
        <f t="shared" si="2093"/>
        <v>26889.919999999998</v>
      </c>
      <c r="AT235" s="66">
        <f t="shared" si="2093"/>
        <v>24481.709999999995</v>
      </c>
      <c r="AU235" s="66">
        <f t="shared" si="2093"/>
        <v>25330.159999999996</v>
      </c>
      <c r="AV235" s="66">
        <f t="shared" si="2093"/>
        <v>26351.759999999998</v>
      </c>
      <c r="AW235" s="66">
        <f t="shared" si="2093"/>
        <v>27050.75</v>
      </c>
      <c r="AX235" s="66">
        <f t="shared" si="2093"/>
        <v>30677</v>
      </c>
      <c r="AY235" s="66">
        <f t="shared" si="2093"/>
        <v>31313</v>
      </c>
      <c r="AZ235" s="66">
        <f t="shared" si="2093"/>
        <v>31604</v>
      </c>
      <c r="BA235" s="66">
        <f t="shared" si="2093"/>
        <v>32086</v>
      </c>
      <c r="BB235" s="66">
        <f t="shared" si="2093"/>
        <v>32311</v>
      </c>
      <c r="BC235" s="66">
        <f t="shared" si="2093"/>
        <v>31887</v>
      </c>
      <c r="BD235" s="66">
        <f t="shared" si="2093"/>
        <v>31938</v>
      </c>
      <c r="BE235" s="66">
        <f t="shared" si="2093"/>
        <v>31996</v>
      </c>
      <c r="BF235" s="66">
        <f t="shared" si="2093"/>
        <v>32516</v>
      </c>
      <c r="BG235" s="66">
        <f t="shared" si="2093"/>
        <v>34174</v>
      </c>
      <c r="BH235" s="66">
        <f t="shared" si="2093"/>
        <v>36288</v>
      </c>
      <c r="BI235" s="66">
        <f t="shared" si="2093"/>
        <v>38084</v>
      </c>
      <c r="BJ235" s="66">
        <f t="shared" si="2093"/>
        <v>39506</v>
      </c>
      <c r="BK235" s="66">
        <f t="shared" si="2093"/>
        <v>40472</v>
      </c>
      <c r="BL235" s="66">
        <f t="shared" si="2093"/>
        <v>40419</v>
      </c>
      <c r="BM235" s="66">
        <f t="shared" si="2093"/>
        <v>41207</v>
      </c>
      <c r="BN235" s="66">
        <f t="shared" si="2093"/>
        <v>42109</v>
      </c>
      <c r="BO235" s="66">
        <f t="shared" si="2093"/>
        <v>42096</v>
      </c>
      <c r="BP235" s="66">
        <f t="shared" si="2093"/>
        <v>43384</v>
      </c>
      <c r="BQ235" s="66">
        <f t="shared" si="2093"/>
        <v>44721</v>
      </c>
      <c r="BR235" s="66">
        <f t="shared" ref="BR235:CW235" si="2094">SUM(BO37:BR37)</f>
        <v>46546</v>
      </c>
      <c r="BS235" s="66">
        <f t="shared" si="2094"/>
        <v>49185</v>
      </c>
      <c r="BT235" s="66">
        <f t="shared" si="2094"/>
        <v>50788</v>
      </c>
      <c r="BU235" s="66">
        <f t="shared" si="2094"/>
        <v>52013</v>
      </c>
      <c r="BV235" s="66">
        <f t="shared" si="2094"/>
        <v>53057</v>
      </c>
      <c r="BW235" s="66">
        <f t="shared" si="2094"/>
        <v>53810</v>
      </c>
      <c r="BX235" s="66">
        <f t="shared" si="2094"/>
        <v>55210</v>
      </c>
      <c r="BY235" s="66">
        <f t="shared" si="2094"/>
        <v>57330</v>
      </c>
      <c r="BZ235" s="66">
        <f t="shared" si="2094"/>
        <v>59259</v>
      </c>
      <c r="CA235" s="66">
        <f t="shared" si="2094"/>
        <v>60841</v>
      </c>
      <c r="CB235" s="66">
        <f t="shared" si="2094"/>
        <v>62071</v>
      </c>
      <c r="CC235" s="66">
        <f t="shared" si="2094"/>
        <v>62906</v>
      </c>
      <c r="CD235" s="66">
        <f t="shared" si="2094"/>
        <v>64296</v>
      </c>
      <c r="CE235" s="66">
        <f t="shared" si="2094"/>
        <v>65960</v>
      </c>
      <c r="CF235" s="66">
        <f t="shared" si="2094"/>
        <v>66945</v>
      </c>
      <c r="CG235" s="66">
        <f t="shared" si="2094"/>
        <v>67591</v>
      </c>
      <c r="CH235" s="66">
        <f t="shared" si="2094"/>
        <v>67407</v>
      </c>
      <c r="CI235" s="66">
        <f t="shared" si="2094"/>
        <v>67620</v>
      </c>
      <c r="CJ235" s="66">
        <f t="shared" si="2094"/>
        <v>68867</v>
      </c>
      <c r="CK235" s="66">
        <f t="shared" si="2094"/>
        <v>70102</v>
      </c>
      <c r="CL235" s="66">
        <f t="shared" si="2094"/>
        <v>72398</v>
      </c>
      <c r="CM235" s="50">
        <f t="shared" si="2094"/>
        <v>74558.737149576627</v>
      </c>
      <c r="CN235" s="50">
        <f t="shared" si="2094"/>
        <v>75947.070231886988</v>
      </c>
      <c r="CO235" s="50">
        <f t="shared" si="2094"/>
        <v>77273.11888839367</v>
      </c>
      <c r="CP235" s="50">
        <f t="shared" si="2094"/>
        <v>77835.960215589788</v>
      </c>
      <c r="CQ235" s="50">
        <f t="shared" si="2094"/>
        <v>78878.629141782207</v>
      </c>
      <c r="CR235" s="50">
        <f t="shared" si="2094"/>
        <v>79860.144979058037</v>
      </c>
      <c r="CS235" s="50">
        <f t="shared" si="2094"/>
        <v>80865.997960557404</v>
      </c>
      <c r="CT235" s="50">
        <f t="shared" si="2094"/>
        <v>81887.4875920255</v>
      </c>
      <c r="CU235" s="50">
        <f t="shared" si="2094"/>
        <v>82932.899476588849</v>
      </c>
      <c r="CV235" s="50">
        <f t="shared" si="2094"/>
        <v>83978.6174308802</v>
      </c>
      <c r="CW235" s="50">
        <f t="shared" si="2094"/>
        <v>85041.003611410881</v>
      </c>
      <c r="CX235" s="50">
        <f t="shared" ref="CX235:DB235" si="2095">SUM(CU37:CX37)</f>
        <v>86118.00955770204</v>
      </c>
      <c r="CY235" s="50">
        <f t="shared" si="2095"/>
        <v>87209.358612377473</v>
      </c>
      <c r="CZ235" s="50">
        <f t="shared" si="2095"/>
        <v>88312.494698464987</v>
      </c>
      <c r="DA235" s="50">
        <f t="shared" si="2095"/>
        <v>89430.469611325563</v>
      </c>
      <c r="DB235" s="50">
        <f t="shared" si="2095"/>
        <v>90562.790288641656</v>
      </c>
      <c r="DE235" s="138"/>
      <c r="DF235" s="66">
        <v>69015.532248700532</v>
      </c>
    </row>
    <row r="236" spans="1:110" s="66" customFormat="1" x14ac:dyDescent="0.2">
      <c r="A236" s="66" t="s">
        <v>473</v>
      </c>
      <c r="AB236" s="50"/>
      <c r="AC236" s="50"/>
      <c r="AD236" s="50"/>
      <c r="AE236" s="50"/>
      <c r="AL236" s="66">
        <f t="shared" ref="AL236:BQ236" si="2096">SUM(AI50:AL50)</f>
        <v>14075.69</v>
      </c>
      <c r="AM236" s="66">
        <f t="shared" si="2096"/>
        <v>14590.880000000001</v>
      </c>
      <c r="AN236" s="66">
        <f t="shared" si="2096"/>
        <v>15793.250000000004</v>
      </c>
      <c r="AO236" s="66">
        <f t="shared" si="2096"/>
        <v>17579.940000000002</v>
      </c>
      <c r="AP236" s="66">
        <f t="shared" si="2096"/>
        <v>19331.870000000003</v>
      </c>
      <c r="AQ236" s="66">
        <f t="shared" si="2096"/>
        <v>20573.900000000001</v>
      </c>
      <c r="AR236" s="66">
        <f t="shared" si="2096"/>
        <v>21214.120000000003</v>
      </c>
      <c r="AS236" s="66">
        <f t="shared" si="2096"/>
        <v>21225.15</v>
      </c>
      <c r="AT236" s="66">
        <f t="shared" si="2096"/>
        <v>19569.949999999997</v>
      </c>
      <c r="AU236" s="66">
        <f t="shared" si="2096"/>
        <v>20228.059999999998</v>
      </c>
      <c r="AV236" s="66">
        <f t="shared" si="2096"/>
        <v>21008.79</v>
      </c>
      <c r="AW236" s="66">
        <f t="shared" si="2096"/>
        <v>21745.45</v>
      </c>
      <c r="AX236" s="66">
        <f t="shared" si="2096"/>
        <v>24338</v>
      </c>
      <c r="AY236" s="66">
        <f t="shared" si="2096"/>
        <v>24883</v>
      </c>
      <c r="AZ236" s="66">
        <f t="shared" si="2096"/>
        <v>25393</v>
      </c>
      <c r="BA236" s="66">
        <f t="shared" si="2096"/>
        <v>26082</v>
      </c>
      <c r="BB236" s="66">
        <f t="shared" si="2096"/>
        <v>26357</v>
      </c>
      <c r="BC236" s="66">
        <f t="shared" si="2096"/>
        <v>25989</v>
      </c>
      <c r="BD236" s="66">
        <f t="shared" si="2096"/>
        <v>25846</v>
      </c>
      <c r="BE236" s="66">
        <f t="shared" si="2096"/>
        <v>25577</v>
      </c>
      <c r="BF236" s="66">
        <f t="shared" si="2096"/>
        <v>25880</v>
      </c>
      <c r="BG236" s="66">
        <f t="shared" si="2096"/>
        <v>27292</v>
      </c>
      <c r="BH236" s="66">
        <f t="shared" si="2096"/>
        <v>28759</v>
      </c>
      <c r="BI236" s="66">
        <f t="shared" si="2096"/>
        <v>30335</v>
      </c>
      <c r="BJ236" s="66">
        <f t="shared" si="2096"/>
        <v>31562</v>
      </c>
      <c r="BK236" s="66">
        <f t="shared" si="2096"/>
        <v>32353</v>
      </c>
      <c r="BL236" s="66">
        <f t="shared" si="2096"/>
        <v>32484</v>
      </c>
      <c r="BM236" s="66">
        <f t="shared" si="2096"/>
        <v>32506</v>
      </c>
      <c r="BN236" s="66">
        <f t="shared" si="2096"/>
        <v>32447</v>
      </c>
      <c r="BO236" s="66">
        <f t="shared" si="2096"/>
        <v>31343</v>
      </c>
      <c r="BP236" s="66">
        <f t="shared" si="2096"/>
        <v>32007</v>
      </c>
      <c r="BQ236" s="66">
        <f t="shared" si="2096"/>
        <v>32591</v>
      </c>
      <c r="BR236" s="66">
        <f t="shared" ref="BR236:CW236" si="2097">SUM(BO50:BR50)</f>
        <v>33780</v>
      </c>
      <c r="BS236" s="66">
        <f t="shared" si="2097"/>
        <v>35762</v>
      </c>
      <c r="BT236" s="66">
        <f t="shared" si="2097"/>
        <v>36693</v>
      </c>
      <c r="BU236" s="66">
        <f t="shared" si="2097"/>
        <v>37772</v>
      </c>
      <c r="BV236" s="66">
        <f t="shared" si="2097"/>
        <v>38449</v>
      </c>
      <c r="BW236" s="66">
        <f t="shared" si="2097"/>
        <v>38937</v>
      </c>
      <c r="BX236" s="66">
        <f t="shared" si="2097"/>
        <v>39749</v>
      </c>
      <c r="BY236" s="66">
        <f t="shared" si="2097"/>
        <v>40826</v>
      </c>
      <c r="BZ236" s="66">
        <f t="shared" si="2097"/>
        <v>42303</v>
      </c>
      <c r="CA236" s="66">
        <f t="shared" si="2097"/>
        <v>43904</v>
      </c>
      <c r="CB236" s="66">
        <f t="shared" si="2097"/>
        <v>44819</v>
      </c>
      <c r="CC236" s="66">
        <f t="shared" si="2097"/>
        <v>45991</v>
      </c>
      <c r="CD236" s="66">
        <f t="shared" si="2097"/>
        <v>47057</v>
      </c>
      <c r="CE236" s="66">
        <f t="shared" si="2097"/>
        <v>48042</v>
      </c>
      <c r="CF236" s="66">
        <f t="shared" si="2097"/>
        <v>48617</v>
      </c>
      <c r="CG236" s="66">
        <f t="shared" si="2097"/>
        <v>49006</v>
      </c>
      <c r="CH236" s="66">
        <f t="shared" si="2097"/>
        <v>48797</v>
      </c>
      <c r="CI236" s="66">
        <f t="shared" si="2097"/>
        <v>49511</v>
      </c>
      <c r="CJ236" s="66">
        <f t="shared" si="2097"/>
        <v>50822</v>
      </c>
      <c r="CK236" s="66">
        <f t="shared" si="2097"/>
        <v>52489</v>
      </c>
      <c r="CL236" s="66">
        <f t="shared" si="2097"/>
        <v>53980</v>
      </c>
      <c r="CM236" s="50">
        <f t="shared" si="2097"/>
        <v>54918.563724565167</v>
      </c>
      <c r="CN236" s="50">
        <f t="shared" si="2097"/>
        <v>55890.063209435539</v>
      </c>
      <c r="CO236" s="50">
        <f t="shared" si="2097"/>
        <v>56354.073696060324</v>
      </c>
      <c r="CP236" s="50">
        <f t="shared" si="2097"/>
        <v>57318.399231120515</v>
      </c>
      <c r="CQ236" s="50">
        <f t="shared" si="2097"/>
        <v>58708.157488015306</v>
      </c>
      <c r="CR236" s="50">
        <f t="shared" si="2097"/>
        <v>59959.95328383505</v>
      </c>
      <c r="CS236" s="50">
        <f t="shared" si="2097"/>
        <v>61182.313967517664</v>
      </c>
      <c r="CT236" s="50">
        <f t="shared" si="2097"/>
        <v>62533.522075162749</v>
      </c>
      <c r="CU236" s="50">
        <f t="shared" si="2097"/>
        <v>63825.606152984008</v>
      </c>
      <c r="CV236" s="50">
        <f t="shared" si="2097"/>
        <v>65100.695989385669</v>
      </c>
      <c r="CW236" s="50">
        <f t="shared" si="2097"/>
        <v>66389.445639049824</v>
      </c>
      <c r="CX236" s="50">
        <f t="shared" ref="CX236:DB236" si="2098">SUM(CU50:CX50)</f>
        <v>67702.634258135397</v>
      </c>
      <c r="CY236" s="50">
        <f t="shared" si="2098"/>
        <v>69010.190407289978</v>
      </c>
      <c r="CZ236" s="50">
        <f t="shared" si="2098"/>
        <v>70326.187248244329</v>
      </c>
      <c r="DA236" s="50">
        <f t="shared" si="2098"/>
        <v>71656.797618613549</v>
      </c>
      <c r="DB236" s="50">
        <f t="shared" si="2098"/>
        <v>73001.632398142683</v>
      </c>
      <c r="DE236" s="138"/>
      <c r="DF236" s="66">
        <v>52123.390513924351</v>
      </c>
    </row>
    <row r="237" spans="1:110" s="93" customFormat="1" x14ac:dyDescent="0.2">
      <c r="AB237" s="30"/>
      <c r="AC237" s="30"/>
      <c r="AD237" s="30"/>
      <c r="AE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11" customFormat="1" x14ac:dyDescent="0.2">
      <c r="AB238" s="63"/>
      <c r="AC238" s="63"/>
      <c r="AD238" s="63"/>
      <c r="AE238" s="63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  <c r="DF238" s="216"/>
    </row>
    <row r="239" spans="1:110" s="62" customFormat="1" hidden="1" outlineLevel="1" x14ac:dyDescent="0.2">
      <c r="A239" s="61" t="s">
        <v>339</v>
      </c>
      <c r="AB239" s="63"/>
      <c r="AC239" s="63"/>
      <c r="AD239" s="63"/>
      <c r="AE239" s="63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  <c r="DF239" s="114"/>
    </row>
    <row r="240" spans="1:110" s="64" customFormat="1" hidden="1" outlineLevel="1" x14ac:dyDescent="0.2">
      <c r="A240" s="64" t="s">
        <v>474</v>
      </c>
      <c r="B240" s="64">
        <f t="shared" ref="B240:Z240" si="2099">B17-B246</f>
        <v>0</v>
      </c>
      <c r="C240" s="64">
        <f t="shared" si="2099"/>
        <v>0</v>
      </c>
      <c r="D240" s="64">
        <f t="shared" si="2099"/>
        <v>0</v>
      </c>
      <c r="E240" s="64">
        <f t="shared" si="2099"/>
        <v>0</v>
      </c>
      <c r="F240" s="64">
        <f t="shared" si="2099"/>
        <v>9753.98</v>
      </c>
      <c r="G240" s="64">
        <f t="shared" si="2099"/>
        <v>13266.11</v>
      </c>
      <c r="H240" s="64">
        <f t="shared" si="2099"/>
        <v>18687.330000000002</v>
      </c>
      <c r="I240" s="64">
        <f t="shared" si="2099"/>
        <v>22622.35</v>
      </c>
      <c r="J240" s="64">
        <f t="shared" si="2099"/>
        <v>27814.959999999999</v>
      </c>
      <c r="K240" s="64">
        <f t="shared" si="2099"/>
        <v>30029.31</v>
      </c>
      <c r="L240" s="64">
        <f t="shared" si="2099"/>
        <v>37324.78</v>
      </c>
      <c r="M240" s="64">
        <f t="shared" si="2099"/>
        <v>48894.080000000002</v>
      </c>
      <c r="N240" s="64">
        <f t="shared" si="2099"/>
        <v>62990.3</v>
      </c>
      <c r="O240" s="64">
        <f t="shared" si="2099"/>
        <v>81812.509999999995</v>
      </c>
      <c r="P240" s="64">
        <f t="shared" si="2099"/>
        <v>94652.5</v>
      </c>
      <c r="Q240" s="64">
        <f t="shared" si="2099"/>
        <v>108646</v>
      </c>
      <c r="R240" s="64">
        <f t="shared" si="2099"/>
        <v>117966</v>
      </c>
      <c r="S240" s="64">
        <f t="shared" si="2099"/>
        <v>123104</v>
      </c>
      <c r="T240" s="64">
        <f t="shared" si="2099"/>
        <v>146463</v>
      </c>
      <c r="U240" s="64">
        <f t="shared" si="2099"/>
        <v>156949</v>
      </c>
      <c r="V240" s="64">
        <f t="shared" si="2099"/>
        <v>164177</v>
      </c>
      <c r="W240" s="64">
        <f t="shared" si="2099"/>
        <v>191754</v>
      </c>
      <c r="X240" s="64">
        <f t="shared" si="2099"/>
        <v>225458</v>
      </c>
      <c r="Y240" s="64">
        <f t="shared" si="2099"/>
        <v>240893</v>
      </c>
      <c r="Z240" s="64">
        <f t="shared" si="2099"/>
        <v>255324</v>
      </c>
      <c r="AA240" s="64">
        <f t="shared" ref="AA240" si="2100">AA17-AA246</f>
        <v>267021</v>
      </c>
      <c r="AB240" s="30"/>
      <c r="AC240" s="30"/>
      <c r="AD240" s="30"/>
      <c r="AE240" s="30"/>
      <c r="AI240" s="64">
        <f t="shared" ref="AI240:BN240" si="2101">AI17-AI246</f>
        <v>14868.71</v>
      </c>
      <c r="AJ240" s="64">
        <f t="shared" si="2101"/>
        <v>15620.75</v>
      </c>
      <c r="AK240" s="64">
        <f t="shared" si="2101"/>
        <v>16069.93</v>
      </c>
      <c r="AL240" s="64">
        <f t="shared" si="2101"/>
        <v>16430.09</v>
      </c>
      <c r="AM240" s="64">
        <f t="shared" si="2101"/>
        <v>17987.07</v>
      </c>
      <c r="AN240" s="64">
        <f t="shared" si="2101"/>
        <v>20977.24</v>
      </c>
      <c r="AO240" s="64">
        <f t="shared" si="2101"/>
        <v>21293.96</v>
      </c>
      <c r="AP240" s="64">
        <f t="shared" si="2101"/>
        <v>21551.09</v>
      </c>
      <c r="AQ240" s="64">
        <f t="shared" si="2101"/>
        <v>22111.03</v>
      </c>
      <c r="AR240" s="64">
        <f t="shared" si="2101"/>
        <v>23816.48</v>
      </c>
      <c r="AS240" s="64">
        <f t="shared" si="2101"/>
        <v>24501.14</v>
      </c>
      <c r="AT240" s="64">
        <f t="shared" si="2101"/>
        <v>24219.759999999998</v>
      </c>
      <c r="AU240" s="64">
        <f t="shared" si="2101"/>
        <v>25668</v>
      </c>
      <c r="AV240" s="64">
        <f t="shared" si="2101"/>
        <v>27165</v>
      </c>
      <c r="AW240" s="64">
        <f t="shared" si="2101"/>
        <v>27364</v>
      </c>
      <c r="AX240" s="64">
        <f t="shared" si="2101"/>
        <v>28449</v>
      </c>
      <c r="AY240" s="64">
        <f t="shared" si="2101"/>
        <v>29305</v>
      </c>
      <c r="AZ240" s="64">
        <f t="shared" si="2101"/>
        <v>29284</v>
      </c>
      <c r="BA240" s="64">
        <f t="shared" si="2101"/>
        <v>29735</v>
      </c>
      <c r="BB240" s="64">
        <f t="shared" si="2101"/>
        <v>29642</v>
      </c>
      <c r="BC240" s="64">
        <f t="shared" si="2101"/>
        <v>29584</v>
      </c>
      <c r="BD240" s="64">
        <f t="shared" si="2101"/>
        <v>30541</v>
      </c>
      <c r="BE240" s="64">
        <f t="shared" si="2101"/>
        <v>30904</v>
      </c>
      <c r="BF240" s="64">
        <f t="shared" si="2101"/>
        <v>32075</v>
      </c>
      <c r="BG240" s="64">
        <f t="shared" si="2101"/>
        <v>34261</v>
      </c>
      <c r="BH240" s="64">
        <f t="shared" si="2101"/>
        <v>36854</v>
      </c>
      <c r="BI240" s="64">
        <f t="shared" si="2101"/>
        <v>37338</v>
      </c>
      <c r="BJ240" s="64">
        <f t="shared" si="2101"/>
        <v>38010</v>
      </c>
      <c r="BK240" s="64">
        <f t="shared" si="2101"/>
        <v>38172</v>
      </c>
      <c r="BL240" s="64">
        <f t="shared" si="2101"/>
        <v>38977</v>
      </c>
      <c r="BM240" s="64">
        <f t="shared" si="2101"/>
        <v>39854</v>
      </c>
      <c r="BN240" s="64">
        <f t="shared" si="2101"/>
        <v>39946</v>
      </c>
      <c r="BO240" s="64">
        <f t="shared" ref="BO240:CT240" si="2102">BO17-BO246</f>
        <v>38322</v>
      </c>
      <c r="BP240" s="64">
        <f t="shared" si="2102"/>
        <v>40135</v>
      </c>
      <c r="BQ240" s="64">
        <f t="shared" si="2102"/>
        <v>42015</v>
      </c>
      <c r="BR240" s="64">
        <f t="shared" si="2102"/>
        <v>43705</v>
      </c>
      <c r="BS240" s="64">
        <f t="shared" si="2102"/>
        <v>45411</v>
      </c>
      <c r="BT240" s="64">
        <f t="shared" si="2102"/>
        <v>46867</v>
      </c>
      <c r="BU240" s="64">
        <f t="shared" si="2102"/>
        <v>48885</v>
      </c>
      <c r="BV240" s="64">
        <f t="shared" si="2102"/>
        <v>50591</v>
      </c>
      <c r="BW240" s="64">
        <f t="shared" si="2102"/>
        <v>52758</v>
      </c>
      <c r="BX240" s="64">
        <f t="shared" si="2102"/>
        <v>55309</v>
      </c>
      <c r="BY240" s="64">
        <f t="shared" si="2102"/>
        <v>58229</v>
      </c>
      <c r="BZ240" s="64">
        <f t="shared" si="2102"/>
        <v>59162</v>
      </c>
      <c r="CA240" s="64">
        <f t="shared" si="2102"/>
        <v>59381</v>
      </c>
      <c r="CB240" s="64">
        <f t="shared" si="2102"/>
        <v>59692</v>
      </c>
      <c r="CC240" s="64">
        <f t="shared" si="2102"/>
        <v>60583</v>
      </c>
      <c r="CD240" s="64">
        <f t="shared" si="2102"/>
        <v>61237</v>
      </c>
      <c r="CE240" s="64">
        <f t="shared" si="2102"/>
        <v>62613</v>
      </c>
      <c r="CF240" s="64">
        <f t="shared" si="2102"/>
        <v>64259</v>
      </c>
      <c r="CG240" s="64">
        <f t="shared" si="2102"/>
        <v>63973</v>
      </c>
      <c r="CH240" s="64">
        <f t="shared" si="2102"/>
        <v>64479</v>
      </c>
      <c r="CI240" s="64">
        <f t="shared" si="2102"/>
        <v>63437</v>
      </c>
      <c r="CJ240" s="64">
        <f t="shared" si="2102"/>
        <v>65799</v>
      </c>
      <c r="CK240" s="64">
        <f t="shared" si="2102"/>
        <v>67087</v>
      </c>
      <c r="CL240" s="64">
        <f t="shared" si="2102"/>
        <v>70698</v>
      </c>
      <c r="CM240" s="30">
        <f t="shared" si="2102"/>
        <v>70229.050677887906</v>
      </c>
      <c r="CN240" s="30">
        <f t="shared" si="2102"/>
        <v>71118.115777793704</v>
      </c>
      <c r="CO240" s="30">
        <f t="shared" si="2102"/>
        <v>72018.436002811388</v>
      </c>
      <c r="CP240" s="30">
        <f t="shared" si="2102"/>
        <v>72930.153837266742</v>
      </c>
      <c r="CQ240" s="30">
        <f t="shared" si="2102"/>
        <v>73853.413569266631</v>
      </c>
      <c r="CR240" s="30">
        <f t="shared" si="2102"/>
        <v>74788.361313534188</v>
      </c>
      <c r="CS240" s="30">
        <f t="shared" si="2102"/>
        <v>75735.145034532747</v>
      </c>
      <c r="CT240" s="30">
        <f t="shared" si="2102"/>
        <v>76693.914569882705</v>
      </c>
      <c r="CU240" s="30">
        <f t="shared" ref="CU240:DB240" si="2103">CU17-CU246</f>
        <v>77664.82165407468</v>
      </c>
      <c r="CV240" s="30">
        <f t="shared" si="2103"/>
        <v>78648.019942483064</v>
      </c>
      <c r="CW240" s="30">
        <f t="shared" si="2103"/>
        <v>79643.665035683385</v>
      </c>
      <c r="CX240" s="30">
        <f t="shared" si="2103"/>
        <v>80651.91450407762</v>
      </c>
      <c r="CY240" s="30">
        <f t="shared" si="2103"/>
        <v>81672.927912831234</v>
      </c>
      <c r="CZ240" s="30">
        <f t="shared" si="2103"/>
        <v>82706.866847125872</v>
      </c>
      <c r="DA240" s="30">
        <f t="shared" si="2103"/>
        <v>83753.894937731777</v>
      </c>
      <c r="DB240" s="30">
        <f t="shared" si="2103"/>
        <v>84814.177886903955</v>
      </c>
      <c r="DE240" s="139"/>
      <c r="DF240" s="64">
        <v>68137.94131200001</v>
      </c>
    </row>
    <row r="241" spans="1:110" s="64" customFormat="1" hidden="1" outlineLevel="1" x14ac:dyDescent="0.2">
      <c r="A241" s="64" t="s">
        <v>475</v>
      </c>
      <c r="B241" s="64">
        <f t="shared" ref="B241:Z241" si="2104">B37-B247</f>
        <v>0</v>
      </c>
      <c r="C241" s="64">
        <f t="shared" si="2104"/>
        <v>0</v>
      </c>
      <c r="D241" s="64">
        <f t="shared" si="2104"/>
        <v>0</v>
      </c>
      <c r="E241" s="64">
        <f t="shared" si="2104"/>
        <v>-0.03</v>
      </c>
      <c r="F241" s="64">
        <f t="shared" si="2104"/>
        <v>2711.829999999999</v>
      </c>
      <c r="G241" s="64">
        <f t="shared" si="2104"/>
        <v>3684.2999999999993</v>
      </c>
      <c r="H241" s="64">
        <f t="shared" si="2104"/>
        <v>5138.850000000004</v>
      </c>
      <c r="I241" s="64">
        <f t="shared" si="2104"/>
        <v>5709.9299999999967</v>
      </c>
      <c r="J241" s="64">
        <f t="shared" si="2104"/>
        <v>6388.4399999999987</v>
      </c>
      <c r="K241" s="64">
        <f t="shared" si="2104"/>
        <v>8499.7700000000041</v>
      </c>
      <c r="L241" s="64">
        <f t="shared" si="2104"/>
        <v>11038.009999999998</v>
      </c>
      <c r="M241" s="64">
        <f t="shared" si="2104"/>
        <v>13982.200000000004</v>
      </c>
      <c r="N241" s="64">
        <f t="shared" si="2104"/>
        <v>18039.690000000002</v>
      </c>
      <c r="O241" s="64">
        <f t="shared" si="2104"/>
        <v>25146.959999999999</v>
      </c>
      <c r="P241" s="64">
        <f t="shared" si="2104"/>
        <v>24481.710000000006</v>
      </c>
      <c r="Q241" s="64">
        <f t="shared" si="2104"/>
        <v>30677</v>
      </c>
      <c r="R241" s="64">
        <f t="shared" si="2104"/>
        <v>32311</v>
      </c>
      <c r="S241" s="64">
        <f t="shared" si="2104"/>
        <v>32516</v>
      </c>
      <c r="T241" s="64">
        <f t="shared" si="2104"/>
        <v>39506</v>
      </c>
      <c r="U241" s="64">
        <f t="shared" si="2104"/>
        <v>42109</v>
      </c>
      <c r="V241" s="64">
        <f t="shared" si="2104"/>
        <v>46546</v>
      </c>
      <c r="W241" s="64">
        <f t="shared" si="2104"/>
        <v>53048</v>
      </c>
      <c r="X241" s="64">
        <f t="shared" si="2104"/>
        <v>59098</v>
      </c>
      <c r="Y241" s="64">
        <f t="shared" si="2104"/>
        <v>64296</v>
      </c>
      <c r="Z241" s="64">
        <f t="shared" si="2104"/>
        <v>67407</v>
      </c>
      <c r="AA241" s="64">
        <f t="shared" ref="AA241" si="2105">AA37-AA247</f>
        <v>71787</v>
      </c>
      <c r="AB241" s="30"/>
      <c r="AC241" s="30"/>
      <c r="AD241" s="30"/>
      <c r="AE241" s="30"/>
      <c r="AI241" s="64">
        <f t="shared" ref="AI241:BN241" si="2106">AI37-AI247</f>
        <v>4230.1399999999994</v>
      </c>
      <c r="AJ241" s="64">
        <f t="shared" si="2106"/>
        <v>4438.1099999999997</v>
      </c>
      <c r="AK241" s="64">
        <f t="shared" si="2106"/>
        <v>4587.0600000000013</v>
      </c>
      <c r="AL241" s="64">
        <f t="shared" si="2106"/>
        <v>4617.42</v>
      </c>
      <c r="AM241" s="64">
        <f t="shared" si="2106"/>
        <v>5039.7100000000009</v>
      </c>
      <c r="AN241" s="64">
        <f t="shared" si="2106"/>
        <v>6255.6100000000006</v>
      </c>
      <c r="AO241" s="64">
        <f t="shared" si="2106"/>
        <v>6686.76</v>
      </c>
      <c r="AP241" s="64">
        <f t="shared" si="2106"/>
        <v>6688.9600000000028</v>
      </c>
      <c r="AQ241" s="64">
        <f t="shared" si="2106"/>
        <v>6352.5499999999993</v>
      </c>
      <c r="AR241" s="64">
        <f t="shared" si="2106"/>
        <v>6800.3999999999978</v>
      </c>
      <c r="AS241" s="64">
        <f t="shared" si="2106"/>
        <v>7048.0099999999984</v>
      </c>
      <c r="AT241" s="64">
        <f t="shared" si="2106"/>
        <v>4280.75</v>
      </c>
      <c r="AU241" s="64">
        <f t="shared" si="2106"/>
        <v>7201</v>
      </c>
      <c r="AV241" s="64">
        <f t="shared" si="2106"/>
        <v>7822</v>
      </c>
      <c r="AW241" s="64">
        <f t="shared" si="2106"/>
        <v>7747</v>
      </c>
      <c r="AX241" s="64">
        <f t="shared" si="2106"/>
        <v>7907</v>
      </c>
      <c r="AY241" s="64">
        <f t="shared" si="2106"/>
        <v>7837</v>
      </c>
      <c r="AZ241" s="64">
        <f t="shared" si="2106"/>
        <v>8113</v>
      </c>
      <c r="BA241" s="64">
        <f t="shared" si="2106"/>
        <v>8229</v>
      </c>
      <c r="BB241" s="64">
        <f t="shared" si="2106"/>
        <v>8132</v>
      </c>
      <c r="BC241" s="64">
        <f t="shared" si="2106"/>
        <v>7413</v>
      </c>
      <c r="BD241" s="64">
        <f t="shared" si="2106"/>
        <v>8164</v>
      </c>
      <c r="BE241" s="64">
        <f t="shared" si="2106"/>
        <v>8287</v>
      </c>
      <c r="BF241" s="64">
        <f t="shared" si="2106"/>
        <v>8652</v>
      </c>
      <c r="BG241" s="64">
        <f t="shared" si="2106"/>
        <v>9071</v>
      </c>
      <c r="BH241" s="64">
        <f t="shared" si="2106"/>
        <v>10278</v>
      </c>
      <c r="BI241" s="64">
        <f t="shared" si="2106"/>
        <v>10083</v>
      </c>
      <c r="BJ241" s="64">
        <f t="shared" si="2106"/>
        <v>10074</v>
      </c>
      <c r="BK241" s="64">
        <f t="shared" si="2106"/>
        <v>10037</v>
      </c>
      <c r="BL241" s="64">
        <f t="shared" si="2106"/>
        <v>10225</v>
      </c>
      <c r="BM241" s="64">
        <f t="shared" si="2106"/>
        <v>10871</v>
      </c>
      <c r="BN241" s="64">
        <f t="shared" si="2106"/>
        <v>10976</v>
      </c>
      <c r="BO241" s="64">
        <f t="shared" ref="BO241:CT241" si="2107">BO37-BO247</f>
        <v>10024</v>
      </c>
      <c r="BP241" s="64">
        <f t="shared" si="2107"/>
        <v>11513</v>
      </c>
      <c r="BQ241" s="64">
        <f t="shared" si="2107"/>
        <v>12208</v>
      </c>
      <c r="BR241" s="64">
        <f t="shared" si="2107"/>
        <v>12801</v>
      </c>
      <c r="BS241" s="64">
        <f t="shared" si="2107"/>
        <v>12663</v>
      </c>
      <c r="BT241" s="64">
        <f t="shared" si="2107"/>
        <v>13116</v>
      </c>
      <c r="BU241" s="64">
        <f t="shared" si="2107"/>
        <v>13433</v>
      </c>
      <c r="BV241" s="64">
        <f t="shared" si="2107"/>
        <v>13845</v>
      </c>
      <c r="BW241" s="64">
        <f t="shared" si="2107"/>
        <v>13416</v>
      </c>
      <c r="BX241" s="64">
        <f t="shared" si="2107"/>
        <v>14516</v>
      </c>
      <c r="BY241" s="64">
        <f t="shared" si="2107"/>
        <v>15553</v>
      </c>
      <c r="BZ241" s="64">
        <f t="shared" si="2107"/>
        <v>15774</v>
      </c>
      <c r="CA241" s="64">
        <f t="shared" si="2107"/>
        <v>14998</v>
      </c>
      <c r="CB241" s="64">
        <f t="shared" si="2107"/>
        <v>15746</v>
      </c>
      <c r="CC241" s="64">
        <f t="shared" si="2107"/>
        <v>16388</v>
      </c>
      <c r="CD241" s="64">
        <f t="shared" si="2107"/>
        <v>17164</v>
      </c>
      <c r="CE241" s="64">
        <f t="shared" si="2107"/>
        <v>16662</v>
      </c>
      <c r="CF241" s="64">
        <f t="shared" si="2107"/>
        <v>16731</v>
      </c>
      <c r="CG241" s="64">
        <f t="shared" si="2107"/>
        <v>17034</v>
      </c>
      <c r="CH241" s="64">
        <f t="shared" si="2107"/>
        <v>16980</v>
      </c>
      <c r="CI241" s="64">
        <f t="shared" si="2107"/>
        <v>16875</v>
      </c>
      <c r="CJ241" s="64">
        <f t="shared" si="2107"/>
        <v>17978</v>
      </c>
      <c r="CK241" s="64">
        <f t="shared" si="2107"/>
        <v>18269</v>
      </c>
      <c r="CL241" s="64">
        <f t="shared" si="2107"/>
        <v>19276</v>
      </c>
      <c r="CM241" s="30">
        <f t="shared" si="2107"/>
        <v>19035.737149576635</v>
      </c>
      <c r="CN241" s="30">
        <f t="shared" si="2107"/>
        <v>19366.333082310353</v>
      </c>
      <c r="CO241" s="30">
        <f t="shared" si="2107"/>
        <v>19595.048656506682</v>
      </c>
      <c r="CP241" s="30">
        <f t="shared" si="2107"/>
        <v>19838.841327196111</v>
      </c>
      <c r="CQ241" s="30">
        <f t="shared" si="2107"/>
        <v>20078.40607576906</v>
      </c>
      <c r="CR241" s="30">
        <f t="shared" si="2107"/>
        <v>20347.848919586184</v>
      </c>
      <c r="CS241" s="30">
        <f t="shared" si="2107"/>
        <v>20600.901638006049</v>
      </c>
      <c r="CT241" s="30">
        <f t="shared" si="2107"/>
        <v>20860.330958664206</v>
      </c>
      <c r="CU241" s="30">
        <f t="shared" ref="CU241:DB241" si="2108">CU37-CU247</f>
        <v>21123.817960332417</v>
      </c>
      <c r="CV241" s="30">
        <f t="shared" si="2108"/>
        <v>21393.56687387752</v>
      </c>
      <c r="CW241" s="30">
        <f t="shared" si="2108"/>
        <v>21663.287818536744</v>
      </c>
      <c r="CX241" s="30">
        <f t="shared" si="2108"/>
        <v>21937.336904955358</v>
      </c>
      <c r="CY241" s="30">
        <f t="shared" si="2108"/>
        <v>22215.16701500785</v>
      </c>
      <c r="CZ241" s="30">
        <f t="shared" si="2108"/>
        <v>22496.702959965034</v>
      </c>
      <c r="DA241" s="30">
        <f t="shared" si="2108"/>
        <v>22781.262731397328</v>
      </c>
      <c r="DB241" s="30">
        <f t="shared" si="2108"/>
        <v>23069.657582271451</v>
      </c>
      <c r="DE241" s="139"/>
      <c r="DF241" s="64">
        <v>15893.532248700525</v>
      </c>
    </row>
    <row r="242" spans="1:110" s="89" customFormat="1" hidden="1" outlineLevel="1" x14ac:dyDescent="0.2">
      <c r="A242" s="86" t="s">
        <v>476</v>
      </c>
      <c r="B242" s="86" t="e">
        <f>+B241/B240</f>
        <v>#DIV/0!</v>
      </c>
      <c r="C242" s="86" t="e">
        <f t="shared" ref="C242" si="2109">+C241/C240</f>
        <v>#DIV/0!</v>
      </c>
      <c r="D242" s="86" t="e">
        <f t="shared" ref="D242" si="2110">+D241/D240</f>
        <v>#DIV/0!</v>
      </c>
      <c r="E242" s="86" t="e">
        <f t="shared" ref="E242" si="2111">+E241/E240</f>
        <v>#DIV/0!</v>
      </c>
      <c r="F242" s="86">
        <f t="shared" ref="F242" si="2112">+F241/F240</f>
        <v>0.27802291987475874</v>
      </c>
      <c r="G242" s="86">
        <f t="shared" ref="G242" si="2113">+G241/G240</f>
        <v>0.27772270846540537</v>
      </c>
      <c r="H242" s="86">
        <f t="shared" ref="H242" si="2114">+H241/H240</f>
        <v>0.27499113035409573</v>
      </c>
      <c r="I242" s="86">
        <f t="shared" ref="I242" si="2115">+I241/I240</f>
        <v>0.25240215981098324</v>
      </c>
      <c r="J242" s="86">
        <f t="shared" ref="J242" si="2116">+J241/J240</f>
        <v>0.22967640435219031</v>
      </c>
      <c r="K242" s="86">
        <f t="shared" ref="K242" si="2117">+K241/K240</f>
        <v>0.28304912766893425</v>
      </c>
      <c r="L242" s="86">
        <f t="shared" ref="L242" si="2118">+L241/L240</f>
        <v>0.29572873570855607</v>
      </c>
      <c r="M242" s="86">
        <f t="shared" ref="M242" si="2119">+M241/M240</f>
        <v>0.28596918072699196</v>
      </c>
      <c r="N242" s="86">
        <f t="shared" ref="N242" si="2120">+N241/N240</f>
        <v>0.28638838043317782</v>
      </c>
      <c r="O242" s="86">
        <f t="shared" ref="O242" si="2121">+O241/O240</f>
        <v>0.30737304111559466</v>
      </c>
      <c r="P242" s="86">
        <f t="shared" ref="P242" si="2122">+P241/P240</f>
        <v>0.2586483188505323</v>
      </c>
      <c r="Q242" s="86">
        <f t="shared" ref="Q242" si="2123">+Q241/Q240</f>
        <v>0.28235738085157303</v>
      </c>
      <c r="R242" s="86">
        <f t="shared" ref="R242" si="2124">+R241/R240</f>
        <v>0.27390095451231711</v>
      </c>
      <c r="S242" s="86">
        <f t="shared" ref="S242" si="2125">+S241/S240</f>
        <v>0.26413439043410447</v>
      </c>
      <c r="T242" s="86">
        <f t="shared" ref="T242" si="2126">+T241/T240</f>
        <v>0.26973365286795981</v>
      </c>
      <c r="U242" s="86">
        <f t="shared" ref="U242" si="2127">+U241/U240</f>
        <v>0.26829734499741953</v>
      </c>
      <c r="V242" s="86">
        <f t="shared" ref="V242" si="2128">+V241/V240</f>
        <v>0.28351108864213626</v>
      </c>
      <c r="W242" s="86">
        <f t="shared" ref="W242" si="2129">+W241/W240</f>
        <v>0.27664611950728535</v>
      </c>
      <c r="X242" s="86">
        <f t="shared" ref="X242:Y242" si="2130">+X241/X240</f>
        <v>0.26212420938711423</v>
      </c>
      <c r="Y242" s="86">
        <f t="shared" si="2130"/>
        <v>0.26690688396923118</v>
      </c>
      <c r="Z242" s="86">
        <f t="shared" ref="Z242:AA242" si="2131">+Z241/Z240</f>
        <v>0.26400573389105608</v>
      </c>
      <c r="AA242" s="86">
        <f t="shared" si="2131"/>
        <v>0.26884402350376935</v>
      </c>
      <c r="AB242" s="87"/>
      <c r="AC242" s="87"/>
      <c r="AD242" s="87"/>
      <c r="AE242" s="87"/>
      <c r="AF242" s="86"/>
      <c r="AG242" s="86"/>
      <c r="AH242" s="86"/>
      <c r="AI242" s="86">
        <f t="shared" ref="AI242" si="2132">+AI241/AI240</f>
        <v>0.28449946229363543</v>
      </c>
      <c r="AJ242" s="86">
        <f t="shared" ref="AJ242" si="2133">+AJ241/AJ240</f>
        <v>0.28411631963894179</v>
      </c>
      <c r="AK242" s="86">
        <f t="shared" ref="AK242" si="2134">+AK241/AK240</f>
        <v>0.28544368270428067</v>
      </c>
      <c r="AL242" s="86">
        <f t="shared" ref="AL242" si="2135">+AL241/AL240</f>
        <v>0.28103437047514651</v>
      </c>
      <c r="AM242" s="86">
        <f t="shared" ref="AM242" si="2136">+AM241/AM240</f>
        <v>0.2801851552253925</v>
      </c>
      <c r="AN242" s="86">
        <f t="shared" ref="AN242" si="2137">+AN241/AN240</f>
        <v>0.29820939265604057</v>
      </c>
      <c r="AO242" s="86">
        <f t="shared" ref="AO242" si="2138">+AO241/AO240</f>
        <v>0.31402144082171662</v>
      </c>
      <c r="AP242" s="86">
        <f t="shared" ref="AP242" si="2139">+AP241/AP240</f>
        <v>0.31037687652921514</v>
      </c>
      <c r="AQ242" s="86">
        <f t="shared" ref="AQ242" si="2140">+AQ241/AQ240</f>
        <v>0.28730231020445451</v>
      </c>
      <c r="AR242" s="86">
        <f t="shared" ref="AR242" si="2141">+AR241/AR240</f>
        <v>0.28553337856811745</v>
      </c>
      <c r="AS242" s="86">
        <f t="shared" ref="AS242" si="2142">+AS241/AS240</f>
        <v>0.28766049253218418</v>
      </c>
      <c r="AT242" s="86">
        <f t="shared" ref="AT242" si="2143">+AT241/AT240</f>
        <v>0.17674617750134602</v>
      </c>
      <c r="AU242" s="86">
        <f t="shared" ref="AU242" si="2144">+AU241/AU240</f>
        <v>0.2805438678510207</v>
      </c>
      <c r="AV242" s="86">
        <f t="shared" ref="AV242" si="2145">+AV241/AV240</f>
        <v>0.28794404564697218</v>
      </c>
      <c r="AW242" s="86">
        <f t="shared" ref="AW242" si="2146">+AW241/AW240</f>
        <v>0.28310919456219852</v>
      </c>
      <c r="AX242" s="86">
        <f t="shared" ref="AX242" si="2147">+AX241/AX240</f>
        <v>0.27793595556961581</v>
      </c>
      <c r="AY242" s="86">
        <f t="shared" ref="AY242" si="2148">+AY241/AY240</f>
        <v>0.26742876642211227</v>
      </c>
      <c r="AZ242" s="86">
        <f t="shared" ref="AZ242" si="2149">+AZ241/AZ240</f>
        <v>0.27704548558940034</v>
      </c>
      <c r="BA242" s="86">
        <f t="shared" ref="BA242" si="2150">+BA241/BA240</f>
        <v>0.27674457709769634</v>
      </c>
      <c r="BB242" s="86">
        <f t="shared" ref="BB242" si="2151">+BB241/BB240</f>
        <v>0.27434046285675728</v>
      </c>
      <c r="BC242" s="86">
        <f t="shared" ref="BC242" si="2152">+BC241/BC240</f>
        <v>0.25057463493780424</v>
      </c>
      <c r="BD242" s="86">
        <f t="shared" ref="BD242" si="2153">+BD241/BD240</f>
        <v>0.26731279263940277</v>
      </c>
      <c r="BE242" s="86">
        <f t="shared" ref="BE242" si="2154">+BE241/BE240</f>
        <v>0.26815298990421954</v>
      </c>
      <c r="BF242" s="86">
        <f t="shared" ref="BF242" si="2155">+BF241/BF240</f>
        <v>0.26974279033515197</v>
      </c>
      <c r="BG242" s="86">
        <f t="shared" ref="BG242" si="2156">+BG241/BG240</f>
        <v>0.2647616823793818</v>
      </c>
      <c r="BH242" s="86">
        <f t="shared" ref="BH242" si="2157">+BH241/BH240</f>
        <v>0.27888424594345257</v>
      </c>
      <c r="BI242" s="86">
        <f t="shared" ref="BI242" si="2158">+BI241/BI240</f>
        <v>0.27004660131769243</v>
      </c>
      <c r="BJ242" s="86">
        <f t="shared" ref="BJ242" si="2159">+BJ241/BJ240</f>
        <v>0.26503551696921862</v>
      </c>
      <c r="BK242" s="86">
        <f t="shared" ref="BK242" si="2160">+BK241/BK240</f>
        <v>0.26294142303258933</v>
      </c>
      <c r="BL242" s="86">
        <f t="shared" ref="BL242" si="2161">+BL241/BL240</f>
        <v>0.26233419709059191</v>
      </c>
      <c r="BM242" s="86">
        <f t="shared" ref="BM242" si="2162">+BM241/BM240</f>
        <v>0.27277061273648817</v>
      </c>
      <c r="BN242" s="86">
        <f t="shared" ref="BN242" si="2163">+BN241/BN240</f>
        <v>0.27477094077003955</v>
      </c>
      <c r="BO242" s="86">
        <f t="shared" ref="BO242" si="2164">+BO241/BO240</f>
        <v>0.26157298679609625</v>
      </c>
      <c r="BP242" s="86">
        <f t="shared" ref="BP242" si="2165">+BP241/BP240</f>
        <v>0.28685685810389933</v>
      </c>
      <c r="BQ242" s="86">
        <f t="shared" ref="BQ242" si="2166">+BQ241/BQ240</f>
        <v>0.29056289420445081</v>
      </c>
      <c r="BR242" s="86">
        <f t="shared" ref="BR242" si="2167">+BR241/BR240</f>
        <v>0.29289554970827136</v>
      </c>
      <c r="BS242" s="86">
        <f t="shared" ref="BS242" si="2168">+BS241/BS240</f>
        <v>0.27885314130937439</v>
      </c>
      <c r="BT242" s="86">
        <f t="shared" ref="BT242" si="2169">+BT241/BT240</f>
        <v>0.27985576205005652</v>
      </c>
      <c r="BU242" s="86">
        <f t="shared" ref="BU242" si="2170">+BU241/BU240</f>
        <v>0.27478776720875525</v>
      </c>
      <c r="BV242" s="86">
        <f t="shared" ref="BV242" si="2171">+BV241/BV240</f>
        <v>0.27366527643256705</v>
      </c>
      <c r="BW242" s="86">
        <f t="shared" ref="BW242" si="2172">+BW241/BW240</f>
        <v>0.25429318776299331</v>
      </c>
      <c r="BX242" s="86">
        <f t="shared" ref="BX242" si="2173">+BX241/BX240</f>
        <v>0.26245276537272416</v>
      </c>
      <c r="BY242" s="86">
        <f t="shared" ref="BY242" si="2174">+BY241/BY240</f>
        <v>0.2671005856188497</v>
      </c>
      <c r="BZ242" s="86">
        <f t="shared" ref="BZ242" si="2175">+BZ241/BZ240</f>
        <v>0.26662384638788411</v>
      </c>
      <c r="CA242" s="86">
        <f t="shared" ref="CA242" si="2176">+CA241/CA240</f>
        <v>0.25257237163402435</v>
      </c>
      <c r="CB242" s="86">
        <f t="shared" ref="CB242:CC242" si="2177">+CB241/CB240</f>
        <v>0.26378744220331035</v>
      </c>
      <c r="CC242" s="86">
        <f t="shared" si="2177"/>
        <v>0.27050492712477098</v>
      </c>
      <c r="CD242" s="86">
        <f t="shared" ref="CD242" si="2178">+CD241/CD240</f>
        <v>0.28028806113950716</v>
      </c>
      <c r="CE242" s="86">
        <f t="shared" ref="CE242:CF242" si="2179">+CE241/CE240</f>
        <v>0.26611087154424801</v>
      </c>
      <c r="CF242" s="86">
        <f t="shared" si="2179"/>
        <v>0.2603681974509407</v>
      </c>
      <c r="CG242" s="86">
        <f t="shared" ref="CG242:CH242" si="2180">+CG241/CG240</f>
        <v>0.26626858205805576</v>
      </c>
      <c r="CH242" s="86">
        <f t="shared" si="2180"/>
        <v>0.2633415530637882</v>
      </c>
      <c r="CI242" s="86">
        <f t="shared" ref="CI242:CJ242" si="2181">+CI241/CI240</f>
        <v>0.26601194886265112</v>
      </c>
      <c r="CJ242" s="86">
        <f t="shared" si="2181"/>
        <v>0.27322603686986124</v>
      </c>
      <c r="CK242" s="86">
        <f t="shared" ref="CK242:DB242" si="2182">+CK241/CK240</f>
        <v>0.27231803479064498</v>
      </c>
      <c r="CL242" s="86">
        <f t="shared" si="2182"/>
        <v>0.27265269173102491</v>
      </c>
      <c r="CM242" s="47">
        <f t="shared" si="2182"/>
        <v>0.27105217806354553</v>
      </c>
      <c r="CN242" s="47">
        <f t="shared" si="2182"/>
        <v>0.27231223536376931</v>
      </c>
      <c r="CO242" s="47">
        <f t="shared" si="2182"/>
        <v>0.27208378498724617</v>
      </c>
      <c r="CP242" s="47">
        <f t="shared" si="2182"/>
        <v>0.27202522253639644</v>
      </c>
      <c r="CQ242" s="47">
        <f t="shared" si="2182"/>
        <v>0.27186835523773933</v>
      </c>
      <c r="CR242" s="47">
        <f t="shared" si="2182"/>
        <v>0.27207239953128781</v>
      </c>
      <c r="CS242" s="47">
        <f t="shared" si="2182"/>
        <v>0.27201244057316737</v>
      </c>
      <c r="CT242" s="47">
        <f t="shared" si="2182"/>
        <v>0.27199460446964779</v>
      </c>
      <c r="CU242" s="47">
        <f t="shared" si="2182"/>
        <v>0.27198694995296058</v>
      </c>
      <c r="CV242" s="47">
        <f t="shared" si="2182"/>
        <v>0.27201659863176569</v>
      </c>
      <c r="CW242" s="47">
        <f t="shared" si="2182"/>
        <v>0.27200264840688548</v>
      </c>
      <c r="CX242" s="47">
        <f t="shared" si="2182"/>
        <v>0.27200020036531486</v>
      </c>
      <c r="CY242" s="47">
        <f t="shared" si="2182"/>
        <v>0.2720015993392314</v>
      </c>
      <c r="CZ242" s="47">
        <f t="shared" si="2182"/>
        <v>0.27200526168579936</v>
      </c>
      <c r="DA242" s="47">
        <f t="shared" si="2182"/>
        <v>0.27200242744930769</v>
      </c>
      <c r="DB242" s="47">
        <f t="shared" si="2182"/>
        <v>0.27200237220991336</v>
      </c>
      <c r="DE242" s="130"/>
      <c r="DF242" s="89">
        <v>0.23325524579506865</v>
      </c>
    </row>
    <row r="243" spans="1:110" s="64" customFormat="1" hidden="1" outlineLevel="1" x14ac:dyDescent="0.2">
      <c r="A243" s="64" t="s">
        <v>477</v>
      </c>
      <c r="B243" s="64">
        <f t="shared" ref="B243:Z243" si="2183">B50-B249</f>
        <v>0</v>
      </c>
      <c r="C243" s="64">
        <f t="shared" si="2183"/>
        <v>0</v>
      </c>
      <c r="D243" s="64">
        <f t="shared" si="2183"/>
        <v>0</v>
      </c>
      <c r="E243" s="64">
        <f t="shared" si="2183"/>
        <v>1.7399999999999995</v>
      </c>
      <c r="F243" s="64">
        <f t="shared" si="2183"/>
        <v>2236.6999999999989</v>
      </c>
      <c r="G243" s="64">
        <f t="shared" si="2183"/>
        <v>2997.0499999999993</v>
      </c>
      <c r="H243" s="64">
        <f t="shared" si="2183"/>
        <v>4254.3200000000043</v>
      </c>
      <c r="I243" s="64">
        <f t="shared" si="2183"/>
        <v>5059.6399999999958</v>
      </c>
      <c r="J243" s="64">
        <f t="shared" si="2183"/>
        <v>5311.119999999999</v>
      </c>
      <c r="K243" s="64">
        <f t="shared" si="2183"/>
        <v>7092.6600000000026</v>
      </c>
      <c r="L243" s="64">
        <f t="shared" si="2183"/>
        <v>9189.7899999999991</v>
      </c>
      <c r="M243" s="64">
        <f t="shared" si="2183"/>
        <v>10523.450000000004</v>
      </c>
      <c r="N243" s="64">
        <f t="shared" si="2183"/>
        <v>14075.690000000002</v>
      </c>
      <c r="O243" s="64">
        <f t="shared" si="2183"/>
        <v>19331.869999999995</v>
      </c>
      <c r="P243" s="64">
        <f t="shared" si="2183"/>
        <v>19569.950000000008</v>
      </c>
      <c r="Q243" s="64">
        <f t="shared" si="2183"/>
        <v>24338</v>
      </c>
      <c r="R243" s="64">
        <f t="shared" si="2183"/>
        <v>26357</v>
      </c>
      <c r="S243" s="64">
        <f t="shared" si="2183"/>
        <v>25880</v>
      </c>
      <c r="T243" s="64">
        <f t="shared" si="2183"/>
        <v>31562</v>
      </c>
      <c r="U243" s="64">
        <f t="shared" si="2183"/>
        <v>32447</v>
      </c>
      <c r="V243" s="64">
        <f t="shared" si="2183"/>
        <v>33780</v>
      </c>
      <c r="W243" s="64">
        <f t="shared" si="2183"/>
        <v>38449</v>
      </c>
      <c r="X243" s="64">
        <f t="shared" si="2183"/>
        <v>42303</v>
      </c>
      <c r="Y243" s="64">
        <f t="shared" si="2183"/>
        <v>47057</v>
      </c>
      <c r="Z243" s="64">
        <f t="shared" si="2183"/>
        <v>48797</v>
      </c>
      <c r="AA243" s="64">
        <f t="shared" ref="AA243" si="2184">AA50-AA249</f>
        <v>53980</v>
      </c>
      <c r="AB243" s="30"/>
      <c r="AC243" s="30"/>
      <c r="AD243" s="30"/>
      <c r="AE243" s="30"/>
      <c r="AI243" s="64">
        <f t="shared" ref="AI243:BN243" si="2185">AI50-AI249</f>
        <v>3357.6699999999996</v>
      </c>
      <c r="AJ243" s="64">
        <f t="shared" si="2185"/>
        <v>3469.68</v>
      </c>
      <c r="AK243" s="64">
        <f t="shared" si="2185"/>
        <v>3590.6200000000017</v>
      </c>
      <c r="AL243" s="64">
        <f t="shared" si="2185"/>
        <v>3657.7199999999993</v>
      </c>
      <c r="AM243" s="64">
        <f t="shared" si="2185"/>
        <v>3872.860000000001</v>
      </c>
      <c r="AN243" s="64">
        <f t="shared" si="2185"/>
        <v>4672.0500000000011</v>
      </c>
      <c r="AO243" s="64">
        <f t="shared" si="2185"/>
        <v>5377.3099999999995</v>
      </c>
      <c r="AP243" s="64">
        <f t="shared" si="2185"/>
        <v>5409.6500000000033</v>
      </c>
      <c r="AQ243" s="64">
        <f t="shared" si="2185"/>
        <v>5114.8899999999994</v>
      </c>
      <c r="AR243" s="64">
        <f t="shared" si="2185"/>
        <v>5312.2699999999986</v>
      </c>
      <c r="AS243" s="64">
        <f t="shared" si="2185"/>
        <v>5388.3399999999992</v>
      </c>
      <c r="AT243" s="64">
        <f t="shared" si="2185"/>
        <v>3754.45</v>
      </c>
      <c r="AU243" s="64">
        <f t="shared" si="2185"/>
        <v>5773</v>
      </c>
      <c r="AV243" s="64">
        <f t="shared" si="2185"/>
        <v>6093</v>
      </c>
      <c r="AW243" s="64">
        <f t="shared" si="2185"/>
        <v>6125</v>
      </c>
      <c r="AX243" s="64">
        <f t="shared" si="2185"/>
        <v>6347</v>
      </c>
      <c r="AY243" s="64">
        <f t="shared" si="2185"/>
        <v>6318</v>
      </c>
      <c r="AZ243" s="64">
        <f t="shared" si="2185"/>
        <v>6603</v>
      </c>
      <c r="BA243" s="64">
        <f t="shared" si="2185"/>
        <v>6814</v>
      </c>
      <c r="BB243" s="64">
        <f t="shared" si="2185"/>
        <v>6622</v>
      </c>
      <c r="BC243" s="64">
        <f t="shared" si="2185"/>
        <v>5950</v>
      </c>
      <c r="BD243" s="64">
        <f t="shared" si="2185"/>
        <v>6460</v>
      </c>
      <c r="BE243" s="64">
        <f t="shared" si="2185"/>
        <v>6545</v>
      </c>
      <c r="BF243" s="64">
        <f t="shared" si="2185"/>
        <v>6925</v>
      </c>
      <c r="BG243" s="64">
        <f t="shared" si="2185"/>
        <v>7362</v>
      </c>
      <c r="BH243" s="64">
        <f t="shared" si="2185"/>
        <v>7927</v>
      </c>
      <c r="BI243" s="64">
        <f t="shared" si="2185"/>
        <v>8121</v>
      </c>
      <c r="BJ243" s="64">
        <f t="shared" si="2185"/>
        <v>8152</v>
      </c>
      <c r="BK243" s="64">
        <f t="shared" si="2185"/>
        <v>8153</v>
      </c>
      <c r="BL243" s="64">
        <f t="shared" si="2185"/>
        <v>8058</v>
      </c>
      <c r="BM243" s="64">
        <f t="shared" si="2185"/>
        <v>8143</v>
      </c>
      <c r="BN243" s="64">
        <f t="shared" si="2185"/>
        <v>8093</v>
      </c>
      <c r="BO243" s="64">
        <f t="shared" ref="BO243:CT243" si="2186">BO50-BO249</f>
        <v>7049</v>
      </c>
      <c r="BP243" s="64">
        <f t="shared" si="2186"/>
        <v>8722</v>
      </c>
      <c r="BQ243" s="64">
        <f t="shared" si="2186"/>
        <v>8727</v>
      </c>
      <c r="BR243" s="64">
        <f t="shared" si="2186"/>
        <v>9282</v>
      </c>
      <c r="BS243" s="64">
        <f t="shared" si="2186"/>
        <v>9031</v>
      </c>
      <c r="BT243" s="64">
        <f t="shared" si="2186"/>
        <v>9653</v>
      </c>
      <c r="BU243" s="64">
        <f t="shared" si="2186"/>
        <v>9806</v>
      </c>
      <c r="BV243" s="64">
        <f t="shared" si="2186"/>
        <v>9959</v>
      </c>
      <c r="BW243" s="64">
        <f t="shared" si="2186"/>
        <v>9519</v>
      </c>
      <c r="BX243" s="64">
        <f t="shared" si="2186"/>
        <v>10465</v>
      </c>
      <c r="BY243" s="64">
        <f t="shared" si="2186"/>
        <v>10883</v>
      </c>
      <c r="BZ243" s="64">
        <f t="shared" si="2186"/>
        <v>11436</v>
      </c>
      <c r="CA243" s="64">
        <f t="shared" si="2186"/>
        <v>11120</v>
      </c>
      <c r="CB243" s="64">
        <f t="shared" si="2186"/>
        <v>11380</v>
      </c>
      <c r="CC243" s="64">
        <f t="shared" si="2186"/>
        <v>12055</v>
      </c>
      <c r="CD243" s="64">
        <f t="shared" si="2186"/>
        <v>12502</v>
      </c>
      <c r="CE243" s="64">
        <f t="shared" si="2186"/>
        <v>12105</v>
      </c>
      <c r="CF243" s="64">
        <f t="shared" si="2186"/>
        <v>11955</v>
      </c>
      <c r="CG243" s="64">
        <f t="shared" si="2186"/>
        <v>12444</v>
      </c>
      <c r="CH243" s="64">
        <f t="shared" si="2186"/>
        <v>12293</v>
      </c>
      <c r="CI243" s="64">
        <f t="shared" si="2186"/>
        <v>12819</v>
      </c>
      <c r="CJ243" s="64">
        <f t="shared" si="2186"/>
        <v>13266</v>
      </c>
      <c r="CK243" s="64">
        <f t="shared" si="2186"/>
        <v>14111</v>
      </c>
      <c r="CL243" s="64">
        <f t="shared" si="2186"/>
        <v>13784</v>
      </c>
      <c r="CM243" s="30">
        <f t="shared" si="2186"/>
        <v>13757.563724565167</v>
      </c>
      <c r="CN243" s="30">
        <f t="shared" si="2186"/>
        <v>14237.499484870375</v>
      </c>
      <c r="CO243" s="30">
        <f t="shared" si="2186"/>
        <v>14575.010486624782</v>
      </c>
      <c r="CP243" s="30">
        <f t="shared" si="2186"/>
        <v>14748.325535060188</v>
      </c>
      <c r="CQ243" s="30">
        <f t="shared" si="2186"/>
        <v>15147.321981459962</v>
      </c>
      <c r="CR243" s="30">
        <f t="shared" si="2186"/>
        <v>15489.295280690123</v>
      </c>
      <c r="CS243" s="30">
        <f t="shared" si="2186"/>
        <v>15797.371170307393</v>
      </c>
      <c r="CT243" s="30">
        <f t="shared" si="2186"/>
        <v>16099.533642705268</v>
      </c>
      <c r="CU243" s="30">
        <f t="shared" ref="CU243:DB243" si="2187">CU50-CU249</f>
        <v>16439.406059281227</v>
      </c>
      <c r="CV243" s="30">
        <f t="shared" si="2187"/>
        <v>16764.385117091773</v>
      </c>
      <c r="CW243" s="30">
        <f t="shared" si="2187"/>
        <v>17086.120819971558</v>
      </c>
      <c r="CX243" s="30">
        <f t="shared" si="2187"/>
        <v>17412.722261790841</v>
      </c>
      <c r="CY243" s="30">
        <f t="shared" si="2187"/>
        <v>17746.962208435809</v>
      </c>
      <c r="CZ243" s="30">
        <f t="shared" si="2187"/>
        <v>18080.381958046106</v>
      </c>
      <c r="DA243" s="30">
        <f t="shared" si="2187"/>
        <v>18416.73119034079</v>
      </c>
      <c r="DB243" s="30">
        <f t="shared" si="2187"/>
        <v>18757.557041319982</v>
      </c>
      <c r="DE243" s="139"/>
      <c r="DF243" s="64">
        <v>11927.390513924349</v>
      </c>
    </row>
    <row r="244" spans="1:110" s="64" customFormat="1" hidden="1" outlineLevel="1" x14ac:dyDescent="0.2">
      <c r="AB244" s="30"/>
      <c r="AC244" s="30"/>
      <c r="AD244" s="30"/>
      <c r="AE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10" s="64" customFormat="1" hidden="1" outlineLevel="1" x14ac:dyDescent="0.2">
      <c r="A245" s="65" t="s">
        <v>352</v>
      </c>
      <c r="AB245" s="30"/>
      <c r="AC245" s="30"/>
      <c r="AD245" s="30"/>
      <c r="AE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10" s="64" customFormat="1" hidden="1" outlineLevel="1" x14ac:dyDescent="0.2">
      <c r="A246" s="64" t="s">
        <v>478</v>
      </c>
      <c r="AB246" s="30"/>
      <c r="AC246" s="30"/>
      <c r="AD246" s="30"/>
      <c r="AE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10" s="64" customFormat="1" hidden="1" outlineLevel="1" x14ac:dyDescent="0.2">
      <c r="A247" s="64" t="s">
        <v>479</v>
      </c>
      <c r="AB247" s="30"/>
      <c r="AC247" s="30"/>
      <c r="AD247" s="30"/>
      <c r="AE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10" s="89" customFormat="1" hidden="1" outlineLevel="1" x14ac:dyDescent="0.2">
      <c r="A248" s="86" t="s">
        <v>480</v>
      </c>
      <c r="B248" s="86" t="e">
        <f>+B247/B246</f>
        <v>#DIV/0!</v>
      </c>
      <c r="C248" s="86" t="e">
        <f t="shared" ref="C248:X248" si="2188">+C247/C246</f>
        <v>#DIV/0!</v>
      </c>
      <c r="D248" s="86" t="e">
        <f t="shared" si="2188"/>
        <v>#DIV/0!</v>
      </c>
      <c r="E248" s="86" t="e">
        <f t="shared" si="2188"/>
        <v>#DIV/0!</v>
      </c>
      <c r="F248" s="86" t="e">
        <f t="shared" si="2188"/>
        <v>#DIV/0!</v>
      </c>
      <c r="G248" s="86" t="e">
        <f t="shared" si="2188"/>
        <v>#DIV/0!</v>
      </c>
      <c r="H248" s="86" t="e">
        <f t="shared" si="2188"/>
        <v>#DIV/0!</v>
      </c>
      <c r="I248" s="86" t="e">
        <f t="shared" si="2188"/>
        <v>#DIV/0!</v>
      </c>
      <c r="J248" s="86" t="e">
        <f t="shared" si="2188"/>
        <v>#DIV/0!</v>
      </c>
      <c r="K248" s="86" t="e">
        <f t="shared" si="2188"/>
        <v>#DIV/0!</v>
      </c>
      <c r="L248" s="86" t="e">
        <f t="shared" si="2188"/>
        <v>#DIV/0!</v>
      </c>
      <c r="M248" s="86" t="e">
        <f t="shared" si="2188"/>
        <v>#DIV/0!</v>
      </c>
      <c r="N248" s="86" t="e">
        <f t="shared" si="2188"/>
        <v>#DIV/0!</v>
      </c>
      <c r="O248" s="86" t="e">
        <f t="shared" si="2188"/>
        <v>#DIV/0!</v>
      </c>
      <c r="P248" s="86" t="e">
        <f t="shared" si="2188"/>
        <v>#DIV/0!</v>
      </c>
      <c r="Q248" s="86" t="e">
        <f t="shared" si="2188"/>
        <v>#DIV/0!</v>
      </c>
      <c r="R248" s="86" t="e">
        <f t="shared" si="2188"/>
        <v>#DIV/0!</v>
      </c>
      <c r="S248" s="86" t="e">
        <f t="shared" si="2188"/>
        <v>#DIV/0!</v>
      </c>
      <c r="T248" s="86" t="e">
        <f t="shared" si="2188"/>
        <v>#DIV/0!</v>
      </c>
      <c r="U248" s="86" t="e">
        <f t="shared" si="2188"/>
        <v>#DIV/0!</v>
      </c>
      <c r="V248" s="86" t="e">
        <f t="shared" si="2188"/>
        <v>#DIV/0!</v>
      </c>
      <c r="W248" s="86" t="e">
        <f t="shared" si="2188"/>
        <v>#DIV/0!</v>
      </c>
      <c r="X248" s="86" t="e">
        <f t="shared" si="2188"/>
        <v>#DIV/0!</v>
      </c>
      <c r="Y248" s="86" t="e">
        <f t="shared" ref="Y248:Z248" si="2189">+Y247/Y246</f>
        <v>#DIV/0!</v>
      </c>
      <c r="Z248" s="86" t="e">
        <f t="shared" si="2189"/>
        <v>#DIV/0!</v>
      </c>
      <c r="AA248" s="86" t="e">
        <f t="shared" ref="AA248" si="2190">+AA247/AA246</f>
        <v>#DIV/0!</v>
      </c>
      <c r="AB248" s="87"/>
      <c r="AC248" s="87"/>
      <c r="AD248" s="87"/>
      <c r="AE248" s="87"/>
      <c r="AF248" s="86"/>
      <c r="AG248" s="86"/>
      <c r="AH248" s="86"/>
      <c r="AI248" s="86" t="e">
        <f t="shared" ref="AI248" si="2191">+AI247/AI246</f>
        <v>#DIV/0!</v>
      </c>
      <c r="AJ248" s="86" t="e">
        <f t="shared" ref="AJ248" si="2192">+AJ247/AJ246</f>
        <v>#DIV/0!</v>
      </c>
      <c r="AK248" s="86" t="e">
        <f t="shared" ref="AK248" si="2193">+AK247/AK246</f>
        <v>#DIV/0!</v>
      </c>
      <c r="AL248" s="86" t="e">
        <f t="shared" ref="AL248" si="2194">+AL247/AL246</f>
        <v>#DIV/0!</v>
      </c>
      <c r="AM248" s="86" t="e">
        <f t="shared" ref="AM248" si="2195">+AM247/AM246</f>
        <v>#DIV/0!</v>
      </c>
      <c r="AN248" s="86" t="e">
        <f t="shared" ref="AN248" si="2196">+AN247/AN246</f>
        <v>#DIV/0!</v>
      </c>
      <c r="AO248" s="86" t="e">
        <f t="shared" ref="AO248" si="2197">+AO247/AO246</f>
        <v>#DIV/0!</v>
      </c>
      <c r="AP248" s="86" t="e">
        <f t="shared" ref="AP248" si="2198">+AP247/AP246</f>
        <v>#DIV/0!</v>
      </c>
      <c r="AQ248" s="86" t="e">
        <f t="shared" ref="AQ248" si="2199">+AQ247/AQ246</f>
        <v>#DIV/0!</v>
      </c>
      <c r="AR248" s="86" t="e">
        <f t="shared" ref="AR248" si="2200">+AR247/AR246</f>
        <v>#DIV/0!</v>
      </c>
      <c r="AS248" s="86" t="e">
        <f t="shared" ref="AS248" si="2201">+AS247/AS246</f>
        <v>#DIV/0!</v>
      </c>
      <c r="AT248" s="86" t="e">
        <f t="shared" ref="AT248" si="2202">+AT247/AT246</f>
        <v>#DIV/0!</v>
      </c>
      <c r="AU248" s="86" t="e">
        <f t="shared" ref="AU248" si="2203">+AU247/AU246</f>
        <v>#DIV/0!</v>
      </c>
      <c r="AV248" s="86" t="e">
        <f t="shared" ref="AV248" si="2204">+AV247/AV246</f>
        <v>#DIV/0!</v>
      </c>
      <c r="AW248" s="86" t="e">
        <f t="shared" ref="AW248" si="2205">+AW247/AW246</f>
        <v>#DIV/0!</v>
      </c>
      <c r="AX248" s="86" t="e">
        <f t="shared" ref="AX248" si="2206">+AX247/AX246</f>
        <v>#DIV/0!</v>
      </c>
      <c r="AY248" s="86" t="e">
        <f t="shared" ref="AY248" si="2207">+AY247/AY246</f>
        <v>#DIV/0!</v>
      </c>
      <c r="AZ248" s="86" t="e">
        <f t="shared" ref="AZ248" si="2208">+AZ247/AZ246</f>
        <v>#DIV/0!</v>
      </c>
      <c r="BA248" s="86" t="e">
        <f t="shared" ref="BA248" si="2209">+BA247/BA246</f>
        <v>#DIV/0!</v>
      </c>
      <c r="BB248" s="86" t="e">
        <f t="shared" ref="BB248" si="2210">+BB247/BB246</f>
        <v>#DIV/0!</v>
      </c>
      <c r="BC248" s="86" t="e">
        <f t="shared" ref="BC248" si="2211">+BC247/BC246</f>
        <v>#DIV/0!</v>
      </c>
      <c r="BD248" s="86" t="e">
        <f t="shared" ref="BD248" si="2212">+BD247/BD246</f>
        <v>#DIV/0!</v>
      </c>
      <c r="BE248" s="86" t="e">
        <f t="shared" ref="BE248" si="2213">+BE247/BE246</f>
        <v>#DIV/0!</v>
      </c>
      <c r="BF248" s="86" t="e">
        <f t="shared" ref="BF248" si="2214">+BF247/BF246</f>
        <v>#DIV/0!</v>
      </c>
      <c r="BG248" s="86" t="e">
        <f t="shared" ref="BG248" si="2215">+BG247/BG246</f>
        <v>#DIV/0!</v>
      </c>
      <c r="BH248" s="86" t="e">
        <f t="shared" ref="BH248" si="2216">+BH247/BH246</f>
        <v>#DIV/0!</v>
      </c>
      <c r="BI248" s="86" t="e">
        <f t="shared" ref="BI248" si="2217">+BI247/BI246</f>
        <v>#DIV/0!</v>
      </c>
      <c r="BJ248" s="86" t="e">
        <f t="shared" ref="BJ248" si="2218">+BJ247/BJ246</f>
        <v>#DIV/0!</v>
      </c>
      <c r="BK248" s="86" t="e">
        <f t="shared" ref="BK248" si="2219">+BK247/BK246</f>
        <v>#DIV/0!</v>
      </c>
      <c r="BL248" s="86" t="e">
        <f t="shared" ref="BL248" si="2220">+BL247/BL246</f>
        <v>#DIV/0!</v>
      </c>
      <c r="BM248" s="86" t="e">
        <f t="shared" ref="BM248" si="2221">+BM247/BM246</f>
        <v>#DIV/0!</v>
      </c>
      <c r="BN248" s="86" t="e">
        <f t="shared" ref="BN248" si="2222">+BN247/BN246</f>
        <v>#DIV/0!</v>
      </c>
      <c r="BO248" s="86" t="e">
        <f t="shared" ref="BO248" si="2223">+BO247/BO246</f>
        <v>#DIV/0!</v>
      </c>
      <c r="BP248" s="86" t="e">
        <f t="shared" ref="BP248" si="2224">+BP247/BP246</f>
        <v>#DIV/0!</v>
      </c>
      <c r="BQ248" s="86" t="e">
        <f t="shared" ref="BQ248" si="2225">+BQ247/BQ246</f>
        <v>#DIV/0!</v>
      </c>
      <c r="BR248" s="86" t="e">
        <f t="shared" ref="BR248" si="2226">+BR247/BR246</f>
        <v>#DIV/0!</v>
      </c>
      <c r="BS248" s="86" t="e">
        <f t="shared" ref="BS248" si="2227">+BS247/BS246</f>
        <v>#DIV/0!</v>
      </c>
      <c r="BT248" s="86" t="e">
        <f t="shared" ref="BT248" si="2228">+BT247/BT246</f>
        <v>#DIV/0!</v>
      </c>
      <c r="BU248" s="86" t="e">
        <f t="shared" ref="BU248" si="2229">+BU247/BU246</f>
        <v>#DIV/0!</v>
      </c>
      <c r="BV248" s="86" t="e">
        <f t="shared" ref="BV248" si="2230">+BV247/BV246</f>
        <v>#DIV/0!</v>
      </c>
      <c r="BW248" s="86" t="e">
        <f t="shared" ref="BW248" si="2231">+BW247/BW246</f>
        <v>#DIV/0!</v>
      </c>
      <c r="BX248" s="86" t="e">
        <f t="shared" ref="BX248" si="2232">+BX247/BX246</f>
        <v>#DIV/0!</v>
      </c>
      <c r="BY248" s="86" t="e">
        <f t="shared" ref="BY248" si="2233">+BY247/BY246</f>
        <v>#DIV/0!</v>
      </c>
      <c r="BZ248" s="86" t="e">
        <f t="shared" ref="BZ248" si="2234">+BZ247/BZ246</f>
        <v>#DIV/0!</v>
      </c>
      <c r="CA248" s="86" t="e">
        <f t="shared" ref="CA248" si="2235">+CA247/CA246</f>
        <v>#DIV/0!</v>
      </c>
      <c r="CB248" s="86" t="e">
        <f t="shared" ref="CB248:CC248" si="2236">+CB247/CB246</f>
        <v>#DIV/0!</v>
      </c>
      <c r="CC248" s="86" t="e">
        <f t="shared" si="2236"/>
        <v>#DIV/0!</v>
      </c>
      <c r="CD248" s="86" t="e">
        <f t="shared" ref="CD248" si="2237">+CD247/CD246</f>
        <v>#DIV/0!</v>
      </c>
      <c r="CE248" s="86" t="e">
        <f t="shared" ref="CE248:CF248" si="2238">+CE247/CE246</f>
        <v>#DIV/0!</v>
      </c>
      <c r="CF248" s="86" t="e">
        <f t="shared" si="2238"/>
        <v>#DIV/0!</v>
      </c>
      <c r="CG248" s="86" t="e">
        <f t="shared" ref="CG248:CH248" si="2239">+CG247/CG246</f>
        <v>#DIV/0!</v>
      </c>
      <c r="CH248" s="86" t="e">
        <f t="shared" si="2239"/>
        <v>#DIV/0!</v>
      </c>
      <c r="CI248" s="86" t="e">
        <f t="shared" ref="CI248:CJ248" si="2240">+CI247/CI246</f>
        <v>#DIV/0!</v>
      </c>
      <c r="CJ248" s="86" t="e">
        <f t="shared" si="2240"/>
        <v>#DIV/0!</v>
      </c>
      <c r="CK248" s="86" t="e">
        <f t="shared" ref="CK248:DB248" si="2241">+CK247/CK246</f>
        <v>#DIV/0!</v>
      </c>
      <c r="CL248" s="86" t="e">
        <f t="shared" si="2241"/>
        <v>#DIV/0!</v>
      </c>
      <c r="CM248" s="47" t="e">
        <f t="shared" si="2241"/>
        <v>#DIV/0!</v>
      </c>
      <c r="CN248" s="47" t="e">
        <f t="shared" si="2241"/>
        <v>#DIV/0!</v>
      </c>
      <c r="CO248" s="47" t="e">
        <f t="shared" si="2241"/>
        <v>#DIV/0!</v>
      </c>
      <c r="CP248" s="47" t="e">
        <f t="shared" si="2241"/>
        <v>#DIV/0!</v>
      </c>
      <c r="CQ248" s="47" t="e">
        <f t="shared" si="2241"/>
        <v>#DIV/0!</v>
      </c>
      <c r="CR248" s="47" t="e">
        <f t="shared" si="2241"/>
        <v>#DIV/0!</v>
      </c>
      <c r="CS248" s="47" t="e">
        <f t="shared" si="2241"/>
        <v>#DIV/0!</v>
      </c>
      <c r="CT248" s="47" t="e">
        <f t="shared" si="2241"/>
        <v>#DIV/0!</v>
      </c>
      <c r="CU248" s="47" t="e">
        <f t="shared" si="2241"/>
        <v>#DIV/0!</v>
      </c>
      <c r="CV248" s="47" t="e">
        <f t="shared" si="2241"/>
        <v>#DIV/0!</v>
      </c>
      <c r="CW248" s="47" t="e">
        <f t="shared" si="2241"/>
        <v>#DIV/0!</v>
      </c>
      <c r="CX248" s="47" t="e">
        <f t="shared" si="2241"/>
        <v>#DIV/0!</v>
      </c>
      <c r="CY248" s="47" t="e">
        <f t="shared" si="2241"/>
        <v>#DIV/0!</v>
      </c>
      <c r="CZ248" s="47" t="e">
        <f t="shared" si="2241"/>
        <v>#DIV/0!</v>
      </c>
      <c r="DA248" s="47" t="e">
        <f t="shared" si="2241"/>
        <v>#DIV/0!</v>
      </c>
      <c r="DB248" s="47" t="e">
        <f t="shared" si="2241"/>
        <v>#DIV/0!</v>
      </c>
      <c r="DE248" s="130"/>
    </row>
    <row r="249" spans="1:110" s="64" customFormat="1" hidden="1" outlineLevel="1" x14ac:dyDescent="0.2">
      <c r="A249" s="64" t="s">
        <v>481</v>
      </c>
      <c r="AB249" s="30"/>
      <c r="AC249" s="30"/>
      <c r="AD249" s="30"/>
      <c r="AE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62" customFormat="1" hidden="1" outlineLevel="1" x14ac:dyDescent="0.2">
      <c r="AB250" s="63"/>
      <c r="AC250" s="63"/>
      <c r="AD250" s="63"/>
      <c r="AE250" s="63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  <c r="DF250" s="114"/>
    </row>
    <row r="251" spans="1:110" s="11" customFormat="1" collapsed="1" x14ac:dyDescent="0.2">
      <c r="AB251" s="63"/>
      <c r="AC251" s="63"/>
      <c r="AD251" s="63"/>
      <c r="AE251" s="63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  <c r="DF251" s="216"/>
    </row>
    <row r="252" spans="1:110" s="62" customFormat="1" x14ac:dyDescent="0.2">
      <c r="A252" s="154" t="s">
        <v>497</v>
      </c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  <c r="AB252" s="63"/>
      <c r="AC252" s="63"/>
      <c r="AD252" s="63"/>
      <c r="AE252" s="63"/>
      <c r="AL252" s="180"/>
      <c r="CF252" s="180"/>
      <c r="CG252" s="180"/>
      <c r="CH252" s="180"/>
      <c r="CI252" s="180"/>
      <c r="CJ252" s="180"/>
      <c r="CK252" s="180"/>
      <c r="CL252" s="18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  <c r="DF252" s="114"/>
    </row>
    <row r="253" spans="1:110" s="84" customFormat="1" x14ac:dyDescent="0.2">
      <c r="A253" s="84" t="s">
        <v>512</v>
      </c>
      <c r="B253" s="84" t="e">
        <f>B17/B174</f>
        <v>#DIV/0!</v>
      </c>
      <c r="C253" s="84" t="e">
        <f>C17/C174</f>
        <v>#DIV/0!</v>
      </c>
      <c r="D253" s="84" t="e">
        <f>D17/D174</f>
        <v>#DIV/0!</v>
      </c>
      <c r="E253" s="84">
        <f t="shared" ref="E253:Y253" si="2242">E19/(E170+E157+E147)</f>
        <v>0</v>
      </c>
      <c r="F253" s="84">
        <f t="shared" si="2242"/>
        <v>1.8458781226272007</v>
      </c>
      <c r="G253" s="84">
        <f t="shared" si="2242"/>
        <v>1.5453378273680189</v>
      </c>
      <c r="H253" s="84">
        <f t="shared" si="2242"/>
        <v>1.4323876180547039</v>
      </c>
      <c r="I253" s="84">
        <f t="shared" si="2242"/>
        <v>1.2952685047806267</v>
      </c>
      <c r="J253" s="84">
        <f t="shared" si="2242"/>
        <v>1.2335337414823579</v>
      </c>
      <c r="K253" s="84">
        <f t="shared" si="2242"/>
        <v>1.1547932372752823</v>
      </c>
      <c r="L253" s="84">
        <f t="shared" si="2242"/>
        <v>1.187084038066063</v>
      </c>
      <c r="M253" s="84">
        <f t="shared" si="2242"/>
        <v>1.2072583407016662</v>
      </c>
      <c r="N253" s="84">
        <f t="shared" si="2242"/>
        <v>1.2377733258530521</v>
      </c>
      <c r="O253" s="84">
        <f t="shared" si="2242"/>
        <v>1.2696617530067211</v>
      </c>
      <c r="P253" s="84">
        <f t="shared" si="2242"/>
        <v>1.2983719938719651</v>
      </c>
      <c r="Q253" s="84">
        <f t="shared" si="2242"/>
        <v>1.2656066165763877</v>
      </c>
      <c r="R253" s="84">
        <f t="shared" si="2242"/>
        <v>1.1787170263788969</v>
      </c>
      <c r="S253" s="84">
        <f t="shared" si="2242"/>
        <v>1.2004758839935248</v>
      </c>
      <c r="T253" s="84">
        <f t="shared" si="2242"/>
        <v>1.3071451520776809</v>
      </c>
      <c r="U253" s="84">
        <f t="shared" si="2242"/>
        <v>1.3317126978066267</v>
      </c>
      <c r="V253" s="84">
        <f t="shared" si="2242"/>
        <v>1.2966631125853967</v>
      </c>
      <c r="W253" s="84">
        <f t="shared" si="2242"/>
        <v>1.3937332373912474</v>
      </c>
      <c r="X253" s="84">
        <f t="shared" si="2242"/>
        <v>1.6095175545053471</v>
      </c>
      <c r="Y253" s="84">
        <f t="shared" si="2242"/>
        <v>1.6873393338703464</v>
      </c>
      <c r="Z253" s="84">
        <f>Z19/(Z170+Z157+Z147)</f>
        <v>1.6390458093672966</v>
      </c>
      <c r="AA253" s="84">
        <f>AA19/(AA170+AA157+AA147)</f>
        <v>1.5027435575640586</v>
      </c>
      <c r="AB253" s="50">
        <f t="shared" ref="AA253:AE253" si="2243">AB19/(AB170+AB157+AB147)</f>
        <v>1.2078032001803247</v>
      </c>
      <c r="AC253" s="50">
        <f t="shared" si="2243"/>
        <v>0.99305074670330873</v>
      </c>
      <c r="AD253" s="50">
        <f t="shared" si="2243"/>
        <v>0.84499713459122872</v>
      </c>
      <c r="AE253" s="50">
        <f t="shared" si="2243"/>
        <v>0.73709480941752958</v>
      </c>
      <c r="AL253" s="84">
        <f>SUM(AI19:AL19)/(AL170+AL157+AL147)</f>
        <v>1.2344881591138424</v>
      </c>
      <c r="AM253" s="84">
        <f t="shared" ref="AM253:CJ253" si="2244">SUM(AJ19:AM19)/(AM170+AM157+AM147)</f>
        <v>1.1964142481906332</v>
      </c>
      <c r="AN253" s="84">
        <f t="shared" si="2244"/>
        <v>1.3013186033532984</v>
      </c>
      <c r="AO253" s="84">
        <f t="shared" si="2244"/>
        <v>1.2722533831087155</v>
      </c>
      <c r="AP253" s="84">
        <f t="shared" si="2244"/>
        <v>1.2620192124911453</v>
      </c>
      <c r="AQ253" s="84">
        <f t="shared" si="2244"/>
        <v>1.2195458638602104</v>
      </c>
      <c r="AR253" s="84">
        <f t="shared" si="2244"/>
        <v>1.3804114120049256</v>
      </c>
      <c r="AS253" s="84">
        <f t="shared" si="2244"/>
        <v>1.3173643962016302</v>
      </c>
      <c r="AT253" s="84">
        <f t="shared" si="2244"/>
        <v>1.2983719938719653</v>
      </c>
      <c r="AU253" s="84">
        <f t="shared" si="2244"/>
        <v>1.2403927160753259</v>
      </c>
      <c r="AV253" s="84">
        <f t="shared" si="2244"/>
        <v>1.3356037505942913</v>
      </c>
      <c r="AW253" s="84">
        <f t="shared" si="2244"/>
        <v>1.2703867574414704</v>
      </c>
      <c r="AX253" s="84">
        <f t="shared" si="2244"/>
        <v>1.2656066165763877</v>
      </c>
      <c r="AY253" s="84">
        <f t="shared" si="2244"/>
        <v>1.2153299718398975</v>
      </c>
      <c r="AZ253" s="84">
        <f t="shared" si="2244"/>
        <v>1.2673313393153871</v>
      </c>
      <c r="BA253" s="84">
        <f t="shared" si="2244"/>
        <v>1.2020327307523173</v>
      </c>
      <c r="BB253" s="84">
        <f t="shared" si="2244"/>
        <v>1.1787170263788969</v>
      </c>
      <c r="BC253" s="84">
        <f t="shared" si="2244"/>
        <v>1.115356799537246</v>
      </c>
      <c r="BD253" s="84">
        <f t="shared" si="2244"/>
        <v>1.3217200875970536</v>
      </c>
      <c r="BE253" s="84">
        <f t="shared" si="2244"/>
        <v>1.2439099713997301</v>
      </c>
      <c r="BF253" s="84">
        <f t="shared" si="2244"/>
        <v>1.2004758839935248</v>
      </c>
      <c r="BG253" s="84">
        <f t="shared" si="2244"/>
        <v>1.1591882894606536</v>
      </c>
      <c r="BH253" s="84">
        <f t="shared" si="2244"/>
        <v>1.3557173187746436</v>
      </c>
      <c r="BI253" s="84">
        <f t="shared" si="2244"/>
        <v>1.3121549597065285</v>
      </c>
      <c r="BJ253" s="84">
        <f t="shared" si="2244"/>
        <v>1.3071451520776809</v>
      </c>
      <c r="BK253" s="84">
        <f t="shared" si="2244"/>
        <v>1.2509710768382472</v>
      </c>
      <c r="BL253" s="84">
        <f t="shared" si="2244"/>
        <v>1.2217744519933342</v>
      </c>
      <c r="BM253" s="84">
        <f t="shared" si="2244"/>
        <v>1.1647623445601845</v>
      </c>
      <c r="BN253" s="84">
        <f t="shared" si="2244"/>
        <v>1.3317126978066267</v>
      </c>
      <c r="BO253" s="84">
        <f t="shared" si="2244"/>
        <v>1.2609381048947592</v>
      </c>
      <c r="BP253" s="84">
        <f t="shared" si="2244"/>
        <v>1.2161360475213439</v>
      </c>
      <c r="BQ253" s="84">
        <f t="shared" si="2244"/>
        <v>1.1532303866772859</v>
      </c>
      <c r="BR253" s="84">
        <f t="shared" si="2244"/>
        <v>1.2966631125853967</v>
      </c>
      <c r="BS253" s="84">
        <f t="shared" si="2244"/>
        <v>1.2599590859827483</v>
      </c>
      <c r="BT253" s="84">
        <f t="shared" si="2244"/>
        <v>1.280220372994239</v>
      </c>
      <c r="BU253" s="84">
        <f t="shared" si="2244"/>
        <v>1.2394098483895097</v>
      </c>
      <c r="BV253" s="84">
        <f t="shared" si="2244"/>
        <v>1.3937332373912474</v>
      </c>
      <c r="BW253" s="84">
        <f t="shared" si="2244"/>
        <v>1.3507017632566114</v>
      </c>
      <c r="BX253" s="84">
        <f t="shared" si="2244"/>
        <v>1.431735870142592</v>
      </c>
      <c r="BY253" s="84">
        <f t="shared" si="2244"/>
        <v>1.3868949401333694</v>
      </c>
      <c r="BZ253" s="84">
        <f t="shared" si="2244"/>
        <v>1.6095175545053471</v>
      </c>
      <c r="CA253" s="84">
        <f t="shared" si="2244"/>
        <v>1.5350193967457211</v>
      </c>
      <c r="CB253" s="84">
        <f t="shared" si="2244"/>
        <v>1.5639360308998795</v>
      </c>
      <c r="CC253" s="84">
        <f t="shared" si="2244"/>
        <v>1.4704346039445317</v>
      </c>
      <c r="CD253" s="84">
        <f t="shared" si="2244"/>
        <v>1.6873393338703464</v>
      </c>
      <c r="CE253" s="84">
        <f t="shared" si="2244"/>
        <v>1.5747025963707308</v>
      </c>
      <c r="CF253" s="84">
        <f t="shared" si="2244"/>
        <v>1.579528349222278</v>
      </c>
      <c r="CG253" s="84">
        <f t="shared" si="2244"/>
        <v>1.4848488775523125</v>
      </c>
      <c r="CH253" s="84">
        <f t="shared" si="2244"/>
        <v>1.6390458093672966</v>
      </c>
      <c r="CI253" s="84">
        <f t="shared" si="2244"/>
        <v>1.5290603792983066</v>
      </c>
      <c r="CJ253" s="84">
        <f t="shared" si="2244"/>
        <v>1.5054595166180793</v>
      </c>
      <c r="CK253" s="84">
        <f t="shared" ref="CK253" si="2245">SUM(CH19:CK19)/(CK170+CK157+CK147)</f>
        <v>1.4241266317284418</v>
      </c>
      <c r="CL253" s="84">
        <f t="shared" ref="CL253:DB253" si="2246">SUM(CI19:CL19)/(CL170+CL157+CL147)</f>
        <v>1.5027435575640586</v>
      </c>
      <c r="CM253" s="50">
        <f t="shared" si="2246"/>
        <v>1.4343391010285458</v>
      </c>
      <c r="CN253" s="50">
        <f t="shared" si="2246"/>
        <v>1.3551157006904706</v>
      </c>
      <c r="CO253" s="50">
        <f t="shared" si="2246"/>
        <v>1.2829250996151538</v>
      </c>
      <c r="CP253" s="50">
        <f t="shared" si="2246"/>
        <v>1.2078032001803247</v>
      </c>
      <c r="CQ253" s="50">
        <f t="shared" si="2246"/>
        <v>1.1456168944329004</v>
      </c>
      <c r="CR253" s="50">
        <f t="shared" si="2246"/>
        <v>1.0895768199548534</v>
      </c>
      <c r="CS253" s="50">
        <f t="shared" si="2246"/>
        <v>1.038959839022171</v>
      </c>
      <c r="CT253" s="50">
        <f t="shared" si="2246"/>
        <v>0.99305074670330873</v>
      </c>
      <c r="CU253" s="50">
        <f t="shared" si="2246"/>
        <v>0.95112419844549645</v>
      </c>
      <c r="CV253" s="50">
        <f t="shared" si="2246"/>
        <v>0.91273919373135193</v>
      </c>
      <c r="CW253" s="50">
        <f t="shared" si="2246"/>
        <v>0.87748608464333677</v>
      </c>
      <c r="CX253" s="50">
        <f t="shared" si="2246"/>
        <v>0.84499713459122872</v>
      </c>
      <c r="CY253" s="50">
        <f t="shared" si="2246"/>
        <v>0.81495440434655297</v>
      </c>
      <c r="CZ253" s="50">
        <f t="shared" si="2246"/>
        <v>0.78710334009141403</v>
      </c>
      <c r="DA253" s="50">
        <f t="shared" si="2246"/>
        <v>0.76121662758063335</v>
      </c>
      <c r="DB253" s="50">
        <f t="shared" si="2246"/>
        <v>0.73709480941752958</v>
      </c>
      <c r="DE253" s="138"/>
      <c r="DF253" s="84">
        <v>1.3463879388702398</v>
      </c>
    </row>
    <row r="254" spans="1:110" s="84" customFormat="1" x14ac:dyDescent="0.2">
      <c r="A254" s="84" t="s">
        <v>513</v>
      </c>
      <c r="E254" s="181" t="e">
        <f>+E51</f>
        <v>#DIV/0!</v>
      </c>
      <c r="F254" s="181">
        <f t="shared" ref="F254:AE254" si="2247">+F51</f>
        <v>0.22944113281366194</v>
      </c>
      <c r="G254" s="181">
        <f t="shared" si="2247"/>
        <v>0.22595387963953525</v>
      </c>
      <c r="H254" s="181">
        <f t="shared" si="2247"/>
        <v>0.22768382051900962</v>
      </c>
      <c r="I254" s="181">
        <f t="shared" si="2247"/>
        <v>0.2236846758905581</v>
      </c>
      <c r="J254" s="181">
        <f t="shared" si="2247"/>
        <v>0.19095900891960846</v>
      </c>
      <c r="K254" s="181">
        <f t="shared" si="2247"/>
        <v>0.23619430868642635</v>
      </c>
      <c r="L254" s="181">
        <f t="shared" si="2247"/>
        <v>0.24621327915624341</v>
      </c>
      <c r="M254" s="181">
        <f t="shared" si="2247"/>
        <v>0.21523063339484766</v>
      </c>
      <c r="N254" s="181">
        <f t="shared" si="2247"/>
        <v>0.22346096522784442</v>
      </c>
      <c r="O254" s="181">
        <f t="shared" si="2247"/>
        <v>0.23630388992164217</v>
      </c>
      <c r="P254" s="181">
        <f t="shared" si="2247"/>
        <v>0.2067646989526819</v>
      </c>
      <c r="Q254" s="181">
        <f t="shared" si="2247"/>
        <v>0.22401192864900688</v>
      </c>
      <c r="R254" s="181">
        <f t="shared" si="2247"/>
        <v>0.22342878456504417</v>
      </c>
      <c r="S254" s="181">
        <f t="shared" si="2247"/>
        <v>0.21022874967507149</v>
      </c>
      <c r="T254" s="181">
        <f t="shared" si="2247"/>
        <v>0.21549469831971216</v>
      </c>
      <c r="U254" s="181">
        <f t="shared" si="2247"/>
        <v>0.20673594607165385</v>
      </c>
      <c r="V254" s="181">
        <f t="shared" si="2247"/>
        <v>0.20575354647727756</v>
      </c>
      <c r="W254" s="181">
        <f t="shared" si="2247"/>
        <v>0.20051211448001086</v>
      </c>
      <c r="X254" s="181">
        <f t="shared" si="2247"/>
        <v>0.18763139919630265</v>
      </c>
      <c r="Y254" s="181">
        <f t="shared" si="2247"/>
        <v>0.19534399090052429</v>
      </c>
      <c r="Z254" s="181">
        <f t="shared" si="2247"/>
        <v>0.19111795209224358</v>
      </c>
      <c r="AA254" s="181">
        <f t="shared" ref="AA254" si="2248">+AA51</f>
        <v>0.2021563847038248</v>
      </c>
      <c r="AB254" s="182">
        <f t="shared" si="2247"/>
        <v>0.20020694673485617</v>
      </c>
      <c r="AC254" s="182">
        <f t="shared" si="2247"/>
        <v>0.20770368601684666</v>
      </c>
      <c r="AD254" s="182">
        <f t="shared" si="2247"/>
        <v>0.2138371241521255</v>
      </c>
      <c r="AE254" s="182">
        <f t="shared" si="2247"/>
        <v>0.21925844705881772</v>
      </c>
      <c r="AL254" s="181">
        <f t="shared" ref="AL254:CW254" si="2249">+AL51</f>
        <v>0.22262324795542807</v>
      </c>
      <c r="AM254" s="181">
        <f t="shared" si="2249"/>
        <v>0.21657068914803509</v>
      </c>
      <c r="AN254" s="181">
        <f t="shared" si="2249"/>
        <v>0.22679964465846925</v>
      </c>
      <c r="AO254" s="181">
        <f t="shared" si="2249"/>
        <v>0.2525274772752461</v>
      </c>
      <c r="AP254" s="181">
        <f t="shared" si="2249"/>
        <v>0.25101514586965223</v>
      </c>
      <c r="AQ254" s="181">
        <f t="shared" si="2249"/>
        <v>0.23132753200551939</v>
      </c>
      <c r="AR254" s="181">
        <f t="shared" si="2249"/>
        <v>0.22305017366126306</v>
      </c>
      <c r="AS254" s="181">
        <f t="shared" si="2249"/>
        <v>0.21992201179210435</v>
      </c>
      <c r="AT254" s="181">
        <f t="shared" si="2249"/>
        <v>0.155015986946196</v>
      </c>
      <c r="AU254" s="181">
        <f t="shared" si="2249"/>
        <v>0.22491039426523299</v>
      </c>
      <c r="AV254" s="181">
        <f t="shared" si="2249"/>
        <v>0.22429596907785754</v>
      </c>
      <c r="AW254" s="181">
        <f t="shared" si="2249"/>
        <v>0.22383423476099987</v>
      </c>
      <c r="AX254" s="181">
        <f t="shared" si="2249"/>
        <v>0.22310098773243348</v>
      </c>
      <c r="AY254" s="181">
        <f t="shared" si="2249"/>
        <v>0.21559460842859579</v>
      </c>
      <c r="AZ254" s="181">
        <f t="shared" si="2249"/>
        <v>0.22548149159950825</v>
      </c>
      <c r="BA254" s="181">
        <f t="shared" si="2249"/>
        <v>0.22915755843282326</v>
      </c>
      <c r="BB254" s="181">
        <f t="shared" si="2249"/>
        <v>0.22339923082113217</v>
      </c>
      <c r="BC254" s="181">
        <f t="shared" si="2249"/>
        <v>0.20112222823147646</v>
      </c>
      <c r="BD254" s="181">
        <f t="shared" si="2249"/>
        <v>0.21151894175043384</v>
      </c>
      <c r="BE254" s="181">
        <f t="shared" si="2249"/>
        <v>0.21178488221589439</v>
      </c>
      <c r="BF254" s="181">
        <f t="shared" si="2249"/>
        <v>0.21590023382696805</v>
      </c>
      <c r="BG254" s="181">
        <f t="shared" si="2249"/>
        <v>0.21487989258924142</v>
      </c>
      <c r="BH254" s="181">
        <f t="shared" si="2249"/>
        <v>0.21509198458783307</v>
      </c>
      <c r="BI254" s="181">
        <f t="shared" si="2249"/>
        <v>0.21749959826450266</v>
      </c>
      <c r="BJ254" s="181">
        <f t="shared" si="2249"/>
        <v>0.2144698763483294</v>
      </c>
      <c r="BK254" s="181">
        <f t="shared" si="2249"/>
        <v>0.21358587446295715</v>
      </c>
      <c r="BL254" s="181">
        <f t="shared" si="2249"/>
        <v>0.20673730661672268</v>
      </c>
      <c r="BM254" s="181">
        <f t="shared" si="2249"/>
        <v>0.20432077081346917</v>
      </c>
      <c r="BN254" s="181">
        <f t="shared" si="2249"/>
        <v>0.2025985079857808</v>
      </c>
      <c r="BO254" s="181">
        <f t="shared" si="2249"/>
        <v>0.18394133917853975</v>
      </c>
      <c r="BP254" s="181">
        <f t="shared" si="2249"/>
        <v>0.21731655662140276</v>
      </c>
      <c r="BQ254" s="181">
        <f t="shared" si="2249"/>
        <v>0.20771153159585862</v>
      </c>
      <c r="BR254" s="181">
        <f t="shared" si="2249"/>
        <v>0.2123784464020135</v>
      </c>
      <c r="BS254" s="181">
        <f t="shared" si="2249"/>
        <v>0.19887251987403934</v>
      </c>
      <c r="BT254" s="181">
        <f t="shared" si="2249"/>
        <v>0.20596581816630039</v>
      </c>
      <c r="BU254" s="181">
        <f t="shared" si="2249"/>
        <v>0.20059322900685281</v>
      </c>
      <c r="BV254" s="181">
        <f t="shared" si="2249"/>
        <v>0.19685319523235359</v>
      </c>
      <c r="BW254" s="181">
        <f t="shared" si="2249"/>
        <v>0.18042761287387696</v>
      </c>
      <c r="BX254" s="181">
        <f t="shared" si="2249"/>
        <v>0.18920971270498471</v>
      </c>
      <c r="BY254" s="181">
        <f t="shared" si="2249"/>
        <v>0.18689999828264267</v>
      </c>
      <c r="BZ254" s="181">
        <f t="shared" si="2249"/>
        <v>0.19329975321997228</v>
      </c>
      <c r="CA254" s="181">
        <f t="shared" si="2249"/>
        <v>0.18726528687627356</v>
      </c>
      <c r="CB254" s="181">
        <f t="shared" si="2249"/>
        <v>0.19064531260470416</v>
      </c>
      <c r="CC254" s="181">
        <f t="shared" si="2249"/>
        <v>0.19898321311258935</v>
      </c>
      <c r="CD254" s="181">
        <f t="shared" si="2249"/>
        <v>0.20415761712690039</v>
      </c>
      <c r="CE254" s="181">
        <f t="shared" si="2249"/>
        <v>0.193330458530976</v>
      </c>
      <c r="CF254" s="181">
        <f t="shared" si="2249"/>
        <v>0.18604397827541666</v>
      </c>
      <c r="CG254" s="181">
        <f t="shared" si="2249"/>
        <v>0.19451956294061556</v>
      </c>
      <c r="CH254" s="181">
        <f t="shared" si="2249"/>
        <v>0.19065121977698166</v>
      </c>
      <c r="CI254" s="181">
        <f t="shared" si="2249"/>
        <v>0.20207449910935257</v>
      </c>
      <c r="CJ254" s="181">
        <f t="shared" si="2249"/>
        <v>0.20161400629188894</v>
      </c>
      <c r="CK254" s="181">
        <f t="shared" si="2249"/>
        <v>0.21033881377912264</v>
      </c>
      <c r="CL254" s="181">
        <f t="shared" si="2249"/>
        <v>0.19497015474270843</v>
      </c>
      <c r="CM254" s="182">
        <f t="shared" si="2249"/>
        <v>0.19589562427186316</v>
      </c>
      <c r="CN254" s="182">
        <f t="shared" si="2249"/>
        <v>0.20019511666134393</v>
      </c>
      <c r="CO254" s="182">
        <f t="shared" si="2249"/>
        <v>0.20237888095842316</v>
      </c>
      <c r="CP254" s="182">
        <f t="shared" si="2249"/>
        <v>0.2022253451976665</v>
      </c>
      <c r="CQ254" s="182">
        <f t="shared" si="2249"/>
        <v>0.20509982205837227</v>
      </c>
      <c r="CR254" s="182">
        <f t="shared" si="2249"/>
        <v>0.20710836564200905</v>
      </c>
      <c r="CS254" s="182">
        <f t="shared" si="2249"/>
        <v>0.20858705906094599</v>
      </c>
      <c r="CT254" s="182">
        <f t="shared" si="2249"/>
        <v>0.20991931019553758</v>
      </c>
      <c r="CU254" s="182">
        <f t="shared" si="2249"/>
        <v>0.21167120079800936</v>
      </c>
      <c r="CV254" s="182">
        <f t="shared" si="2249"/>
        <v>0.21315711608953306</v>
      </c>
      <c r="CW254" s="182">
        <f t="shared" si="2249"/>
        <v>0.21453207624631951</v>
      </c>
      <c r="CX254" s="182">
        <f t="shared" ref="CX254:DB254" si="2250">+CX51</f>
        <v>0.21589967663954815</v>
      </c>
      <c r="CY254" s="182">
        <f t="shared" si="2250"/>
        <v>0.21729308183217061</v>
      </c>
      <c r="CZ254" s="182">
        <f t="shared" si="2250"/>
        <v>0.21860799045217869</v>
      </c>
      <c r="DA254" s="182">
        <f t="shared" si="2250"/>
        <v>0.21989104153344766</v>
      </c>
      <c r="DB254" s="182">
        <f t="shared" si="2250"/>
        <v>0.22116063031740252</v>
      </c>
      <c r="DE254" s="138"/>
      <c r="DF254" s="217">
        <v>0.17504770887205795</v>
      </c>
    </row>
    <row r="255" spans="1:110" s="84" customFormat="1" x14ac:dyDescent="0.2">
      <c r="A255" s="84" t="s">
        <v>514</v>
      </c>
      <c r="E255" s="84">
        <f>(E170+E157+E147+E149)/E129</f>
        <v>21.179481733220051</v>
      </c>
      <c r="F255" s="84">
        <f t="shared" ref="F255:AE255" si="2251">(F170+F157+F147+F149)/F129</f>
        <v>1.5211413815513264</v>
      </c>
      <c r="G255" s="84">
        <f t="shared" si="2251"/>
        <v>1.4355163774148538</v>
      </c>
      <c r="H255" s="84">
        <f t="shared" si="2251"/>
        <v>1.4760691969582265</v>
      </c>
      <c r="I255" s="84">
        <f t="shared" si="2251"/>
        <v>1.4209682507162533</v>
      </c>
      <c r="J255" s="84">
        <f t="shared" si="2251"/>
        <v>1.438043670035879</v>
      </c>
      <c r="K255" s="84">
        <f t="shared" si="2251"/>
        <v>1.4743473665058007</v>
      </c>
      <c r="L255" s="84">
        <f t="shared" si="2251"/>
        <v>1.3271214916581684</v>
      </c>
      <c r="M255" s="84">
        <f t="shared" si="2251"/>
        <v>1.3886247207922586</v>
      </c>
      <c r="N255" s="84">
        <f t="shared" si="2251"/>
        <v>1.3418726984844118</v>
      </c>
      <c r="O255" s="84">
        <f t="shared" si="2251"/>
        <v>1.3560234870543122</v>
      </c>
      <c r="P255" s="84">
        <f t="shared" si="2251"/>
        <v>1.4430193803624229</v>
      </c>
      <c r="Q255" s="84">
        <f t="shared" si="2251"/>
        <v>1.2126857271499325</v>
      </c>
      <c r="R255" s="84">
        <f t="shared" si="2251"/>
        <v>1.1648224186327047</v>
      </c>
      <c r="S255" s="84">
        <f t="shared" si="2251"/>
        <v>1.2081453810732075</v>
      </c>
      <c r="T255" s="84">
        <f t="shared" si="2251"/>
        <v>1.2553607763343246</v>
      </c>
      <c r="U255" s="84">
        <f t="shared" si="2251"/>
        <v>1.4035018900221097</v>
      </c>
      <c r="V255" s="84">
        <f t="shared" si="2251"/>
        <v>1.4673562181111381</v>
      </c>
      <c r="W255" s="84">
        <f t="shared" si="2251"/>
        <v>1.545967533851625</v>
      </c>
      <c r="X255" s="84">
        <f t="shared" si="2251"/>
        <v>1.55206582323277</v>
      </c>
      <c r="Y255" s="84">
        <f t="shared" si="2251"/>
        <v>1.5808109272950304</v>
      </c>
      <c r="Z255" s="84">
        <f t="shared" si="2251"/>
        <v>1.646871965891342</v>
      </c>
      <c r="AA255" s="84">
        <f t="shared" ref="AA255" si="2252">(AA170+AA157+AA147+AA149)/AA129</f>
        <v>1.6589612085042895</v>
      </c>
      <c r="AB255" s="50">
        <f t="shared" si="2251"/>
        <v>1.4440931412598701</v>
      </c>
      <c r="AC255" s="50">
        <f t="shared" si="2251"/>
        <v>1.3391174169347062</v>
      </c>
      <c r="AD255" s="50">
        <f t="shared" si="2251"/>
        <v>1.2751718837977903</v>
      </c>
      <c r="AE255" s="50">
        <f t="shared" si="2251"/>
        <v>1.2322644778735892</v>
      </c>
      <c r="AL255" s="84">
        <f t="shared" ref="AL255:CW255" si="2253">(AL170+AL157+AL147+AL149)/AL129</f>
        <v>1.3418726984844118</v>
      </c>
      <c r="AM255" s="84">
        <f t="shared" si="2253"/>
        <v>1.3198617815212454</v>
      </c>
      <c r="AN255" s="84">
        <f t="shared" si="2253"/>
        <v>1.3013261172451034</v>
      </c>
      <c r="AO255" s="84">
        <f t="shared" si="2253"/>
        <v>1.2703322087537086</v>
      </c>
      <c r="AP255" s="84">
        <f t="shared" si="2253"/>
        <v>1.356195659862961</v>
      </c>
      <c r="AQ255" s="84">
        <f t="shared" si="2253"/>
        <v>1.3226079181945372</v>
      </c>
      <c r="AR255" s="84">
        <f t="shared" si="2253"/>
        <v>1.3304547033111296</v>
      </c>
      <c r="AS255" s="84">
        <f t="shared" si="2253"/>
        <v>1.3011588324089467</v>
      </c>
      <c r="AT255" s="84">
        <f t="shared" si="2253"/>
        <v>1.4430193803624227</v>
      </c>
      <c r="AU255" s="84">
        <f t="shared" si="2253"/>
        <v>1.4072280211089068</v>
      </c>
      <c r="AV255" s="84">
        <f t="shared" si="2253"/>
        <v>1.2637245653531819</v>
      </c>
      <c r="AW255" s="84">
        <f t="shared" si="2253"/>
        <v>1.2401701127141846</v>
      </c>
      <c r="AX255" s="84">
        <f t="shared" si="2253"/>
        <v>1.2126857271499325</v>
      </c>
      <c r="AY255" s="84">
        <f t="shared" si="2253"/>
        <v>1.1982568663401274</v>
      </c>
      <c r="AZ255" s="84">
        <f t="shared" si="2253"/>
        <v>1.1851623967429012</v>
      </c>
      <c r="BA255" s="84">
        <f t="shared" si="2253"/>
        <v>1.1712532093137111</v>
      </c>
      <c r="BB255" s="84">
        <f t="shared" si="2253"/>
        <v>1.1648224186327047</v>
      </c>
      <c r="BC255" s="84">
        <f t="shared" si="2253"/>
        <v>1.154085900123363</v>
      </c>
      <c r="BD255" s="84">
        <f t="shared" si="2253"/>
        <v>1.2082234124763505</v>
      </c>
      <c r="BE255" s="84">
        <f t="shared" si="2253"/>
        <v>1.1923445752668298</v>
      </c>
      <c r="BF255" s="84">
        <f t="shared" si="2253"/>
        <v>1.2081453810732075</v>
      </c>
      <c r="BG255" s="84">
        <f t="shared" si="2253"/>
        <v>1.1953775381197367</v>
      </c>
      <c r="BH255" s="84">
        <f t="shared" si="2253"/>
        <v>1.3020959184745495</v>
      </c>
      <c r="BI255" s="84">
        <f t="shared" si="2253"/>
        <v>1.2740093160877479</v>
      </c>
      <c r="BJ255" s="84">
        <f t="shared" si="2253"/>
        <v>1.2553607763343246</v>
      </c>
      <c r="BK255" s="84">
        <f t="shared" si="2253"/>
        <v>1.2343566284312781</v>
      </c>
      <c r="BL255" s="84">
        <f t="shared" si="2253"/>
        <v>1.3157147066251369</v>
      </c>
      <c r="BM255" s="84">
        <f t="shared" si="2253"/>
        <v>1.2923365780266576</v>
      </c>
      <c r="BN255" s="84">
        <f t="shared" si="2253"/>
        <v>1.4035018900221097</v>
      </c>
      <c r="BO255" s="84">
        <f t="shared" si="2253"/>
        <v>1.3694667860645822</v>
      </c>
      <c r="BP255" s="84">
        <f t="shared" si="2253"/>
        <v>1.3700873477196043</v>
      </c>
      <c r="BQ255" s="84">
        <f t="shared" si="2253"/>
        <v>1.3416877040066817</v>
      </c>
      <c r="BR255" s="84">
        <f t="shared" si="2253"/>
        <v>1.4673562181111381</v>
      </c>
      <c r="BS255" s="84">
        <f t="shared" si="2253"/>
        <v>1.4264604379920121</v>
      </c>
      <c r="BT255" s="84">
        <f t="shared" si="2253"/>
        <v>1.4364512103303526</v>
      </c>
      <c r="BU255" s="84">
        <f t="shared" si="2253"/>
        <v>1.3998002866271884</v>
      </c>
      <c r="BV255" s="84">
        <f t="shared" si="2253"/>
        <v>1.545967533851625</v>
      </c>
      <c r="BW255" s="84">
        <f t="shared" si="2253"/>
        <v>1.4969893341061935</v>
      </c>
      <c r="BX255" s="84">
        <f t="shared" si="2253"/>
        <v>1.4900978923389496</v>
      </c>
      <c r="BY255" s="84">
        <f t="shared" si="2253"/>
        <v>1.4463541125709807</v>
      </c>
      <c r="BZ255" s="84">
        <f t="shared" si="2253"/>
        <v>1.55206582323277</v>
      </c>
      <c r="CA255" s="84">
        <f t="shared" si="2253"/>
        <v>1.4922158405079138</v>
      </c>
      <c r="CB255" s="84">
        <f t="shared" si="2253"/>
        <v>1.5046135815099175</v>
      </c>
      <c r="CC255" s="84">
        <f t="shared" si="2253"/>
        <v>1.4560825423258159</v>
      </c>
      <c r="CD255" s="84">
        <f t="shared" si="2253"/>
        <v>1.5808109272950304</v>
      </c>
      <c r="CE255" s="84">
        <f t="shared" si="2253"/>
        <v>1.5147936078707731</v>
      </c>
      <c r="CF255" s="84">
        <f t="shared" si="2253"/>
        <v>1.5541258190058624</v>
      </c>
      <c r="CG255" s="84">
        <f t="shared" si="2253"/>
        <v>1.493378400039262</v>
      </c>
      <c r="CH255" s="84">
        <f t="shared" si="2253"/>
        <v>1.646871965891342</v>
      </c>
      <c r="CI255" s="84">
        <f t="shared" si="2253"/>
        <v>1.5606502533641946</v>
      </c>
      <c r="CJ255" s="84">
        <f t="shared" si="2253"/>
        <v>1.6106939811116854</v>
      </c>
      <c r="CK255" s="84">
        <f t="shared" si="2253"/>
        <v>1.5662514234332199</v>
      </c>
      <c r="CL255" s="84">
        <f t="shared" si="2253"/>
        <v>1.6589612085042895</v>
      </c>
      <c r="CM255" s="50">
        <f t="shared" si="2253"/>
        <v>1.5803682838959801</v>
      </c>
      <c r="CN255" s="50">
        <f t="shared" si="2253"/>
        <v>1.5262571062914134</v>
      </c>
      <c r="CO255" s="50">
        <f t="shared" si="2253"/>
        <v>1.4814091563389051</v>
      </c>
      <c r="CP255" s="50">
        <f t="shared" si="2253"/>
        <v>1.4440931412598701</v>
      </c>
      <c r="CQ255" s="50">
        <f t="shared" si="2253"/>
        <v>1.4120472712642971</v>
      </c>
      <c r="CR255" s="50">
        <f t="shared" si="2253"/>
        <v>1.3843579684633864</v>
      </c>
      <c r="CS255" s="50">
        <f t="shared" si="2253"/>
        <v>1.3602615383130652</v>
      </c>
      <c r="CT255" s="50">
        <f t="shared" si="2253"/>
        <v>1.3391174169347062</v>
      </c>
      <c r="CU255" s="50">
        <f t="shared" si="2253"/>
        <v>1.3203707821174857</v>
      </c>
      <c r="CV255" s="50">
        <f t="shared" si="2253"/>
        <v>1.3036597237684509</v>
      </c>
      <c r="CW255" s="50">
        <f t="shared" si="2253"/>
        <v>1.2886785081341121</v>
      </c>
      <c r="CX255" s="50">
        <f t="shared" ref="CX255:DB255" si="2254">(CX170+CX157+CX147+CX149)/CX129</f>
        <v>1.2751718837977903</v>
      </c>
      <c r="CY255" s="50">
        <f t="shared" si="2254"/>
        <v>1.2629301827450112</v>
      </c>
      <c r="CZ255" s="50">
        <f t="shared" si="2254"/>
        <v>1.2517882616774496</v>
      </c>
      <c r="DA255" s="50">
        <f t="shared" si="2254"/>
        <v>1.2416058220610435</v>
      </c>
      <c r="DB255" s="50">
        <f t="shared" si="2254"/>
        <v>1.2322644778735892</v>
      </c>
      <c r="DE255" s="138"/>
      <c r="DF255" s="84">
        <v>1.5252136429291783</v>
      </c>
    </row>
    <row r="256" spans="1:110" s="84" customFormat="1" x14ac:dyDescent="0.2">
      <c r="A256" s="154" t="s">
        <v>498</v>
      </c>
      <c r="AB256" s="50"/>
      <c r="AC256" s="50"/>
      <c r="AD256" s="50"/>
      <c r="AE256" s="50"/>
      <c r="CM256" s="50"/>
      <c r="CN256" s="50"/>
      <c r="CO256" s="50"/>
      <c r="CP256" s="50"/>
      <c r="CQ256" s="50"/>
      <c r="CR256" s="50"/>
      <c r="CS256" s="50"/>
      <c r="CT256" s="50"/>
      <c r="CU256" s="50"/>
      <c r="CV256" s="50"/>
      <c r="CW256" s="50"/>
      <c r="CX256" s="50"/>
      <c r="CY256" s="50"/>
      <c r="CZ256" s="50"/>
      <c r="DA256" s="50"/>
      <c r="DB256" s="50"/>
      <c r="DE256" s="138"/>
    </row>
    <row r="257" spans="1:110" s="88" customFormat="1" x14ac:dyDescent="0.2">
      <c r="A257" s="88" t="s">
        <v>102</v>
      </c>
      <c r="B257" s="88" t="e">
        <f t="shared" ref="B257:AE257" si="2255">B170/B129</f>
        <v>#DIV/0!</v>
      </c>
      <c r="C257" s="88" t="e">
        <f t="shared" si="2255"/>
        <v>#DIV/0!</v>
      </c>
      <c r="D257" s="88" t="e">
        <f t="shared" si="2255"/>
        <v>#DIV/0!</v>
      </c>
      <c r="F257" s="88">
        <f t="shared" si="2255"/>
        <v>0.19772885430505471</v>
      </c>
      <c r="G257" s="88">
        <f t="shared" si="2255"/>
        <v>0.18484332725990657</v>
      </c>
      <c r="H257" s="88">
        <f t="shared" si="2255"/>
        <v>0.29770963039965653</v>
      </c>
      <c r="I257" s="88">
        <f t="shared" si="2255"/>
        <v>0.31013274667239016</v>
      </c>
      <c r="J257" s="88">
        <f t="shared" si="2255"/>
        <v>0.27277498549363977</v>
      </c>
      <c r="K257" s="88">
        <f t="shared" si="2255"/>
        <v>0.38870086295779654</v>
      </c>
      <c r="L257" s="88">
        <f t="shared" si="2255"/>
        <v>0.21974624573706142</v>
      </c>
      <c r="M257" s="88">
        <f t="shared" si="2255"/>
        <v>0.2227525868658515</v>
      </c>
      <c r="N257" s="88">
        <f t="shared" si="2255"/>
        <v>0.19919923882923157</v>
      </c>
      <c r="O257" s="88">
        <f t="shared" si="2255"/>
        <v>0.31711324539442814</v>
      </c>
      <c r="P257" s="88">
        <f t="shared" si="2255"/>
        <v>0.39594618400482195</v>
      </c>
      <c r="Q257" s="88">
        <f t="shared" si="2255"/>
        <v>0.41179367402071138</v>
      </c>
      <c r="R257" s="88">
        <f t="shared" si="2255"/>
        <v>0.53106224047138517</v>
      </c>
      <c r="S257" s="88">
        <f t="shared" si="2255"/>
        <v>0.50357109294239266</v>
      </c>
      <c r="T257" s="88">
        <f t="shared" si="2255"/>
        <v>0.46887507546452606</v>
      </c>
      <c r="U257" s="88">
        <f t="shared" si="2255"/>
        <v>0.42562346955756841</v>
      </c>
      <c r="V257" s="88">
        <f t="shared" si="2255"/>
        <v>0.44530445547418229</v>
      </c>
      <c r="W257" s="88">
        <f t="shared" si="2255"/>
        <v>0.54390334197152757</v>
      </c>
      <c r="X257" s="88">
        <f t="shared" si="2255"/>
        <v>0.53004733256657521</v>
      </c>
      <c r="Y257" s="88">
        <f t="shared" si="2255"/>
        <v>0.49472311551680315</v>
      </c>
      <c r="Z257" s="88">
        <f t="shared" si="2255"/>
        <v>0.48706150534003123</v>
      </c>
      <c r="AA257" s="88">
        <f t="shared" ref="AA257" si="2256">AA170/AA129</f>
        <v>0.43526669153301006</v>
      </c>
      <c r="AB257" s="42">
        <f t="shared" si="2255"/>
        <v>0.63579192439550769</v>
      </c>
      <c r="AC257" s="42">
        <f t="shared" si="2255"/>
        <v>0.73203189145392011</v>
      </c>
      <c r="AD257" s="42">
        <f t="shared" si="2255"/>
        <v>0.78864265110388798</v>
      </c>
      <c r="AE257" s="42">
        <f t="shared" si="2255"/>
        <v>0.82571068437842954</v>
      </c>
      <c r="AL257" s="88">
        <f t="shared" ref="AL257:CW257" si="2257">AL170/AL129</f>
        <v>0.19919923882923157</v>
      </c>
      <c r="AM257" s="88">
        <f t="shared" si="2257"/>
        <v>0.24454234494281565</v>
      </c>
      <c r="AN257" s="88">
        <f t="shared" si="2257"/>
        <v>0.1436168487585838</v>
      </c>
      <c r="AO257" s="88">
        <f t="shared" si="2257"/>
        <v>0.23227883427813045</v>
      </c>
      <c r="AP257" s="88">
        <f t="shared" si="2257"/>
        <v>0.31711324539442814</v>
      </c>
      <c r="AQ257" s="88">
        <f t="shared" si="2257"/>
        <v>0.37861161773745156</v>
      </c>
      <c r="AR257" s="88">
        <f t="shared" si="2257"/>
        <v>0.25868505259100433</v>
      </c>
      <c r="AS257" s="88">
        <f t="shared" si="2257"/>
        <v>0.32245795414103889</v>
      </c>
      <c r="AT257" s="88">
        <f t="shared" si="2257"/>
        <v>0.39594618400482195</v>
      </c>
      <c r="AU257" s="88">
        <f t="shared" si="2257"/>
        <v>0.44113176450741221</v>
      </c>
      <c r="AV257" s="88">
        <f t="shared" si="2257"/>
        <v>0.35339971257072772</v>
      </c>
      <c r="AW257" s="88">
        <f t="shared" si="2257"/>
        <v>0.41063843581793547</v>
      </c>
      <c r="AX257" s="88">
        <f t="shared" si="2257"/>
        <v>0.41179367402071138</v>
      </c>
      <c r="AY257" s="88">
        <f t="shared" si="2257"/>
        <v>0.45182097398635118</v>
      </c>
      <c r="AZ257" s="88">
        <f t="shared" si="2257"/>
        <v>0.42398575673871208</v>
      </c>
      <c r="BA257" s="88">
        <f t="shared" si="2257"/>
        <v>0.4665962880587699</v>
      </c>
      <c r="BB257" s="88">
        <f t="shared" si="2257"/>
        <v>0.53106224047138517</v>
      </c>
      <c r="BC257" s="88">
        <f t="shared" si="2257"/>
        <v>0.56179958839232924</v>
      </c>
      <c r="BD257" s="88">
        <f t="shared" si="2257"/>
        <v>0.44797079436139314</v>
      </c>
      <c r="BE257" s="88">
        <f t="shared" si="2257"/>
        <v>0.48834257840324635</v>
      </c>
      <c r="BF257" s="88">
        <f t="shared" si="2257"/>
        <v>0.50357109294239266</v>
      </c>
      <c r="BG257" s="88">
        <f t="shared" si="2257"/>
        <v>0.52340046672336193</v>
      </c>
      <c r="BH257" s="88">
        <f t="shared" si="2257"/>
        <v>0.44814046330829438</v>
      </c>
      <c r="BI257" s="88">
        <f t="shared" si="2257"/>
        <v>0.49689481723139695</v>
      </c>
      <c r="BJ257" s="88">
        <f t="shared" si="2257"/>
        <v>0.46887507546452606</v>
      </c>
      <c r="BK257" s="88">
        <f t="shared" si="2257"/>
        <v>0.51198791873099414</v>
      </c>
      <c r="BL257" s="88">
        <f t="shared" si="2257"/>
        <v>0.49086623453152622</v>
      </c>
      <c r="BM257" s="88">
        <f t="shared" si="2257"/>
        <v>0.5249674039343909</v>
      </c>
      <c r="BN257" s="88">
        <f t="shared" si="2257"/>
        <v>0.42562346955756841</v>
      </c>
      <c r="BO257" s="88">
        <f t="shared" si="2257"/>
        <v>0.48296462431581777</v>
      </c>
      <c r="BP257" s="88">
        <f t="shared" si="2257"/>
        <v>0.49381418375605707</v>
      </c>
      <c r="BQ257" s="88">
        <f t="shared" si="2257"/>
        <v>0.52352457180757694</v>
      </c>
      <c r="BR257" s="88">
        <f t="shared" si="2257"/>
        <v>0.44530445547418229</v>
      </c>
      <c r="BS257" s="88">
        <f t="shared" si="2257"/>
        <v>0.48587523093398349</v>
      </c>
      <c r="BT257" s="88">
        <f t="shared" si="2257"/>
        <v>0.50585311014160916</v>
      </c>
      <c r="BU257" s="88">
        <f t="shared" si="2257"/>
        <v>0.53843690701821267</v>
      </c>
      <c r="BV257" s="88">
        <f t="shared" si="2257"/>
        <v>0.54390334197152757</v>
      </c>
      <c r="BW257" s="88">
        <f t="shared" si="2257"/>
        <v>0.57306410919324668</v>
      </c>
      <c r="BX257" s="88">
        <f t="shared" si="2257"/>
        <v>0.51522769716994687</v>
      </c>
      <c r="BY257" s="88">
        <f t="shared" si="2257"/>
        <v>0.54660060567635727</v>
      </c>
      <c r="BZ257" s="88">
        <f t="shared" si="2257"/>
        <v>0.53004733256657521</v>
      </c>
      <c r="CA257" s="88">
        <f t="shared" si="2257"/>
        <v>0.57988241137450336</v>
      </c>
      <c r="CB257" s="88">
        <f t="shared" si="2257"/>
        <v>0.56781319216138104</v>
      </c>
      <c r="CC257" s="88">
        <f t="shared" si="2257"/>
        <v>0.60515323955723388</v>
      </c>
      <c r="CD257" s="88">
        <f t="shared" si="2257"/>
        <v>0.49472311551680315</v>
      </c>
      <c r="CE257" s="88">
        <f t="shared" si="2257"/>
        <v>0.54449731720712446</v>
      </c>
      <c r="CF257" s="88">
        <f t="shared" si="2257"/>
        <v>0.51751317798906349</v>
      </c>
      <c r="CG257" s="88">
        <f t="shared" si="2257"/>
        <v>0.57171852021941461</v>
      </c>
      <c r="CH257" s="88">
        <f t="shared" si="2257"/>
        <v>0.48706150534003123</v>
      </c>
      <c r="CI257" s="88">
        <f t="shared" si="2257"/>
        <v>0.56392445933348223</v>
      </c>
      <c r="CJ257" s="88">
        <f t="shared" si="2257"/>
        <v>0.50070008927312881</v>
      </c>
      <c r="CK257" s="88">
        <f t="shared" si="2257"/>
        <v>0.55199765468794071</v>
      </c>
      <c r="CL257" s="88">
        <f t="shared" si="2257"/>
        <v>0.43526669153301006</v>
      </c>
      <c r="CM257" s="42">
        <f t="shared" si="2257"/>
        <v>0.50584618856146468</v>
      </c>
      <c r="CN257" s="42">
        <f t="shared" si="2257"/>
        <v>0.55801111130475545</v>
      </c>
      <c r="CO257" s="42">
        <f t="shared" si="2257"/>
        <v>0.60067789500755853</v>
      </c>
      <c r="CP257" s="42">
        <f t="shared" si="2257"/>
        <v>0.63579192439550769</v>
      </c>
      <c r="CQ257" s="42">
        <f t="shared" si="2257"/>
        <v>0.66557514829674413</v>
      </c>
      <c r="CR257" s="42">
        <f t="shared" si="2257"/>
        <v>0.69102796459190441</v>
      </c>
      <c r="CS257" s="42">
        <f t="shared" si="2257"/>
        <v>0.71296032756562899</v>
      </c>
      <c r="CT257" s="42">
        <f t="shared" si="2257"/>
        <v>0.73203189145392011</v>
      </c>
      <c r="CU257" s="42">
        <f t="shared" si="2257"/>
        <v>0.74879524789628005</v>
      </c>
      <c r="CV257" s="42">
        <f t="shared" si="2257"/>
        <v>0.76362231295823502</v>
      </c>
      <c r="CW257" s="42">
        <f t="shared" si="2257"/>
        <v>0.77682060219656479</v>
      </c>
      <c r="CX257" s="42">
        <f t="shared" ref="CX257:DB257" si="2258">CX170/CX129</f>
        <v>0.78864265110388798</v>
      </c>
      <c r="CY257" s="42">
        <f t="shared" si="2258"/>
        <v>0.79929366237354815</v>
      </c>
      <c r="CZ257" s="42">
        <f t="shared" si="2258"/>
        <v>0.8089353575103696</v>
      </c>
      <c r="DA257" s="42">
        <f t="shared" si="2258"/>
        <v>0.81770329147257237</v>
      </c>
      <c r="DB257" s="42">
        <f t="shared" si="2258"/>
        <v>0.82571068437842954</v>
      </c>
      <c r="DE257" s="125"/>
      <c r="DF257" s="88">
        <v>0.58646316501688134</v>
      </c>
    </row>
    <row r="258" spans="1:110" s="89" customFormat="1" x14ac:dyDescent="0.2">
      <c r="A258" s="89" t="s">
        <v>103</v>
      </c>
      <c r="C258" s="89" t="e">
        <f t="shared" ref="C258:AE258" si="2259">C137/B137-1</f>
        <v>#DIV/0!</v>
      </c>
      <c r="D258" s="89" t="e">
        <f t="shared" si="2259"/>
        <v>#DIV/0!</v>
      </c>
      <c r="F258" s="89">
        <f t="shared" si="2259"/>
        <v>-0.5398476812185502</v>
      </c>
      <c r="G258" s="89">
        <f t="shared" si="2259"/>
        <v>-0.42520072902812667</v>
      </c>
      <c r="H258" s="89">
        <f t="shared" si="2259"/>
        <v>3.3427028879938296</v>
      </c>
      <c r="I258" s="89">
        <f t="shared" si="2259"/>
        <v>-0.10208189442525906</v>
      </c>
      <c r="J258" s="89">
        <f t="shared" si="2259"/>
        <v>0.23924223111072052</v>
      </c>
      <c r="K258" s="89">
        <f>K137/J137-1</f>
        <v>-0.81689366531886221</v>
      </c>
      <c r="L258" s="89">
        <f t="shared" si="2259"/>
        <v>-0.27554479418886191</v>
      </c>
      <c r="M258" s="89">
        <f t="shared" si="2259"/>
        <v>0.69184491978609608</v>
      </c>
      <c r="N258" s="89">
        <f t="shared" si="2259"/>
        <v>0.83540102726195187</v>
      </c>
      <c r="O258" s="89">
        <f t="shared" si="2259"/>
        <v>0.27812459637490838</v>
      </c>
      <c r="P258" s="89">
        <f t="shared" si="2259"/>
        <v>0.20490450365479829</v>
      </c>
      <c r="Q258" s="89">
        <f t="shared" si="2259"/>
        <v>-0.31506849315068486</v>
      </c>
      <c r="R258" s="89">
        <f t="shared" si="2259"/>
        <v>0.17959183673469381</v>
      </c>
      <c r="S258" s="89">
        <f t="shared" si="2259"/>
        <v>-0.1453287197231834</v>
      </c>
      <c r="T258" s="89">
        <f t="shared" si="2259"/>
        <v>-0.92712550607287447</v>
      </c>
      <c r="U258" s="89">
        <f t="shared" si="2259"/>
        <v>-1</v>
      </c>
      <c r="V258" s="89" t="e">
        <f t="shared" si="2259"/>
        <v>#DIV/0!</v>
      </c>
      <c r="W258" s="89" t="e">
        <f t="shared" si="2259"/>
        <v>#DIV/0!</v>
      </c>
      <c r="X258" s="89" t="e">
        <f t="shared" si="2259"/>
        <v>#DIV/0!</v>
      </c>
      <c r="Y258" s="89" t="e">
        <f t="shared" si="2259"/>
        <v>#DIV/0!</v>
      </c>
      <c r="Z258" s="89" t="e">
        <f t="shared" si="2259"/>
        <v>#DIV/0!</v>
      </c>
      <c r="AA258" s="89" t="e">
        <f t="shared" si="2259"/>
        <v>#DIV/0!</v>
      </c>
      <c r="AB258" s="47" t="e">
        <f t="shared" si="2259"/>
        <v>#DIV/0!</v>
      </c>
      <c r="AC258" s="47" t="e">
        <f t="shared" si="2259"/>
        <v>#DIV/0!</v>
      </c>
      <c r="AD258" s="47" t="e">
        <f t="shared" si="2259"/>
        <v>#DIV/0!</v>
      </c>
      <c r="AE258" s="47" t="e">
        <f t="shared" si="2259"/>
        <v>#DIV/0!</v>
      </c>
      <c r="AL258" s="89">
        <f t="shared" ref="AL258:CW258" si="2260">AL137/AK137-1</f>
        <v>-0.26349959858982863</v>
      </c>
      <c r="AM258" s="89">
        <f t="shared" si="2260"/>
        <v>0</v>
      </c>
      <c r="AN258" s="89">
        <f t="shared" si="2260"/>
        <v>-0.11672985781990519</v>
      </c>
      <c r="AO258" s="89">
        <f t="shared" si="2260"/>
        <v>0</v>
      </c>
      <c r="AP258" s="89">
        <f t="shared" si="2260"/>
        <v>0.3647582765466546</v>
      </c>
      <c r="AQ258" s="89">
        <f t="shared" si="2260"/>
        <v>0</v>
      </c>
      <c r="AR258" s="89">
        <f t="shared" si="2260"/>
        <v>-0.2189502653823473</v>
      </c>
      <c r="AS258" s="89">
        <f t="shared" si="2260"/>
        <v>0</v>
      </c>
      <c r="AT258" s="89">
        <f t="shared" si="2260"/>
        <v>0.50926205577368355</v>
      </c>
      <c r="AU258" s="89">
        <f t="shared" si="2260"/>
        <v>0</v>
      </c>
      <c r="AV258" s="89">
        <f t="shared" si="2260"/>
        <v>-0.69115832304972824</v>
      </c>
      <c r="AW258" s="89">
        <f t="shared" si="2260"/>
        <v>0</v>
      </c>
      <c r="AX258" s="89">
        <f t="shared" si="2260"/>
        <v>1.1166306695464363</v>
      </c>
      <c r="AY258" s="89">
        <f t="shared" si="2260"/>
        <v>0</v>
      </c>
      <c r="AZ258" s="89">
        <f t="shared" si="2260"/>
        <v>-0.68877551020408156</v>
      </c>
      <c r="BA258" s="89">
        <f t="shared" si="2260"/>
        <v>0</v>
      </c>
      <c r="BB258" s="89">
        <f t="shared" si="2260"/>
        <v>3.442622950819672</v>
      </c>
      <c r="BC258" s="89">
        <f t="shared" si="2260"/>
        <v>0</v>
      </c>
      <c r="BD258" s="89">
        <f t="shared" si="2260"/>
        <v>-0.78228782287822884</v>
      </c>
      <c r="BE258" s="89">
        <f t="shared" si="2260"/>
        <v>0</v>
      </c>
      <c r="BF258" s="89">
        <f t="shared" si="2260"/>
        <v>2.9830508474576272</v>
      </c>
      <c r="BG258" s="89">
        <f t="shared" si="2260"/>
        <v>0</v>
      </c>
      <c r="BH258" s="89">
        <f t="shared" si="2260"/>
        <v>-0.80425531914893611</v>
      </c>
      <c r="BI258" s="89">
        <f t="shared" si="2260"/>
        <v>0</v>
      </c>
      <c r="BJ258" s="89">
        <f t="shared" si="2260"/>
        <v>-1</v>
      </c>
      <c r="BK258" s="89" t="e">
        <f t="shared" si="2260"/>
        <v>#DIV/0!</v>
      </c>
      <c r="BL258" s="89" t="e">
        <f t="shared" si="2260"/>
        <v>#DIV/0!</v>
      </c>
      <c r="BM258" s="89" t="e">
        <f t="shared" si="2260"/>
        <v>#DIV/0!</v>
      </c>
      <c r="BN258" s="89" t="e">
        <f t="shared" si="2260"/>
        <v>#DIV/0!</v>
      </c>
      <c r="BO258" s="89" t="e">
        <f t="shared" si="2260"/>
        <v>#DIV/0!</v>
      </c>
      <c r="BP258" s="89" t="e">
        <f t="shared" si="2260"/>
        <v>#DIV/0!</v>
      </c>
      <c r="BQ258" s="89" t="e">
        <f t="shared" si="2260"/>
        <v>#DIV/0!</v>
      </c>
      <c r="BR258" s="89" t="e">
        <f t="shared" si="2260"/>
        <v>#DIV/0!</v>
      </c>
      <c r="BS258" s="89" t="e">
        <f t="shared" si="2260"/>
        <v>#DIV/0!</v>
      </c>
      <c r="BT258" s="89" t="e">
        <f t="shared" si="2260"/>
        <v>#DIV/0!</v>
      </c>
      <c r="BU258" s="89" t="e">
        <f t="shared" si="2260"/>
        <v>#DIV/0!</v>
      </c>
      <c r="BV258" s="89" t="e">
        <f t="shared" si="2260"/>
        <v>#DIV/0!</v>
      </c>
      <c r="BW258" s="89" t="e">
        <f t="shared" si="2260"/>
        <v>#DIV/0!</v>
      </c>
      <c r="BX258" s="89" t="e">
        <f t="shared" si="2260"/>
        <v>#DIV/0!</v>
      </c>
      <c r="BY258" s="89" t="e">
        <f t="shared" si="2260"/>
        <v>#DIV/0!</v>
      </c>
      <c r="BZ258" s="89" t="e">
        <f t="shared" si="2260"/>
        <v>#DIV/0!</v>
      </c>
      <c r="CA258" s="89" t="e">
        <f t="shared" si="2260"/>
        <v>#DIV/0!</v>
      </c>
      <c r="CB258" s="89" t="e">
        <f t="shared" si="2260"/>
        <v>#DIV/0!</v>
      </c>
      <c r="CC258" s="89" t="e">
        <f t="shared" si="2260"/>
        <v>#DIV/0!</v>
      </c>
      <c r="CD258" s="89" t="e">
        <f t="shared" si="2260"/>
        <v>#DIV/0!</v>
      </c>
      <c r="CE258" s="89" t="e">
        <f t="shared" si="2260"/>
        <v>#DIV/0!</v>
      </c>
      <c r="CF258" s="89" t="e">
        <f t="shared" si="2260"/>
        <v>#DIV/0!</v>
      </c>
      <c r="CG258" s="89" t="e">
        <f t="shared" si="2260"/>
        <v>#DIV/0!</v>
      </c>
      <c r="CH258" s="89" t="e">
        <f t="shared" si="2260"/>
        <v>#DIV/0!</v>
      </c>
      <c r="CI258" s="89" t="e">
        <f t="shared" si="2260"/>
        <v>#DIV/0!</v>
      </c>
      <c r="CJ258" s="89" t="e">
        <f t="shared" si="2260"/>
        <v>#DIV/0!</v>
      </c>
      <c r="CK258" s="89" t="e">
        <f t="shared" si="2260"/>
        <v>#DIV/0!</v>
      </c>
      <c r="CL258" s="89" t="e">
        <f t="shared" si="2260"/>
        <v>#DIV/0!</v>
      </c>
      <c r="CM258" s="47" t="e">
        <f t="shared" si="2260"/>
        <v>#DIV/0!</v>
      </c>
      <c r="CN258" s="47" t="e">
        <f t="shared" si="2260"/>
        <v>#DIV/0!</v>
      </c>
      <c r="CO258" s="47" t="e">
        <f t="shared" si="2260"/>
        <v>#DIV/0!</v>
      </c>
      <c r="CP258" s="47" t="e">
        <f t="shared" si="2260"/>
        <v>#DIV/0!</v>
      </c>
      <c r="CQ258" s="47" t="e">
        <f t="shared" si="2260"/>
        <v>#DIV/0!</v>
      </c>
      <c r="CR258" s="47" t="e">
        <f t="shared" si="2260"/>
        <v>#DIV/0!</v>
      </c>
      <c r="CS258" s="47" t="e">
        <f t="shared" si="2260"/>
        <v>#DIV/0!</v>
      </c>
      <c r="CT258" s="47" t="e">
        <f t="shared" si="2260"/>
        <v>#DIV/0!</v>
      </c>
      <c r="CU258" s="47" t="e">
        <f t="shared" si="2260"/>
        <v>#DIV/0!</v>
      </c>
      <c r="CV258" s="47" t="e">
        <f t="shared" si="2260"/>
        <v>#DIV/0!</v>
      </c>
      <c r="CW258" s="47" t="e">
        <f t="shared" si="2260"/>
        <v>#DIV/0!</v>
      </c>
      <c r="CX258" s="47" t="e">
        <f t="shared" ref="CX258:DB258" si="2261">CX137/CW137-1</f>
        <v>#DIV/0!</v>
      </c>
      <c r="CY258" s="47" t="e">
        <f t="shared" si="2261"/>
        <v>#DIV/0!</v>
      </c>
      <c r="CZ258" s="47" t="e">
        <f t="shared" si="2261"/>
        <v>#DIV/0!</v>
      </c>
      <c r="DA258" s="47" t="e">
        <f t="shared" si="2261"/>
        <v>#DIV/0!</v>
      </c>
      <c r="DB258" s="47" t="e">
        <f t="shared" si="2261"/>
        <v>#DIV/0!</v>
      </c>
      <c r="DE258" s="130"/>
    </row>
    <row r="259" spans="1:110" s="89" customFormat="1" x14ac:dyDescent="0.2">
      <c r="A259" s="89" t="s">
        <v>104</v>
      </c>
      <c r="C259" s="89" t="e">
        <f>C37/B37-1</f>
        <v>#DIV/0!</v>
      </c>
      <c r="D259" s="89" t="e">
        <f>D37/C37-1</f>
        <v>#DIV/0!</v>
      </c>
      <c r="F259" s="89">
        <f t="shared" ref="F259:AE259" si="2262">F37/E37-1</f>
        <v>-90395.333333333299</v>
      </c>
      <c r="G259" s="89">
        <f t="shared" si="2262"/>
        <v>0.35860286227381533</v>
      </c>
      <c r="H259" s="89">
        <f t="shared" si="2262"/>
        <v>0.39479684064815701</v>
      </c>
      <c r="I259" s="89">
        <f t="shared" si="2262"/>
        <v>0.11112992206427363</v>
      </c>
      <c r="J259" s="89">
        <f t="shared" si="2262"/>
        <v>0.11882982803642128</v>
      </c>
      <c r="K259" s="89">
        <f t="shared" si="2262"/>
        <v>0.33049226415212574</v>
      </c>
      <c r="L259" s="89">
        <f t="shared" si="2262"/>
        <v>0.29862455101726204</v>
      </c>
      <c r="M259" s="89">
        <f t="shared" si="2262"/>
        <v>0.26673195621312229</v>
      </c>
      <c r="N259" s="89">
        <f t="shared" si="2262"/>
        <v>0.29018966972293314</v>
      </c>
      <c r="O259" s="89">
        <f t="shared" si="2262"/>
        <v>0.39397960829703815</v>
      </c>
      <c r="P259" s="89">
        <f t="shared" si="2262"/>
        <v>-2.6454489926416302E-2</v>
      </c>
      <c r="Q259" s="89">
        <f t="shared" si="2262"/>
        <v>0.25305789505716692</v>
      </c>
      <c r="R259" s="89">
        <f t="shared" si="2262"/>
        <v>5.3264660820810272E-2</v>
      </c>
      <c r="S259" s="89">
        <f t="shared" si="2262"/>
        <v>6.3445885302217953E-3</v>
      </c>
      <c r="T259" s="89">
        <f t="shared" si="2262"/>
        <v>0.21497109115512369</v>
      </c>
      <c r="U259" s="89">
        <f t="shared" si="2262"/>
        <v>6.5888725763175282E-2</v>
      </c>
      <c r="V259" s="89">
        <f t="shared" si="2262"/>
        <v>0.10536939846588611</v>
      </c>
      <c r="W259" s="89">
        <f t="shared" si="2262"/>
        <v>0.13968976926051657</v>
      </c>
      <c r="X259" s="89">
        <f t="shared" si="2262"/>
        <v>0.11404765495400393</v>
      </c>
      <c r="Y259" s="89">
        <f t="shared" si="2262"/>
        <v>8.7955599174252885E-2</v>
      </c>
      <c r="Z259" s="89">
        <f t="shared" si="2262"/>
        <v>4.8385591638671066E-2</v>
      </c>
      <c r="AA259" s="89">
        <f t="shared" si="2262"/>
        <v>6.4978414704704335E-2</v>
      </c>
      <c r="AB259" s="47">
        <f t="shared" si="2262"/>
        <v>8.4262613225093874E-2</v>
      </c>
      <c r="AC259" s="47">
        <f t="shared" si="2262"/>
        <v>5.2052128157908273E-2</v>
      </c>
      <c r="AD259" s="47">
        <f t="shared" si="2262"/>
        <v>5.1662617697511237E-2</v>
      </c>
      <c r="AE259" s="47">
        <f t="shared" si="2262"/>
        <v>5.1612673745803361E-2</v>
      </c>
      <c r="AL259" s="89">
        <f t="shared" ref="AL259:CW259" si="2263">AL37/AK37-1</f>
        <v>6.618618461498027E-3</v>
      </c>
      <c r="AM259" s="89">
        <f t="shared" si="2263"/>
        <v>9.1455834643588974E-2</v>
      </c>
      <c r="AN259" s="89">
        <f t="shared" si="2263"/>
        <v>0.24126388224719264</v>
      </c>
      <c r="AO259" s="89">
        <f t="shared" si="2263"/>
        <v>6.892213549118309E-2</v>
      </c>
      <c r="AP259" s="89">
        <f t="shared" si="2263"/>
        <v>3.2900836877680639E-4</v>
      </c>
      <c r="AQ259" s="89">
        <f t="shared" si="2263"/>
        <v>-5.0293319140793713E-2</v>
      </c>
      <c r="AR259" s="89">
        <f t="shared" si="2263"/>
        <v>7.0499248333346198E-2</v>
      </c>
      <c r="AS259" s="89">
        <f t="shared" si="2263"/>
        <v>3.6411093465090305E-2</v>
      </c>
      <c r="AT259" s="89">
        <f t="shared" si="2263"/>
        <v>-0.39262997640468711</v>
      </c>
      <c r="AU259" s="89">
        <f t="shared" si="2263"/>
        <v>0.68218186065525899</v>
      </c>
      <c r="AV259" s="89">
        <f t="shared" si="2263"/>
        <v>8.623802249687551E-2</v>
      </c>
      <c r="AW259" s="89">
        <f t="shared" si="2263"/>
        <v>-9.5883405778572905E-3</v>
      </c>
      <c r="AX259" s="89">
        <f t="shared" si="2263"/>
        <v>2.0653156060410405E-2</v>
      </c>
      <c r="AY259" s="89">
        <f t="shared" si="2263"/>
        <v>-8.8529151384848515E-3</v>
      </c>
      <c r="AZ259" s="89">
        <f t="shared" si="2263"/>
        <v>3.5217557738930649E-2</v>
      </c>
      <c r="BA259" s="89">
        <f t="shared" si="2263"/>
        <v>1.4298040182423311E-2</v>
      </c>
      <c r="BB259" s="89">
        <f t="shared" si="2263"/>
        <v>-1.1787580507959694E-2</v>
      </c>
      <c r="BC259" s="89">
        <f t="shared" si="2263"/>
        <v>-8.8416133792424967E-2</v>
      </c>
      <c r="BD259" s="89">
        <f t="shared" si="2263"/>
        <v>0.10130851207338454</v>
      </c>
      <c r="BE259" s="89">
        <f t="shared" si="2263"/>
        <v>1.5066144047035657E-2</v>
      </c>
      <c r="BF259" s="89">
        <f t="shared" si="2263"/>
        <v>4.4044889586098757E-2</v>
      </c>
      <c r="BG259" s="89">
        <f t="shared" si="2263"/>
        <v>4.8428109107720774E-2</v>
      </c>
      <c r="BH259" s="89">
        <f t="shared" si="2263"/>
        <v>0.13306140447580206</v>
      </c>
      <c r="BI259" s="89">
        <f t="shared" si="2263"/>
        <v>-1.8972562755399935E-2</v>
      </c>
      <c r="BJ259" s="89">
        <f t="shared" si="2263"/>
        <v>-8.9259149062781429E-4</v>
      </c>
      <c r="BK259" s="89">
        <f t="shared" si="2263"/>
        <v>-3.6728211236847219E-3</v>
      </c>
      <c r="BL259" s="89">
        <f t="shared" si="2263"/>
        <v>1.8730696423234106E-2</v>
      </c>
      <c r="BM259" s="89">
        <f t="shared" si="2263"/>
        <v>6.3178484107579536E-2</v>
      </c>
      <c r="BN259" s="89">
        <f t="shared" si="2263"/>
        <v>9.6587250482935705E-3</v>
      </c>
      <c r="BO259" s="89">
        <f t="shared" si="2263"/>
        <v>-8.6734693877551061E-2</v>
      </c>
      <c r="BP259" s="89">
        <f t="shared" si="2263"/>
        <v>0.1485434956105347</v>
      </c>
      <c r="BQ259" s="89">
        <f t="shared" si="2263"/>
        <v>6.036654216972126E-2</v>
      </c>
      <c r="BR259" s="89">
        <f t="shared" si="2263"/>
        <v>4.8574705111402272E-2</v>
      </c>
      <c r="BS259" s="89">
        <f t="shared" si="2263"/>
        <v>-1.0780407780642154E-2</v>
      </c>
      <c r="BT259" s="89">
        <f t="shared" si="2263"/>
        <v>3.5773513385453759E-2</v>
      </c>
      <c r="BU259" s="89">
        <f t="shared" si="2263"/>
        <v>2.4168953949374794E-2</v>
      </c>
      <c r="BV259" s="89">
        <f t="shared" si="2263"/>
        <v>3.0670736246557029E-2</v>
      </c>
      <c r="BW259" s="89">
        <f t="shared" si="2263"/>
        <v>-3.0985915492957705E-2</v>
      </c>
      <c r="BX259" s="89">
        <f t="shared" si="2263"/>
        <v>8.1991651759093509E-2</v>
      </c>
      <c r="BY259" s="89">
        <f t="shared" si="2263"/>
        <v>7.1438412785891359E-2</v>
      </c>
      <c r="BZ259" s="89">
        <f t="shared" si="2263"/>
        <v>1.420947727126598E-2</v>
      </c>
      <c r="CA259" s="89">
        <f t="shared" si="2263"/>
        <v>-4.9194877646760449E-2</v>
      </c>
      <c r="CB259" s="89">
        <f t="shared" si="2263"/>
        <v>4.9873316442192284E-2</v>
      </c>
      <c r="CC259" s="89">
        <f t="shared" si="2263"/>
        <v>4.0772259621491225E-2</v>
      </c>
      <c r="CD259" s="89">
        <f t="shared" si="2263"/>
        <v>4.7351720771296124E-2</v>
      </c>
      <c r="CE259" s="89">
        <f t="shared" si="2263"/>
        <v>-2.9247261710557027E-2</v>
      </c>
      <c r="CF259" s="89">
        <f t="shared" si="2263"/>
        <v>4.1411595246669819E-3</v>
      </c>
      <c r="CG259" s="89">
        <f t="shared" si="2263"/>
        <v>1.8110095033171847E-2</v>
      </c>
      <c r="CH259" s="89">
        <f t="shared" si="2263"/>
        <v>-3.1701303275801784E-3</v>
      </c>
      <c r="CI259" s="89">
        <f t="shared" si="2263"/>
        <v>-6.1837455830389132E-3</v>
      </c>
      <c r="CJ259" s="89">
        <f t="shared" si="2263"/>
        <v>6.5362962962963067E-2</v>
      </c>
      <c r="CK259" s="89">
        <f t="shared" si="2263"/>
        <v>1.6186450105684758E-2</v>
      </c>
      <c r="CL259" s="89">
        <f t="shared" si="2263"/>
        <v>5.512069626142635E-2</v>
      </c>
      <c r="CM259" s="47">
        <f t="shared" si="2263"/>
        <v>-1.2464352065955864E-2</v>
      </c>
      <c r="CN259" s="47">
        <f t="shared" si="2263"/>
        <v>1.7367120071894337E-2</v>
      </c>
      <c r="CO259" s="47">
        <f t="shared" si="2263"/>
        <v>1.1809957683999617E-2</v>
      </c>
      <c r="CP259" s="47">
        <f t="shared" si="2263"/>
        <v>1.2441544543369876E-2</v>
      </c>
      <c r="CQ259" s="47">
        <f t="shared" si="2263"/>
        <v>1.2075541339430007E-2</v>
      </c>
      <c r="CR259" s="47">
        <f t="shared" si="2263"/>
        <v>1.341953354266967E-2</v>
      </c>
      <c r="CS259" s="47">
        <f t="shared" si="2263"/>
        <v>1.2436337591256841E-2</v>
      </c>
      <c r="CT259" s="47">
        <f t="shared" si="2263"/>
        <v>1.2593105157084228E-2</v>
      </c>
      <c r="CU259" s="47">
        <f t="shared" si="2263"/>
        <v>1.2631007733785449E-2</v>
      </c>
      <c r="CV259" s="47">
        <f t="shared" si="2263"/>
        <v>1.2769893872956795E-2</v>
      </c>
      <c r="CW259" s="47">
        <f t="shared" si="2263"/>
        <v>1.2607572465560546E-2</v>
      </c>
      <c r="CX259" s="47">
        <f t="shared" ref="CX259:DB259" si="2264">CX37/CW37-1</f>
        <v>1.2650392161808188E-2</v>
      </c>
      <c r="CY259" s="47">
        <f t="shared" si="2264"/>
        <v>1.2664714557478085E-2</v>
      </c>
      <c r="CZ259" s="47">
        <f t="shared" si="2264"/>
        <v>1.2673141046699588E-2</v>
      </c>
      <c r="DA259" s="47">
        <f t="shared" si="2264"/>
        <v>1.2648954468514439E-2</v>
      </c>
      <c r="DB259" s="47">
        <f t="shared" si="2264"/>
        <v>1.2659300508248705E-2</v>
      </c>
      <c r="DE259" s="130"/>
      <c r="DF259" s="89">
        <v>-0.13002724567844304</v>
      </c>
    </row>
    <row r="260" spans="1:110" s="103" customFormat="1" x14ac:dyDescent="0.2">
      <c r="A260" s="147" t="s">
        <v>105</v>
      </c>
      <c r="C260" s="103" t="e">
        <f>IF(C258&gt;C259,"RF",0)</f>
        <v>#DIV/0!</v>
      </c>
      <c r="D260" s="103" t="e">
        <f t="shared" ref="D260:U260" si="2265">IF(D258&gt;D259,"RF",0)</f>
        <v>#DIV/0!</v>
      </c>
      <c r="F260" s="103" t="str">
        <f t="shared" si="2265"/>
        <v>RF</v>
      </c>
      <c r="G260" s="103">
        <f t="shared" si="2265"/>
        <v>0</v>
      </c>
      <c r="H260" s="103" t="str">
        <f t="shared" si="2265"/>
        <v>RF</v>
      </c>
      <c r="I260" s="103">
        <f t="shared" si="2265"/>
        <v>0</v>
      </c>
      <c r="J260" s="103" t="str">
        <f t="shared" si="2265"/>
        <v>RF</v>
      </c>
      <c r="K260" s="103">
        <f t="shared" si="2265"/>
        <v>0</v>
      </c>
      <c r="L260" s="103">
        <f t="shared" si="2265"/>
        <v>0</v>
      </c>
      <c r="M260" s="103" t="str">
        <f t="shared" si="2265"/>
        <v>RF</v>
      </c>
      <c r="N260" s="103" t="str">
        <f t="shared" si="2265"/>
        <v>RF</v>
      </c>
      <c r="O260" s="103">
        <f t="shared" si="2265"/>
        <v>0</v>
      </c>
      <c r="P260" s="103" t="str">
        <f t="shared" si="2265"/>
        <v>RF</v>
      </c>
      <c r="Q260" s="103">
        <f t="shared" si="2265"/>
        <v>0</v>
      </c>
      <c r="R260" s="103" t="str">
        <f t="shared" si="2265"/>
        <v>RF</v>
      </c>
      <c r="S260" s="103">
        <f t="shared" si="2265"/>
        <v>0</v>
      </c>
      <c r="T260" s="103">
        <f t="shared" si="2265"/>
        <v>0</v>
      </c>
      <c r="U260" s="103">
        <f t="shared" si="2265"/>
        <v>0</v>
      </c>
      <c r="V260" s="103" t="e">
        <f>IF(V258&gt;V259,"RF",0)</f>
        <v>#DIV/0!</v>
      </c>
      <c r="W260" s="103" t="e">
        <f t="shared" ref="W260:AE260" si="2266">IF(W258&gt;W259,"RF",0)</f>
        <v>#DIV/0!</v>
      </c>
      <c r="X260" s="103" t="e">
        <f t="shared" si="2266"/>
        <v>#DIV/0!</v>
      </c>
      <c r="Y260" s="103" t="e">
        <f t="shared" si="2266"/>
        <v>#DIV/0!</v>
      </c>
      <c r="Z260" s="103" t="e">
        <f t="shared" si="2266"/>
        <v>#DIV/0!</v>
      </c>
      <c r="AA260" s="103" t="e">
        <f t="shared" ref="AA260" si="2267">IF(AA258&gt;AA259,"RF",0)</f>
        <v>#DIV/0!</v>
      </c>
      <c r="AB260" s="73" t="e">
        <f t="shared" si="2266"/>
        <v>#DIV/0!</v>
      </c>
      <c r="AC260" s="73" t="e">
        <f t="shared" si="2266"/>
        <v>#DIV/0!</v>
      </c>
      <c r="AD260" s="73" t="e">
        <f t="shared" si="2266"/>
        <v>#DIV/0!</v>
      </c>
      <c r="AE260" s="73" t="e">
        <f t="shared" si="2266"/>
        <v>#DIV/0!</v>
      </c>
      <c r="AL260" s="103">
        <f t="shared" ref="AL260:CW260" si="2268">IF(AL258&gt;AL259,"RF",0)</f>
        <v>0</v>
      </c>
      <c r="AM260" s="103">
        <f t="shared" si="2268"/>
        <v>0</v>
      </c>
      <c r="AN260" s="103">
        <f t="shared" si="2268"/>
        <v>0</v>
      </c>
      <c r="AO260" s="103">
        <f t="shared" si="2268"/>
        <v>0</v>
      </c>
      <c r="AP260" s="103" t="str">
        <f t="shared" si="2268"/>
        <v>RF</v>
      </c>
      <c r="AQ260" s="103" t="str">
        <f t="shared" si="2268"/>
        <v>RF</v>
      </c>
      <c r="AR260" s="103">
        <f t="shared" si="2268"/>
        <v>0</v>
      </c>
      <c r="AS260" s="103">
        <f t="shared" si="2268"/>
        <v>0</v>
      </c>
      <c r="AT260" s="103" t="str">
        <f t="shared" si="2268"/>
        <v>RF</v>
      </c>
      <c r="AU260" s="103">
        <f t="shared" si="2268"/>
        <v>0</v>
      </c>
      <c r="AV260" s="103">
        <f t="shared" si="2268"/>
        <v>0</v>
      </c>
      <c r="AW260" s="103" t="str">
        <f t="shared" si="2268"/>
        <v>RF</v>
      </c>
      <c r="AX260" s="103" t="str">
        <f t="shared" si="2268"/>
        <v>RF</v>
      </c>
      <c r="AY260" s="103" t="str">
        <f t="shared" si="2268"/>
        <v>RF</v>
      </c>
      <c r="AZ260" s="103">
        <f t="shared" si="2268"/>
        <v>0</v>
      </c>
      <c r="BA260" s="103">
        <f t="shared" si="2268"/>
        <v>0</v>
      </c>
      <c r="BB260" s="103" t="str">
        <f t="shared" si="2268"/>
        <v>RF</v>
      </c>
      <c r="BC260" s="103" t="str">
        <f t="shared" si="2268"/>
        <v>RF</v>
      </c>
      <c r="BD260" s="103">
        <f t="shared" si="2268"/>
        <v>0</v>
      </c>
      <c r="BE260" s="103">
        <f t="shared" si="2268"/>
        <v>0</v>
      </c>
      <c r="BF260" s="103" t="str">
        <f t="shared" si="2268"/>
        <v>RF</v>
      </c>
      <c r="BG260" s="103">
        <f t="shared" si="2268"/>
        <v>0</v>
      </c>
      <c r="BH260" s="103">
        <f t="shared" si="2268"/>
        <v>0</v>
      </c>
      <c r="BI260" s="103" t="str">
        <f t="shared" si="2268"/>
        <v>RF</v>
      </c>
      <c r="BJ260" s="103">
        <f t="shared" si="2268"/>
        <v>0</v>
      </c>
      <c r="BK260" s="103" t="e">
        <f t="shared" si="2268"/>
        <v>#DIV/0!</v>
      </c>
      <c r="BL260" s="103" t="e">
        <f t="shared" si="2268"/>
        <v>#DIV/0!</v>
      </c>
      <c r="BM260" s="103" t="e">
        <f t="shared" si="2268"/>
        <v>#DIV/0!</v>
      </c>
      <c r="BN260" s="103" t="e">
        <f t="shared" si="2268"/>
        <v>#DIV/0!</v>
      </c>
      <c r="BO260" s="103" t="e">
        <f t="shared" si="2268"/>
        <v>#DIV/0!</v>
      </c>
      <c r="BP260" s="103" t="e">
        <f t="shared" si="2268"/>
        <v>#DIV/0!</v>
      </c>
      <c r="BQ260" s="103" t="e">
        <f t="shared" si="2268"/>
        <v>#DIV/0!</v>
      </c>
      <c r="BR260" s="103" t="e">
        <f t="shared" si="2268"/>
        <v>#DIV/0!</v>
      </c>
      <c r="BS260" s="103" t="e">
        <f t="shared" si="2268"/>
        <v>#DIV/0!</v>
      </c>
      <c r="BT260" s="103" t="e">
        <f t="shared" si="2268"/>
        <v>#DIV/0!</v>
      </c>
      <c r="BU260" s="103" t="e">
        <f t="shared" si="2268"/>
        <v>#DIV/0!</v>
      </c>
      <c r="BV260" s="103" t="e">
        <f t="shared" si="2268"/>
        <v>#DIV/0!</v>
      </c>
      <c r="BW260" s="103" t="e">
        <f t="shared" si="2268"/>
        <v>#DIV/0!</v>
      </c>
      <c r="BX260" s="103" t="e">
        <f t="shared" si="2268"/>
        <v>#DIV/0!</v>
      </c>
      <c r="BY260" s="103" t="e">
        <f t="shared" si="2268"/>
        <v>#DIV/0!</v>
      </c>
      <c r="BZ260" s="103" t="e">
        <f t="shared" si="2268"/>
        <v>#DIV/0!</v>
      </c>
      <c r="CA260" s="103" t="e">
        <f t="shared" si="2268"/>
        <v>#DIV/0!</v>
      </c>
      <c r="CB260" s="103" t="e">
        <f t="shared" si="2268"/>
        <v>#DIV/0!</v>
      </c>
      <c r="CC260" s="103" t="e">
        <f t="shared" si="2268"/>
        <v>#DIV/0!</v>
      </c>
      <c r="CD260" s="103" t="e">
        <f t="shared" si="2268"/>
        <v>#DIV/0!</v>
      </c>
      <c r="CE260" s="103" t="e">
        <f t="shared" si="2268"/>
        <v>#DIV/0!</v>
      </c>
      <c r="CF260" s="103" t="e">
        <f t="shared" si="2268"/>
        <v>#DIV/0!</v>
      </c>
      <c r="CG260" s="103" t="e">
        <f t="shared" si="2268"/>
        <v>#DIV/0!</v>
      </c>
      <c r="CH260" s="103" t="e">
        <f t="shared" si="2268"/>
        <v>#DIV/0!</v>
      </c>
      <c r="CI260" s="103" t="e">
        <f t="shared" si="2268"/>
        <v>#DIV/0!</v>
      </c>
      <c r="CJ260" s="103" t="e">
        <f t="shared" si="2268"/>
        <v>#DIV/0!</v>
      </c>
      <c r="CK260" s="103" t="e">
        <f t="shared" si="2268"/>
        <v>#DIV/0!</v>
      </c>
      <c r="CL260" s="103" t="e">
        <f t="shared" si="2268"/>
        <v>#DIV/0!</v>
      </c>
      <c r="CM260" s="73" t="e">
        <f t="shared" si="2268"/>
        <v>#DIV/0!</v>
      </c>
      <c r="CN260" s="73" t="e">
        <f t="shared" si="2268"/>
        <v>#DIV/0!</v>
      </c>
      <c r="CO260" s="73" t="e">
        <f t="shared" si="2268"/>
        <v>#DIV/0!</v>
      </c>
      <c r="CP260" s="73" t="e">
        <f t="shared" si="2268"/>
        <v>#DIV/0!</v>
      </c>
      <c r="CQ260" s="73" t="e">
        <f t="shared" si="2268"/>
        <v>#DIV/0!</v>
      </c>
      <c r="CR260" s="73" t="e">
        <f t="shared" si="2268"/>
        <v>#DIV/0!</v>
      </c>
      <c r="CS260" s="73" t="e">
        <f t="shared" si="2268"/>
        <v>#DIV/0!</v>
      </c>
      <c r="CT260" s="73" t="e">
        <f t="shared" si="2268"/>
        <v>#DIV/0!</v>
      </c>
      <c r="CU260" s="73" t="e">
        <f t="shared" si="2268"/>
        <v>#DIV/0!</v>
      </c>
      <c r="CV260" s="73" t="e">
        <f t="shared" si="2268"/>
        <v>#DIV/0!</v>
      </c>
      <c r="CW260" s="73" t="e">
        <f t="shared" si="2268"/>
        <v>#DIV/0!</v>
      </c>
      <c r="CX260" s="73" t="e">
        <f t="shared" ref="CX260:DB260" si="2269">IF(CX258&gt;CX259,"RF",0)</f>
        <v>#DIV/0!</v>
      </c>
      <c r="CY260" s="73" t="e">
        <f t="shared" si="2269"/>
        <v>#DIV/0!</v>
      </c>
      <c r="CZ260" s="73" t="e">
        <f t="shared" si="2269"/>
        <v>#DIV/0!</v>
      </c>
      <c r="DA260" s="73" t="e">
        <f t="shared" si="2269"/>
        <v>#DIV/0!</v>
      </c>
      <c r="DB260" s="73" t="e">
        <f t="shared" si="2269"/>
        <v>#DIV/0!</v>
      </c>
      <c r="DE260" s="142"/>
    </row>
    <row r="261" spans="1:110" s="86" customFormat="1" x14ac:dyDescent="0.2">
      <c r="A261" s="86" t="s">
        <v>432</v>
      </c>
      <c r="B261" s="86" t="e">
        <f>B45/B17</f>
        <v>#DIV/0!</v>
      </c>
      <c r="C261" s="86" t="e">
        <f>C45/C17</f>
        <v>#DIV/0!</v>
      </c>
      <c r="D261" s="86" t="e">
        <f>D45/D17</f>
        <v>#DIV/0!</v>
      </c>
      <c r="F261" s="86">
        <f t="shared" ref="F261:AE261" si="2270">F45/F17</f>
        <v>1.5839688004281329E-3</v>
      </c>
      <c r="G261" s="86">
        <f t="shared" si="2270"/>
        <v>6.8897363281323612E-4</v>
      </c>
      <c r="H261" s="86">
        <f t="shared" si="2270"/>
        <v>5.0569021898794523E-4</v>
      </c>
      <c r="I261" s="86">
        <f t="shared" si="2270"/>
        <v>1.3265642163612535E-3</v>
      </c>
      <c r="J261" s="86">
        <f t="shared" si="2270"/>
        <v>1.030380773511808E-3</v>
      </c>
      <c r="K261" s="86">
        <f t="shared" si="2270"/>
        <v>5.361428550972367E-4</v>
      </c>
      <c r="L261" s="86">
        <f t="shared" si="2270"/>
        <v>7.0944825394818139E-4</v>
      </c>
      <c r="M261" s="86">
        <f t="shared" si="2270"/>
        <v>4.5465626922523136E-4</v>
      </c>
      <c r="N261" s="86">
        <f t="shared" si="2270"/>
        <v>7.698010646083603E-4</v>
      </c>
      <c r="O261" s="86">
        <f t="shared" si="2270"/>
        <v>4.7083263916484173E-4</v>
      </c>
      <c r="P261" s="86">
        <f t="shared" si="2270"/>
        <v>1.1007633184543461E-3</v>
      </c>
      <c r="Q261" s="86">
        <f t="shared" si="2270"/>
        <v>3.0373874786002246E-4</v>
      </c>
      <c r="R261" s="86">
        <f t="shared" si="2270"/>
        <v>2.7126460166488649E-4</v>
      </c>
      <c r="S261" s="86">
        <f t="shared" si="2270"/>
        <v>4.224070704445022E-4</v>
      </c>
      <c r="T261" s="86">
        <f t="shared" si="2270"/>
        <v>1.3518772659306445E-3</v>
      </c>
      <c r="U261" s="86">
        <f t="shared" si="2270"/>
        <v>5.8872627414000723E-3</v>
      </c>
      <c r="V261" s="86">
        <f t="shared" si="2270"/>
        <v>3.879958824926756E-3</v>
      </c>
      <c r="W261" s="86">
        <f t="shared" si="2270"/>
        <v>4.0885718159725483E-3</v>
      </c>
      <c r="X261" s="86">
        <f t="shared" si="2270"/>
        <v>3.4551889930718805E-3</v>
      </c>
      <c r="Y261" s="86">
        <f t="shared" si="2270"/>
        <v>3.2296496784879592E-3</v>
      </c>
      <c r="Z261" s="86">
        <f t="shared" si="2270"/>
        <v>3.1176074321254562E-3</v>
      </c>
      <c r="AA261" s="86">
        <f t="shared" ref="AA261" si="2271">AA45/AA17</f>
        <v>4.595144202141405E-3</v>
      </c>
      <c r="AB261" s="87">
        <f t="shared" si="2270"/>
        <v>-7.6315052673669856E-3</v>
      </c>
      <c r="AC261" s="87">
        <f t="shared" si="2270"/>
        <v>-1.3513270586720838E-2</v>
      </c>
      <c r="AD261" s="87">
        <f t="shared" si="2270"/>
        <v>-1.9227231005565434E-2</v>
      </c>
      <c r="AE261" s="87">
        <f t="shared" si="2270"/>
        <v>-2.4803748941207564E-2</v>
      </c>
      <c r="AL261" s="86">
        <f t="shared" ref="AL261:CW261" si="2272">AL45/AL17</f>
        <v>1.1521543704264554E-3</v>
      </c>
      <c r="AM261" s="86">
        <f t="shared" si="2272"/>
        <v>3.7526956864013982E-4</v>
      </c>
      <c r="AN261" s="86">
        <f t="shared" si="2272"/>
        <v>6.0398794121628964E-4</v>
      </c>
      <c r="AO261" s="86">
        <f t="shared" si="2272"/>
        <v>3.310797991543142E-4</v>
      </c>
      <c r="AP261" s="86">
        <f t="shared" si="2272"/>
        <v>5.5913645203096464E-4</v>
      </c>
      <c r="AQ261" s="86">
        <f t="shared" si="2272"/>
        <v>3.9211199116459072E-4</v>
      </c>
      <c r="AR261" s="86">
        <f t="shared" si="2272"/>
        <v>2.7917643581251302E-3</v>
      </c>
      <c r="AS261" s="86">
        <f t="shared" si="2272"/>
        <v>7.3384340483748924E-4</v>
      </c>
      <c r="AT261" s="86">
        <f t="shared" si="2272"/>
        <v>4.5623903787651079E-4</v>
      </c>
      <c r="AU261" s="86">
        <f t="shared" si="2272"/>
        <v>2.7271310581268506E-4</v>
      </c>
      <c r="AV261" s="86">
        <f t="shared" si="2272"/>
        <v>2.9449659488312165E-4</v>
      </c>
      <c r="AW261" s="86">
        <f t="shared" si="2272"/>
        <v>2.9235491887151001E-4</v>
      </c>
      <c r="AX261" s="86">
        <f t="shared" si="2272"/>
        <v>3.5150620408450208E-4</v>
      </c>
      <c r="AY261" s="86">
        <f t="shared" si="2272"/>
        <v>4.0948643576181539E-4</v>
      </c>
      <c r="AZ261" s="86">
        <f t="shared" si="2272"/>
        <v>1.7074170195328507E-4</v>
      </c>
      <c r="BA261" s="86">
        <f t="shared" si="2272"/>
        <v>2.3541281318311755E-4</v>
      </c>
      <c r="BB261" s="86">
        <f t="shared" si="2272"/>
        <v>2.6988732204304703E-4</v>
      </c>
      <c r="BC261" s="86">
        <f t="shared" si="2272"/>
        <v>9.1265548945375884E-4</v>
      </c>
      <c r="BD261" s="86">
        <f t="shared" si="2272"/>
        <v>2.2920009168003668E-4</v>
      </c>
      <c r="BE261" s="86">
        <f t="shared" si="2272"/>
        <v>1.9414962464405901E-4</v>
      </c>
      <c r="BF261" s="86">
        <f t="shared" si="2272"/>
        <v>3.7412314886983629E-4</v>
      </c>
      <c r="BG261" s="86">
        <f t="shared" si="2272"/>
        <v>4.9619100434896823E-4</v>
      </c>
      <c r="BH261" s="86">
        <f t="shared" si="2272"/>
        <v>3.7173712487111304E-3</v>
      </c>
      <c r="BI261" s="86">
        <f t="shared" si="2272"/>
        <v>4.2851786383844875E-4</v>
      </c>
      <c r="BJ261" s="86">
        <f t="shared" si="2272"/>
        <v>7.3664825046040514E-4</v>
      </c>
      <c r="BK261" s="86">
        <f t="shared" si="2272"/>
        <v>6.7326836424604422E-3</v>
      </c>
      <c r="BL261" s="86">
        <f t="shared" si="2272"/>
        <v>4.9516381455730306E-3</v>
      </c>
      <c r="BM261" s="86">
        <f t="shared" si="2272"/>
        <v>5.595423295026848E-3</v>
      </c>
      <c r="BN261" s="86">
        <f t="shared" si="2272"/>
        <v>6.2834827016472238E-3</v>
      </c>
      <c r="BO261" s="86">
        <f t="shared" si="2272"/>
        <v>3.7054433484682426E-3</v>
      </c>
      <c r="BP261" s="86">
        <f t="shared" si="2272"/>
        <v>4.3353681325526347E-3</v>
      </c>
      <c r="BQ261" s="86">
        <f t="shared" si="2272"/>
        <v>4.3555872902534811E-3</v>
      </c>
      <c r="BR261" s="86">
        <f t="shared" si="2272"/>
        <v>3.1575334629905046E-3</v>
      </c>
      <c r="BS261" s="86">
        <f t="shared" si="2272"/>
        <v>3.2150800466847242E-3</v>
      </c>
      <c r="BT261" s="86">
        <f t="shared" si="2272"/>
        <v>3.0298504278063456E-3</v>
      </c>
      <c r="BU261" s="86">
        <f t="shared" si="2272"/>
        <v>5.1344993351743889E-3</v>
      </c>
      <c r="BV261" s="86">
        <f t="shared" si="2272"/>
        <v>4.8427585934257078E-3</v>
      </c>
      <c r="BW261" s="86">
        <f t="shared" si="2272"/>
        <v>3.7719398005989615E-3</v>
      </c>
      <c r="BX261" s="86">
        <f t="shared" si="2272"/>
        <v>2.6758755356271133E-3</v>
      </c>
      <c r="BY261" s="86">
        <f t="shared" si="2272"/>
        <v>2.7477717288636248E-3</v>
      </c>
      <c r="BZ261" s="86">
        <f t="shared" si="2272"/>
        <v>4.5975457219160944E-3</v>
      </c>
      <c r="CA261" s="86">
        <f t="shared" si="2272"/>
        <v>2.744985769859046E-3</v>
      </c>
      <c r="CB261" s="86">
        <f t="shared" si="2272"/>
        <v>2.6636735240903302E-3</v>
      </c>
      <c r="CC261" s="86">
        <f t="shared" si="2272"/>
        <v>3.7964445471501906E-3</v>
      </c>
      <c r="CD261" s="86">
        <f t="shared" si="2272"/>
        <v>3.6905792249783626E-3</v>
      </c>
      <c r="CE261" s="86">
        <f t="shared" si="2272"/>
        <v>2.7630044878859021E-3</v>
      </c>
      <c r="CF261" s="86">
        <f t="shared" si="2272"/>
        <v>2.5210476353506902E-3</v>
      </c>
      <c r="CG261" s="86">
        <f t="shared" si="2272"/>
        <v>3.6577931314773419E-3</v>
      </c>
      <c r="CH261" s="86">
        <f t="shared" si="2272"/>
        <v>3.5205260627491123E-3</v>
      </c>
      <c r="CI261" s="86">
        <f t="shared" si="2272"/>
        <v>3.0739158535239685E-3</v>
      </c>
      <c r="CJ261" s="86">
        <f t="shared" si="2272"/>
        <v>3.4802960531315065E-3</v>
      </c>
      <c r="CK261" s="86">
        <f t="shared" si="2272"/>
        <v>8.0194374468973116E-3</v>
      </c>
      <c r="CL261" s="86">
        <f t="shared" si="2272"/>
        <v>3.7483380010749951E-3</v>
      </c>
      <c r="CM261" s="87">
        <f t="shared" si="2272"/>
        <v>-5.3172297844768547E-3</v>
      </c>
      <c r="CN261" s="87">
        <f t="shared" si="2272"/>
        <v>-6.8812588655168035E-3</v>
      </c>
      <c r="CO261" s="87">
        <f t="shared" si="2272"/>
        <v>-8.3744124006503873E-3</v>
      </c>
      <c r="CP261" s="87">
        <f t="shared" si="2272"/>
        <v>-9.8580530293128823E-3</v>
      </c>
      <c r="CQ261" s="87">
        <f t="shared" si="2272"/>
        <v>-1.1315068290685128E-2</v>
      </c>
      <c r="CR261" s="87">
        <f t="shared" si="2272"/>
        <v>-1.277075952996376E-2</v>
      </c>
      <c r="CS261" s="87">
        <f t="shared" si="2272"/>
        <v>-1.4219191664368892E-2</v>
      </c>
      <c r="CT261" s="87">
        <f t="shared" si="2272"/>
        <v>-1.5657024679774201E-2</v>
      </c>
      <c r="CU261" s="87">
        <f t="shared" si="2272"/>
        <v>-1.7083875280138935E-2</v>
      </c>
      <c r="CV261" s="87">
        <f t="shared" si="2272"/>
        <v>-1.8503740223948923E-2</v>
      </c>
      <c r="CW261" s="87">
        <f t="shared" si="2272"/>
        <v>-1.9915067766279781E-2</v>
      </c>
      <c r="CX261" s="87">
        <f t="shared" ref="CX261:DB261" si="2273">CX45/CX17</f>
        <v>-2.1317480419287431E-2</v>
      </c>
      <c r="CY261" s="87">
        <f t="shared" si="2273"/>
        <v>-2.271136453921245E-2</v>
      </c>
      <c r="CZ261" s="87">
        <f t="shared" si="2273"/>
        <v>-2.4097313310887981E-2</v>
      </c>
      <c r="DA261" s="87">
        <f t="shared" si="2273"/>
        <v>-2.5475045771903009E-2</v>
      </c>
      <c r="DB261" s="87">
        <f t="shared" si="2273"/>
        <v>-2.6844616613634961E-2</v>
      </c>
      <c r="DE261" s="141"/>
      <c r="DF261" s="86">
        <v>-1.408586791681316E-2</v>
      </c>
    </row>
    <row r="262" spans="1:110" s="86" customFormat="1" x14ac:dyDescent="0.2">
      <c r="A262" s="86" t="s">
        <v>433</v>
      </c>
      <c r="B262" s="86" t="e">
        <f>B41/B17</f>
        <v>#DIV/0!</v>
      </c>
      <c r="C262" s="86" t="e">
        <f>C41/C17</f>
        <v>#DIV/0!</v>
      </c>
      <c r="D262" s="86" t="e">
        <f>D41/D17</f>
        <v>#DIV/0!</v>
      </c>
      <c r="F262" s="86">
        <f t="shared" ref="F262:AE262" si="2274">F41/F17</f>
        <v>1.6282584134886476E-2</v>
      </c>
      <c r="G262" s="86">
        <f t="shared" si="2274"/>
        <v>2.1289586774118411E-2</v>
      </c>
      <c r="H262" s="86">
        <f t="shared" si="2274"/>
        <v>2.3554461766341149E-2</v>
      </c>
      <c r="I262" s="86">
        <f t="shared" si="2274"/>
        <v>2.4918277720926432E-2</v>
      </c>
      <c r="J262" s="86">
        <f t="shared" si="2274"/>
        <v>2.0279734358776717E-2</v>
      </c>
      <c r="K262" s="86">
        <f t="shared" si="2274"/>
        <v>2.2008164689764766E-2</v>
      </c>
      <c r="L262" s="86">
        <f t="shared" si="2274"/>
        <v>1.969897746215785E-2</v>
      </c>
      <c r="M262" s="86">
        <f t="shared" si="2274"/>
        <v>1.877405199157035E-2</v>
      </c>
      <c r="N262" s="86">
        <f t="shared" si="2274"/>
        <v>1.7144226968279244E-2</v>
      </c>
      <c r="O262" s="86">
        <f t="shared" si="2274"/>
        <v>1.6490754286844399E-2</v>
      </c>
      <c r="P262" s="86">
        <f t="shared" si="2274"/>
        <v>1.9003090251181954E-2</v>
      </c>
      <c r="Q262" s="86">
        <f t="shared" si="2274"/>
        <v>1.7377538059385526E-2</v>
      </c>
      <c r="R262" s="86">
        <f t="shared" si="2274"/>
        <v>1.6843836359629046E-2</v>
      </c>
      <c r="S262" s="86">
        <f t="shared" si="2274"/>
        <v>1.6360150766831297E-2</v>
      </c>
      <c r="T262" s="86">
        <f t="shared" si="2274"/>
        <v>1.4037675044209118E-2</v>
      </c>
      <c r="U262" s="86">
        <f t="shared" si="2274"/>
        <v>2.248501105454638E-2</v>
      </c>
      <c r="V262" s="86">
        <f t="shared" si="2274"/>
        <v>2.4759862830969016E-2</v>
      </c>
      <c r="W262" s="86">
        <f t="shared" si="2274"/>
        <v>2.4009929388695932E-2</v>
      </c>
      <c r="X262" s="86">
        <f t="shared" si="2274"/>
        <v>2.2274658694745805E-2</v>
      </c>
      <c r="Y262" s="86">
        <f t="shared" si="2274"/>
        <v>2.0693835022188273E-2</v>
      </c>
      <c r="Z262" s="86">
        <f t="shared" si="2274"/>
        <v>2.053077658191161E-2</v>
      </c>
      <c r="AA262" s="86">
        <f t="shared" ref="AA262" si="2275">AA41/AA17</f>
        <v>2.0822332325921931E-2</v>
      </c>
      <c r="AB262" s="87">
        <f t="shared" si="2274"/>
        <v>2.0400153439129425E-2</v>
      </c>
      <c r="AC262" s="87">
        <f t="shared" si="2274"/>
        <v>1.6630292326027706E-2</v>
      </c>
      <c r="AD262" s="87">
        <f t="shared" si="2274"/>
        <v>1.4373770660733257E-2</v>
      </c>
      <c r="AE262" s="87">
        <f t="shared" si="2274"/>
        <v>1.2919034663539428E-2</v>
      </c>
      <c r="AL262" s="86">
        <f t="shared" ref="AL262:CW262" si="2276">AL41/AL17</f>
        <v>1.7643238716282136E-2</v>
      </c>
      <c r="AM262" s="86">
        <f t="shared" si="2276"/>
        <v>1.6520200343913709E-2</v>
      </c>
      <c r="AN262" s="86">
        <f t="shared" si="2276"/>
        <v>1.562979686555524E-2</v>
      </c>
      <c r="AO262" s="86">
        <f t="shared" si="2276"/>
        <v>1.6402303751862031E-2</v>
      </c>
      <c r="AP262" s="86">
        <f t="shared" si="2276"/>
        <v>1.7394015801520946E-2</v>
      </c>
      <c r="AQ262" s="86">
        <f t="shared" si="2276"/>
        <v>1.8881526550323529E-2</v>
      </c>
      <c r="AR262" s="86">
        <f t="shared" si="2276"/>
        <v>1.8861309479822376E-2</v>
      </c>
      <c r="AS262" s="86">
        <f t="shared" si="2276"/>
        <v>1.8850551443728741E-2</v>
      </c>
      <c r="AT262" s="86">
        <f t="shared" si="2276"/>
        <v>1.9411009853111675E-2</v>
      </c>
      <c r="AU262" s="86">
        <f t="shared" si="2276"/>
        <v>1.7648433847592331E-2</v>
      </c>
      <c r="AV262" s="86">
        <f t="shared" si="2276"/>
        <v>1.7264862875023008E-2</v>
      </c>
      <c r="AW262" s="86">
        <f t="shared" si="2276"/>
        <v>1.7212395848560151E-2</v>
      </c>
      <c r="AX262" s="86">
        <f t="shared" si="2276"/>
        <v>1.7399557102182852E-2</v>
      </c>
      <c r="AY262" s="86">
        <f t="shared" si="2276"/>
        <v>1.6720696126940795E-2</v>
      </c>
      <c r="AZ262" s="86">
        <f t="shared" si="2276"/>
        <v>1.6937576833765879E-2</v>
      </c>
      <c r="BA262" s="86">
        <f t="shared" si="2276"/>
        <v>1.6680679334118043E-2</v>
      </c>
      <c r="BB262" s="86">
        <f t="shared" si="2276"/>
        <v>1.7036637203967343E-2</v>
      </c>
      <c r="BC262" s="86">
        <f t="shared" si="2276"/>
        <v>1.6867225527312062E-2</v>
      </c>
      <c r="BD262" s="86">
        <f t="shared" si="2276"/>
        <v>1.6502406600962641E-2</v>
      </c>
      <c r="BE262" s="86">
        <f t="shared" si="2276"/>
        <v>1.6373285011648978E-2</v>
      </c>
      <c r="BF262" s="86">
        <f t="shared" si="2276"/>
        <v>1.574434918160561E-2</v>
      </c>
      <c r="BG262" s="86">
        <f t="shared" si="2276"/>
        <v>1.4389539126120078E-2</v>
      </c>
      <c r="BH262" s="86">
        <f t="shared" si="2276"/>
        <v>1.3756987029901774E-2</v>
      </c>
      <c r="BI262" s="86">
        <f t="shared" si="2276"/>
        <v>1.3900048208259682E-2</v>
      </c>
      <c r="BJ262" s="86">
        <f t="shared" si="2276"/>
        <v>1.4127861089187056E-2</v>
      </c>
      <c r="BK262" s="86">
        <f t="shared" si="2276"/>
        <v>2.1403122707743895E-2</v>
      </c>
      <c r="BL262" s="86">
        <f t="shared" si="2276"/>
        <v>2.2166918952202581E-2</v>
      </c>
      <c r="BM262" s="86">
        <f t="shared" si="2276"/>
        <v>2.2507151101520548E-2</v>
      </c>
      <c r="BN262" s="86">
        <f t="shared" si="2276"/>
        <v>2.3807139638511991E-2</v>
      </c>
      <c r="BO262" s="86">
        <f t="shared" si="2276"/>
        <v>2.5468399352852146E-2</v>
      </c>
      <c r="BP262" s="86">
        <f t="shared" si="2276"/>
        <v>2.4866076990158217E-2</v>
      </c>
      <c r="BQ262" s="86">
        <f t="shared" si="2276"/>
        <v>2.4372248006664286E-2</v>
      </c>
      <c r="BR262" s="86">
        <f t="shared" si="2276"/>
        <v>2.441368264500629E-2</v>
      </c>
      <c r="BS262" s="86">
        <f t="shared" si="2276"/>
        <v>2.3672678425932042E-2</v>
      </c>
      <c r="BT262" s="86">
        <f t="shared" si="2276"/>
        <v>2.3812063925576631E-2</v>
      </c>
      <c r="BU262" s="86">
        <f t="shared" si="2276"/>
        <v>2.4465582489516212E-2</v>
      </c>
      <c r="BV262" s="86">
        <f t="shared" si="2276"/>
        <v>2.4055662074281985E-2</v>
      </c>
      <c r="BW262" s="86">
        <f t="shared" si="2276"/>
        <v>2.3313999772546345E-2</v>
      </c>
      <c r="BX262" s="86">
        <f t="shared" si="2276"/>
        <v>2.23652570106131E-2</v>
      </c>
      <c r="BY262" s="86">
        <f t="shared" si="2276"/>
        <v>2.1793264524549622E-2</v>
      </c>
      <c r="BZ262" s="86">
        <f t="shared" si="2276"/>
        <v>2.1736925729353301E-2</v>
      </c>
      <c r="CA262" s="86">
        <f t="shared" si="2276"/>
        <v>2.0932621545612234E-2</v>
      </c>
      <c r="CB262" s="86">
        <f t="shared" si="2276"/>
        <v>2.1158614219660928E-2</v>
      </c>
      <c r="CC262" s="86">
        <f t="shared" si="2276"/>
        <v>2.0352244028852978E-2</v>
      </c>
      <c r="CD262" s="86">
        <f t="shared" si="2276"/>
        <v>2.0347175727093096E-2</v>
      </c>
      <c r="CE262" s="86">
        <f t="shared" si="2276"/>
        <v>1.9484771533068213E-2</v>
      </c>
      <c r="CF262" s="86">
        <f t="shared" si="2276"/>
        <v>1.970152040959243E-2</v>
      </c>
      <c r="CG262" s="86">
        <f t="shared" si="2276"/>
        <v>2.152470573523205E-2</v>
      </c>
      <c r="CH262" s="86">
        <f t="shared" si="2276"/>
        <v>2.1386808108066192E-2</v>
      </c>
      <c r="CI262" s="86">
        <f t="shared" si="2276"/>
        <v>2.1454356290492929E-2</v>
      </c>
      <c r="CJ262" s="86">
        <f t="shared" si="2276"/>
        <v>2.1474490493776501E-2</v>
      </c>
      <c r="CK262" s="86">
        <f t="shared" si="2276"/>
        <v>2.0570304231818385E-2</v>
      </c>
      <c r="CL262" s="86">
        <f t="shared" si="2276"/>
        <v>1.9887408413250728E-2</v>
      </c>
      <c r="CM262" s="87">
        <f t="shared" si="2276"/>
        <v>2.233812433969843E-2</v>
      </c>
      <c r="CN262" s="87">
        <f t="shared" si="2276"/>
        <v>2.0939423097038327E-2</v>
      </c>
      <c r="CO262" s="87">
        <f t="shared" si="2276"/>
        <v>1.9726932160093399E-2</v>
      </c>
      <c r="CP262" s="87">
        <f t="shared" si="2276"/>
        <v>1.8672893200023875E-2</v>
      </c>
      <c r="CQ262" s="87">
        <f t="shared" si="2276"/>
        <v>1.7753727821999004E-2</v>
      </c>
      <c r="CR262" s="87">
        <f t="shared" si="2276"/>
        <v>1.6949407607009161E-2</v>
      </c>
      <c r="CS262" s="87">
        <f t="shared" si="2276"/>
        <v>1.6242919101370313E-2</v>
      </c>
      <c r="CT262" s="87">
        <f t="shared" si="2276"/>
        <v>1.5619809443262149E-2</v>
      </c>
      <c r="CU262" s="87">
        <f t="shared" si="2276"/>
        <v>1.506780047256622E-2</v>
      </c>
      <c r="CV262" s="87">
        <f t="shared" si="2276"/>
        <v>1.4576461002100234E-2</v>
      </c>
      <c r="CW262" s="87">
        <f t="shared" si="2276"/>
        <v>1.4136928484078206E-2</v>
      </c>
      <c r="CX262" s="87">
        <f t="shared" ref="CX262:DB262" si="2277">CX41/CX17</f>
        <v>1.3741672626877128E-2</v>
      </c>
      <c r="CY262" s="87">
        <f t="shared" si="2277"/>
        <v>1.3384294639300827E-2</v>
      </c>
      <c r="CZ262" s="87">
        <f t="shared" si="2277"/>
        <v>1.3059356732515204E-2</v>
      </c>
      <c r="DA262" s="87">
        <f t="shared" si="2277"/>
        <v>1.2762237319177775E-2</v>
      </c>
      <c r="DB262" s="87">
        <f t="shared" si="2277"/>
        <v>1.2489008036646558E-2</v>
      </c>
      <c r="DE262" s="141"/>
      <c r="DF262" s="86">
        <v>1.9579409514977362E-2</v>
      </c>
    </row>
    <row r="263" spans="1:110" s="85" customFormat="1" x14ac:dyDescent="0.2">
      <c r="AB263" s="58"/>
      <c r="AC263" s="58"/>
      <c r="AD263" s="58"/>
      <c r="AE263" s="58"/>
      <c r="CM263" s="72"/>
      <c r="CN263" s="72"/>
      <c r="CO263" s="72"/>
      <c r="CP263" s="72"/>
      <c r="CQ263" s="72"/>
      <c r="CR263" s="72"/>
      <c r="CS263" s="72"/>
      <c r="CT263" s="72"/>
      <c r="CU263" s="72"/>
      <c r="CV263" s="72"/>
      <c r="CW263" s="72"/>
      <c r="CX263" s="72"/>
      <c r="CY263" s="72"/>
      <c r="CZ263" s="72"/>
      <c r="DA263" s="72"/>
      <c r="DB263" s="72"/>
      <c r="DE263" s="143"/>
      <c r="DF263" s="218"/>
    </row>
  </sheetData>
  <sortState xmlns:xlrd2="http://schemas.microsoft.com/office/spreadsheetml/2017/richdata2" ref="A29:DE34">
    <sortCondition ref="A29:A34"/>
  </sortState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132540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Tata Consultancy Services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14868.71</v>
      </c>
      <c r="D6">
        <f>_xll.EQNXTDZ($A$1,$B6,D$1,$B$1)</f>
        <v>15620.75</v>
      </c>
      <c r="E6">
        <f>_xll.EQNXTDZ($A$1,$B6,E$1,$B$1)</f>
        <v>16069.93</v>
      </c>
      <c r="F6">
        <f>_xll.EQNXTDZ($A$1,$B6,F$1,$B$1)</f>
        <v>16430.09</v>
      </c>
      <c r="G6">
        <f>_xll.EQNXTDZ($A$1,$B6,G$1,$B$1)</f>
        <v>17987.07</v>
      </c>
      <c r="H6">
        <f>_xll.EQNXTDZ($A$1,$B6,H$1,$B$1)</f>
        <v>20977.24</v>
      </c>
      <c r="I6">
        <f>_xll.EQNXTDZ($A$1,$B6,I$1,$B$1)</f>
        <v>21293.96</v>
      </c>
      <c r="J6">
        <f>_xll.EQNXTDZ($A$1,$B6,J$1,$B$1)</f>
        <v>21551.09</v>
      </c>
      <c r="K6">
        <f>_xll.EQNXTDZ($A$1,$B6,K$1,$B$1)</f>
        <v>22111.03</v>
      </c>
      <c r="L6">
        <f>_xll.EQNXTDZ($A$1,$B6,L$1,$B$1)</f>
        <v>23816.48</v>
      </c>
      <c r="M6">
        <f>_xll.EQNXTDZ($A$1,$B6,M$1,$B$1)</f>
        <v>24501.14</v>
      </c>
      <c r="N6">
        <f>_xll.EQNXTDZ($A$1,$B6,N$1,$B$1)</f>
        <v>24219.759999999998</v>
      </c>
      <c r="O6">
        <f>_xll.EQNXTDZ($A$1,$B6,O$1,$B$1)</f>
        <v>25668</v>
      </c>
      <c r="P6">
        <f>_xll.EQNXTDZ($A$1,$B6,P$1,$B$1)</f>
        <v>27165</v>
      </c>
      <c r="Q6">
        <f>_xll.EQNXTDZ($A$1,$B6,Q$1,$B$1)</f>
        <v>27364</v>
      </c>
      <c r="R6">
        <f>_xll.EQNXTDZ($A$1,$B6,R$1,$B$1)</f>
        <v>28449</v>
      </c>
      <c r="S6">
        <f>_xll.EQNXTDZ($A$1,$B6,S$1,$B$1)</f>
        <v>29305</v>
      </c>
      <c r="T6">
        <f>_xll.EQNXTDZ($A$1,$B6,T$1,$B$1)</f>
        <v>29284</v>
      </c>
      <c r="U6">
        <f>_xll.EQNXTDZ($A$1,$B6,U$1,$B$1)</f>
        <v>29735</v>
      </c>
      <c r="V6">
        <f>_xll.EQNXTDZ($A$1,$B6,V$1,$B$1)</f>
        <v>29642</v>
      </c>
      <c r="W6">
        <f>_xll.EQNXTDZ($A$1,$B6,W$1,$B$1)</f>
        <v>29584</v>
      </c>
      <c r="X6">
        <f>_xll.EQNXTDZ($A$1,$B6,X$1,$B$1)</f>
        <v>30541</v>
      </c>
      <c r="Y6">
        <f>_xll.EQNXTDZ($A$1,$B6,Y$1,$B$1)</f>
        <v>30904</v>
      </c>
      <c r="Z6">
        <f>_xll.EQNXTDZ($A$1,$B6,Z$1,$B$1)</f>
        <v>32075</v>
      </c>
      <c r="AA6">
        <f>_xll.EQNXTDZ($A$1,$B6,AA$1,$B$1)</f>
        <v>34261</v>
      </c>
      <c r="AB6">
        <f>_xll.EQNXTDZ($A$1,$B6,AB$1,$B$1)</f>
        <v>36854</v>
      </c>
      <c r="AC6">
        <f>_xll.EQNXTDZ($A$1,$B6,AC$1,$B$1)</f>
        <v>37338</v>
      </c>
      <c r="AD6">
        <f>_xll.EQNXTDZ($A$1,$B6,AD$1,$B$1)</f>
        <v>38010</v>
      </c>
      <c r="AE6">
        <f>_xll.EQNXTDZ($A$1,$B6,AE$1,$B$1)</f>
        <v>38172</v>
      </c>
      <c r="AF6">
        <f>_xll.EQNXTDZ($A$1,$B6,AF$1,$B$1)</f>
        <v>38977</v>
      </c>
      <c r="AG6">
        <f>_xll.EQNXTDZ($A$1,$B6,AG$1,$B$1)</f>
        <v>39854</v>
      </c>
      <c r="AH6">
        <f>_xll.EQNXTDZ($A$1,$B6,AH$1,$B$1)</f>
        <v>39946</v>
      </c>
      <c r="AI6">
        <f>_xll.EQNXTDZ($A$1,$B6,AI$1,$B$1)</f>
        <v>38322</v>
      </c>
      <c r="AJ6">
        <f>_xll.EQNXTDZ($A$1,$B6,AJ$1,$B$1)</f>
        <v>40135</v>
      </c>
      <c r="AK6">
        <f>_xll.EQNXTDZ($A$1,$B6,AK$1,$B$1)</f>
        <v>42015</v>
      </c>
      <c r="AL6">
        <f>_xll.EQNXTDZ($A$1,$B6,AL$1,$B$1)</f>
        <v>43705</v>
      </c>
      <c r="AM6">
        <f>_xll.EQNXTDZ($A$1,$B6,AM$1,$B$1)</f>
        <v>45411</v>
      </c>
      <c r="AN6">
        <f>_xll.EQNXTDZ($A$1,$B6,AN$1,$B$1)</f>
        <v>46867</v>
      </c>
      <c r="AO6">
        <f>_xll.EQNXTDZ($A$1,$B6,AO$1,$B$1)</f>
        <v>48885</v>
      </c>
      <c r="AP6">
        <f>_xll.EQNXTDZ($A$1,$B6,AP$1,$B$1)</f>
        <v>50591</v>
      </c>
      <c r="AQ6">
        <f>_xll.EQNXTDZ($A$1,$B6,AQ$1,$B$1)</f>
        <v>52758</v>
      </c>
      <c r="AR6">
        <f>_xll.EQNXTDZ($A$1,$B6,AR$1,$B$1)</f>
        <v>55309</v>
      </c>
      <c r="AS6">
        <f>_xll.EQNXTDZ($A$1,$B6,AS$1,$B$1)</f>
        <v>58229</v>
      </c>
      <c r="AT6">
        <f>_xll.EQNXTDZ($A$1,$B6,AT$1,$B$1)</f>
        <v>59162</v>
      </c>
      <c r="AU6">
        <f>_xll.EQNXTDZ($A$1,$B6,AU$1,$B$1)</f>
        <v>59381</v>
      </c>
      <c r="AV6">
        <f>_xll.EQNXTDZ($A$1,$B6,AV$1,$B$1)</f>
        <v>59692</v>
      </c>
      <c r="AW6">
        <f>_xll.EQNXTDZ($A$1,$B6,AW$1,$B$1)</f>
        <v>60583</v>
      </c>
      <c r="AX6">
        <f>_xll.EQNXTDZ($A$1,$B6,AX$1,$B$1)</f>
        <v>61237</v>
      </c>
      <c r="AY6">
        <f>_xll.EQNXTDZ($A$1,$B6,AY$1,$B$1)</f>
        <v>62613</v>
      </c>
      <c r="AZ6">
        <f>_xll.EQNXTDZ($A$1,$B6,AZ$1,$B$1)</f>
        <v>64259</v>
      </c>
      <c r="BA6">
        <f>_xll.EQNXTDZ($A$1,$B6,BA$1,$B$1)</f>
        <v>63973</v>
      </c>
      <c r="BB6">
        <f>_xll.EQNXTDZ($A$1,$B6,BB$1,$B$1)</f>
        <v>64479</v>
      </c>
      <c r="BC6">
        <f>_xll.EQNXTDZ($A$1,$B6,BC$1,$B$1)</f>
        <v>63437</v>
      </c>
      <c r="BD6">
        <f>_xll.EQNXTDZ($A$1,$B6,BD$1,$B$1)</f>
        <v>65799</v>
      </c>
      <c r="BE6">
        <f>_xll.EQNXTDZ($A$1,$B6,BE$1,$B$1)</f>
        <v>67087</v>
      </c>
      <c r="BF6">
        <f>_xll.EQNXTDZ($A$1,$B6,BF$1,$B$1)</f>
        <v>70698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14868.71</v>
      </c>
      <c r="D9">
        <f>_xll.EQNXTDZ($A$1,$B9,D$1,$B$1)</f>
        <v>15620.75</v>
      </c>
      <c r="E9">
        <f>_xll.EQNXTDZ($A$1,$B9,E$1,$B$1)</f>
        <v>16069.93</v>
      </c>
      <c r="F9">
        <f>_xll.EQNXTDZ($A$1,$B9,F$1,$B$1)</f>
        <v>16430.09</v>
      </c>
      <c r="G9">
        <f>_xll.EQNXTDZ($A$1,$B9,G$1,$B$1)</f>
        <v>17987.07</v>
      </c>
      <c r="H9">
        <f>_xll.EQNXTDZ($A$1,$B9,H$1,$B$1)</f>
        <v>20977.24</v>
      </c>
      <c r="I9">
        <f>_xll.EQNXTDZ($A$1,$B9,I$1,$B$1)</f>
        <v>21293.96</v>
      </c>
      <c r="J9">
        <f>_xll.EQNXTDZ($A$1,$B9,J$1,$B$1)</f>
        <v>21551.09</v>
      </c>
      <c r="K9">
        <f>_xll.EQNXTDZ($A$1,$B9,K$1,$B$1)</f>
        <v>22111.03</v>
      </c>
      <c r="L9">
        <f>_xll.EQNXTDZ($A$1,$B9,L$1,$B$1)</f>
        <v>23816.48</v>
      </c>
      <c r="M9">
        <f>_xll.EQNXTDZ($A$1,$B9,M$1,$B$1)</f>
        <v>24501.14</v>
      </c>
      <c r="N9">
        <f>_xll.EQNXTDZ($A$1,$B9,N$1,$B$1)</f>
        <v>24219.759999999998</v>
      </c>
      <c r="O9">
        <f>_xll.EQNXTDZ($A$1,$B9,O$1,$B$1)</f>
        <v>25668</v>
      </c>
      <c r="P9">
        <f>_xll.EQNXTDZ($A$1,$B9,P$1,$B$1)</f>
        <v>27165</v>
      </c>
      <c r="Q9">
        <f>_xll.EQNXTDZ($A$1,$B9,Q$1,$B$1)</f>
        <v>27364</v>
      </c>
      <c r="R9">
        <f>_xll.EQNXTDZ($A$1,$B9,R$1,$B$1)</f>
        <v>28449</v>
      </c>
      <c r="S9">
        <f>_xll.EQNXTDZ($A$1,$B9,S$1,$B$1)</f>
        <v>29305</v>
      </c>
      <c r="T9">
        <f>_xll.EQNXTDZ($A$1,$B9,T$1,$B$1)</f>
        <v>29284</v>
      </c>
      <c r="U9">
        <f>_xll.EQNXTDZ($A$1,$B9,U$1,$B$1)</f>
        <v>29735</v>
      </c>
      <c r="V9">
        <f>_xll.EQNXTDZ($A$1,$B9,V$1,$B$1)</f>
        <v>29642</v>
      </c>
      <c r="W9">
        <f>_xll.EQNXTDZ($A$1,$B9,W$1,$B$1)</f>
        <v>29584</v>
      </c>
      <c r="X9">
        <f>_xll.EQNXTDZ($A$1,$B9,X$1,$B$1)</f>
        <v>30541</v>
      </c>
      <c r="Y9">
        <f>_xll.EQNXTDZ($A$1,$B9,Y$1,$B$1)</f>
        <v>30904</v>
      </c>
      <c r="Z9">
        <f>_xll.EQNXTDZ($A$1,$B9,Z$1,$B$1)</f>
        <v>32075</v>
      </c>
      <c r="AA9">
        <f>_xll.EQNXTDZ($A$1,$B9,AA$1,$B$1)</f>
        <v>34261</v>
      </c>
      <c r="AB9">
        <f>_xll.EQNXTDZ($A$1,$B9,AB$1,$B$1)</f>
        <v>36854</v>
      </c>
      <c r="AC9">
        <f>_xll.EQNXTDZ($A$1,$B9,AC$1,$B$1)</f>
        <v>37338</v>
      </c>
      <c r="AD9">
        <f>_xll.EQNXTDZ($A$1,$B9,AD$1,$B$1)</f>
        <v>38010</v>
      </c>
      <c r="AE9">
        <f>_xll.EQNXTDZ($A$1,$B9,AE$1,$B$1)</f>
        <v>38172</v>
      </c>
      <c r="AF9">
        <f>_xll.EQNXTDZ($A$1,$B9,AF$1,$B$1)</f>
        <v>38977</v>
      </c>
      <c r="AG9">
        <f>_xll.EQNXTDZ($A$1,$B9,AG$1,$B$1)</f>
        <v>39854</v>
      </c>
      <c r="AH9">
        <f>_xll.EQNXTDZ($A$1,$B9,AH$1,$B$1)</f>
        <v>39946</v>
      </c>
      <c r="AI9">
        <f>_xll.EQNXTDZ($A$1,$B9,AI$1,$B$1)</f>
        <v>38322</v>
      </c>
      <c r="AJ9">
        <f>_xll.EQNXTDZ($A$1,$B9,AJ$1,$B$1)</f>
        <v>40135</v>
      </c>
      <c r="AK9">
        <f>_xll.EQNXTDZ($A$1,$B9,AK$1,$B$1)</f>
        <v>42015</v>
      </c>
      <c r="AL9">
        <f>_xll.EQNXTDZ($A$1,$B9,AL$1,$B$1)</f>
        <v>43705</v>
      </c>
      <c r="AM9">
        <f>_xll.EQNXTDZ($A$1,$B9,AM$1,$B$1)</f>
        <v>45411</v>
      </c>
      <c r="AN9">
        <f>_xll.EQNXTDZ($A$1,$B9,AN$1,$B$1)</f>
        <v>46867</v>
      </c>
      <c r="AO9">
        <f>_xll.EQNXTDZ($A$1,$B9,AO$1,$B$1)</f>
        <v>48885</v>
      </c>
      <c r="AP9">
        <f>_xll.EQNXTDZ($A$1,$B9,AP$1,$B$1)</f>
        <v>50591</v>
      </c>
      <c r="AQ9">
        <f>_xll.EQNXTDZ($A$1,$B9,AQ$1,$B$1)</f>
        <v>52758</v>
      </c>
      <c r="AR9">
        <f>_xll.EQNXTDZ($A$1,$B9,AR$1,$B$1)</f>
        <v>55309</v>
      </c>
      <c r="AS9">
        <f>_xll.EQNXTDZ($A$1,$B9,AS$1,$B$1)</f>
        <v>58229</v>
      </c>
      <c r="AT9">
        <f>_xll.EQNXTDZ($A$1,$B9,AT$1,$B$1)</f>
        <v>59162</v>
      </c>
      <c r="AU9">
        <f>_xll.EQNXTDZ($A$1,$B9,AU$1,$B$1)</f>
        <v>59381</v>
      </c>
      <c r="AV9">
        <f>_xll.EQNXTDZ($A$1,$B9,AV$1,$B$1)</f>
        <v>59692</v>
      </c>
      <c r="AW9">
        <f>_xll.EQNXTDZ($A$1,$B9,AW$1,$B$1)</f>
        <v>60583</v>
      </c>
      <c r="AX9">
        <f>_xll.EQNXTDZ($A$1,$B9,AX$1,$B$1)</f>
        <v>61237</v>
      </c>
      <c r="AY9">
        <f>_xll.EQNXTDZ($A$1,$B9,AY$1,$B$1)</f>
        <v>62613</v>
      </c>
      <c r="AZ9">
        <f>_xll.EQNXTDZ($A$1,$B9,AZ$1,$B$1)</f>
        <v>64259</v>
      </c>
      <c r="BA9">
        <f>_xll.EQNXTDZ($A$1,$B9,BA$1,$B$1)</f>
        <v>63973</v>
      </c>
      <c r="BB9">
        <f>_xll.EQNXTDZ($A$1,$B9,BB$1,$B$1)</f>
        <v>64479</v>
      </c>
      <c r="BC9">
        <f>_xll.EQNXTDZ($A$1,$B9,BC$1,$B$1)</f>
        <v>63437</v>
      </c>
      <c r="BD9">
        <f>_xll.EQNXTDZ($A$1,$B9,BD$1,$B$1)</f>
        <v>65799</v>
      </c>
      <c r="BE9">
        <f>_xll.EQNXTDZ($A$1,$B9,BE$1,$B$1)</f>
        <v>67087</v>
      </c>
      <c r="BF9">
        <f>_xll.EQNXTDZ($A$1,$B9,BF$1,$B$1)</f>
        <v>70698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2890.44</v>
      </c>
      <c r="D11">
        <f>_xll.EQNXTDZ($A$1,$B11,D$1,$B$1)</f>
        <v>3123.25</v>
      </c>
      <c r="E11">
        <f>_xll.EQNXTDZ($A$1,$B11,E$1,$B$1)</f>
        <v>3211.3</v>
      </c>
      <c r="F11">
        <f>_xll.EQNXTDZ($A$1,$B11,F$1,$B$1)</f>
        <v>3240.69</v>
      </c>
      <c r="G11">
        <f>_xll.EQNXTDZ($A$1,$B11,G$1,$B$1)</f>
        <v>3560.48</v>
      </c>
      <c r="H11">
        <f>_xll.EQNXTDZ($A$1,$B11,H$1,$B$1)</f>
        <v>4214.3599999999997</v>
      </c>
      <c r="I11">
        <f>_xll.EQNXTDZ($A$1,$B11,I$1,$B$1)</f>
        <v>4318.6899999999996</v>
      </c>
      <c r="J11">
        <f>_xll.EQNXTDZ($A$1,$B11,J$1,$B$1)</f>
        <v>4481.26</v>
      </c>
      <c r="K11">
        <f>_xll.EQNXTDZ($A$1,$B11,K$1,$B$1)</f>
        <v>4614.53</v>
      </c>
      <c r="L11">
        <f>_xll.EQNXTDZ($A$1,$B11,L$1,$B$1)</f>
        <v>5029.8599999999997</v>
      </c>
      <c r="M11">
        <f>_xll.EQNXTDZ($A$1,$B11,M$1,$B$1)</f>
        <v>5029.3999999999996</v>
      </c>
      <c r="N11">
        <f>_xll.EQNXTDZ($A$1,$B11,N$1,$B$1)</f>
        <v>4910.37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705</v>
      </c>
      <c r="W11">
        <f>_xll.EQNXTDZ($A$1,$B11,W$1,$B$1)</f>
        <v>725</v>
      </c>
      <c r="X11">
        <f>_xll.EQNXTDZ($A$1,$B11,X$1,$B$1)</f>
        <v>693</v>
      </c>
      <c r="Y11">
        <f>_xll.EQNXTDZ($A$1,$B11,Y$1,$B$1)</f>
        <v>749</v>
      </c>
      <c r="Z11">
        <f>_xll.EQNXTDZ($A$1,$B11,Z$1,$B$1)</f>
        <v>533</v>
      </c>
      <c r="AA11">
        <f>_xll.EQNXTDZ($A$1,$B11,AA$1,$B$1)</f>
        <v>613</v>
      </c>
      <c r="AB11">
        <f>_xll.EQNXTDZ($A$1,$B11,AB$1,$B$1)</f>
        <v>522</v>
      </c>
      <c r="AC11">
        <f>_xll.EQNXTDZ($A$1,$B11,AC$1,$B$1)</f>
        <v>540</v>
      </c>
      <c r="AD11">
        <f>_xll.EQNXTDZ($A$1,$B11,AD$1,$B$1)</f>
        <v>595</v>
      </c>
      <c r="AE11">
        <f>_xll.EQNXTDZ($A$1,$B11,AE$1,$B$1)</f>
        <v>511</v>
      </c>
      <c r="AF11">
        <f>_xll.EQNXTDZ($A$1,$B11,AF$1,$B$1)</f>
        <v>465</v>
      </c>
      <c r="AG11">
        <f>_xll.EQNXTDZ($A$1,$B11,AG$1,$B$1)</f>
        <v>460</v>
      </c>
      <c r="AH11">
        <f>_xll.EQNXTDZ($A$1,$B11,AH$1,$B$1)</f>
        <v>469</v>
      </c>
      <c r="AI11">
        <f>_xll.EQNXTDZ($A$1,$B11,AI$1,$B$1)</f>
        <v>346</v>
      </c>
      <c r="AJ11">
        <f>_xll.EQNXTDZ($A$1,$B11,AJ$1,$B$1)</f>
        <v>266</v>
      </c>
      <c r="AK11">
        <f>_xll.EQNXTDZ($A$1,$B11,AK$1,$B$1)</f>
        <v>396</v>
      </c>
      <c r="AL11">
        <f>_xll.EQNXTDZ($A$1,$B11,AL$1,$B$1)</f>
        <v>454</v>
      </c>
      <c r="AM11">
        <f>_xll.EQNXTDZ($A$1,$B11,AM$1,$B$1)</f>
        <v>258</v>
      </c>
      <c r="AN11">
        <f>_xll.EQNXTDZ($A$1,$B11,AN$1,$B$1)</f>
        <v>213</v>
      </c>
      <c r="AO11">
        <f>_xll.EQNXTDZ($A$1,$B11,AO$1,$B$1)</f>
        <v>432</v>
      </c>
      <c r="AP11">
        <f>_xll.EQNXTDZ($A$1,$B11,AP$1,$B$1)</f>
        <v>260</v>
      </c>
      <c r="AQ11">
        <f>_xll.EQNXTDZ($A$1,$B11,AQ$1,$B$1)</f>
        <v>217</v>
      </c>
      <c r="AR11">
        <f>_xll.EQNXTDZ($A$1,$B11,AR$1,$B$1)</f>
        <v>401</v>
      </c>
      <c r="AS11">
        <f>_xll.EQNXTDZ($A$1,$B11,AS$1,$B$1)</f>
        <v>643</v>
      </c>
      <c r="AT11">
        <f>_xll.EQNXTDZ($A$1,$B11,AT$1,$B$1)</f>
        <v>620</v>
      </c>
      <c r="AU11">
        <f>_xll.EQNXTDZ($A$1,$B11,AU$1,$B$1)</f>
        <v>506</v>
      </c>
      <c r="AV11">
        <f>_xll.EQNXTDZ($A$1,$B11,AV$1,$B$1)</f>
        <v>462</v>
      </c>
      <c r="AW11">
        <f>_xll.EQNXTDZ($A$1,$B11,AW$1,$B$1)</f>
        <v>1173</v>
      </c>
      <c r="AX11">
        <f>_xll.EQNXTDZ($A$1,$B11,AX$1,$B$1)</f>
        <v>1561</v>
      </c>
      <c r="AY11">
        <f>_xll.EQNXTDZ($A$1,$B11,AY$1,$B$1)</f>
        <v>2151</v>
      </c>
      <c r="AZ11">
        <f>_xll.EQNXTDZ($A$1,$B11,AZ$1,$B$1)</f>
        <v>3230</v>
      </c>
      <c r="BA11">
        <f>_xll.EQNXTDZ($A$1,$B11,BA$1,$B$1)</f>
        <v>3519</v>
      </c>
      <c r="BB11">
        <f>_xll.EQNXTDZ($A$1,$B11,BB$1,$B$1)</f>
        <v>2748</v>
      </c>
      <c r="BC11">
        <f>_xll.EQNXTDZ($A$1,$B11,BC$1,$B$1)</f>
        <v>726</v>
      </c>
      <c r="BD11">
        <f>_xll.EQNXTDZ($A$1,$B11,BD$1,$B$1)</f>
        <v>967</v>
      </c>
      <c r="BE11">
        <f>_xll.EQNXTDZ($A$1,$B11,BE$1,$B$1)</f>
        <v>1262</v>
      </c>
      <c r="BF11">
        <f>_xll.EQNXTDZ($A$1,$B11,BF$1,$B$1)</f>
        <v>1444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1947.77</v>
      </c>
      <c r="D14">
        <f>_xll.EQNXTDZ($A$1,$B14,D$1,$B$1)</f>
        <v>2112.8000000000002</v>
      </c>
      <c r="E14">
        <f>_xll.EQNXTDZ($A$1,$B14,E$1,$B$1)</f>
        <v>2056.25</v>
      </c>
      <c r="F14">
        <f>_xll.EQNXTDZ($A$1,$B14,F$1,$B$1)</f>
        <v>2327.12</v>
      </c>
      <c r="G14">
        <f>_xll.EQNXTDZ($A$1,$B14,G$1,$B$1)</f>
        <v>2317.2199999999998</v>
      </c>
      <c r="H14">
        <f>_xll.EQNXTDZ($A$1,$B14,H$1,$B$1)</f>
        <v>2520.37</v>
      </c>
      <c r="I14">
        <f>_xll.EQNXTDZ($A$1,$B14,I$1,$B$1)</f>
        <v>2584.79</v>
      </c>
      <c r="J14">
        <f>_xll.EQNXTDZ($A$1,$B14,J$1,$B$1)</f>
        <v>2799.39</v>
      </c>
      <c r="K14">
        <f>_xll.EQNXTDZ($A$1,$B14,K$1,$B$1)</f>
        <v>2611.84</v>
      </c>
      <c r="L14">
        <f>_xll.EQNXTDZ($A$1,$B14,L$1,$B$1)</f>
        <v>2930.1</v>
      </c>
      <c r="M14">
        <f>_xll.EQNXTDZ($A$1,$B14,M$1,$B$1)</f>
        <v>3087.75</v>
      </c>
      <c r="N14">
        <f>_xll.EQNXTDZ($A$1,$B14,N$1,$B$1)</f>
        <v>3251.7</v>
      </c>
      <c r="O14">
        <f>_xll.EQNXTDZ($A$1,$B14,O$1,$B$1)</f>
        <v>5176</v>
      </c>
      <c r="P14">
        <f>_xll.EQNXTDZ($A$1,$B14,P$1,$B$1)</f>
        <v>5720</v>
      </c>
      <c r="Q14">
        <f>_xll.EQNXTDZ($A$1,$B14,Q$1,$B$1)</f>
        <v>5606</v>
      </c>
      <c r="R14">
        <f>_xll.EQNXTDZ($A$1,$B14,R$1,$B$1)</f>
        <v>6119</v>
      </c>
      <c r="S14">
        <f>_xll.EQNXTDZ($A$1,$B14,S$1,$B$1)</f>
        <v>6094</v>
      </c>
      <c r="T14">
        <f>_xll.EQNXTDZ($A$1,$B14,T$1,$B$1)</f>
        <v>5891</v>
      </c>
      <c r="U14">
        <f>_xll.EQNXTDZ($A$1,$B14,U$1,$B$1)</f>
        <v>6231</v>
      </c>
      <c r="V14">
        <f>_xll.EQNXTDZ($A$1,$B14,V$1,$B$1)</f>
        <v>5113</v>
      </c>
      <c r="W14">
        <f>_xll.EQNXTDZ($A$1,$B14,W$1,$B$1)</f>
        <v>5263</v>
      </c>
      <c r="X14">
        <f>_xll.EQNXTDZ($A$1,$B14,X$1,$B$1)</f>
        <v>5112</v>
      </c>
      <c r="Y14">
        <f>_xll.EQNXTDZ($A$1,$B14,Y$1,$B$1)</f>
        <v>5410</v>
      </c>
      <c r="Z14">
        <f>_xll.EQNXTDZ($A$1,$B14,Z$1,$B$1)</f>
        <v>5707</v>
      </c>
      <c r="AA14">
        <f>_xll.EQNXTDZ($A$1,$B14,AA$1,$B$1)</f>
        <v>6029</v>
      </c>
      <c r="AB14">
        <f>_xll.EQNXTDZ($A$1,$B14,AB$1,$B$1)</f>
        <v>6529</v>
      </c>
      <c r="AC14">
        <f>_xll.EQNXTDZ($A$1,$B14,AC$1,$B$1)</f>
        <v>6721</v>
      </c>
      <c r="AD14">
        <f>_xll.EQNXTDZ($A$1,$B14,AD$1,$B$1)</f>
        <v>7162</v>
      </c>
      <c r="AE14">
        <f>_xll.EQNXTDZ($A$1,$B14,AE$1,$B$1)</f>
        <v>6815</v>
      </c>
      <c r="AF14">
        <f>_xll.EQNXTDZ($A$1,$B14,AF$1,$B$1)</f>
        <v>6817</v>
      </c>
      <c r="AG14">
        <f>_xll.EQNXTDZ($A$1,$B14,AG$1,$B$1)</f>
        <v>6901</v>
      </c>
      <c r="AH14">
        <f>_xll.EQNXTDZ($A$1,$B14,AH$1,$B$1)</f>
        <v>6450</v>
      </c>
      <c r="AI14">
        <f>_xll.EQNXTDZ($A$1,$B14,AI$1,$B$1)</f>
        <v>5859</v>
      </c>
      <c r="AJ14">
        <f>_xll.EQNXTDZ($A$1,$B14,AJ$1,$B$1)</f>
        <v>5691</v>
      </c>
      <c r="AK14">
        <f>_xll.EQNXTDZ($A$1,$B14,AK$1,$B$1)</f>
        <v>5980</v>
      </c>
      <c r="AL14">
        <f>_xll.EQNXTDZ($A$1,$B14,AL$1,$B$1)</f>
        <v>6825</v>
      </c>
      <c r="AM14">
        <f>_xll.EQNXTDZ($A$1,$B14,AM$1,$B$1)</f>
        <v>6841</v>
      </c>
      <c r="AN14">
        <f>_xll.EQNXTDZ($A$1,$B14,AN$1,$B$1)</f>
        <v>7154</v>
      </c>
      <c r="AO14">
        <f>_xll.EQNXTDZ($A$1,$B14,AO$1,$B$1)</f>
        <v>7852</v>
      </c>
      <c r="AP14">
        <f>_xll.EQNXTDZ($A$1,$B14,AP$1,$B$1)</f>
        <v>8133</v>
      </c>
      <c r="AQ14">
        <f>_xll.EQNXTDZ($A$1,$B14,AQ$1,$B$1)</f>
        <v>8798</v>
      </c>
      <c r="AR14">
        <f>_xll.EQNXTDZ($A$1,$B14,AR$1,$B$1)</f>
        <v>9351</v>
      </c>
      <c r="AS14">
        <f>_xll.EQNXTDZ($A$1,$B14,AS$1,$B$1)</f>
        <v>9566</v>
      </c>
      <c r="AT14">
        <f>_xll.EQNXTDZ($A$1,$B14,AT$1,$B$1)</f>
        <v>9081</v>
      </c>
      <c r="AU14">
        <f>_xll.EQNXTDZ($A$1,$B14,AU$1,$B$1)</f>
        <v>8729</v>
      </c>
      <c r="AV14">
        <f>_xll.EQNXTDZ($A$1,$B14,AV$1,$B$1)</f>
        <v>8361</v>
      </c>
      <c r="AW14">
        <f>_xll.EQNXTDZ($A$1,$B14,AW$1,$B$1)</f>
        <v>8300</v>
      </c>
      <c r="AX14">
        <f>_xll.EQNXTDZ($A$1,$B14,AX$1,$B$1)</f>
        <v>7374</v>
      </c>
      <c r="AY14">
        <f>_xll.EQNXTDZ($A$1,$B14,AY$1,$B$1)</f>
        <v>7384</v>
      </c>
      <c r="AZ14">
        <f>_xll.EQNXTDZ($A$1,$B14,AZ$1,$B$1)</f>
        <v>7644</v>
      </c>
      <c r="BA14">
        <f>_xll.EQNXTDZ($A$1,$B14,BA$1,$B$1)</f>
        <v>7464</v>
      </c>
      <c r="BB14">
        <f>_xll.EQNXTDZ($A$1,$B14,BB$1,$B$1)</f>
        <v>7989</v>
      </c>
      <c r="BC14">
        <f>_xll.EQNXTDZ($A$1,$B14,BC$1,$B$1)</f>
        <v>8121</v>
      </c>
      <c r="BD14">
        <f>_xll.EQNXTDZ($A$1,$B14,BD$1,$B$1)</f>
        <v>8248</v>
      </c>
      <c r="BE14">
        <f>_xll.EQNXTDZ($A$1,$B14,BE$1,$B$1)</f>
        <v>9026</v>
      </c>
      <c r="BF14">
        <f>_xll.EQNXTDZ($A$1,$B14,BF$1,$B$1)</f>
        <v>9835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5706.61</v>
      </c>
      <c r="D16">
        <f>_xll.EQNXTDZ($A$1,$B16,D$1,$B$1)</f>
        <v>5946.59</v>
      </c>
      <c r="E16">
        <f>_xll.EQNXTDZ($A$1,$B16,E$1,$B$1)</f>
        <v>6141.89</v>
      </c>
      <c r="F16">
        <f>_xll.EQNXTDZ($A$1,$B16,F$1,$B$1)</f>
        <v>6244.86</v>
      </c>
      <c r="G16">
        <f>_xll.EQNXTDZ($A$1,$B16,G$1,$B$1)</f>
        <v>6965.25</v>
      </c>
      <c r="H16">
        <f>_xll.EQNXTDZ($A$1,$B16,H$1,$B$1)</f>
        <v>7609.56</v>
      </c>
      <c r="I16">
        <f>_xll.EQNXTDZ($A$1,$B16,I$1,$B$1)</f>
        <v>7703.72</v>
      </c>
      <c r="J16">
        <f>_xll.EQNXTDZ($A$1,$B16,J$1,$B$1)</f>
        <v>7581.48</v>
      </c>
      <c r="K16">
        <f>_xll.EQNXTDZ($A$1,$B16,K$1,$B$1)</f>
        <v>8532.11</v>
      </c>
      <c r="L16">
        <f>_xll.EQNXTDZ($A$1,$B16,L$1,$B$1)</f>
        <v>9056.1200000000008</v>
      </c>
      <c r="M16">
        <f>_xll.EQNXTDZ($A$1,$B16,M$1,$B$1)</f>
        <v>9335.98</v>
      </c>
      <c r="N16">
        <f>_xll.EQNXTDZ($A$1,$B16,N$1,$B$1)</f>
        <v>11776.94</v>
      </c>
      <c r="O16">
        <f>_xll.EQNXTDZ($A$1,$B16,O$1,$B$1)</f>
        <v>13291</v>
      </c>
      <c r="P16">
        <f>_xll.EQNXTDZ($A$1,$B16,P$1,$B$1)</f>
        <v>13623</v>
      </c>
      <c r="Q16">
        <f>_xll.EQNXTDZ($A$1,$B16,Q$1,$B$1)</f>
        <v>14011</v>
      </c>
      <c r="R16">
        <f>_xll.EQNXTDZ($A$1,$B16,R$1,$B$1)</f>
        <v>14423</v>
      </c>
      <c r="S16">
        <f>_xll.EQNXTDZ($A$1,$B16,S$1,$B$1)</f>
        <v>15374</v>
      </c>
      <c r="T16">
        <f>_xll.EQNXTDZ($A$1,$B16,T$1,$B$1)</f>
        <v>15280</v>
      </c>
      <c r="U16">
        <f>_xll.EQNXTDZ($A$1,$B16,U$1,$B$1)</f>
        <v>15275</v>
      </c>
      <c r="V16">
        <f>_xll.EQNXTDZ($A$1,$B16,V$1,$B$1)</f>
        <v>15692</v>
      </c>
      <c r="W16">
        <f>_xll.EQNXTDZ($A$1,$B16,W$1,$B$1)</f>
        <v>16183</v>
      </c>
      <c r="X16">
        <f>_xll.EQNXTDZ($A$1,$B16,X$1,$B$1)</f>
        <v>16572</v>
      </c>
      <c r="Y16">
        <f>_xll.EQNXTDZ($A$1,$B16,Y$1,$B$1)</f>
        <v>16458</v>
      </c>
      <c r="Z16">
        <f>_xll.EQNXTDZ($A$1,$B16,Z$1,$B$1)</f>
        <v>17183</v>
      </c>
      <c r="AA16">
        <f>_xll.EQNXTDZ($A$1,$B16,AA$1,$B$1)</f>
        <v>18548</v>
      </c>
      <c r="AB16">
        <f>_xll.EQNXTDZ($A$1,$B16,AB$1,$B$1)</f>
        <v>19525</v>
      </c>
      <c r="AC16">
        <f>_xll.EQNXTDZ($A$1,$B16,AC$1,$B$1)</f>
        <v>19994</v>
      </c>
      <c r="AD16">
        <f>_xll.EQNXTDZ($A$1,$B16,AD$1,$B$1)</f>
        <v>20179</v>
      </c>
      <c r="AE16">
        <f>_xll.EQNXTDZ($A$1,$B16,AE$1,$B$1)</f>
        <v>20809</v>
      </c>
      <c r="AF16">
        <f>_xll.EQNXTDZ($A$1,$B16,AF$1,$B$1)</f>
        <v>21470</v>
      </c>
      <c r="AG16">
        <f>_xll.EQNXTDZ($A$1,$B16,AG$1,$B$1)</f>
        <v>21622</v>
      </c>
      <c r="AH16">
        <f>_xll.EQNXTDZ($A$1,$B16,AH$1,$B$1)</f>
        <v>22051</v>
      </c>
      <c r="AI16">
        <f>_xll.EQNXTDZ($A$1,$B16,AI$1,$B$1)</f>
        <v>22093</v>
      </c>
      <c r="AJ16">
        <f>_xll.EQNXTDZ($A$1,$B16,AJ$1,$B$1)</f>
        <v>22665</v>
      </c>
      <c r="AK16">
        <f>_xll.EQNXTDZ($A$1,$B16,AK$1,$B$1)</f>
        <v>23431</v>
      </c>
      <c r="AL16">
        <f>_xll.EQNXTDZ($A$1,$B16,AL$1,$B$1)</f>
        <v>23625</v>
      </c>
      <c r="AM16">
        <f>_xll.EQNXTDZ($A$1,$B16,AM$1,$B$1)</f>
        <v>25649</v>
      </c>
      <c r="AN16">
        <f>_xll.EQNXTDZ($A$1,$B16,AN$1,$B$1)</f>
        <v>26384</v>
      </c>
      <c r="AO16">
        <f>_xll.EQNXTDZ($A$1,$B16,AO$1,$B$1)</f>
        <v>27168</v>
      </c>
      <c r="AP16">
        <f>_xll.EQNXTDZ($A$1,$B16,AP$1,$B$1)</f>
        <v>28353</v>
      </c>
      <c r="AQ16">
        <f>_xll.EQNXTDZ($A$1,$B16,AQ$1,$B$1)</f>
        <v>30327</v>
      </c>
      <c r="AR16">
        <f>_xll.EQNXTDZ($A$1,$B16,AR$1,$B$1)</f>
        <v>31041</v>
      </c>
      <c r="AS16">
        <f>_xll.EQNXTDZ($A$1,$B16,AS$1,$B$1)</f>
        <v>32467</v>
      </c>
      <c r="AT16">
        <f>_xll.EQNXTDZ($A$1,$B16,AT$1,$B$1)</f>
        <v>33687</v>
      </c>
      <c r="AU16">
        <f>_xll.EQNXTDZ($A$1,$B16,AU$1,$B$1)</f>
        <v>35148</v>
      </c>
      <c r="AV16">
        <f>_xll.EQNXTDZ($A$1,$B16,AV$1,$B$1)</f>
        <v>35123</v>
      </c>
      <c r="AW16">
        <f>_xll.EQNXTDZ($A$1,$B16,AW$1,$B$1)</f>
        <v>34722</v>
      </c>
      <c r="AX16">
        <f>_xll.EQNXTDZ($A$1,$B16,AX$1,$B$1)</f>
        <v>35138</v>
      </c>
      <c r="AY16">
        <f>_xll.EQNXTDZ($A$1,$B16,AY$1,$B$1)</f>
        <v>36416</v>
      </c>
      <c r="AZ16">
        <f>_xll.EQNXTDZ($A$1,$B16,AZ$1,$B$1)</f>
        <v>36654</v>
      </c>
      <c r="BA16">
        <f>_xll.EQNXTDZ($A$1,$B16,BA$1,$B$1)</f>
        <v>35956</v>
      </c>
      <c r="BB16">
        <f>_xll.EQNXTDZ($A$1,$B16,BB$1,$B$1)</f>
        <v>36762</v>
      </c>
      <c r="BC16">
        <f>_xll.EQNXTDZ($A$1,$B16,BC$1,$B$1)</f>
        <v>37715</v>
      </c>
      <c r="BD16">
        <f>_xll.EQNXTDZ($A$1,$B16,BD$1,$B$1)</f>
        <v>38606</v>
      </c>
      <c r="BE16">
        <f>_xll.EQNXTDZ($A$1,$B16,BE$1,$B$1)</f>
        <v>38530</v>
      </c>
      <c r="BF16">
        <f>_xll.EQNXTDZ($A$1,$B16,BF$1,$B$1)</f>
        <v>40143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93.75</v>
      </c>
      <c r="D19">
        <f>_xll.EQNXTDZ($A$1,$B19,D$1,$B$1)</f>
        <v>0</v>
      </c>
      <c r="E19">
        <f>_xll.EQNXTDZ($A$1,$B19,E$1,$B$1)</f>
        <v>73.430000000000007</v>
      </c>
      <c r="F19">
        <f>_xll.EQNXTDZ($A$1,$B19,F$1,$B$1)</f>
        <v>0</v>
      </c>
      <c r="G19">
        <f>_xll.EQNXTDZ($A$1,$B19,G$1,$B$1)</f>
        <v>104.41</v>
      </c>
      <c r="H19">
        <f>_xll.EQNXTDZ($A$1,$B19,H$1,$B$1)</f>
        <v>377.34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4230.1400000000003</v>
      </c>
      <c r="D22">
        <f>_xll.EQNXTDZ($A$1,$B22,D$1,$B$1)</f>
        <v>4438.1099999999997</v>
      </c>
      <c r="E22">
        <f>_xll.EQNXTDZ($A$1,$B22,E$1,$B$1)</f>
        <v>4587.0600000000004</v>
      </c>
      <c r="F22">
        <f>_xll.EQNXTDZ($A$1,$B22,F$1,$B$1)</f>
        <v>4617.42</v>
      </c>
      <c r="G22">
        <f>_xll.EQNXTDZ($A$1,$B22,G$1,$B$1)</f>
        <v>5039.71</v>
      </c>
      <c r="H22">
        <f>_xll.EQNXTDZ($A$1,$B22,H$1,$B$1)</f>
        <v>6255.61</v>
      </c>
      <c r="I22">
        <f>_xll.EQNXTDZ($A$1,$B22,I$1,$B$1)</f>
        <v>6686.76</v>
      </c>
      <c r="J22">
        <f>_xll.EQNXTDZ($A$1,$B22,J$1,$B$1)</f>
        <v>6688.96</v>
      </c>
      <c r="K22">
        <f>_xll.EQNXTDZ($A$1,$B22,K$1,$B$1)</f>
        <v>6352.55</v>
      </c>
      <c r="L22">
        <f>_xll.EQNXTDZ($A$1,$B22,L$1,$B$1)</f>
        <v>6800.4</v>
      </c>
      <c r="M22">
        <f>_xll.EQNXTDZ($A$1,$B22,M$1,$B$1)</f>
        <v>7048.01</v>
      </c>
      <c r="N22">
        <f>_xll.EQNXTDZ($A$1,$B22,N$1,$B$1)</f>
        <v>4280.75</v>
      </c>
      <c r="O22">
        <f>_xll.EQNXTDZ($A$1,$B22,O$1,$B$1)</f>
        <v>7201</v>
      </c>
      <c r="P22">
        <f>_xll.EQNXTDZ($A$1,$B22,P$1,$B$1)</f>
        <v>7822</v>
      </c>
      <c r="Q22">
        <f>_xll.EQNXTDZ($A$1,$B22,Q$1,$B$1)</f>
        <v>7747</v>
      </c>
      <c r="R22">
        <f>_xll.EQNXTDZ($A$1,$B22,R$1,$B$1)</f>
        <v>7907</v>
      </c>
      <c r="S22">
        <f>_xll.EQNXTDZ($A$1,$B22,S$1,$B$1)</f>
        <v>7837</v>
      </c>
      <c r="T22">
        <f>_xll.EQNXTDZ($A$1,$B22,T$1,$B$1)</f>
        <v>8113</v>
      </c>
      <c r="U22">
        <f>_xll.EQNXTDZ($A$1,$B22,U$1,$B$1)</f>
        <v>8229</v>
      </c>
      <c r="V22">
        <f>_xll.EQNXTDZ($A$1,$B22,V$1,$B$1)</f>
        <v>8132</v>
      </c>
      <c r="W22">
        <f>_xll.EQNXTDZ($A$1,$B22,W$1,$B$1)</f>
        <v>7413</v>
      </c>
      <c r="X22">
        <f>_xll.EQNXTDZ($A$1,$B22,X$1,$B$1)</f>
        <v>8164</v>
      </c>
      <c r="Y22">
        <f>_xll.EQNXTDZ($A$1,$B22,Y$1,$B$1)</f>
        <v>8287</v>
      </c>
      <c r="Z22">
        <f>_xll.EQNXTDZ($A$1,$B22,Z$1,$B$1)</f>
        <v>8652</v>
      </c>
      <c r="AA22">
        <f>_xll.EQNXTDZ($A$1,$B22,AA$1,$B$1)</f>
        <v>9071</v>
      </c>
      <c r="AB22">
        <f>_xll.EQNXTDZ($A$1,$B22,AB$1,$B$1)</f>
        <v>10278</v>
      </c>
      <c r="AC22">
        <f>_xll.EQNXTDZ($A$1,$B22,AC$1,$B$1)</f>
        <v>10083</v>
      </c>
      <c r="AD22">
        <f>_xll.EQNXTDZ($A$1,$B22,AD$1,$B$1)</f>
        <v>10074</v>
      </c>
      <c r="AE22">
        <f>_xll.EQNXTDZ($A$1,$B22,AE$1,$B$1)</f>
        <v>10037</v>
      </c>
      <c r="AF22">
        <f>_xll.EQNXTDZ($A$1,$B22,AF$1,$B$1)</f>
        <v>10225</v>
      </c>
      <c r="AG22">
        <f>_xll.EQNXTDZ($A$1,$B22,AG$1,$B$1)</f>
        <v>10871</v>
      </c>
      <c r="AH22">
        <f>_xll.EQNXTDZ($A$1,$B22,AH$1,$B$1)</f>
        <v>10976</v>
      </c>
      <c r="AI22">
        <f>_xll.EQNXTDZ($A$1,$B22,AI$1,$B$1)</f>
        <v>10024</v>
      </c>
      <c r="AJ22">
        <f>_xll.EQNXTDZ($A$1,$B22,AJ$1,$B$1)</f>
        <v>11513</v>
      </c>
      <c r="AK22">
        <f>_xll.EQNXTDZ($A$1,$B22,AK$1,$B$1)</f>
        <v>12208</v>
      </c>
      <c r="AL22">
        <f>_xll.EQNXTDZ($A$1,$B22,AL$1,$B$1)</f>
        <v>12801</v>
      </c>
      <c r="AM22">
        <f>_xll.EQNXTDZ($A$1,$B22,AM$1,$B$1)</f>
        <v>12663</v>
      </c>
      <c r="AN22">
        <f>_xll.EQNXTDZ($A$1,$B22,AN$1,$B$1)</f>
        <v>13116</v>
      </c>
      <c r="AO22">
        <f>_xll.EQNXTDZ($A$1,$B22,AO$1,$B$1)</f>
        <v>13433</v>
      </c>
      <c r="AP22">
        <f>_xll.EQNXTDZ($A$1,$B22,AP$1,$B$1)</f>
        <v>13845</v>
      </c>
      <c r="AQ22">
        <f>_xll.EQNXTDZ($A$1,$B22,AQ$1,$B$1)</f>
        <v>13416</v>
      </c>
      <c r="AR22">
        <f>_xll.EQNXTDZ($A$1,$B22,AR$1,$B$1)</f>
        <v>14516</v>
      </c>
      <c r="AS22">
        <f>_xll.EQNXTDZ($A$1,$B22,AS$1,$B$1)</f>
        <v>15553</v>
      </c>
      <c r="AT22">
        <f>_xll.EQNXTDZ($A$1,$B22,AT$1,$B$1)</f>
        <v>15774</v>
      </c>
      <c r="AU22">
        <f>_xll.EQNXTDZ($A$1,$B22,AU$1,$B$1)</f>
        <v>14998</v>
      </c>
      <c r="AV22">
        <f>_xll.EQNXTDZ($A$1,$B22,AV$1,$B$1)</f>
        <v>15746</v>
      </c>
      <c r="AW22">
        <f>_xll.EQNXTDZ($A$1,$B22,AW$1,$B$1)</f>
        <v>16388</v>
      </c>
      <c r="AX22">
        <f>_xll.EQNXTDZ($A$1,$B22,AX$1,$B$1)</f>
        <v>17164</v>
      </c>
      <c r="AY22">
        <f>_xll.EQNXTDZ($A$1,$B22,AY$1,$B$1)</f>
        <v>16662</v>
      </c>
      <c r="AZ22">
        <f>_xll.EQNXTDZ($A$1,$B22,AZ$1,$B$1)</f>
        <v>16731</v>
      </c>
      <c r="BA22">
        <f>_xll.EQNXTDZ($A$1,$B22,BA$1,$B$1)</f>
        <v>17034</v>
      </c>
      <c r="BB22">
        <f>_xll.EQNXTDZ($A$1,$B22,BB$1,$B$1)</f>
        <v>16980</v>
      </c>
      <c r="BC22">
        <f>_xll.EQNXTDZ($A$1,$B22,BC$1,$B$1)</f>
        <v>16875</v>
      </c>
      <c r="BD22">
        <f>_xll.EQNXTDZ($A$1,$B22,BD$1,$B$1)</f>
        <v>17978</v>
      </c>
      <c r="BE22">
        <f>_xll.EQNXTDZ($A$1,$B22,BE$1,$B$1)</f>
        <v>18269</v>
      </c>
      <c r="BF22">
        <f>_xll.EQNXTDZ($A$1,$B22,BF$1,$B$1)</f>
        <v>19276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280.01</v>
      </c>
      <c r="D23">
        <f>_xll.EQNXTDZ($A$1,$B23,D$1,$B$1)</f>
        <v>328.33</v>
      </c>
      <c r="E23">
        <f>_xll.EQNXTDZ($A$1,$B23,E$1,$B$1)</f>
        <v>294.62</v>
      </c>
      <c r="F23">
        <f>_xll.EQNXTDZ($A$1,$B23,F$1,$B$1)</f>
        <v>442.45</v>
      </c>
      <c r="G23">
        <f>_xll.EQNXTDZ($A$1,$B23,G$1,$B$1)</f>
        <v>362.9</v>
      </c>
      <c r="H23">
        <f>_xll.EQNXTDZ($A$1,$B23,H$1,$B$1)</f>
        <v>351.63</v>
      </c>
      <c r="I23">
        <f>_xll.EQNXTDZ($A$1,$B23,I$1,$B$1)</f>
        <v>683.07</v>
      </c>
      <c r="J23">
        <f>_xll.EQNXTDZ($A$1,$B23,J$1,$B$1)</f>
        <v>720.89</v>
      </c>
      <c r="K23">
        <f>_xll.EQNXTDZ($A$1,$B23,K$1,$B$1)</f>
        <v>787.15</v>
      </c>
      <c r="L23">
        <f>_xll.EQNXTDZ($A$1,$B23,L$1,$B$1)</f>
        <v>662.63</v>
      </c>
      <c r="M23">
        <f>_xll.EQNXTDZ($A$1,$B23,M$1,$B$1)</f>
        <v>643.91</v>
      </c>
      <c r="N23">
        <f>_xll.EQNXTDZ($A$1,$B23,N$1,$B$1)</f>
        <v>1136.22</v>
      </c>
      <c r="O23">
        <f>_xll.EQNXTDZ($A$1,$B23,O$1,$B$1)</f>
        <v>779</v>
      </c>
      <c r="P23">
        <f>_xll.EQNXTDZ($A$1,$B23,P$1,$B$1)</f>
        <v>683</v>
      </c>
      <c r="Q23">
        <f>_xll.EQNXTDZ($A$1,$B23,Q$1,$B$1)</f>
        <v>707</v>
      </c>
      <c r="R23">
        <f>_xll.EQNXTDZ($A$1,$B23,R$1,$B$1)</f>
        <v>915</v>
      </c>
      <c r="S23">
        <f>_xll.EQNXTDZ($A$1,$B23,S$1,$B$1)</f>
        <v>975</v>
      </c>
      <c r="T23">
        <f>_xll.EQNXTDZ($A$1,$B23,T$1,$B$1)</f>
        <v>1057</v>
      </c>
      <c r="U23">
        <f>_xll.EQNXTDZ($A$1,$B23,U$1,$B$1)</f>
        <v>1192</v>
      </c>
      <c r="V23">
        <f>_xll.EQNXTDZ($A$1,$B23,V$1,$B$1)</f>
        <v>997</v>
      </c>
      <c r="W23">
        <f>_xll.EQNXTDZ($A$1,$B23,W$1,$B$1)</f>
        <v>959</v>
      </c>
      <c r="X23">
        <f>_xll.EQNXTDZ($A$1,$B23,X$1,$B$1)</f>
        <v>819</v>
      </c>
      <c r="Y23">
        <f>_xll.EQNXTDZ($A$1,$B23,Y$1,$B$1)</f>
        <v>870</v>
      </c>
      <c r="Z23">
        <f>_xll.EQNXTDZ($A$1,$B23,Z$1,$B$1)</f>
        <v>994</v>
      </c>
      <c r="AA23">
        <f>_xll.EQNXTDZ($A$1,$B23,AA$1,$B$1)</f>
        <v>1225</v>
      </c>
      <c r="AB23">
        <f>_xll.EQNXTDZ($A$1,$B23,AB$1,$B$1)</f>
        <v>730</v>
      </c>
      <c r="AC23">
        <f>_xll.EQNXTDZ($A$1,$B23,AC$1,$B$1)</f>
        <v>1163</v>
      </c>
      <c r="AD23">
        <f>_xll.EQNXTDZ($A$1,$B23,AD$1,$B$1)</f>
        <v>1193</v>
      </c>
      <c r="AE23">
        <f>_xll.EQNXTDZ($A$1,$B23,AE$1,$B$1)</f>
        <v>1675</v>
      </c>
      <c r="AF23">
        <f>_xll.EQNXTDZ($A$1,$B23,AF$1,$B$1)</f>
        <v>1361</v>
      </c>
      <c r="AG23">
        <f>_xll.EQNXTDZ($A$1,$B23,AG$1,$B$1)</f>
        <v>818</v>
      </c>
      <c r="AH23">
        <f>_xll.EQNXTDZ($A$1,$B23,AH$1,$B$1)</f>
        <v>738</v>
      </c>
      <c r="AI23">
        <f>_xll.EQNXTDZ($A$1,$B23,AI$1,$B$1)</f>
        <v>598</v>
      </c>
      <c r="AJ23">
        <f>_xll.EQNXTDZ($A$1,$B23,AJ$1,$B$1)</f>
        <v>914</v>
      </c>
      <c r="AK23">
        <f>_xll.EQNXTDZ($A$1,$B23,AK$1,$B$1)</f>
        <v>691</v>
      </c>
      <c r="AL23">
        <f>_xll.EQNXTDZ($A$1,$B23,AL$1,$B$1)</f>
        <v>931</v>
      </c>
      <c r="AM23">
        <f>_xll.EQNXTDZ($A$1,$B23,AM$1,$B$1)</f>
        <v>721</v>
      </c>
      <c r="AN23">
        <f>_xll.EQNXTDZ($A$1,$B23,AN$1,$B$1)</f>
        <v>1111</v>
      </c>
      <c r="AO23">
        <f>_xll.EQNXTDZ($A$1,$B23,AO$1,$B$1)</f>
        <v>1205</v>
      </c>
      <c r="AP23">
        <f>_xll.EQNXTDZ($A$1,$B23,AP$1,$B$1)</f>
        <v>981</v>
      </c>
      <c r="AQ23">
        <f>_xll.EQNXTDZ($A$1,$B23,AQ$1,$B$1)</f>
        <v>789</v>
      </c>
      <c r="AR23">
        <f>_xll.EQNXTDZ($A$1,$B23,AR$1,$B$1)</f>
        <v>965</v>
      </c>
      <c r="AS23">
        <f>_xll.EQNXTDZ($A$1,$B23,AS$1,$B$1)</f>
        <v>520</v>
      </c>
      <c r="AT23">
        <f>_xll.EQNXTDZ($A$1,$B23,AT$1,$B$1)</f>
        <v>1175</v>
      </c>
      <c r="AU23">
        <f>_xll.EQNXTDZ($A$1,$B23,AU$1,$B$1)</f>
        <v>1397</v>
      </c>
      <c r="AV23">
        <f>_xll.EQNXTDZ($A$1,$B23,AV$1,$B$1)</f>
        <v>1006</v>
      </c>
      <c r="AW23">
        <f>_xll.EQNXTDZ($A$1,$B23,AW$1,$B$1)</f>
        <v>862</v>
      </c>
      <c r="AX23">
        <f>_xll.EQNXTDZ($A$1,$B23,AX$1,$B$1)</f>
        <v>1157</v>
      </c>
      <c r="AY23">
        <f>_xll.EQNXTDZ($A$1,$B23,AY$1,$B$1)</f>
        <v>962</v>
      </c>
      <c r="AZ23">
        <f>_xll.EQNXTDZ($A$1,$B23,AZ$1,$B$1)</f>
        <v>729</v>
      </c>
      <c r="BA23">
        <f>_xll.EQNXTDZ($A$1,$B23,BA$1,$B$1)</f>
        <v>1243</v>
      </c>
      <c r="BB23">
        <f>_xll.EQNXTDZ($A$1,$B23,BB$1,$B$1)</f>
        <v>1028</v>
      </c>
      <c r="BC23">
        <f>_xll.EQNXTDZ($A$1,$B23,BC$1,$B$1)</f>
        <v>1660</v>
      </c>
      <c r="BD23">
        <f>_xll.EQNXTDZ($A$1,$B23,BD$1,$B$1)</f>
        <v>867</v>
      </c>
      <c r="BE23">
        <f>_xll.EQNXTDZ($A$1,$B23,BE$1,$B$1)</f>
        <v>1118</v>
      </c>
      <c r="BF23">
        <f>_xll.EQNXTDZ($A$1,$B23,BF$1,$B$1)</f>
        <v>757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4510.1499999999996</v>
      </c>
      <c r="D24">
        <f>_xll.EQNXTDZ($A$1,$B24,D$1,$B$1)</f>
        <v>4766.4399999999996</v>
      </c>
      <c r="E24">
        <f>_xll.EQNXTDZ($A$1,$B24,E$1,$B$1)</f>
        <v>4881.68</v>
      </c>
      <c r="F24">
        <f>_xll.EQNXTDZ($A$1,$B24,F$1,$B$1)</f>
        <v>5059.87</v>
      </c>
      <c r="G24">
        <f>_xll.EQNXTDZ($A$1,$B24,G$1,$B$1)</f>
        <v>5402.61</v>
      </c>
      <c r="H24">
        <f>_xll.EQNXTDZ($A$1,$B24,H$1,$B$1)</f>
        <v>6607.24</v>
      </c>
      <c r="I24">
        <f>_xll.EQNXTDZ($A$1,$B24,I$1,$B$1)</f>
        <v>7369.83</v>
      </c>
      <c r="J24">
        <f>_xll.EQNXTDZ($A$1,$B24,J$1,$B$1)</f>
        <v>7409.85</v>
      </c>
      <c r="K24">
        <f>_xll.EQNXTDZ($A$1,$B24,K$1,$B$1)</f>
        <v>7139.7</v>
      </c>
      <c r="L24">
        <f>_xll.EQNXTDZ($A$1,$B24,L$1,$B$1)</f>
        <v>7463.03</v>
      </c>
      <c r="M24">
        <f>_xll.EQNXTDZ($A$1,$B24,M$1,$B$1)</f>
        <v>7691.92</v>
      </c>
      <c r="N24">
        <f>_xll.EQNXTDZ($A$1,$B24,N$1,$B$1)</f>
        <v>5416.97</v>
      </c>
      <c r="O24">
        <f>_xll.EQNXTDZ($A$1,$B24,O$1,$B$1)</f>
        <v>7980</v>
      </c>
      <c r="P24">
        <f>_xll.EQNXTDZ($A$1,$B24,P$1,$B$1)</f>
        <v>8505</v>
      </c>
      <c r="Q24">
        <f>_xll.EQNXTDZ($A$1,$B24,Q$1,$B$1)</f>
        <v>8454</v>
      </c>
      <c r="R24">
        <f>_xll.EQNXTDZ($A$1,$B24,R$1,$B$1)</f>
        <v>8822</v>
      </c>
      <c r="S24">
        <f>_xll.EQNXTDZ($A$1,$B24,S$1,$B$1)</f>
        <v>8812</v>
      </c>
      <c r="T24">
        <f>_xll.EQNXTDZ($A$1,$B24,T$1,$B$1)</f>
        <v>9170</v>
      </c>
      <c r="U24">
        <f>_xll.EQNXTDZ($A$1,$B24,U$1,$B$1)</f>
        <v>9421</v>
      </c>
      <c r="V24">
        <f>_xll.EQNXTDZ($A$1,$B24,V$1,$B$1)</f>
        <v>9129</v>
      </c>
      <c r="W24">
        <f>_xll.EQNXTDZ($A$1,$B24,W$1,$B$1)</f>
        <v>8372</v>
      </c>
      <c r="X24">
        <f>_xll.EQNXTDZ($A$1,$B24,X$1,$B$1)</f>
        <v>8983</v>
      </c>
      <c r="Y24">
        <f>_xll.EQNXTDZ($A$1,$B24,Y$1,$B$1)</f>
        <v>9157</v>
      </c>
      <c r="Z24">
        <f>_xll.EQNXTDZ($A$1,$B24,Z$1,$B$1)</f>
        <v>9646</v>
      </c>
      <c r="AA24">
        <f>_xll.EQNXTDZ($A$1,$B24,AA$1,$B$1)</f>
        <v>10296</v>
      </c>
      <c r="AB24">
        <f>_xll.EQNXTDZ($A$1,$B24,AB$1,$B$1)</f>
        <v>11008</v>
      </c>
      <c r="AC24">
        <f>_xll.EQNXTDZ($A$1,$B24,AC$1,$B$1)</f>
        <v>11246</v>
      </c>
      <c r="AD24">
        <f>_xll.EQNXTDZ($A$1,$B24,AD$1,$B$1)</f>
        <v>11267</v>
      </c>
      <c r="AE24">
        <f>_xll.EQNXTDZ($A$1,$B24,AE$1,$B$1)</f>
        <v>11712</v>
      </c>
      <c r="AF24">
        <f>_xll.EQNXTDZ($A$1,$B24,AF$1,$B$1)</f>
        <v>11586</v>
      </c>
      <c r="AG24">
        <f>_xll.EQNXTDZ($A$1,$B24,AG$1,$B$1)</f>
        <v>11689</v>
      </c>
      <c r="AH24">
        <f>_xll.EQNXTDZ($A$1,$B24,AH$1,$B$1)</f>
        <v>11714</v>
      </c>
      <c r="AI24">
        <f>_xll.EQNXTDZ($A$1,$B24,AI$1,$B$1)</f>
        <v>10622</v>
      </c>
      <c r="AJ24">
        <f>_xll.EQNXTDZ($A$1,$B24,AJ$1,$B$1)</f>
        <v>12427</v>
      </c>
      <c r="AK24">
        <f>_xll.EQNXTDZ($A$1,$B24,AK$1,$B$1)</f>
        <v>12899</v>
      </c>
      <c r="AL24">
        <f>_xll.EQNXTDZ($A$1,$B24,AL$1,$B$1)</f>
        <v>13732</v>
      </c>
      <c r="AM24">
        <f>_xll.EQNXTDZ($A$1,$B24,AM$1,$B$1)</f>
        <v>13384</v>
      </c>
      <c r="AN24">
        <f>_xll.EQNXTDZ($A$1,$B24,AN$1,$B$1)</f>
        <v>14227</v>
      </c>
      <c r="AO24">
        <f>_xll.EQNXTDZ($A$1,$B24,AO$1,$B$1)</f>
        <v>14638</v>
      </c>
      <c r="AP24">
        <f>_xll.EQNXTDZ($A$1,$B24,AP$1,$B$1)</f>
        <v>14826</v>
      </c>
      <c r="AQ24">
        <f>_xll.EQNXTDZ($A$1,$B24,AQ$1,$B$1)</f>
        <v>14205</v>
      </c>
      <c r="AR24">
        <f>_xll.EQNXTDZ($A$1,$B24,AR$1,$B$1)</f>
        <v>15481</v>
      </c>
      <c r="AS24">
        <f>_xll.EQNXTDZ($A$1,$B24,AS$1,$B$1)</f>
        <v>16073</v>
      </c>
      <c r="AT24">
        <f>_xll.EQNXTDZ($A$1,$B24,AT$1,$B$1)</f>
        <v>16949</v>
      </c>
      <c r="AU24">
        <f>_xll.EQNXTDZ($A$1,$B24,AU$1,$B$1)</f>
        <v>16395</v>
      </c>
      <c r="AV24">
        <f>_xll.EQNXTDZ($A$1,$B24,AV$1,$B$1)</f>
        <v>16752</v>
      </c>
      <c r="AW24">
        <f>_xll.EQNXTDZ($A$1,$B24,AW$1,$B$1)</f>
        <v>17250</v>
      </c>
      <c r="AX24">
        <f>_xll.EQNXTDZ($A$1,$B24,AX$1,$B$1)</f>
        <v>18321</v>
      </c>
      <c r="AY24">
        <f>_xll.EQNXTDZ($A$1,$B24,AY$1,$B$1)</f>
        <v>17624</v>
      </c>
      <c r="AZ24">
        <f>_xll.EQNXTDZ($A$1,$B24,AZ$1,$B$1)</f>
        <v>17460</v>
      </c>
      <c r="BA24">
        <f>_xll.EQNXTDZ($A$1,$B24,BA$1,$B$1)</f>
        <v>18277</v>
      </c>
      <c r="BB24">
        <f>_xll.EQNXTDZ($A$1,$B24,BB$1,$B$1)</f>
        <v>18008</v>
      </c>
      <c r="BC24">
        <f>_xll.EQNXTDZ($A$1,$B24,BC$1,$B$1)</f>
        <v>18535</v>
      </c>
      <c r="BD24">
        <f>_xll.EQNXTDZ($A$1,$B24,BD$1,$B$1)</f>
        <v>18845</v>
      </c>
      <c r="BE24">
        <f>_xll.EQNXTDZ($A$1,$B24,BE$1,$B$1)</f>
        <v>19387</v>
      </c>
      <c r="BF24">
        <f>_xll.EQNXTDZ($A$1,$B24,BF$1,$B$1)</f>
        <v>20033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6.55</v>
      </c>
      <c r="D25">
        <f>_xll.EQNXTDZ($A$1,$B25,D$1,$B$1)</f>
        <v>15.11</v>
      </c>
      <c r="E25">
        <f>_xll.EQNXTDZ($A$1,$B25,E$1,$B$1)</f>
        <v>7.9</v>
      </c>
      <c r="F25">
        <f>_xll.EQNXTDZ($A$1,$B25,F$1,$B$1)</f>
        <v>18.93</v>
      </c>
      <c r="G25">
        <f>_xll.EQNXTDZ($A$1,$B25,G$1,$B$1)</f>
        <v>6.75</v>
      </c>
      <c r="H25">
        <f>_xll.EQNXTDZ($A$1,$B25,H$1,$B$1)</f>
        <v>12.67</v>
      </c>
      <c r="I25">
        <f>_xll.EQNXTDZ($A$1,$B25,I$1,$B$1)</f>
        <v>7.05</v>
      </c>
      <c r="J25">
        <f>_xll.EQNXTDZ($A$1,$B25,J$1,$B$1)</f>
        <v>12.05</v>
      </c>
      <c r="K25">
        <f>_xll.EQNXTDZ($A$1,$B25,K$1,$B$1)</f>
        <v>8.67</v>
      </c>
      <c r="L25">
        <f>_xll.EQNXTDZ($A$1,$B25,L$1,$B$1)</f>
        <v>66.489999999999995</v>
      </c>
      <c r="M25">
        <f>_xll.EQNXTDZ($A$1,$B25,M$1,$B$1)</f>
        <v>17.98</v>
      </c>
      <c r="N25">
        <f>_xll.EQNXTDZ($A$1,$B25,N$1,$B$1)</f>
        <v>11.05</v>
      </c>
      <c r="O25">
        <f>_xll.EQNXTDZ($A$1,$B25,O$1,$B$1)</f>
        <v>7</v>
      </c>
      <c r="P25">
        <f>_xll.EQNXTDZ($A$1,$B25,P$1,$B$1)</f>
        <v>8</v>
      </c>
      <c r="Q25">
        <f>_xll.EQNXTDZ($A$1,$B25,Q$1,$B$1)</f>
        <v>8</v>
      </c>
      <c r="R25">
        <f>_xll.EQNXTDZ($A$1,$B25,R$1,$B$1)</f>
        <v>10</v>
      </c>
      <c r="S25">
        <f>_xll.EQNXTDZ($A$1,$B25,S$1,$B$1)</f>
        <v>12</v>
      </c>
      <c r="T25">
        <f>_xll.EQNXTDZ($A$1,$B25,T$1,$B$1)</f>
        <v>5</v>
      </c>
      <c r="U25">
        <f>_xll.EQNXTDZ($A$1,$B25,U$1,$B$1)</f>
        <v>7</v>
      </c>
      <c r="V25">
        <f>_xll.EQNXTDZ($A$1,$B25,V$1,$B$1)</f>
        <v>8</v>
      </c>
      <c r="W25">
        <f>_xll.EQNXTDZ($A$1,$B25,W$1,$B$1)</f>
        <v>27</v>
      </c>
      <c r="X25">
        <f>_xll.EQNXTDZ($A$1,$B25,X$1,$B$1)</f>
        <v>7</v>
      </c>
      <c r="Y25">
        <f>_xll.EQNXTDZ($A$1,$B25,Y$1,$B$1)</f>
        <v>6</v>
      </c>
      <c r="Z25">
        <f>_xll.EQNXTDZ($A$1,$B25,Z$1,$B$1)</f>
        <v>12</v>
      </c>
      <c r="AA25">
        <f>_xll.EQNXTDZ($A$1,$B25,AA$1,$B$1)</f>
        <v>17</v>
      </c>
      <c r="AB25">
        <f>_xll.EQNXTDZ($A$1,$B25,AB$1,$B$1)</f>
        <v>137</v>
      </c>
      <c r="AC25">
        <f>_xll.EQNXTDZ($A$1,$B25,AC$1,$B$1)</f>
        <v>16</v>
      </c>
      <c r="AD25">
        <f>_xll.EQNXTDZ($A$1,$B25,AD$1,$B$1)</f>
        <v>28</v>
      </c>
      <c r="AE25">
        <f>_xll.EQNXTDZ($A$1,$B25,AE$1,$B$1)</f>
        <v>257</v>
      </c>
      <c r="AF25">
        <f>_xll.EQNXTDZ($A$1,$B25,AF$1,$B$1)</f>
        <v>193</v>
      </c>
      <c r="AG25">
        <f>_xll.EQNXTDZ($A$1,$B25,AG$1,$B$1)</f>
        <v>223</v>
      </c>
      <c r="AH25">
        <f>_xll.EQNXTDZ($A$1,$B25,AH$1,$B$1)</f>
        <v>251</v>
      </c>
      <c r="AI25">
        <f>_xll.EQNXTDZ($A$1,$B25,AI$1,$B$1)</f>
        <v>142</v>
      </c>
      <c r="AJ25">
        <f>_xll.EQNXTDZ($A$1,$B25,AJ$1,$B$1)</f>
        <v>174</v>
      </c>
      <c r="AK25">
        <f>_xll.EQNXTDZ($A$1,$B25,AK$1,$B$1)</f>
        <v>183</v>
      </c>
      <c r="AL25">
        <f>_xll.EQNXTDZ($A$1,$B25,AL$1,$B$1)</f>
        <v>138</v>
      </c>
      <c r="AM25">
        <f>_xll.EQNXTDZ($A$1,$B25,AM$1,$B$1)</f>
        <v>146</v>
      </c>
      <c r="AN25">
        <f>_xll.EQNXTDZ($A$1,$B25,AN$1,$B$1)</f>
        <v>142</v>
      </c>
      <c r="AO25">
        <f>_xll.EQNXTDZ($A$1,$B25,AO$1,$B$1)</f>
        <v>251</v>
      </c>
      <c r="AP25">
        <f>_xll.EQNXTDZ($A$1,$B25,AP$1,$B$1)</f>
        <v>245</v>
      </c>
      <c r="AQ25">
        <f>_xll.EQNXTDZ($A$1,$B25,AQ$1,$B$1)</f>
        <v>199</v>
      </c>
      <c r="AR25">
        <f>_xll.EQNXTDZ($A$1,$B25,AR$1,$B$1)</f>
        <v>148</v>
      </c>
      <c r="AS25">
        <f>_xll.EQNXTDZ($A$1,$B25,AS$1,$B$1)</f>
        <v>160</v>
      </c>
      <c r="AT25">
        <f>_xll.EQNXTDZ($A$1,$B25,AT$1,$B$1)</f>
        <v>272</v>
      </c>
      <c r="AU25">
        <f>_xll.EQNXTDZ($A$1,$B25,AU$1,$B$1)</f>
        <v>163</v>
      </c>
      <c r="AV25">
        <f>_xll.EQNXTDZ($A$1,$B25,AV$1,$B$1)</f>
        <v>159</v>
      </c>
      <c r="AW25">
        <f>_xll.EQNXTDZ($A$1,$B25,AW$1,$B$1)</f>
        <v>230</v>
      </c>
      <c r="AX25">
        <f>_xll.EQNXTDZ($A$1,$B25,AX$1,$B$1)</f>
        <v>226</v>
      </c>
      <c r="AY25">
        <f>_xll.EQNXTDZ($A$1,$B25,AY$1,$B$1)</f>
        <v>173</v>
      </c>
      <c r="AZ25">
        <f>_xll.EQNXTDZ($A$1,$B25,AZ$1,$B$1)</f>
        <v>162</v>
      </c>
      <c r="BA25">
        <f>_xll.EQNXTDZ($A$1,$B25,BA$1,$B$1)</f>
        <v>234</v>
      </c>
      <c r="BB25">
        <f>_xll.EQNXTDZ($A$1,$B25,BB$1,$B$1)</f>
        <v>227</v>
      </c>
      <c r="BC25">
        <f>_xll.EQNXTDZ($A$1,$B25,BC$1,$B$1)</f>
        <v>195</v>
      </c>
      <c r="BD25">
        <f>_xll.EQNXTDZ($A$1,$B25,BD$1,$B$1)</f>
        <v>229</v>
      </c>
      <c r="BE25">
        <f>_xll.EQNXTDZ($A$1,$B25,BE$1,$B$1)</f>
        <v>538</v>
      </c>
      <c r="BF25">
        <f>_xll.EQNXTDZ($A$1,$B25,BF$1,$B$1)</f>
        <v>265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489.75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-1218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-958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-1135</v>
      </c>
      <c r="BE26">
        <f>_xll.EQNXTDZ($A$1,$B26,BE$1,$B$1)</f>
        <v>-3391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4503.6000000000004</v>
      </c>
      <c r="D27">
        <f>_xll.EQNXTDZ($A$1,$B27,D$1,$B$1)</f>
        <v>4751.33</v>
      </c>
      <c r="E27">
        <f>_xll.EQNXTDZ($A$1,$B27,E$1,$B$1)</f>
        <v>4873.78</v>
      </c>
      <c r="F27">
        <f>_xll.EQNXTDZ($A$1,$B27,F$1,$B$1)</f>
        <v>5040.9399999999996</v>
      </c>
      <c r="G27">
        <f>_xll.EQNXTDZ($A$1,$B27,G$1,$B$1)</f>
        <v>5395.86</v>
      </c>
      <c r="H27">
        <f>_xll.EQNXTDZ($A$1,$B27,H$1,$B$1)</f>
        <v>6594.57</v>
      </c>
      <c r="I27">
        <f>_xll.EQNXTDZ($A$1,$B27,I$1,$B$1)</f>
        <v>7362.78</v>
      </c>
      <c r="J27">
        <f>_xll.EQNXTDZ($A$1,$B27,J$1,$B$1)</f>
        <v>7397.8</v>
      </c>
      <c r="K27">
        <f>_xll.EQNXTDZ($A$1,$B27,K$1,$B$1)</f>
        <v>7620.78</v>
      </c>
      <c r="L27">
        <f>_xll.EQNXTDZ($A$1,$B27,L$1,$B$1)</f>
        <v>7396.54</v>
      </c>
      <c r="M27">
        <f>_xll.EQNXTDZ($A$1,$B27,M$1,$B$1)</f>
        <v>7673.94</v>
      </c>
      <c r="N27">
        <f>_xll.EQNXTDZ($A$1,$B27,N$1,$B$1)</f>
        <v>5405.92</v>
      </c>
      <c r="O27">
        <f>_xll.EQNXTDZ($A$1,$B27,O$1,$B$1)</f>
        <v>7973</v>
      </c>
      <c r="P27">
        <f>_xll.EQNXTDZ($A$1,$B27,P$1,$B$1)</f>
        <v>8497</v>
      </c>
      <c r="Q27">
        <f>_xll.EQNXTDZ($A$1,$B27,Q$1,$B$1)</f>
        <v>8446</v>
      </c>
      <c r="R27">
        <f>_xll.EQNXTDZ($A$1,$B27,R$1,$B$1)</f>
        <v>8812</v>
      </c>
      <c r="S27">
        <f>_xll.EQNXTDZ($A$1,$B27,S$1,$B$1)</f>
        <v>8800</v>
      </c>
      <c r="T27">
        <f>_xll.EQNXTDZ($A$1,$B27,T$1,$B$1)</f>
        <v>9165</v>
      </c>
      <c r="U27">
        <f>_xll.EQNXTDZ($A$1,$B27,U$1,$B$1)</f>
        <v>9414</v>
      </c>
      <c r="V27">
        <f>_xll.EQNXTDZ($A$1,$B27,V$1,$B$1)</f>
        <v>9121</v>
      </c>
      <c r="W27">
        <f>_xll.EQNXTDZ($A$1,$B27,W$1,$B$1)</f>
        <v>8345</v>
      </c>
      <c r="X27">
        <f>_xll.EQNXTDZ($A$1,$B27,X$1,$B$1)</f>
        <v>8976</v>
      </c>
      <c r="Y27">
        <f>_xll.EQNXTDZ($A$1,$B27,Y$1,$B$1)</f>
        <v>9151</v>
      </c>
      <c r="Z27">
        <f>_xll.EQNXTDZ($A$1,$B27,Z$1,$B$1)</f>
        <v>9634</v>
      </c>
      <c r="AA27">
        <f>_xll.EQNXTDZ($A$1,$B27,AA$1,$B$1)</f>
        <v>10279</v>
      </c>
      <c r="AB27">
        <f>_xll.EQNXTDZ($A$1,$B27,AB$1,$B$1)</f>
        <v>10871</v>
      </c>
      <c r="AC27">
        <f>_xll.EQNXTDZ($A$1,$B27,AC$1,$B$1)</f>
        <v>11230</v>
      </c>
      <c r="AD27">
        <f>_xll.EQNXTDZ($A$1,$B27,AD$1,$B$1)</f>
        <v>11239</v>
      </c>
      <c r="AE27">
        <f>_xll.EQNXTDZ($A$1,$B27,AE$1,$B$1)</f>
        <v>11455</v>
      </c>
      <c r="AF27">
        <f>_xll.EQNXTDZ($A$1,$B27,AF$1,$B$1)</f>
        <v>11393</v>
      </c>
      <c r="AG27">
        <f>_xll.EQNXTDZ($A$1,$B27,AG$1,$B$1)</f>
        <v>11466</v>
      </c>
      <c r="AH27">
        <f>_xll.EQNXTDZ($A$1,$B27,AH$1,$B$1)</f>
        <v>11463</v>
      </c>
      <c r="AI27">
        <f>_xll.EQNXTDZ($A$1,$B27,AI$1,$B$1)</f>
        <v>10480</v>
      </c>
      <c r="AJ27">
        <f>_xll.EQNXTDZ($A$1,$B27,AJ$1,$B$1)</f>
        <v>11035</v>
      </c>
      <c r="AK27">
        <f>_xll.EQNXTDZ($A$1,$B27,AK$1,$B$1)</f>
        <v>12716</v>
      </c>
      <c r="AL27">
        <f>_xll.EQNXTDZ($A$1,$B27,AL$1,$B$1)</f>
        <v>13594</v>
      </c>
      <c r="AM27">
        <f>_xll.EQNXTDZ($A$1,$B27,AM$1,$B$1)</f>
        <v>13238</v>
      </c>
      <c r="AN27">
        <f>_xll.EQNXTDZ($A$1,$B27,AN$1,$B$1)</f>
        <v>14085</v>
      </c>
      <c r="AO27">
        <f>_xll.EQNXTDZ($A$1,$B27,AO$1,$B$1)</f>
        <v>14387</v>
      </c>
      <c r="AP27">
        <f>_xll.EQNXTDZ($A$1,$B27,AP$1,$B$1)</f>
        <v>14581</v>
      </c>
      <c r="AQ27">
        <f>_xll.EQNXTDZ($A$1,$B27,AQ$1,$B$1)</f>
        <v>14006</v>
      </c>
      <c r="AR27">
        <f>_xll.EQNXTDZ($A$1,$B27,AR$1,$B$1)</f>
        <v>15333</v>
      </c>
      <c r="AS27">
        <f>_xll.EQNXTDZ($A$1,$B27,AS$1,$B$1)</f>
        <v>15913</v>
      </c>
      <c r="AT27">
        <f>_xll.EQNXTDZ($A$1,$B27,AT$1,$B$1)</f>
        <v>16677</v>
      </c>
      <c r="AU27">
        <f>_xll.EQNXTDZ($A$1,$B27,AU$1,$B$1)</f>
        <v>16232</v>
      </c>
      <c r="AV27">
        <f>_xll.EQNXTDZ($A$1,$B27,AV$1,$B$1)</f>
        <v>16593</v>
      </c>
      <c r="AW27">
        <f>_xll.EQNXTDZ($A$1,$B27,AW$1,$B$1)</f>
        <v>16062</v>
      </c>
      <c r="AX27">
        <f>_xll.EQNXTDZ($A$1,$B27,AX$1,$B$1)</f>
        <v>18095</v>
      </c>
      <c r="AY27">
        <f>_xll.EQNXTDZ($A$1,$B27,AY$1,$B$1)</f>
        <v>17451</v>
      </c>
      <c r="AZ27">
        <f>_xll.EQNXTDZ($A$1,$B27,AZ$1,$B$1)</f>
        <v>17298</v>
      </c>
      <c r="BA27">
        <f>_xll.EQNXTDZ($A$1,$B27,BA$1,$B$1)</f>
        <v>18043</v>
      </c>
      <c r="BB27">
        <f>_xll.EQNXTDZ($A$1,$B27,BB$1,$B$1)</f>
        <v>17781</v>
      </c>
      <c r="BC27">
        <f>_xll.EQNXTDZ($A$1,$B27,BC$1,$B$1)</f>
        <v>18340</v>
      </c>
      <c r="BD27">
        <f>_xll.EQNXTDZ($A$1,$B27,BD$1,$B$1)</f>
        <v>17481</v>
      </c>
      <c r="BE27">
        <f>_xll.EQNXTDZ($A$1,$B27,BE$1,$B$1)</f>
        <v>15458</v>
      </c>
      <c r="BF27">
        <f>_xll.EQNXTDZ($A$1,$B27,BF$1,$B$1)</f>
        <v>19768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247.04</v>
      </c>
      <c r="D28">
        <f>_xll.EQNXTDZ($A$1,$B28,D$1,$B$1)</f>
        <v>265.58</v>
      </c>
      <c r="E28">
        <f>_xll.EQNXTDZ($A$1,$B28,E$1,$B$1)</f>
        <v>277.42</v>
      </c>
      <c r="F28">
        <f>_xll.EQNXTDZ($A$1,$B28,F$1,$B$1)</f>
        <v>289.88</v>
      </c>
      <c r="G28">
        <f>_xll.EQNXTDZ($A$1,$B28,G$1,$B$1)</f>
        <v>297.14999999999998</v>
      </c>
      <c r="H28">
        <f>_xll.EQNXTDZ($A$1,$B28,H$1,$B$1)</f>
        <v>327.87</v>
      </c>
      <c r="I28">
        <f>_xll.EQNXTDZ($A$1,$B28,I$1,$B$1)</f>
        <v>349.27</v>
      </c>
      <c r="J28">
        <f>_xll.EQNXTDZ($A$1,$B28,J$1,$B$1)</f>
        <v>374.86</v>
      </c>
      <c r="K28">
        <f>_xll.EQNXTDZ($A$1,$B28,K$1,$B$1)</f>
        <v>417.49</v>
      </c>
      <c r="L28">
        <f>_xll.EQNXTDZ($A$1,$B28,L$1,$B$1)</f>
        <v>449.21</v>
      </c>
      <c r="M28">
        <f>_xll.EQNXTDZ($A$1,$B28,M$1,$B$1)</f>
        <v>461.86</v>
      </c>
      <c r="N28">
        <f>_xll.EQNXTDZ($A$1,$B28,N$1,$B$1)</f>
        <v>470.13</v>
      </c>
      <c r="O28">
        <f>_xll.EQNXTDZ($A$1,$B28,O$1,$B$1)</f>
        <v>453</v>
      </c>
      <c r="P28">
        <f>_xll.EQNXTDZ($A$1,$B28,P$1,$B$1)</f>
        <v>469</v>
      </c>
      <c r="Q28">
        <f>_xll.EQNXTDZ($A$1,$B28,Q$1,$B$1)</f>
        <v>471</v>
      </c>
      <c r="R28">
        <f>_xll.EQNXTDZ($A$1,$B28,R$1,$B$1)</f>
        <v>495</v>
      </c>
      <c r="S28">
        <f>_xll.EQNXTDZ($A$1,$B28,S$1,$B$1)</f>
        <v>490</v>
      </c>
      <c r="T28">
        <f>_xll.EQNXTDZ($A$1,$B28,T$1,$B$1)</f>
        <v>496</v>
      </c>
      <c r="U28">
        <f>_xll.EQNXTDZ($A$1,$B28,U$1,$B$1)</f>
        <v>496</v>
      </c>
      <c r="V28">
        <f>_xll.EQNXTDZ($A$1,$B28,V$1,$B$1)</f>
        <v>505</v>
      </c>
      <c r="W28">
        <f>_xll.EQNXTDZ($A$1,$B28,W$1,$B$1)</f>
        <v>499</v>
      </c>
      <c r="X28">
        <f>_xll.EQNXTDZ($A$1,$B28,X$1,$B$1)</f>
        <v>504</v>
      </c>
      <c r="Y28">
        <f>_xll.EQNXTDZ($A$1,$B28,Y$1,$B$1)</f>
        <v>506</v>
      </c>
      <c r="Z28">
        <f>_xll.EQNXTDZ($A$1,$B28,Z$1,$B$1)</f>
        <v>505</v>
      </c>
      <c r="AA28">
        <f>_xll.EQNXTDZ($A$1,$B28,AA$1,$B$1)</f>
        <v>493</v>
      </c>
      <c r="AB28">
        <f>_xll.EQNXTDZ($A$1,$B28,AB$1,$B$1)</f>
        <v>507</v>
      </c>
      <c r="AC28">
        <f>_xll.EQNXTDZ($A$1,$B28,AC$1,$B$1)</f>
        <v>519</v>
      </c>
      <c r="AD28">
        <f>_xll.EQNXTDZ($A$1,$B28,AD$1,$B$1)</f>
        <v>537</v>
      </c>
      <c r="AE28">
        <f>_xll.EQNXTDZ($A$1,$B28,AE$1,$B$1)</f>
        <v>817</v>
      </c>
      <c r="AF28">
        <f>_xll.EQNXTDZ($A$1,$B28,AF$1,$B$1)</f>
        <v>864</v>
      </c>
      <c r="AG28">
        <f>_xll.EQNXTDZ($A$1,$B28,AG$1,$B$1)</f>
        <v>897</v>
      </c>
      <c r="AH28">
        <f>_xll.EQNXTDZ($A$1,$B28,AH$1,$B$1)</f>
        <v>951</v>
      </c>
      <c r="AI28">
        <f>_xll.EQNXTDZ($A$1,$B28,AI$1,$B$1)</f>
        <v>976</v>
      </c>
      <c r="AJ28">
        <f>_xll.EQNXTDZ($A$1,$B28,AJ$1,$B$1)</f>
        <v>998</v>
      </c>
      <c r="AK28">
        <f>_xll.EQNXTDZ($A$1,$B28,AK$1,$B$1)</f>
        <v>1024</v>
      </c>
      <c r="AL28">
        <f>_xll.EQNXTDZ($A$1,$B28,AL$1,$B$1)</f>
        <v>1067</v>
      </c>
      <c r="AM28">
        <f>_xll.EQNXTDZ($A$1,$B28,AM$1,$B$1)</f>
        <v>1075</v>
      </c>
      <c r="AN28">
        <f>_xll.EQNXTDZ($A$1,$B28,AN$1,$B$1)</f>
        <v>1116</v>
      </c>
      <c r="AO28">
        <f>_xll.EQNXTDZ($A$1,$B28,AO$1,$B$1)</f>
        <v>1196</v>
      </c>
      <c r="AP28">
        <f>_xll.EQNXTDZ($A$1,$B28,AP$1,$B$1)</f>
        <v>1217</v>
      </c>
      <c r="AQ28">
        <f>_xll.EQNXTDZ($A$1,$B28,AQ$1,$B$1)</f>
        <v>1230</v>
      </c>
      <c r="AR28">
        <f>_xll.EQNXTDZ($A$1,$B28,AR$1,$B$1)</f>
        <v>1237</v>
      </c>
      <c r="AS28">
        <f>_xll.EQNXTDZ($A$1,$B28,AS$1,$B$1)</f>
        <v>1269</v>
      </c>
      <c r="AT28">
        <f>_xll.EQNXTDZ($A$1,$B28,AT$1,$B$1)</f>
        <v>1286</v>
      </c>
      <c r="AU28">
        <f>_xll.EQNXTDZ($A$1,$B28,AU$1,$B$1)</f>
        <v>1243</v>
      </c>
      <c r="AV28">
        <f>_xll.EQNXTDZ($A$1,$B28,AV$1,$B$1)</f>
        <v>1263</v>
      </c>
      <c r="AW28">
        <f>_xll.EQNXTDZ($A$1,$B28,AW$1,$B$1)</f>
        <v>1233</v>
      </c>
      <c r="AX28">
        <f>_xll.EQNXTDZ($A$1,$B28,AX$1,$B$1)</f>
        <v>1246</v>
      </c>
      <c r="AY28">
        <f>_xll.EQNXTDZ($A$1,$B28,AY$1,$B$1)</f>
        <v>1220</v>
      </c>
      <c r="AZ28">
        <f>_xll.EQNXTDZ($A$1,$B28,AZ$1,$B$1)</f>
        <v>1266</v>
      </c>
      <c r="BA28">
        <f>_xll.EQNXTDZ($A$1,$B28,BA$1,$B$1)</f>
        <v>1377</v>
      </c>
      <c r="BB28">
        <f>_xll.EQNXTDZ($A$1,$B28,BB$1,$B$1)</f>
        <v>1379</v>
      </c>
      <c r="BC28">
        <f>_xll.EQNXTDZ($A$1,$B28,BC$1,$B$1)</f>
        <v>1361</v>
      </c>
      <c r="BD28">
        <f>_xll.EQNXTDZ($A$1,$B28,BD$1,$B$1)</f>
        <v>1413</v>
      </c>
      <c r="BE28">
        <f>_xll.EQNXTDZ($A$1,$B28,BE$1,$B$1)</f>
        <v>1380</v>
      </c>
      <c r="BF28">
        <f>_xll.EQNXTDZ($A$1,$B28,BF$1,$B$1)</f>
        <v>1406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898.89</v>
      </c>
      <c r="D29">
        <f>_xll.EQNXTDZ($A$1,$B29,D$1,$B$1)</f>
        <v>1016.07</v>
      </c>
      <c r="E29">
        <f>_xll.EQNXTDZ($A$1,$B29,E$1,$B$1)</f>
        <v>1005.74</v>
      </c>
      <c r="F29">
        <f>_xll.EQNXTDZ($A$1,$B29,F$1,$B$1)</f>
        <v>1093.3399999999999</v>
      </c>
      <c r="G29">
        <f>_xll.EQNXTDZ($A$1,$B29,G$1,$B$1)</f>
        <v>1225.8499999999999</v>
      </c>
      <c r="H29">
        <f>_xll.EQNXTDZ($A$1,$B29,H$1,$B$1)</f>
        <v>1594.65</v>
      </c>
      <c r="I29">
        <f>_xll.EQNXTDZ($A$1,$B29,I$1,$B$1)</f>
        <v>1636.2</v>
      </c>
      <c r="J29">
        <f>_xll.EQNXTDZ($A$1,$B29,J$1,$B$1)</f>
        <v>1613.29</v>
      </c>
      <c r="K29">
        <f>_xll.EQNXTDZ($A$1,$B29,K$1,$B$1)</f>
        <v>1598.65</v>
      </c>
      <c r="L29">
        <f>_xll.EQNXTDZ($A$1,$B29,L$1,$B$1)</f>
        <v>1635.06</v>
      </c>
      <c r="M29">
        <f>_xll.EQNXTDZ($A$1,$B29,M$1,$B$1)</f>
        <v>1823.74</v>
      </c>
      <c r="N29">
        <f>_xll.EQNXTDZ($A$1,$B29,N$1,$B$1)</f>
        <v>1181.3399999999999</v>
      </c>
      <c r="O29">
        <f>_xll.EQNXTDZ($A$1,$B29,O$1,$B$1)</f>
        <v>1747</v>
      </c>
      <c r="P29">
        <f>_xll.EQNXTDZ($A$1,$B29,P$1,$B$1)</f>
        <v>1935</v>
      </c>
      <c r="Q29">
        <f>_xll.EQNXTDZ($A$1,$B29,Q$1,$B$1)</f>
        <v>1850</v>
      </c>
      <c r="R29">
        <f>_xll.EQNXTDZ($A$1,$B29,R$1,$B$1)</f>
        <v>1970</v>
      </c>
      <c r="S29">
        <f>_xll.EQNXTDZ($A$1,$B29,S$1,$B$1)</f>
        <v>1992</v>
      </c>
      <c r="T29">
        <f>_xll.EQNXTDZ($A$1,$B29,T$1,$B$1)</f>
        <v>2066</v>
      </c>
      <c r="U29">
        <f>_xll.EQNXTDZ($A$1,$B29,U$1,$B$1)</f>
        <v>2104</v>
      </c>
      <c r="V29">
        <f>_xll.EQNXTDZ($A$1,$B29,V$1,$B$1)</f>
        <v>1994</v>
      </c>
      <c r="W29">
        <f>_xll.EQNXTDZ($A$1,$B29,W$1,$B$1)</f>
        <v>1896</v>
      </c>
      <c r="X29">
        <f>_xll.EQNXTDZ($A$1,$B29,X$1,$B$1)</f>
        <v>2012</v>
      </c>
      <c r="Y29">
        <f>_xll.EQNXTDZ($A$1,$B29,Y$1,$B$1)</f>
        <v>2100</v>
      </c>
      <c r="Z29">
        <f>_xll.EQNXTDZ($A$1,$B29,Z$1,$B$1)</f>
        <v>2204</v>
      </c>
      <c r="AA29">
        <f>_xll.EQNXTDZ($A$1,$B29,AA$1,$B$1)</f>
        <v>2424</v>
      </c>
      <c r="AB29">
        <f>_xll.EQNXTDZ($A$1,$B29,AB$1,$B$1)</f>
        <v>2437</v>
      </c>
      <c r="AC29">
        <f>_xll.EQNXTDZ($A$1,$B29,AC$1,$B$1)</f>
        <v>2590</v>
      </c>
      <c r="AD29">
        <f>_xll.EQNXTDZ($A$1,$B29,AD$1,$B$1)</f>
        <v>2550</v>
      </c>
      <c r="AE29">
        <f>_xll.EQNXTDZ($A$1,$B29,AE$1,$B$1)</f>
        <v>2485</v>
      </c>
      <c r="AF29">
        <f>_xll.EQNXTDZ($A$1,$B29,AF$1,$B$1)</f>
        <v>2471</v>
      </c>
      <c r="AG29">
        <f>_xll.EQNXTDZ($A$1,$B29,AG$1,$B$1)</f>
        <v>2426</v>
      </c>
      <c r="AH29">
        <f>_xll.EQNXTDZ($A$1,$B29,AH$1,$B$1)</f>
        <v>2419</v>
      </c>
      <c r="AI29">
        <f>_xll.EQNXTDZ($A$1,$B29,AI$1,$B$1)</f>
        <v>2455</v>
      </c>
      <c r="AJ29">
        <f>_xll.EQNXTDZ($A$1,$B29,AJ$1,$B$1)</f>
        <v>2533</v>
      </c>
      <c r="AK29">
        <f>_xll.EQNXTDZ($A$1,$B29,AK$1,$B$1)</f>
        <v>2965</v>
      </c>
      <c r="AL29">
        <f>_xll.EQNXTDZ($A$1,$B29,AL$1,$B$1)</f>
        <v>3245</v>
      </c>
      <c r="AM29">
        <f>_xll.EQNXTDZ($A$1,$B29,AM$1,$B$1)</f>
        <v>3132</v>
      </c>
      <c r="AN29">
        <f>_xll.EQNXTDZ($A$1,$B29,AN$1,$B$1)</f>
        <v>3316</v>
      </c>
      <c r="AO29">
        <f>_xll.EQNXTDZ($A$1,$B29,AO$1,$B$1)</f>
        <v>3385</v>
      </c>
      <c r="AP29">
        <f>_xll.EQNXTDZ($A$1,$B29,AP$1,$B$1)</f>
        <v>3405</v>
      </c>
      <c r="AQ29">
        <f>_xll.EQNXTDZ($A$1,$B29,AQ$1,$B$1)</f>
        <v>3257</v>
      </c>
      <c r="AR29">
        <f>_xll.EQNXTDZ($A$1,$B29,AR$1,$B$1)</f>
        <v>3631</v>
      </c>
      <c r="AS29">
        <f>_xll.EQNXTDZ($A$1,$B29,AS$1,$B$1)</f>
        <v>3761</v>
      </c>
      <c r="AT29">
        <f>_xll.EQNXTDZ($A$1,$B29,AT$1,$B$1)</f>
        <v>3955</v>
      </c>
      <c r="AU29">
        <f>_xll.EQNXTDZ($A$1,$B29,AU$1,$B$1)</f>
        <v>3869</v>
      </c>
      <c r="AV29">
        <f>_xll.EQNXTDZ($A$1,$B29,AV$1,$B$1)</f>
        <v>3950</v>
      </c>
      <c r="AW29">
        <f>_xll.EQNXTDZ($A$1,$B29,AW$1,$B$1)</f>
        <v>3732</v>
      </c>
      <c r="AX29">
        <f>_xll.EQNXTDZ($A$1,$B29,AX$1,$B$1)</f>
        <v>4347</v>
      </c>
      <c r="AY29">
        <f>_xll.EQNXTDZ($A$1,$B29,AY$1,$B$1)</f>
        <v>4126</v>
      </c>
      <c r="AZ29">
        <f>_xll.EQNXTDZ($A$1,$B29,AZ$1,$B$1)</f>
        <v>4077</v>
      </c>
      <c r="BA29">
        <f>_xll.EQNXTDZ($A$1,$B29,BA$1,$B$1)</f>
        <v>4222</v>
      </c>
      <c r="BB29">
        <f>_xll.EQNXTDZ($A$1,$B29,BB$1,$B$1)</f>
        <v>4109</v>
      </c>
      <c r="BC29">
        <f>_xll.EQNXTDZ($A$1,$B29,BC$1,$B$1)</f>
        <v>4160</v>
      </c>
      <c r="BD29">
        <f>_xll.EQNXTDZ($A$1,$B29,BD$1,$B$1)</f>
        <v>3937</v>
      </c>
      <c r="BE29">
        <f>_xll.EQNXTDZ($A$1,$B29,BE$1,$B$1)</f>
        <v>3358</v>
      </c>
      <c r="BF29">
        <f>_xll.EQNXTDZ($A$1,$B29,BF$1,$B$1)</f>
        <v>4578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3357.67</v>
      </c>
      <c r="D30">
        <f>_xll.EQNXTDZ($A$1,$B30,D$1,$B$1)</f>
        <v>3469.68</v>
      </c>
      <c r="E30">
        <f>_xll.EQNXTDZ($A$1,$B30,E$1,$B$1)</f>
        <v>3590.62</v>
      </c>
      <c r="F30">
        <f>_xll.EQNXTDZ($A$1,$B30,F$1,$B$1)</f>
        <v>3657.72</v>
      </c>
      <c r="G30">
        <f>_xll.EQNXTDZ($A$1,$B30,G$1,$B$1)</f>
        <v>3872.86</v>
      </c>
      <c r="H30">
        <f>_xll.EQNXTDZ($A$1,$B30,H$1,$B$1)</f>
        <v>4672.05</v>
      </c>
      <c r="I30">
        <f>_xll.EQNXTDZ($A$1,$B30,I$1,$B$1)</f>
        <v>5377.31</v>
      </c>
      <c r="J30">
        <f>_xll.EQNXTDZ($A$1,$B30,J$1,$B$1)</f>
        <v>5409.65</v>
      </c>
      <c r="K30">
        <f>_xll.EQNXTDZ($A$1,$B30,K$1,$B$1)</f>
        <v>5604.64</v>
      </c>
      <c r="L30">
        <f>_xll.EQNXTDZ($A$1,$B30,L$1,$B$1)</f>
        <v>5312.27</v>
      </c>
      <c r="M30">
        <f>_xll.EQNXTDZ($A$1,$B30,M$1,$B$1)</f>
        <v>5388.34</v>
      </c>
      <c r="N30">
        <f>_xll.EQNXTDZ($A$1,$B30,N$1,$B$1)</f>
        <v>3754.45</v>
      </c>
      <c r="O30">
        <f>_xll.EQNXTDZ($A$1,$B30,O$1,$B$1)</f>
        <v>5773</v>
      </c>
      <c r="P30">
        <f>_xll.EQNXTDZ($A$1,$B30,P$1,$B$1)</f>
        <v>6093</v>
      </c>
      <c r="Q30">
        <f>_xll.EQNXTDZ($A$1,$B30,Q$1,$B$1)</f>
        <v>6125</v>
      </c>
      <c r="R30">
        <f>_xll.EQNXTDZ($A$1,$B30,R$1,$B$1)</f>
        <v>6347</v>
      </c>
      <c r="S30">
        <f>_xll.EQNXTDZ($A$1,$B30,S$1,$B$1)</f>
        <v>6318</v>
      </c>
      <c r="T30">
        <f>_xll.EQNXTDZ($A$1,$B30,T$1,$B$1)</f>
        <v>6603</v>
      </c>
      <c r="U30">
        <f>_xll.EQNXTDZ($A$1,$B30,U$1,$B$1)</f>
        <v>6814</v>
      </c>
      <c r="V30">
        <f>_xll.EQNXTDZ($A$1,$B30,V$1,$B$1)</f>
        <v>6622</v>
      </c>
      <c r="W30">
        <f>_xll.EQNXTDZ($A$1,$B30,W$1,$B$1)</f>
        <v>5950</v>
      </c>
      <c r="X30">
        <f>_xll.EQNXTDZ($A$1,$B30,X$1,$B$1)</f>
        <v>6460</v>
      </c>
      <c r="Y30">
        <f>_xll.EQNXTDZ($A$1,$B30,Y$1,$B$1)</f>
        <v>6545</v>
      </c>
      <c r="Z30">
        <f>_xll.EQNXTDZ($A$1,$B30,Z$1,$B$1)</f>
        <v>6925</v>
      </c>
      <c r="AA30">
        <f>_xll.EQNXTDZ($A$1,$B30,AA$1,$B$1)</f>
        <v>7362</v>
      </c>
      <c r="AB30">
        <f>_xll.EQNXTDZ($A$1,$B30,AB$1,$B$1)</f>
        <v>7927</v>
      </c>
      <c r="AC30">
        <f>_xll.EQNXTDZ($A$1,$B30,AC$1,$B$1)</f>
        <v>8121</v>
      </c>
      <c r="AD30">
        <f>_xll.EQNXTDZ($A$1,$B30,AD$1,$B$1)</f>
        <v>8152</v>
      </c>
      <c r="AE30">
        <f>_xll.EQNXTDZ($A$1,$B30,AE$1,$B$1)</f>
        <v>8153</v>
      </c>
      <c r="AF30">
        <f>_xll.EQNXTDZ($A$1,$B30,AF$1,$B$1)</f>
        <v>8058</v>
      </c>
      <c r="AG30">
        <f>_xll.EQNXTDZ($A$1,$B30,AG$1,$B$1)</f>
        <v>8143</v>
      </c>
      <c r="AH30">
        <f>_xll.EQNXTDZ($A$1,$B30,AH$1,$B$1)</f>
        <v>8093</v>
      </c>
      <c r="AI30">
        <f>_xll.EQNXTDZ($A$1,$B30,AI$1,$B$1)</f>
        <v>7049</v>
      </c>
      <c r="AJ30">
        <f>_xll.EQNXTDZ($A$1,$B30,AJ$1,$B$1)</f>
        <v>7504</v>
      </c>
      <c r="AK30">
        <f>_xll.EQNXTDZ($A$1,$B30,AK$1,$B$1)</f>
        <v>8727</v>
      </c>
      <c r="AL30">
        <f>_xll.EQNXTDZ($A$1,$B30,AL$1,$B$1)</f>
        <v>9282</v>
      </c>
      <c r="AM30">
        <f>_xll.EQNXTDZ($A$1,$B30,AM$1,$B$1)</f>
        <v>9031</v>
      </c>
      <c r="AN30">
        <f>_xll.EQNXTDZ($A$1,$B30,AN$1,$B$1)</f>
        <v>9653</v>
      </c>
      <c r="AO30">
        <f>_xll.EQNXTDZ($A$1,$B30,AO$1,$B$1)</f>
        <v>9806</v>
      </c>
      <c r="AP30">
        <f>_xll.EQNXTDZ($A$1,$B30,AP$1,$B$1)</f>
        <v>9959</v>
      </c>
      <c r="AQ30">
        <f>_xll.EQNXTDZ($A$1,$B30,AQ$1,$B$1)</f>
        <v>9519</v>
      </c>
      <c r="AR30">
        <f>_xll.EQNXTDZ($A$1,$B30,AR$1,$B$1)</f>
        <v>10465</v>
      </c>
      <c r="AS30">
        <f>_xll.EQNXTDZ($A$1,$B30,AS$1,$B$1)</f>
        <v>10883</v>
      </c>
      <c r="AT30">
        <f>_xll.EQNXTDZ($A$1,$B30,AT$1,$B$1)</f>
        <v>11436</v>
      </c>
      <c r="AU30">
        <f>_xll.EQNXTDZ($A$1,$B30,AU$1,$B$1)</f>
        <v>11120</v>
      </c>
      <c r="AV30">
        <f>_xll.EQNXTDZ($A$1,$B30,AV$1,$B$1)</f>
        <v>11380</v>
      </c>
      <c r="AW30">
        <f>_xll.EQNXTDZ($A$1,$B30,AW$1,$B$1)</f>
        <v>11097</v>
      </c>
      <c r="AX30">
        <f>_xll.EQNXTDZ($A$1,$B30,AX$1,$B$1)</f>
        <v>12502</v>
      </c>
      <c r="AY30">
        <f>_xll.EQNXTDZ($A$1,$B30,AY$1,$B$1)</f>
        <v>12105</v>
      </c>
      <c r="AZ30">
        <f>_xll.EQNXTDZ($A$1,$B30,AZ$1,$B$1)</f>
        <v>11955</v>
      </c>
      <c r="BA30">
        <f>_xll.EQNXTDZ($A$1,$B30,BA$1,$B$1)</f>
        <v>12444</v>
      </c>
      <c r="BB30">
        <f>_xll.EQNXTDZ($A$1,$B30,BB$1,$B$1)</f>
        <v>12293</v>
      </c>
      <c r="BC30">
        <f>_xll.EQNXTDZ($A$1,$B30,BC$1,$B$1)</f>
        <v>12819</v>
      </c>
      <c r="BD30">
        <f>_xll.EQNXTDZ($A$1,$B30,BD$1,$B$1)</f>
        <v>12131</v>
      </c>
      <c r="BE30">
        <f>_xll.EQNXTDZ($A$1,$B30,BE$1,$B$1)</f>
        <v>10720</v>
      </c>
      <c r="BF30">
        <f>_xll.EQNXTDZ($A$1,$B30,BF$1,$B$1)</f>
        <v>13784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-39.99</v>
      </c>
      <c r="D34">
        <f>_xll.EQNXTDZ($A$1,$B34,D$1,$B$1)</f>
        <v>-35.31</v>
      </c>
      <c r="E34">
        <f>_xll.EQNXTDZ($A$1,$B34,E$1,$B$1)</f>
        <v>-41</v>
      </c>
      <c r="F34">
        <f>_xll.EQNXTDZ($A$1,$B34,F$1,$B$1)</f>
        <v>-42.08</v>
      </c>
      <c r="G34">
        <f>_xll.EQNXTDZ($A$1,$B34,G$1,$B$1)</f>
        <v>-33.36</v>
      </c>
      <c r="H34">
        <f>_xll.EQNXTDZ($A$1,$B34,H$1,$B$1)</f>
        <v>-38.72</v>
      </c>
      <c r="I34">
        <f>_xll.EQNXTDZ($A$1,$B34,I$1,$B$1)</f>
        <v>-43.88</v>
      </c>
      <c r="J34">
        <f>_xll.EQNXTDZ($A$1,$B34,J$1,$B$1)</f>
        <v>-52.04</v>
      </c>
      <c r="K34">
        <f>_xll.EQNXTDZ($A$1,$B34,K$1,$B$1)</f>
        <v>-36.96</v>
      </c>
      <c r="L34">
        <f>_xll.EQNXTDZ($A$1,$B34,L$1,$B$1)</f>
        <v>-67.989999999999995</v>
      </c>
      <c r="M34">
        <f>_xll.EQNXTDZ($A$1,$B34,M$1,$B$1)</f>
        <v>-60.79</v>
      </c>
      <c r="N34">
        <f>_xll.EQNXTDZ($A$1,$B34,N$1,$B$1)</f>
        <v>-41.78</v>
      </c>
      <c r="O34">
        <f>_xll.EQNXTDZ($A$1,$B34,O$1,$B$1)</f>
        <v>-26</v>
      </c>
      <c r="P34">
        <f>_xll.EQNXTDZ($A$1,$B34,P$1,$B$1)</f>
        <v>-20</v>
      </c>
      <c r="Q34">
        <f>_xll.EQNXTDZ($A$1,$B34,Q$1,$B$1)</f>
        <v>-15</v>
      </c>
      <c r="R34">
        <f>_xll.EQNXTDZ($A$1,$B34,R$1,$B$1)</f>
        <v>-7</v>
      </c>
      <c r="S34">
        <f>_xll.EQNXTDZ($A$1,$B34,S$1,$B$1)</f>
        <v>-1</v>
      </c>
      <c r="T34">
        <f>_xll.EQNXTDZ($A$1,$B34,T$1,$B$1)</f>
        <v>-17</v>
      </c>
      <c r="U34">
        <f>_xll.EQNXTDZ($A$1,$B34,U$1,$B$1)</f>
        <v>-36</v>
      </c>
      <c r="V34">
        <f>_xll.EQNXTDZ($A$1,$B34,V$1,$B$1)</f>
        <v>-14</v>
      </c>
      <c r="W34">
        <f>_xll.EQNXTDZ($A$1,$B34,W$1,$B$1)</f>
        <v>-5</v>
      </c>
      <c r="X34">
        <f>_xll.EQNXTDZ($A$1,$B34,X$1,$B$1)</f>
        <v>-14</v>
      </c>
      <c r="Y34">
        <f>_xll.EQNXTDZ($A$1,$B34,Y$1,$B$1)</f>
        <v>-14</v>
      </c>
      <c r="Z34">
        <f>_xll.EQNXTDZ($A$1,$B34,Z$1,$B$1)</f>
        <v>-21</v>
      </c>
      <c r="AA34">
        <f>_xll.EQNXTDZ($A$1,$B34,AA$1,$B$1)</f>
        <v>-22</v>
      </c>
      <c r="AB34">
        <f>_xll.EQNXTDZ($A$1,$B34,AB$1,$B$1)</f>
        <v>-26</v>
      </c>
      <c r="AC34">
        <f>_xll.EQNXTDZ($A$1,$B34,AC$1,$B$1)</f>
        <v>-16</v>
      </c>
      <c r="AD34">
        <f>_xll.EQNXTDZ($A$1,$B34,AD$1,$B$1)</f>
        <v>-26</v>
      </c>
      <c r="AE34">
        <f>_xll.EQNXTDZ($A$1,$B34,AE$1,$B$1)</f>
        <v>-22</v>
      </c>
      <c r="AF34">
        <f>_xll.EQNXTDZ($A$1,$B34,AF$1,$B$1)</f>
        <v>-16</v>
      </c>
      <c r="AG34">
        <f>_xll.EQNXTDZ($A$1,$B34,AG$1,$B$1)</f>
        <v>-25</v>
      </c>
      <c r="AH34">
        <f>_xll.EQNXTDZ($A$1,$B34,AH$1,$B$1)</f>
        <v>-44</v>
      </c>
      <c r="AI34">
        <f>_xll.EQNXTDZ($A$1,$B34,AI$1,$B$1)</f>
        <v>-41</v>
      </c>
      <c r="AJ34">
        <f>_xll.EQNXTDZ($A$1,$B34,AJ$1,$B$1)</f>
        <v>-29</v>
      </c>
      <c r="AK34">
        <f>_xll.EQNXTDZ($A$1,$B34,AK$1,$B$1)</f>
        <v>-26</v>
      </c>
      <c r="AL34">
        <f>_xll.EQNXTDZ($A$1,$B34,AL$1,$B$1)</f>
        <v>-36</v>
      </c>
      <c r="AM34">
        <f>_xll.EQNXTDZ($A$1,$B34,AM$1,$B$1)</f>
        <v>-23</v>
      </c>
      <c r="AN34">
        <f>_xll.EQNXTDZ($A$1,$B34,AN$1,$B$1)</f>
        <v>-29</v>
      </c>
      <c r="AO34">
        <f>_xll.EQNXTDZ($A$1,$B34,AO$1,$B$1)</f>
        <v>-37</v>
      </c>
      <c r="AP34">
        <f>_xll.EQNXTDZ($A$1,$B34,AP$1,$B$1)</f>
        <v>-33</v>
      </c>
      <c r="AQ34">
        <f>_xll.EQNXTDZ($A$1,$B34,AQ$1,$B$1)</f>
        <v>-41</v>
      </c>
      <c r="AR34">
        <f>_xll.EQNXTDZ($A$1,$B34,AR$1,$B$1)</f>
        <v>-34</v>
      </c>
      <c r="AS34">
        <f>_xll.EQNXTDZ($A$1,$B34,AS$1,$B$1)</f>
        <v>-37</v>
      </c>
      <c r="AT34">
        <f>_xll.EQNXTDZ($A$1,$B34,AT$1,$B$1)</f>
        <v>-44</v>
      </c>
      <c r="AU34">
        <f>_xll.EQNXTDZ($A$1,$B34,AU$1,$B$1)</f>
        <v>-46</v>
      </c>
      <c r="AV34">
        <f>_xll.EQNXTDZ($A$1,$B34,AV$1,$B$1)</f>
        <v>-38</v>
      </c>
      <c r="AW34">
        <f>_xll.EQNXTDZ($A$1,$B34,AW$1,$B$1)</f>
        <v>-39</v>
      </c>
      <c r="AX34">
        <f>_xll.EQNXTDZ($A$1,$B34,AX$1,$B$1)</f>
        <v>-68</v>
      </c>
      <c r="AY34">
        <f>_xll.EQNXTDZ($A$1,$B34,AY$1,$B$1)</f>
        <v>-65</v>
      </c>
      <c r="AZ34">
        <f>_xll.EQNXTDZ($A$1,$B34,AZ$1,$B$1)</f>
        <v>-46</v>
      </c>
      <c r="BA34">
        <f>_xll.EQNXTDZ($A$1,$B34,BA$1,$B$1)</f>
        <v>-64</v>
      </c>
      <c r="BB34">
        <f>_xll.EQNXTDZ($A$1,$B34,BB$1,$B$1)</f>
        <v>-69</v>
      </c>
      <c r="BC34">
        <f>_xll.EQNXTDZ($A$1,$B34,BC$1,$B$1)</f>
        <v>-59</v>
      </c>
      <c r="BD34">
        <f>_xll.EQNXTDZ($A$1,$B34,BD$1,$B$1)</f>
        <v>-56</v>
      </c>
      <c r="BE34">
        <f>_xll.EQNXTDZ($A$1,$B34,BE$1,$B$1)</f>
        <v>-63</v>
      </c>
      <c r="BF34">
        <f>_xll.EQNXTDZ($A$1,$B34,BF$1,$B$1)</f>
        <v>-66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3317.68</v>
      </c>
      <c r="D38">
        <f>_xll.EQNXTDZ($A$1,$B38,D$1,$B$1)</f>
        <v>3434.37</v>
      </c>
      <c r="E38">
        <f>_xll.EQNXTDZ($A$1,$B38,E$1,$B$1)</f>
        <v>3549.62</v>
      </c>
      <c r="F38">
        <f>_xll.EQNXTDZ($A$1,$B38,F$1,$B$1)</f>
        <v>3615.64</v>
      </c>
      <c r="G38">
        <f>_xll.EQNXTDZ($A$1,$B38,G$1,$B$1)</f>
        <v>3839.5</v>
      </c>
      <c r="H38">
        <f>_xll.EQNXTDZ($A$1,$B38,H$1,$B$1)</f>
        <v>4633.33</v>
      </c>
      <c r="I38">
        <f>_xll.EQNXTDZ($A$1,$B38,I$1,$B$1)</f>
        <v>5333.43</v>
      </c>
      <c r="J38">
        <f>_xll.EQNXTDZ($A$1,$B38,J$1,$B$1)</f>
        <v>5357.61</v>
      </c>
      <c r="K38">
        <f>_xll.EQNXTDZ($A$1,$B38,K$1,$B$1)</f>
        <v>5567.68</v>
      </c>
      <c r="L38">
        <f>_xll.EQNXTDZ($A$1,$B38,L$1,$B$1)</f>
        <v>5244.28</v>
      </c>
      <c r="M38">
        <f>_xll.EQNXTDZ($A$1,$B38,M$1,$B$1)</f>
        <v>5327.55</v>
      </c>
      <c r="N38">
        <f>_xll.EQNXTDZ($A$1,$B38,N$1,$B$1)</f>
        <v>3712.67</v>
      </c>
      <c r="O38">
        <f>_xll.EQNXTDZ($A$1,$B38,O$1,$B$1)</f>
        <v>5747</v>
      </c>
      <c r="P38">
        <f>_xll.EQNXTDZ($A$1,$B38,P$1,$B$1)</f>
        <v>6073</v>
      </c>
      <c r="Q38">
        <f>_xll.EQNXTDZ($A$1,$B38,Q$1,$B$1)</f>
        <v>6110</v>
      </c>
      <c r="R38">
        <f>_xll.EQNXTDZ($A$1,$B38,R$1,$B$1)</f>
        <v>6340</v>
      </c>
      <c r="S38">
        <f>_xll.EQNXTDZ($A$1,$B38,S$1,$B$1)</f>
        <v>6317</v>
      </c>
      <c r="T38">
        <f>_xll.EQNXTDZ($A$1,$B38,T$1,$B$1)</f>
        <v>6586</v>
      </c>
      <c r="U38">
        <f>_xll.EQNXTDZ($A$1,$B38,U$1,$B$1)</f>
        <v>6778</v>
      </c>
      <c r="V38">
        <f>_xll.EQNXTDZ($A$1,$B38,V$1,$B$1)</f>
        <v>6608</v>
      </c>
      <c r="W38">
        <f>_xll.EQNXTDZ($A$1,$B38,W$1,$B$1)</f>
        <v>5945</v>
      </c>
      <c r="X38">
        <f>_xll.EQNXTDZ($A$1,$B38,X$1,$B$1)</f>
        <v>6446</v>
      </c>
      <c r="Y38">
        <f>_xll.EQNXTDZ($A$1,$B38,Y$1,$B$1)</f>
        <v>6531</v>
      </c>
      <c r="Z38">
        <f>_xll.EQNXTDZ($A$1,$B38,Z$1,$B$1)</f>
        <v>6904</v>
      </c>
      <c r="AA38">
        <f>_xll.EQNXTDZ($A$1,$B38,AA$1,$B$1)</f>
        <v>7340</v>
      </c>
      <c r="AB38">
        <f>_xll.EQNXTDZ($A$1,$B38,AB$1,$B$1)</f>
        <v>7901</v>
      </c>
      <c r="AC38">
        <f>_xll.EQNXTDZ($A$1,$B38,AC$1,$B$1)</f>
        <v>8105</v>
      </c>
      <c r="AD38">
        <f>_xll.EQNXTDZ($A$1,$B38,AD$1,$B$1)</f>
        <v>8126</v>
      </c>
      <c r="AE38">
        <f>_xll.EQNXTDZ($A$1,$B38,AE$1,$B$1)</f>
        <v>8131</v>
      </c>
      <c r="AF38">
        <f>_xll.EQNXTDZ($A$1,$B38,AF$1,$B$1)</f>
        <v>8042</v>
      </c>
      <c r="AG38">
        <f>_xll.EQNXTDZ($A$1,$B38,AG$1,$B$1)</f>
        <v>8118</v>
      </c>
      <c r="AH38">
        <f>_xll.EQNXTDZ($A$1,$B38,AH$1,$B$1)</f>
        <v>8049</v>
      </c>
      <c r="AI38">
        <f>_xll.EQNXTDZ($A$1,$B38,AI$1,$B$1)</f>
        <v>7008</v>
      </c>
      <c r="AJ38">
        <f>_xll.EQNXTDZ($A$1,$B38,AJ$1,$B$1)</f>
        <v>7475</v>
      </c>
      <c r="AK38">
        <f>_xll.EQNXTDZ($A$1,$B38,AK$1,$B$1)</f>
        <v>8701</v>
      </c>
      <c r="AL38">
        <f>_xll.EQNXTDZ($A$1,$B38,AL$1,$B$1)</f>
        <v>9246</v>
      </c>
      <c r="AM38">
        <f>_xll.EQNXTDZ($A$1,$B38,AM$1,$B$1)</f>
        <v>9008</v>
      </c>
      <c r="AN38">
        <f>_xll.EQNXTDZ($A$1,$B38,AN$1,$B$1)</f>
        <v>9624</v>
      </c>
      <c r="AO38">
        <f>_xll.EQNXTDZ($A$1,$B38,AO$1,$B$1)</f>
        <v>9769</v>
      </c>
      <c r="AP38">
        <f>_xll.EQNXTDZ($A$1,$B38,AP$1,$B$1)</f>
        <v>9926</v>
      </c>
      <c r="AQ38">
        <f>_xll.EQNXTDZ($A$1,$B38,AQ$1,$B$1)</f>
        <v>9478</v>
      </c>
      <c r="AR38">
        <f>_xll.EQNXTDZ($A$1,$B38,AR$1,$B$1)</f>
        <v>10431</v>
      </c>
      <c r="AS38">
        <f>_xll.EQNXTDZ($A$1,$B38,AS$1,$B$1)</f>
        <v>10846</v>
      </c>
      <c r="AT38">
        <f>_xll.EQNXTDZ($A$1,$B38,AT$1,$B$1)</f>
        <v>11392</v>
      </c>
      <c r="AU38">
        <f>_xll.EQNXTDZ($A$1,$B38,AU$1,$B$1)</f>
        <v>11074</v>
      </c>
      <c r="AV38">
        <f>_xll.EQNXTDZ($A$1,$B38,AV$1,$B$1)</f>
        <v>11342</v>
      </c>
      <c r="AW38">
        <f>_xll.EQNXTDZ($A$1,$B38,AW$1,$B$1)</f>
        <v>11058</v>
      </c>
      <c r="AX38">
        <f>_xll.EQNXTDZ($A$1,$B38,AX$1,$B$1)</f>
        <v>12434</v>
      </c>
      <c r="AY38">
        <f>_xll.EQNXTDZ($A$1,$B38,AY$1,$B$1)</f>
        <v>12040</v>
      </c>
      <c r="AZ38">
        <f>_xll.EQNXTDZ($A$1,$B38,AZ$1,$B$1)</f>
        <v>11909</v>
      </c>
      <c r="BA38">
        <f>_xll.EQNXTDZ($A$1,$B38,BA$1,$B$1)</f>
        <v>12380</v>
      </c>
      <c r="BB38">
        <f>_xll.EQNXTDZ($A$1,$B38,BB$1,$B$1)</f>
        <v>12224</v>
      </c>
      <c r="BC38">
        <f>_xll.EQNXTDZ($A$1,$B38,BC$1,$B$1)</f>
        <v>12760</v>
      </c>
      <c r="BD38">
        <f>_xll.EQNXTDZ($A$1,$B38,BD$1,$B$1)</f>
        <v>12075</v>
      </c>
      <c r="BE38">
        <f>_xll.EQNXTDZ($A$1,$B38,BE$1,$B$1)</f>
        <v>10657</v>
      </c>
      <c r="BF38">
        <f>_xll.EQNXTDZ($A$1,$B38,BF$1,$B$1)</f>
        <v>13718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53</v>
      </c>
      <c r="P40">
        <f>_xll.EQNXTDZ($A$1,$B40,P$1,$B$1)</f>
        <v>57</v>
      </c>
      <c r="Q40">
        <f>_xll.EQNXTDZ($A$1,$B40,Q$1,$B$1)</f>
        <v>14</v>
      </c>
      <c r="R40">
        <f>_xll.EQNXTDZ($A$1,$B40,R$1,$B$1)</f>
        <v>145</v>
      </c>
      <c r="S40">
        <f>_xll.EQNXTDZ($A$1,$B40,S$1,$B$1)</f>
        <v>195</v>
      </c>
      <c r="T40">
        <f>_xll.EQNXTDZ($A$1,$B40,T$1,$B$1)</f>
        <v>209</v>
      </c>
      <c r="U40">
        <f>_xll.EQNXTDZ($A$1,$B40,U$1,$B$1)</f>
        <v>31</v>
      </c>
      <c r="V40">
        <f>_xll.EQNXTDZ($A$1,$B40,V$1,$B$1)</f>
        <v>-612</v>
      </c>
      <c r="W40">
        <f>_xll.EQNXTDZ($A$1,$B40,W$1,$B$1)</f>
        <v>158</v>
      </c>
      <c r="X40">
        <f>_xll.EQNXTDZ($A$1,$B40,X$1,$B$1)</f>
        <v>-2</v>
      </c>
      <c r="Y40">
        <f>_xll.EQNXTDZ($A$1,$B40,Y$1,$B$1)</f>
        <v>-505</v>
      </c>
      <c r="Z40">
        <f>_xll.EQNXTDZ($A$1,$B40,Z$1,$B$1)</f>
        <v>221</v>
      </c>
      <c r="AA40">
        <f>_xll.EQNXTDZ($A$1,$B40,AA$1,$B$1)</f>
        <v>-348</v>
      </c>
      <c r="AB40">
        <f>_xll.EQNXTDZ($A$1,$B40,AB$1,$B$1)</f>
        <v>448</v>
      </c>
      <c r="AC40">
        <f>_xll.EQNXTDZ($A$1,$B40,AC$1,$B$1)</f>
        <v>561</v>
      </c>
      <c r="AD40">
        <f>_xll.EQNXTDZ($A$1,$B40,AD$1,$B$1)</f>
        <v>-337</v>
      </c>
      <c r="AE40">
        <f>_xll.EQNXTDZ($A$1,$B40,AE$1,$B$1)</f>
        <v>192</v>
      </c>
      <c r="AF40">
        <f>_xll.EQNXTDZ($A$1,$B40,AF$1,$B$1)</f>
        <v>-64</v>
      </c>
      <c r="AG40">
        <f>_xll.EQNXTDZ($A$1,$B40,AG$1,$B$1)</f>
        <v>1</v>
      </c>
      <c r="AH40">
        <f>_xll.EQNXTDZ($A$1,$B40,AH$1,$B$1)</f>
        <v>335</v>
      </c>
      <c r="AI40">
        <f>_xll.EQNXTDZ($A$1,$B40,AI$1,$B$1)</f>
        <v>776</v>
      </c>
      <c r="AJ40">
        <f>_xll.EQNXTDZ($A$1,$B40,AJ$1,$B$1)</f>
        <v>-118</v>
      </c>
      <c r="AK40">
        <f>_xll.EQNXTDZ($A$1,$B40,AK$1,$B$1)</f>
        <v>415</v>
      </c>
      <c r="AL40">
        <f>_xll.EQNXTDZ($A$1,$B40,AL$1,$B$1)</f>
        <v>-612</v>
      </c>
      <c r="AM40">
        <f>_xll.EQNXTDZ($A$1,$B40,AM$1,$B$1)</f>
        <v>179</v>
      </c>
      <c r="AN40">
        <f>_xll.EQNXTDZ($A$1,$B40,AN$1,$B$1)</f>
        <v>-149</v>
      </c>
      <c r="AO40">
        <f>_xll.EQNXTDZ($A$1,$B40,AO$1,$B$1)</f>
        <v>-251</v>
      </c>
      <c r="AP40">
        <f>_xll.EQNXTDZ($A$1,$B40,AP$1,$B$1)</f>
        <v>126</v>
      </c>
      <c r="AQ40">
        <f>_xll.EQNXTDZ($A$1,$B40,AQ$1,$B$1)</f>
        <v>-726</v>
      </c>
      <c r="AR40">
        <f>_xll.EQNXTDZ($A$1,$B40,AR$1,$B$1)</f>
        <v>73</v>
      </c>
      <c r="AS40">
        <f>_xll.EQNXTDZ($A$1,$B40,AS$1,$B$1)</f>
        <v>806</v>
      </c>
      <c r="AT40">
        <f>_xll.EQNXTDZ($A$1,$B40,AT$1,$B$1)</f>
        <v>339</v>
      </c>
      <c r="AU40">
        <f>_xll.EQNXTDZ($A$1,$B40,AU$1,$B$1)</f>
        <v>80</v>
      </c>
      <c r="AV40">
        <f>_xll.EQNXTDZ($A$1,$B40,AV$1,$B$1)</f>
        <v>-218</v>
      </c>
      <c r="AW40">
        <f>_xll.EQNXTDZ($A$1,$B40,AW$1,$B$1)</f>
        <v>637</v>
      </c>
      <c r="AX40">
        <f>_xll.EQNXTDZ($A$1,$B40,AX$1,$B$1)</f>
        <v>-262</v>
      </c>
      <c r="AY40">
        <f>_xll.EQNXTDZ($A$1,$B40,AY$1,$B$1)</f>
        <v>-214</v>
      </c>
      <c r="AZ40">
        <f>_xll.EQNXTDZ($A$1,$B40,AZ$1,$B$1)</f>
        <v>1061</v>
      </c>
      <c r="BA40">
        <f>_xll.EQNXTDZ($A$1,$B40,BA$1,$B$1)</f>
        <v>-820</v>
      </c>
      <c r="BB40">
        <f>_xll.EQNXTDZ($A$1,$B40,BB$1,$B$1)</f>
        <v>562</v>
      </c>
      <c r="BC40">
        <f>_xll.EQNXTDZ($A$1,$B40,BC$1,$B$1)</f>
        <v>1281</v>
      </c>
      <c r="BD40">
        <f>_xll.EQNXTDZ($A$1,$B40,BD$1,$B$1)</f>
        <v>420</v>
      </c>
      <c r="BE40">
        <f>_xll.EQNXTDZ($A$1,$B40,BE$1,$B$1)</f>
        <v>388</v>
      </c>
      <c r="BF40">
        <f>_xll.EQNXTDZ($A$1,$B40,BF$1,$B$1)</f>
        <v>661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3712.67</v>
      </c>
      <c r="O41">
        <f>_xll.EQNXTDZ($A$1,$B41,O$1,$B$1)</f>
        <v>5763</v>
      </c>
      <c r="P41">
        <f>_xll.EQNXTDZ($A$1,$B41,P$1,$B$1)</f>
        <v>6134</v>
      </c>
      <c r="Q41">
        <f>_xll.EQNXTDZ($A$1,$B41,Q$1,$B$1)</f>
        <v>6125</v>
      </c>
      <c r="R41">
        <f>_xll.EQNXTDZ($A$1,$B41,R$1,$B$1)</f>
        <v>6476</v>
      </c>
      <c r="S41">
        <f>_xll.EQNXTDZ($A$1,$B41,S$1,$B$1)</f>
        <v>6497</v>
      </c>
      <c r="T41">
        <f>_xll.EQNXTDZ($A$1,$B41,T$1,$B$1)</f>
        <v>6781</v>
      </c>
      <c r="U41">
        <f>_xll.EQNXTDZ($A$1,$B41,U$1,$B$1)</f>
        <v>6841</v>
      </c>
      <c r="V41">
        <f>_xll.EQNXTDZ($A$1,$B41,V$1,$B$1)</f>
        <v>5998</v>
      </c>
      <c r="W41">
        <f>_xll.EQNXTDZ($A$1,$B41,W$1,$B$1)</f>
        <v>6098</v>
      </c>
      <c r="X41">
        <f>_xll.EQNXTDZ($A$1,$B41,X$1,$B$1)</f>
        <v>6442</v>
      </c>
      <c r="Y41">
        <f>_xll.EQNXTDZ($A$1,$B41,Y$1,$B$1)</f>
        <v>6032</v>
      </c>
      <c r="Z41">
        <f>_xll.EQNXTDZ($A$1,$B41,Z$1,$B$1)</f>
        <v>7110</v>
      </c>
      <c r="AA41">
        <f>_xll.EQNXTDZ($A$1,$B41,AA$1,$B$1)</f>
        <v>6985</v>
      </c>
      <c r="AB41">
        <f>_xll.EQNXTDZ($A$1,$B41,AB$1,$B$1)</f>
        <v>8337</v>
      </c>
      <c r="AC41">
        <f>_xll.EQNXTDZ($A$1,$B41,AC$1,$B$1)</f>
        <v>8672</v>
      </c>
      <c r="AD41">
        <f>_xll.EQNXTDZ($A$1,$B41,AD$1,$B$1)</f>
        <v>7793</v>
      </c>
      <c r="AE41">
        <f>_xll.EQNXTDZ($A$1,$B41,AE$1,$B$1)</f>
        <v>8319</v>
      </c>
      <c r="AF41">
        <f>_xll.EQNXTDZ($A$1,$B41,AF$1,$B$1)</f>
        <v>7969</v>
      </c>
      <c r="AG41">
        <f>_xll.EQNXTDZ($A$1,$B41,AG$1,$B$1)</f>
        <v>8117</v>
      </c>
      <c r="AH41">
        <f>_xll.EQNXTDZ($A$1,$B41,AH$1,$B$1)</f>
        <v>8359</v>
      </c>
      <c r="AI41">
        <f>_xll.EQNXTDZ($A$1,$B41,AI$1,$B$1)</f>
        <v>7781</v>
      </c>
      <c r="AJ41">
        <f>_xll.EQNXTDZ($A$1,$B41,AJ$1,$B$1)</f>
        <v>7358</v>
      </c>
      <c r="AK41">
        <f>_xll.EQNXTDZ($A$1,$B41,AK$1,$B$1)</f>
        <v>9109</v>
      </c>
      <c r="AL41">
        <f>_xll.EQNXTDZ($A$1,$B41,AL$1,$B$1)</f>
        <v>8666</v>
      </c>
      <c r="AM41">
        <f>_xll.EQNXTDZ($A$1,$B41,AM$1,$B$1)</f>
        <v>9179</v>
      </c>
      <c r="AN41">
        <f>_xll.EQNXTDZ($A$1,$B41,AN$1,$B$1)</f>
        <v>9483</v>
      </c>
      <c r="AO41">
        <f>_xll.EQNXTDZ($A$1,$B41,AO$1,$B$1)</f>
        <v>9532</v>
      </c>
      <c r="AP41">
        <f>_xll.EQNXTDZ($A$1,$B41,AP$1,$B$1)</f>
        <v>10070</v>
      </c>
      <c r="AQ41">
        <f>_xll.EQNXTDZ($A$1,$B41,AQ$1,$B$1)</f>
        <v>8785</v>
      </c>
      <c r="AR41">
        <f>_xll.EQNXTDZ($A$1,$B41,AR$1,$B$1)</f>
        <v>10515</v>
      </c>
      <c r="AS41">
        <f>_xll.EQNXTDZ($A$1,$B41,AS$1,$B$1)</f>
        <v>11597</v>
      </c>
      <c r="AT41">
        <f>_xll.EQNXTDZ($A$1,$B41,AT$1,$B$1)</f>
        <v>11743</v>
      </c>
      <c r="AU41">
        <f>_xll.EQNXTDZ($A$1,$B41,AU$1,$B$1)</f>
        <v>11200</v>
      </c>
      <c r="AV41">
        <f>_xll.EQNXTDZ($A$1,$B41,AV$1,$B$1)</f>
        <v>11132</v>
      </c>
      <c r="AW41">
        <f>_xll.EQNXTDZ($A$1,$B41,AW$1,$B$1)</f>
        <v>11667</v>
      </c>
      <c r="AX41">
        <f>_xll.EQNXTDZ($A$1,$B41,AX$1,$B$1)</f>
        <v>12208</v>
      </c>
      <c r="AY41">
        <f>_xll.EQNXTDZ($A$1,$B41,AY$1,$B$1)</f>
        <v>11859</v>
      </c>
      <c r="AZ41">
        <f>_xll.EQNXTDZ($A$1,$B41,AZ$1,$B$1)</f>
        <v>12896</v>
      </c>
      <c r="BA41">
        <f>_xll.EQNXTDZ($A$1,$B41,BA$1,$B$1)</f>
        <v>11604</v>
      </c>
      <c r="BB41">
        <f>_xll.EQNXTDZ($A$1,$B41,BB$1,$B$1)</f>
        <v>12765</v>
      </c>
      <c r="BC41">
        <f>_xll.EQNXTDZ($A$1,$B41,BC$1,$B$1)</f>
        <v>14008</v>
      </c>
      <c r="BD41">
        <f>_xll.EQNXTDZ($A$1,$B41,BD$1,$B$1)</f>
        <v>12485</v>
      </c>
      <c r="BE41">
        <f>_xll.EQNXTDZ($A$1,$B41,BE$1,$B$1)</f>
        <v>11074</v>
      </c>
      <c r="BF41">
        <f>_xll.EQNXTDZ($A$1,$B41,BF$1,$B$1)</f>
        <v>14354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3317.68</v>
      </c>
      <c r="D42">
        <f>_xll.EQNXTDZ($A$1,$B42,D$1,$B$1)</f>
        <v>3434.37</v>
      </c>
      <c r="E42">
        <f>_xll.EQNXTDZ($A$1,$B42,E$1,$B$1)</f>
        <v>3549.62</v>
      </c>
      <c r="F42">
        <f>_xll.EQNXTDZ($A$1,$B42,F$1,$B$1)</f>
        <v>3615.64</v>
      </c>
      <c r="G42">
        <f>_xll.EQNXTDZ($A$1,$B42,G$1,$B$1)</f>
        <v>3839.5</v>
      </c>
      <c r="H42">
        <f>_xll.EQNXTDZ($A$1,$B42,H$1,$B$1)</f>
        <v>4633.33</v>
      </c>
      <c r="I42">
        <f>_xll.EQNXTDZ($A$1,$B42,I$1,$B$1)</f>
        <v>5333.43</v>
      </c>
      <c r="J42">
        <f>_xll.EQNXTDZ($A$1,$B42,J$1,$B$1)</f>
        <v>5357.61</v>
      </c>
      <c r="K42">
        <f>_xll.EQNXTDZ($A$1,$B42,K$1,$B$1)</f>
        <v>5567.68</v>
      </c>
      <c r="L42">
        <f>_xll.EQNXTDZ($A$1,$B42,L$1,$B$1)</f>
        <v>5244.28</v>
      </c>
      <c r="M42">
        <f>_xll.EQNXTDZ($A$1,$B42,M$1,$B$1)</f>
        <v>5327.55</v>
      </c>
      <c r="N42">
        <f>_xll.EQNXTDZ($A$1,$B42,N$1,$B$1)</f>
        <v>3712.67</v>
      </c>
      <c r="O42">
        <f>_xll.EQNXTDZ($A$1,$B42,O$1,$B$1)</f>
        <v>5747</v>
      </c>
      <c r="P42">
        <f>_xll.EQNXTDZ($A$1,$B42,P$1,$B$1)</f>
        <v>6073</v>
      </c>
      <c r="Q42">
        <f>_xll.EQNXTDZ($A$1,$B42,Q$1,$B$1)</f>
        <v>6110</v>
      </c>
      <c r="R42">
        <f>_xll.EQNXTDZ($A$1,$B42,R$1,$B$1)</f>
        <v>6340</v>
      </c>
      <c r="S42">
        <f>_xll.EQNXTDZ($A$1,$B42,S$1,$B$1)</f>
        <v>6317</v>
      </c>
      <c r="T42">
        <f>_xll.EQNXTDZ($A$1,$B42,T$1,$B$1)</f>
        <v>6586</v>
      </c>
      <c r="U42">
        <f>_xll.EQNXTDZ($A$1,$B42,U$1,$B$1)</f>
        <v>6778</v>
      </c>
      <c r="V42">
        <f>_xll.EQNXTDZ($A$1,$B42,V$1,$B$1)</f>
        <v>6608</v>
      </c>
      <c r="W42">
        <f>_xll.EQNXTDZ($A$1,$B42,W$1,$B$1)</f>
        <v>5945</v>
      </c>
      <c r="X42">
        <f>_xll.EQNXTDZ($A$1,$B42,X$1,$B$1)</f>
        <v>6446</v>
      </c>
      <c r="Y42">
        <f>_xll.EQNXTDZ($A$1,$B42,Y$1,$B$1)</f>
        <v>6531</v>
      </c>
      <c r="Z42">
        <f>_xll.EQNXTDZ($A$1,$B42,Z$1,$B$1)</f>
        <v>6904</v>
      </c>
      <c r="AA42">
        <f>_xll.EQNXTDZ($A$1,$B42,AA$1,$B$1)</f>
        <v>7340</v>
      </c>
      <c r="AB42">
        <f>_xll.EQNXTDZ($A$1,$B42,AB$1,$B$1)</f>
        <v>7901</v>
      </c>
      <c r="AC42">
        <f>_xll.EQNXTDZ($A$1,$B42,AC$1,$B$1)</f>
        <v>8105</v>
      </c>
      <c r="AD42">
        <f>_xll.EQNXTDZ($A$1,$B42,AD$1,$B$1)</f>
        <v>8126</v>
      </c>
      <c r="AE42">
        <f>_xll.EQNXTDZ($A$1,$B42,AE$1,$B$1)</f>
        <v>8131</v>
      </c>
      <c r="AF42">
        <f>_xll.EQNXTDZ($A$1,$B42,AF$1,$B$1)</f>
        <v>8042</v>
      </c>
      <c r="AG42">
        <f>_xll.EQNXTDZ($A$1,$B42,AG$1,$B$1)</f>
        <v>8118</v>
      </c>
      <c r="AH42">
        <f>_xll.EQNXTDZ($A$1,$B42,AH$1,$B$1)</f>
        <v>8049</v>
      </c>
      <c r="AI42">
        <f>_xll.EQNXTDZ($A$1,$B42,AI$1,$B$1)</f>
        <v>7008</v>
      </c>
      <c r="AJ42">
        <f>_xll.EQNXTDZ($A$1,$B42,AJ$1,$B$1)</f>
        <v>7475</v>
      </c>
      <c r="AK42">
        <f>_xll.EQNXTDZ($A$1,$B42,AK$1,$B$1)</f>
        <v>8701</v>
      </c>
      <c r="AL42">
        <f>_xll.EQNXTDZ($A$1,$B42,AL$1,$B$1)</f>
        <v>9246</v>
      </c>
      <c r="AM42">
        <f>_xll.EQNXTDZ($A$1,$B42,AM$1,$B$1)</f>
        <v>9008</v>
      </c>
      <c r="AN42">
        <f>_xll.EQNXTDZ($A$1,$B42,AN$1,$B$1)</f>
        <v>9624</v>
      </c>
      <c r="AO42">
        <f>_xll.EQNXTDZ($A$1,$B42,AO$1,$B$1)</f>
        <v>9769</v>
      </c>
      <c r="AP42">
        <f>_xll.EQNXTDZ($A$1,$B42,AP$1,$B$1)</f>
        <v>9926</v>
      </c>
      <c r="AQ42">
        <f>_xll.EQNXTDZ($A$1,$B42,AQ$1,$B$1)</f>
        <v>9478</v>
      </c>
      <c r="AR42">
        <f>_xll.EQNXTDZ($A$1,$B42,AR$1,$B$1)</f>
        <v>10431</v>
      </c>
      <c r="AS42">
        <f>_xll.EQNXTDZ($A$1,$B42,AS$1,$B$1)</f>
        <v>10846</v>
      </c>
      <c r="AT42">
        <f>_xll.EQNXTDZ($A$1,$B42,AT$1,$B$1)</f>
        <v>11392</v>
      </c>
      <c r="AU42">
        <f>_xll.EQNXTDZ($A$1,$B42,AU$1,$B$1)</f>
        <v>11074</v>
      </c>
      <c r="AV42">
        <f>_xll.EQNXTDZ($A$1,$B42,AV$1,$B$1)</f>
        <v>11342</v>
      </c>
      <c r="AW42">
        <f>_xll.EQNXTDZ($A$1,$B42,AW$1,$B$1)</f>
        <v>11058</v>
      </c>
      <c r="AX42">
        <f>_xll.EQNXTDZ($A$1,$B42,AX$1,$B$1)</f>
        <v>12434</v>
      </c>
      <c r="AY42">
        <f>_xll.EQNXTDZ($A$1,$B42,AY$1,$B$1)</f>
        <v>12040</v>
      </c>
      <c r="AZ42">
        <f>_xll.EQNXTDZ($A$1,$B42,AZ$1,$B$1)</f>
        <v>11909</v>
      </c>
      <c r="BA42">
        <f>_xll.EQNXTDZ($A$1,$B42,BA$1,$B$1)</f>
        <v>12380</v>
      </c>
      <c r="BB42">
        <f>_xll.EQNXTDZ($A$1,$B42,BB$1,$B$1)</f>
        <v>12224</v>
      </c>
      <c r="BC42">
        <f>_xll.EQNXTDZ($A$1,$B42,BC$1,$B$1)</f>
        <v>12760</v>
      </c>
      <c r="BD42">
        <f>_xll.EQNXTDZ($A$1,$B42,BD$1,$B$1)</f>
        <v>12075</v>
      </c>
      <c r="BE42">
        <f>_xll.EQNXTDZ($A$1,$B42,BE$1,$B$1)</f>
        <v>10657</v>
      </c>
      <c r="BF42">
        <f>_xll.EQNXTDZ($A$1,$B42,BF$1,$B$1)</f>
        <v>13718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195.72</v>
      </c>
      <c r="D45">
        <f>_xll.EQNXTDZ($A$1,$B45,D$1,$B$1)</f>
        <v>195.72</v>
      </c>
      <c r="E45">
        <f>_xll.EQNXTDZ($A$1,$B45,E$1,$B$1)</f>
        <v>195.72</v>
      </c>
      <c r="F45">
        <f>_xll.EQNXTDZ($A$1,$B45,F$1,$B$1)</f>
        <v>195.72</v>
      </c>
      <c r="G45">
        <f>_xll.EQNXTDZ($A$1,$B45,G$1,$B$1)</f>
        <v>195.72</v>
      </c>
      <c r="H45">
        <f>_xll.EQNXTDZ($A$1,$B45,H$1,$B$1)</f>
        <v>195.87</v>
      </c>
      <c r="I45">
        <f>_xll.EQNXTDZ($A$1,$B45,I$1,$B$1)</f>
        <v>195.87</v>
      </c>
      <c r="J45">
        <f>_xll.EQNXTDZ($A$1,$B45,J$1,$B$1)</f>
        <v>195.87</v>
      </c>
      <c r="K45">
        <f>_xll.EQNXTDZ($A$1,$B45,K$1,$B$1)</f>
        <v>195.87</v>
      </c>
      <c r="L45">
        <f>_xll.EQNXTDZ($A$1,$B45,L$1,$B$1)</f>
        <v>195.87</v>
      </c>
      <c r="M45">
        <f>_xll.EQNXTDZ($A$1,$B45,M$1,$B$1)</f>
        <v>195.87</v>
      </c>
      <c r="N45">
        <f>_xll.EQNXTDZ($A$1,$B45,N$1,$B$1)</f>
        <v>195.87</v>
      </c>
      <c r="O45">
        <f>_xll.EQNXTDZ($A$1,$B45,O$1,$B$1)</f>
        <v>197.04</v>
      </c>
      <c r="P45">
        <f>_xll.EQNXTDZ($A$1,$B45,P$1,$B$1)</f>
        <v>197.04</v>
      </c>
      <c r="Q45">
        <f>_xll.EQNXTDZ($A$1,$B45,Q$1,$B$1)</f>
        <v>197.04</v>
      </c>
      <c r="R45">
        <f>_xll.EQNXTDZ($A$1,$B45,R$1,$B$1)</f>
        <v>197.04</v>
      </c>
      <c r="S45">
        <f>_xll.EQNXTDZ($A$1,$B45,S$1,$B$1)</f>
        <v>197.04</v>
      </c>
      <c r="T45">
        <f>_xll.EQNXTDZ($A$1,$B45,T$1,$B$1)</f>
        <v>197</v>
      </c>
      <c r="U45">
        <f>_xll.EQNXTDZ($A$1,$B45,U$1,$B$1)</f>
        <v>197</v>
      </c>
      <c r="V45">
        <f>_xll.EQNXTDZ($A$1,$B45,V$1,$B$1)</f>
        <v>197</v>
      </c>
      <c r="W45">
        <f>_xll.EQNXTDZ($A$1,$B45,W$1,$B$1)</f>
        <v>191</v>
      </c>
      <c r="X45">
        <f>_xll.EQNXTDZ($A$1,$B45,X$1,$B$1)</f>
        <v>191</v>
      </c>
      <c r="Y45">
        <f>_xll.EQNXTDZ($A$1,$B45,Y$1,$B$1)</f>
        <v>191</v>
      </c>
      <c r="Z45">
        <f>_xll.EQNXTDZ($A$1,$B45,Z$1,$B$1)</f>
        <v>191</v>
      </c>
      <c r="AA45">
        <f>_xll.EQNXTDZ($A$1,$B45,AA$1,$B$1)</f>
        <v>383</v>
      </c>
      <c r="AB45">
        <f>_xll.EQNXTDZ($A$1,$B45,AB$1,$B$1)</f>
        <v>375</v>
      </c>
      <c r="AC45">
        <f>_xll.EQNXTDZ($A$1,$B45,AC$1,$B$1)</f>
        <v>375</v>
      </c>
      <c r="AD45">
        <f>_xll.EQNXTDZ($A$1,$B45,AD$1,$B$1)</f>
        <v>375</v>
      </c>
      <c r="AE45">
        <f>_xll.EQNXTDZ($A$1,$B45,AE$1,$B$1)</f>
        <v>375</v>
      </c>
      <c r="AF45">
        <f>_xll.EQNXTDZ($A$1,$B45,AF$1,$B$1)</f>
        <v>375</v>
      </c>
      <c r="AG45">
        <f>_xll.EQNXTDZ($A$1,$B45,AG$1,$B$1)</f>
        <v>375</v>
      </c>
      <c r="AH45">
        <f>_xll.EQNXTDZ($A$1,$B45,AH$1,$B$1)</f>
        <v>375</v>
      </c>
      <c r="AI45">
        <f>_xll.EQNXTDZ($A$1,$B45,AI$1,$B$1)</f>
        <v>375</v>
      </c>
      <c r="AJ45">
        <f>_xll.EQNXTDZ($A$1,$B45,AJ$1,$B$1)</f>
        <v>375</v>
      </c>
      <c r="AK45">
        <f>_xll.EQNXTDZ($A$1,$B45,AK$1,$B$1)</f>
        <v>375</v>
      </c>
      <c r="AL45">
        <f>_xll.EQNXTDZ($A$1,$B45,AL$1,$B$1)</f>
        <v>370</v>
      </c>
      <c r="AM45">
        <f>_xll.EQNXTDZ($A$1,$B45,AM$1,$B$1)</f>
        <v>370</v>
      </c>
      <c r="AN45">
        <f>_xll.EQNXTDZ($A$1,$B45,AN$1,$B$1)</f>
        <v>370</v>
      </c>
      <c r="AO45">
        <f>_xll.EQNXTDZ($A$1,$B45,AO$1,$B$1)</f>
        <v>370</v>
      </c>
      <c r="AP45">
        <f>_xll.EQNXTDZ($A$1,$B45,AP$1,$B$1)</f>
        <v>366</v>
      </c>
      <c r="AQ45">
        <f>_xll.EQNXTDZ($A$1,$B45,AQ$1,$B$1)</f>
        <v>366</v>
      </c>
      <c r="AR45">
        <f>_xll.EQNXTDZ($A$1,$B45,AR$1,$B$1)</f>
        <v>366</v>
      </c>
      <c r="AS45">
        <f>_xll.EQNXTDZ($A$1,$B45,AS$1,$B$1)</f>
        <v>366</v>
      </c>
      <c r="AT45">
        <f>_xll.EQNXTDZ($A$1,$B45,AT$1,$B$1)</f>
        <v>366</v>
      </c>
      <c r="AU45">
        <f>_xll.EQNXTDZ($A$1,$B45,AU$1,$B$1)</f>
        <v>366</v>
      </c>
      <c r="AV45">
        <f>_xll.EQNXTDZ($A$1,$B45,AV$1,$B$1)</f>
        <v>366</v>
      </c>
      <c r="AW45">
        <f>_xll.EQNXTDZ($A$1,$B45,AW$1,$B$1)</f>
        <v>362</v>
      </c>
      <c r="AX45">
        <f>_xll.EQNXTDZ($A$1,$B45,AX$1,$B$1)</f>
        <v>362</v>
      </c>
      <c r="AY45">
        <f>_xll.EQNXTDZ($A$1,$B45,AY$1,$B$1)</f>
        <v>362</v>
      </c>
      <c r="AZ45">
        <f>_xll.EQNXTDZ($A$1,$B45,AZ$1,$B$1)</f>
        <v>362</v>
      </c>
      <c r="BA45">
        <f>_xll.EQNXTDZ($A$1,$B45,BA$1,$B$1)</f>
        <v>362</v>
      </c>
      <c r="BB45">
        <f>_xll.EQNXTDZ($A$1,$B45,BB$1,$B$1)</f>
        <v>362</v>
      </c>
      <c r="BC45">
        <f>_xll.EQNXTDZ($A$1,$B45,BC$1,$B$1)</f>
        <v>362</v>
      </c>
      <c r="BD45">
        <f>_xll.EQNXTDZ($A$1,$B45,BD$1,$B$1)</f>
        <v>362</v>
      </c>
      <c r="BE45">
        <f>_xll.EQNXTDZ($A$1,$B45,BE$1,$B$1)</f>
        <v>362</v>
      </c>
      <c r="BF45">
        <f>_xll.EQNXTDZ($A$1,$B45,BF$1,$B$1)</f>
        <v>362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</v>
      </c>
      <c r="D46">
        <f>_xll.EQNXTDZ($A$1,$B46,D$1,$B$1)</f>
        <v>1</v>
      </c>
      <c r="E46">
        <f>_xll.EQNXTDZ($A$1,$B46,E$1,$B$1)</f>
        <v>1</v>
      </c>
      <c r="F46">
        <f>_xll.EQNXTDZ($A$1,$B46,F$1,$B$1)</f>
        <v>1</v>
      </c>
      <c r="G46">
        <f>_xll.EQNXTDZ($A$1,$B46,G$1,$B$1)</f>
        <v>1</v>
      </c>
      <c r="H46">
        <f>_xll.EQNXTDZ($A$1,$B46,H$1,$B$1)</f>
        <v>1</v>
      </c>
      <c r="I46">
        <f>_xll.EQNXTDZ($A$1,$B46,I$1,$B$1)</f>
        <v>1</v>
      </c>
      <c r="J46">
        <f>_xll.EQNXTDZ($A$1,$B46,J$1,$B$1)</f>
        <v>1</v>
      </c>
      <c r="K46">
        <f>_xll.EQNXTDZ($A$1,$B46,K$1,$B$1)</f>
        <v>1</v>
      </c>
      <c r="L46">
        <f>_xll.EQNXTDZ($A$1,$B46,L$1,$B$1)</f>
        <v>1</v>
      </c>
      <c r="M46">
        <f>_xll.EQNXTDZ($A$1,$B46,M$1,$B$1)</f>
        <v>1</v>
      </c>
      <c r="N46">
        <f>_xll.EQNXTDZ($A$1,$B46,N$1,$B$1)</f>
        <v>1</v>
      </c>
      <c r="O46">
        <f>_xll.EQNXTDZ($A$1,$B46,O$1,$B$1)</f>
        <v>1</v>
      </c>
      <c r="P46">
        <f>_xll.EQNXTDZ($A$1,$B46,P$1,$B$1)</f>
        <v>1</v>
      </c>
      <c r="Q46">
        <f>_xll.EQNXTDZ($A$1,$B46,Q$1,$B$1)</f>
        <v>1</v>
      </c>
      <c r="R46">
        <f>_xll.EQNXTDZ($A$1,$B46,R$1,$B$1)</f>
        <v>1</v>
      </c>
      <c r="S46">
        <f>_xll.EQNXTDZ($A$1,$B46,S$1,$B$1)</f>
        <v>1</v>
      </c>
      <c r="T46">
        <f>_xll.EQNXTDZ($A$1,$B46,T$1,$B$1)</f>
        <v>1</v>
      </c>
      <c r="U46">
        <f>_xll.EQNXTDZ($A$1,$B46,U$1,$B$1)</f>
        <v>1</v>
      </c>
      <c r="V46">
        <f>_xll.EQNXTDZ($A$1,$B46,V$1,$B$1)</f>
        <v>1</v>
      </c>
      <c r="W46">
        <f>_xll.EQNXTDZ($A$1,$B46,W$1,$B$1)</f>
        <v>1</v>
      </c>
      <c r="X46">
        <f>_xll.EQNXTDZ($A$1,$B46,X$1,$B$1)</f>
        <v>1</v>
      </c>
      <c r="Y46">
        <f>_xll.EQNXTDZ($A$1,$B46,Y$1,$B$1)</f>
        <v>1</v>
      </c>
      <c r="Z46">
        <f>_xll.EQNXTDZ($A$1,$B46,Z$1,$B$1)</f>
        <v>1</v>
      </c>
      <c r="AA46">
        <f>_xll.EQNXTDZ($A$1,$B46,AA$1,$B$1)</f>
        <v>1</v>
      </c>
      <c r="AB46">
        <f>_xll.EQNXTDZ($A$1,$B46,AB$1,$B$1)</f>
        <v>1</v>
      </c>
      <c r="AC46">
        <f>_xll.EQNXTDZ($A$1,$B46,AC$1,$B$1)</f>
        <v>1</v>
      </c>
      <c r="AD46">
        <f>_xll.EQNXTDZ($A$1,$B46,AD$1,$B$1)</f>
        <v>1</v>
      </c>
      <c r="AE46">
        <f>_xll.EQNXTDZ($A$1,$B46,AE$1,$B$1)</f>
        <v>1</v>
      </c>
      <c r="AF46">
        <f>_xll.EQNXTDZ($A$1,$B46,AF$1,$B$1)</f>
        <v>1</v>
      </c>
      <c r="AG46">
        <f>_xll.EQNXTDZ($A$1,$B46,AG$1,$B$1)</f>
        <v>1</v>
      </c>
      <c r="AH46">
        <f>_xll.EQNXTDZ($A$1,$B46,AH$1,$B$1)</f>
        <v>1</v>
      </c>
      <c r="AI46">
        <f>_xll.EQNXTDZ($A$1,$B46,AI$1,$B$1)</f>
        <v>1</v>
      </c>
      <c r="AJ46">
        <f>_xll.EQNXTDZ($A$1,$B46,AJ$1,$B$1)</f>
        <v>1</v>
      </c>
      <c r="AK46">
        <f>_xll.EQNXTDZ($A$1,$B46,AK$1,$B$1)</f>
        <v>1</v>
      </c>
      <c r="AL46">
        <f>_xll.EQNXTDZ($A$1,$B46,AL$1,$B$1)</f>
        <v>1</v>
      </c>
      <c r="AM46">
        <f>_xll.EQNXTDZ($A$1,$B46,AM$1,$B$1)</f>
        <v>1</v>
      </c>
      <c r="AN46">
        <f>_xll.EQNXTDZ($A$1,$B46,AN$1,$B$1)</f>
        <v>1</v>
      </c>
      <c r="AO46">
        <f>_xll.EQNXTDZ($A$1,$B46,AO$1,$B$1)</f>
        <v>1</v>
      </c>
      <c r="AP46">
        <f>_xll.EQNXTDZ($A$1,$B46,AP$1,$B$1)</f>
        <v>1</v>
      </c>
      <c r="AQ46">
        <f>_xll.EQNXTDZ($A$1,$B46,AQ$1,$B$1)</f>
        <v>1</v>
      </c>
      <c r="AR46">
        <f>_xll.EQNXTDZ($A$1,$B46,AR$1,$B$1)</f>
        <v>1</v>
      </c>
      <c r="AS46">
        <f>_xll.EQNXTDZ($A$1,$B46,AS$1,$B$1)</f>
        <v>1</v>
      </c>
      <c r="AT46">
        <f>_xll.EQNXTDZ($A$1,$B46,AT$1,$B$1)</f>
        <v>1</v>
      </c>
      <c r="AU46">
        <f>_xll.EQNXTDZ($A$1,$B46,AU$1,$B$1)</f>
        <v>1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638.77499999999998</v>
      </c>
      <c r="D48" s="55">
        <f>_xll.EQNXTDZ($A$1,$B48,D$5)</f>
        <v>647</v>
      </c>
      <c r="E48" s="55">
        <f>_xll.EQNXTDZ($A$1,$B48,E$5)</f>
        <v>629.27499999999998</v>
      </c>
      <c r="F48" s="55">
        <f>_xll.EQNXTDZ($A$1,$B48,F$5)</f>
        <v>785.9</v>
      </c>
      <c r="G48" s="55">
        <f>_xll.EQNXTDZ($A$1,$B48,G$5)</f>
        <v>759.2</v>
      </c>
      <c r="H48" s="55">
        <f>_xll.EQNXTDZ($A$1,$B48,H$5)</f>
        <v>963.35</v>
      </c>
      <c r="I48" s="55">
        <f>_xll.EQNXTDZ($A$1,$B48,I$5)</f>
        <v>1085.4749999999999</v>
      </c>
      <c r="J48" s="55">
        <f>_xll.EQNXTDZ($A$1,$B48,J$5)</f>
        <v>1064.125</v>
      </c>
      <c r="K48" s="55">
        <f>_xll.EQNXTDZ($A$1,$B48,K$5)</f>
        <v>1209.7249999999999</v>
      </c>
      <c r="L48" s="55">
        <f>_xll.EQNXTDZ($A$1,$B48,L$5)</f>
        <v>1369.1</v>
      </c>
      <c r="M48" s="55">
        <f>_xll.EQNXTDZ($A$1,$B48,M$5)</f>
        <v>1277.3499999999999</v>
      </c>
      <c r="N48" s="55">
        <f>_xll.EQNXTDZ($A$1,$B48,N$5)</f>
        <v>1273.5250000000001</v>
      </c>
      <c r="O48" s="55">
        <f>_xll.EQNXTDZ($A$1,$B48,O$5)</f>
        <v>1276.0999999999999</v>
      </c>
      <c r="P48" s="55">
        <f>_xll.EQNXTDZ($A$1,$B48,P$5)</f>
        <v>1293.8499999999999</v>
      </c>
      <c r="Q48" s="55">
        <f>_xll.EQNXTDZ($A$1,$B48,Q$5)</f>
        <v>1219.5999999999999</v>
      </c>
      <c r="R48" s="55">
        <f>_xll.EQNXTDZ($A$1,$B48,R$5)</f>
        <v>1258.0250000000001</v>
      </c>
      <c r="S48" s="55">
        <f>_xll.EQNXTDZ($A$1,$B48,S$5)</f>
        <v>1275.4000000000001</v>
      </c>
      <c r="T48" s="55">
        <f>_xll.EQNXTDZ($A$1,$B48,T$5)</f>
        <v>1213.5999999999999</v>
      </c>
      <c r="U48" s="55">
        <f>_xll.EQNXTDZ($A$1,$B48,U$5)</f>
        <v>1180.9749999999999</v>
      </c>
      <c r="V48" s="55">
        <f>_xll.EQNXTDZ($A$1,$B48,V$5)</f>
        <v>1215.55</v>
      </c>
      <c r="W48" s="55">
        <f>_xll.EQNXTDZ($A$1,$B48,W$5)</f>
        <v>1182.175</v>
      </c>
      <c r="X48" s="55">
        <f>_xll.EQNXTDZ($A$1,$B48,X$5)</f>
        <v>1218.5</v>
      </c>
      <c r="Y48" s="55">
        <f>_xll.EQNXTDZ($A$1,$B48,Y$5)</f>
        <v>1350.2</v>
      </c>
      <c r="Z48" s="55">
        <f>_xll.EQNXTDZ($A$1,$B48,Z$5)</f>
        <v>1424.65</v>
      </c>
      <c r="AA48" s="55">
        <f>_xll.EQNXTDZ($A$1,$B48,AA$5)</f>
        <v>1847.2</v>
      </c>
      <c r="AB48" s="55">
        <f>_xll.EQNXTDZ($A$1,$B48,AB$5)</f>
        <v>2184.5</v>
      </c>
      <c r="AC48" s="55">
        <f>_xll.EQNXTDZ($A$1,$B48,AC$5)</f>
        <v>1893.55</v>
      </c>
      <c r="AD48" s="55">
        <f>_xll.EQNXTDZ($A$1,$B48,AD$5)</f>
        <v>2000.4</v>
      </c>
      <c r="AE48" s="55">
        <f>_xll.EQNXTDZ($A$1,$B48,AE$5)</f>
        <v>2227.25</v>
      </c>
      <c r="AF48" s="55">
        <f>_xll.EQNXTDZ($A$1,$B48,AF$5)</f>
        <v>2099.1999999999998</v>
      </c>
      <c r="AG48" s="55">
        <f>_xll.EQNXTDZ($A$1,$B48,AG$5)</f>
        <v>2161.3000000000002</v>
      </c>
      <c r="AH48" s="55">
        <f>_xll.EQNXTDZ($A$1,$B48,AH$5)</f>
        <v>1823.05</v>
      </c>
      <c r="AI48" s="55">
        <f>_xll.EQNXTDZ($A$1,$B48,AI$5)</f>
        <v>2082.1999999999998</v>
      </c>
      <c r="AJ48" s="55">
        <f>_xll.EQNXTDZ($A$1,$B48,AJ$5)</f>
        <v>2491.5</v>
      </c>
      <c r="AK48" s="55">
        <f>_xll.EQNXTDZ($A$1,$B48,AK$5)</f>
        <v>2870.2</v>
      </c>
      <c r="AL48" s="55">
        <f>_xll.EQNXTDZ($A$1,$B48,AL$5)</f>
        <v>3177.6</v>
      </c>
      <c r="AM48" s="55">
        <f>_xll.EQNXTDZ($A$1,$B48,AM$5)</f>
        <v>3345.25</v>
      </c>
      <c r="AN48" s="55">
        <f>_xll.EQNXTDZ($A$1,$B48,AN$5)</f>
        <v>3774.5</v>
      </c>
      <c r="AO48" s="55">
        <f>_xll.EQNXTDZ($A$1,$B48,AO$5)</f>
        <v>3736.85</v>
      </c>
      <c r="AP48" s="55">
        <f>_xll.EQNXTDZ($A$1,$B48,AP$5)</f>
        <v>3738.8</v>
      </c>
      <c r="AQ48" s="55">
        <f>_xll.EQNXTDZ($A$1,$B48,AQ$5)</f>
        <v>3265.25</v>
      </c>
      <c r="AR48" s="55">
        <f>_xll.EQNXTDZ($A$1,$B48,AR$5)</f>
        <v>3004.6</v>
      </c>
      <c r="AS48" s="55">
        <f>_xll.EQNXTDZ($A$1,$B48,AS$5)</f>
        <v>3259.25</v>
      </c>
      <c r="AT48" s="55">
        <f>_xll.EQNXTDZ($A$1,$B48,AT$5)</f>
        <v>3205.8</v>
      </c>
      <c r="AU48" s="55">
        <f>_xll.EQNXTDZ($A$1,$B48,AU$5)</f>
        <v>3300.5</v>
      </c>
      <c r="AV48" s="55">
        <f>_xll.EQNXTDZ($A$1,$B48,AV$5)</f>
        <v>3530.75</v>
      </c>
      <c r="AW48" s="55">
        <f>_xll.EQNXTDZ($A$1,$B48,AW$5)</f>
        <v>3794.95</v>
      </c>
      <c r="AX48" s="55">
        <f>_xll.EQNXTDZ($A$1,$B48,AX$5)</f>
        <v>3883.55</v>
      </c>
      <c r="AY48" s="55">
        <f>_xll.EQNXTDZ($A$1,$B48,AY$5)</f>
        <v>3904.95</v>
      </c>
      <c r="AZ48" s="55">
        <f>_xll.EQNXTDZ($A$1,$B48,AZ$5)</f>
        <v>4268.3999999999996</v>
      </c>
      <c r="BA48" s="55">
        <f>_xll.EQNXTDZ($A$1,$B48,BA$5)</f>
        <v>4097.2</v>
      </c>
      <c r="BB48" s="55">
        <f>_xll.EQNXTDZ($A$1,$B48,BB$5)</f>
        <v>3604.45</v>
      </c>
      <c r="BC48" s="55">
        <f>_xll.EQNXTDZ($A$1,$B48,BC$5)</f>
        <v>3461.05</v>
      </c>
      <c r="BD48" s="55">
        <f>_xll.EQNXTDZ($A$1,$B48,BD$5)</f>
        <v>2889</v>
      </c>
      <c r="BE48" s="55">
        <f>_xll.EQNXTDZ($A$1,$B48,BE$5)</f>
        <v>3205.75</v>
      </c>
      <c r="BF48" s="55">
        <f>_xll.EQNXTDZ($A$1,$B48,BF$5)</f>
        <v>2359.0500000000002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73.98</v>
      </c>
      <c r="D49" s="55">
        <f>_xll.EQNXTDZ($A$1,$B49,D$5)</f>
        <v>73.959999999999994</v>
      </c>
      <c r="E49" s="55">
        <f>_xll.EQNXTDZ($A$1,$B49,E$5)</f>
        <v>73.959999999999994</v>
      </c>
      <c r="F49" s="55">
        <f>_xll.EQNXTDZ($A$1,$B49,F$5)</f>
        <v>73.959999999999994</v>
      </c>
      <c r="G49" s="55">
        <f>_xll.EQNXTDZ($A$1,$B49,G$5)</f>
        <v>73.959999999999994</v>
      </c>
      <c r="H49" s="55">
        <f>_xll.EQNXTDZ($A$1,$B49,H$5)</f>
        <v>73.959999999999994</v>
      </c>
      <c r="I49" s="55">
        <f>_xll.EQNXTDZ($A$1,$B49,I$5)</f>
        <v>73.900000000000006</v>
      </c>
      <c r="J49" s="55">
        <f>_xll.EQNXTDZ($A$1,$B49,J$5)</f>
        <v>73.900000000000006</v>
      </c>
      <c r="K49" s="55">
        <f>_xll.EQNXTDZ($A$1,$B49,K$5)</f>
        <v>73.900000000000006</v>
      </c>
      <c r="L49" s="55">
        <f>_xll.EQNXTDZ($A$1,$B49,L$5)</f>
        <v>73.900000000000006</v>
      </c>
      <c r="M49" s="55">
        <f>_xll.EQNXTDZ($A$1,$B49,M$5)</f>
        <v>73.900000000000006</v>
      </c>
      <c r="N49" s="55">
        <f>_xll.EQNXTDZ($A$1,$B49,N$5)</f>
        <v>73.900000000000006</v>
      </c>
      <c r="O49" s="55">
        <f>_xll.EQNXTDZ($A$1,$B49,O$5)</f>
        <v>73.86</v>
      </c>
      <c r="P49" s="55">
        <f>_xll.EQNXTDZ($A$1,$B49,P$5)</f>
        <v>73.86</v>
      </c>
      <c r="Q49" s="55">
        <f>_xll.EQNXTDZ($A$1,$B49,Q$5)</f>
        <v>73.42</v>
      </c>
      <c r="R49" s="55">
        <f>_xll.EQNXTDZ($A$1,$B49,R$5)</f>
        <v>73.42</v>
      </c>
      <c r="S49" s="55">
        <f>_xll.EQNXTDZ($A$1,$B49,S$5)</f>
        <v>73.34</v>
      </c>
      <c r="T49" s="55">
        <f>_xll.EQNXTDZ($A$1,$B49,T$5)</f>
        <v>73.33</v>
      </c>
      <c r="U49" s="55">
        <f>_xll.EQNXTDZ($A$1,$B49,U$5)</f>
        <v>73.33</v>
      </c>
      <c r="V49" s="55">
        <f>_xll.EQNXTDZ($A$1,$B49,V$5)</f>
        <v>73.31</v>
      </c>
      <c r="W49" s="55">
        <f>_xll.EQNXTDZ($A$1,$B49,W$5)</f>
        <v>73.569999999999993</v>
      </c>
      <c r="X49" s="55">
        <f>_xll.EQNXTDZ($A$1,$B49,X$5)</f>
        <v>73.569999999999993</v>
      </c>
      <c r="Y49" s="55">
        <f>_xll.EQNXTDZ($A$1,$B49,Y$5)</f>
        <v>73.569999999999993</v>
      </c>
      <c r="Z49" s="55">
        <f>_xll.EQNXTDZ($A$1,$B49,Z$5)</f>
        <v>71.92</v>
      </c>
      <c r="AA49" s="55">
        <f>_xll.EQNXTDZ($A$1,$B49,AA$5)</f>
        <v>71.92</v>
      </c>
      <c r="AB49" s="55">
        <f>_xll.EQNXTDZ($A$1,$B49,AB$5)</f>
        <v>72.05</v>
      </c>
      <c r="AC49" s="55">
        <f>_xll.EQNXTDZ($A$1,$B49,AC$5)</f>
        <v>72.05</v>
      </c>
      <c r="AD49" s="55">
        <f>_xll.EQNXTDZ($A$1,$B49,AD$5)</f>
        <v>72.05</v>
      </c>
      <c r="AE49" s="55">
        <f>_xll.EQNXTDZ($A$1,$B49,AE$5)</f>
        <v>72.05</v>
      </c>
      <c r="AF49" s="55">
        <f>_xll.EQNXTDZ($A$1,$B49,AF$5)</f>
        <v>72.05</v>
      </c>
      <c r="AG49" s="55">
        <f>_xll.EQNXTDZ($A$1,$B49,AG$5)</f>
        <v>72.05</v>
      </c>
      <c r="AH49" s="55">
        <f>_xll.EQNXTDZ($A$1,$B49,AH$5)</f>
        <v>72.05</v>
      </c>
      <c r="AI49" s="55">
        <f>_xll.EQNXTDZ($A$1,$B49,AI$5)</f>
        <v>72.05</v>
      </c>
      <c r="AJ49" s="55">
        <f>_xll.EQNXTDZ($A$1,$B49,AJ$5)</f>
        <v>72.05</v>
      </c>
      <c r="AK49" s="55">
        <f>_xll.EQNXTDZ($A$1,$B49,AK$5)</f>
        <v>72.05</v>
      </c>
      <c r="AL49" s="55">
        <f>_xll.EQNXTDZ($A$1,$B49,AL$5)</f>
        <v>72.19</v>
      </c>
      <c r="AM49" s="55">
        <f>_xll.EQNXTDZ($A$1,$B49,AM$5)</f>
        <v>72.19</v>
      </c>
      <c r="AN49" s="55">
        <f>_xll.EQNXTDZ($A$1,$B49,AN$5)</f>
        <v>72.19</v>
      </c>
      <c r="AO49" s="55">
        <f>_xll.EQNXTDZ($A$1,$B49,AO$5)</f>
        <v>72.19</v>
      </c>
      <c r="AP49" s="55">
        <f>_xll.EQNXTDZ($A$1,$B49,AP$5)</f>
        <v>72.3</v>
      </c>
      <c r="AQ49" s="55">
        <f>_xll.EQNXTDZ($A$1,$B49,AQ$5)</f>
        <v>72.3</v>
      </c>
      <c r="AR49" s="55">
        <f>_xll.EQNXTDZ($A$1,$B49,AR$5)</f>
        <v>72.3</v>
      </c>
      <c r="AS49" s="55">
        <f>_xll.EQNXTDZ($A$1,$B49,AS$5)</f>
        <v>72.3</v>
      </c>
      <c r="AT49" s="55">
        <f>_xll.EQNXTDZ($A$1,$B49,AT$5)</f>
        <v>72.3</v>
      </c>
      <c r="AU49" s="55">
        <f>_xll.EQNXTDZ($A$1,$B49,AU$5)</f>
        <v>72.3</v>
      </c>
      <c r="AV49" s="55">
        <f>_xll.EQNXTDZ($A$1,$B49,AV$5)</f>
        <v>72.3</v>
      </c>
      <c r="AW49" s="55">
        <f>_xll.EQNXTDZ($A$1,$B49,AW$5)</f>
        <v>72.41</v>
      </c>
      <c r="AX49" s="55">
        <f>_xll.EQNXTDZ($A$1,$B49,AX$5)</f>
        <v>71.77</v>
      </c>
      <c r="AY49" s="55">
        <f>_xll.EQNXTDZ($A$1,$B49,AY$5)</f>
        <v>71.77</v>
      </c>
      <c r="AZ49" s="55">
        <f>_xll.EQNXTDZ($A$1,$B49,AZ$5)</f>
        <v>71.77</v>
      </c>
      <c r="BA49" s="55">
        <f>_xll.EQNXTDZ($A$1,$B49,BA$5)</f>
        <v>71.77</v>
      </c>
      <c r="BB49" s="55">
        <f>_xll.EQNXTDZ($A$1,$B49,BB$5)</f>
        <v>71.77</v>
      </c>
      <c r="BC49" s="55">
        <f>_xll.EQNXTDZ($A$1,$B49,BC$5)</f>
        <v>71.77</v>
      </c>
      <c r="BD49" s="55">
        <f>_xll.EQNXTDZ($A$1,$B49,BD$5)</f>
        <v>71.77</v>
      </c>
      <c r="BE49" s="55">
        <f>_xll.EQNXTDZ($A$1,$B49,BE$5)</f>
        <v>71.77</v>
      </c>
      <c r="BF49" s="55">
        <f>_xll.EQNXTDZ($A$1,$B49,BF$5)</f>
        <v>71.77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5.49</v>
      </c>
      <c r="D50" s="55">
        <f>_xll.EQNXTDZ($A$1,$B50,D$5)</f>
        <v>5.35</v>
      </c>
      <c r="E50" s="55">
        <f>_xll.EQNXTDZ($A$1,$B50,E$5)</f>
        <v>5</v>
      </c>
      <c r="F50" s="55">
        <f>_xll.EQNXTDZ($A$1,$B50,F$5)</f>
        <v>4.78</v>
      </c>
      <c r="G50" s="55">
        <f>_xll.EQNXTDZ($A$1,$B50,G$5)</f>
        <v>3.11</v>
      </c>
      <c r="H50" s="55">
        <f>_xll.EQNXTDZ($A$1,$B50,H$5)</f>
        <v>2.4300000000000002</v>
      </c>
      <c r="I50" s="55">
        <f>_xll.EQNXTDZ($A$1,$B50,I$5)</f>
        <v>1.83</v>
      </c>
      <c r="J50" s="55">
        <f>_xll.EQNXTDZ($A$1,$B50,J$5)</f>
        <v>1.8</v>
      </c>
      <c r="K50" s="55">
        <f>_xll.EQNXTDZ($A$1,$B50,K$5)</f>
        <v>2.2200000000000002</v>
      </c>
      <c r="L50" s="55">
        <f>_xll.EQNXTDZ($A$1,$B50,L$5)</f>
        <v>1.98</v>
      </c>
      <c r="M50" s="55">
        <f>_xll.EQNXTDZ($A$1,$B50,M$5)</f>
        <v>1.98</v>
      </c>
      <c r="N50" s="55">
        <f>_xll.EQNXTDZ($A$1,$B50,N$5)</f>
        <v>1.98</v>
      </c>
      <c r="O50" s="55">
        <f>_xll.EQNXTDZ($A$1,$B50,O$5)</f>
        <v>1.98</v>
      </c>
      <c r="P50" s="55">
        <f>_xll.EQNXTDZ($A$1,$B50,P$5)</f>
        <v>1.98</v>
      </c>
      <c r="Q50" s="55">
        <f>_xll.EQNXTDZ($A$1,$B50,Q$5)</f>
        <v>0.2</v>
      </c>
      <c r="R50" s="55">
        <f>_xll.EQNXTDZ($A$1,$B50,R$5)</f>
        <v>3.15</v>
      </c>
      <c r="S50" s="55">
        <f>_xll.EQNXTDZ($A$1,$B50,S$5)</f>
        <v>2.9</v>
      </c>
      <c r="T50" s="55">
        <f>_xll.EQNXTDZ($A$1,$B50,T$5)</f>
        <v>2.9</v>
      </c>
      <c r="U50" s="55">
        <f>_xll.EQNXTDZ($A$1,$B50,U$5)</f>
        <v>2.9</v>
      </c>
      <c r="V50" s="55">
        <f>_xll.EQNXTDZ($A$1,$B50,V$5)</f>
        <v>2.9</v>
      </c>
      <c r="W50" s="55">
        <f>_xll.EQNXTDZ($A$1,$B50,W$5)</f>
        <v>2.98</v>
      </c>
      <c r="X50" s="55">
        <f>_xll.EQNXTDZ($A$1,$B50,X$5)</f>
        <v>2.98</v>
      </c>
      <c r="Y50" s="55">
        <f>_xll.EQNXTDZ($A$1,$B50,Y$5)</f>
        <v>2.89</v>
      </c>
      <c r="Z50" s="55">
        <f>_xll.EQNXTDZ($A$1,$B50,Z$5)</f>
        <v>2.96</v>
      </c>
      <c r="AA50" s="55">
        <f>_xll.EQNXTDZ($A$1,$B50,AA$5)</f>
        <v>2.89</v>
      </c>
      <c r="AB50" s="55">
        <f>_xll.EQNXTDZ($A$1,$B50,AB$5)</f>
        <v>2.94</v>
      </c>
      <c r="AC50" s="55">
        <f>_xll.EQNXTDZ($A$1,$B50,AC$5)</f>
        <v>2.94</v>
      </c>
      <c r="AD50" s="55">
        <f>_xll.EQNXTDZ($A$1,$B50,AD$5)</f>
        <v>2.94</v>
      </c>
      <c r="AE50" s="55">
        <f>_xll.EQNXTDZ($A$1,$B50,AE$5)</f>
        <v>2.94</v>
      </c>
      <c r="AF50" s="55">
        <f>_xll.EQNXTDZ($A$1,$B50,AF$5)</f>
        <v>2.94</v>
      </c>
      <c r="AG50" s="55">
        <f>_xll.EQNXTDZ($A$1,$B50,AG$5)</f>
        <v>2.94</v>
      </c>
      <c r="AH50" s="55">
        <f>_xll.EQNXTDZ($A$1,$B50,AH$5)</f>
        <v>2.94</v>
      </c>
      <c r="AI50" s="55">
        <f>_xll.EQNXTDZ($A$1,$B50,AI$5)</f>
        <v>2.94</v>
      </c>
      <c r="AJ50" s="55">
        <f>_xll.EQNXTDZ($A$1,$B50,AJ$5)</f>
        <v>2.94</v>
      </c>
      <c r="AK50" s="55">
        <f>_xll.EQNXTDZ($A$1,$B50,AK$5)</f>
        <v>2.94</v>
      </c>
      <c r="AL50" s="55">
        <f>_xll.EQNXTDZ($A$1,$B50,AL$5)</f>
        <v>0.47</v>
      </c>
      <c r="AM50" s="55">
        <f>_xll.EQNXTDZ($A$1,$B50,AM$5)</f>
        <v>0.47</v>
      </c>
      <c r="AN50" s="55">
        <f>_xll.EQNXTDZ($A$1,$B50,AN$5)</f>
        <v>0.47</v>
      </c>
      <c r="AO50" s="55">
        <f>_xll.EQNXTDZ($A$1,$B50,AO$5)</f>
        <v>0.47</v>
      </c>
      <c r="AP50" s="55">
        <f>_xll.EQNXTDZ($A$1,$B50,AP$5)</f>
        <v>0.48</v>
      </c>
      <c r="AQ50" s="55">
        <f>_xll.EQNXTDZ($A$1,$B50,AQ$5)</f>
        <v>0.48</v>
      </c>
      <c r="AR50" s="55">
        <f>_xll.EQNXTDZ($A$1,$B50,AR$5)</f>
        <v>0.48</v>
      </c>
      <c r="AS50" s="55">
        <f>_xll.EQNXTDZ($A$1,$B50,AS$5)</f>
        <v>0.48</v>
      </c>
      <c r="AT50" s="55">
        <f>_xll.EQNXTDZ($A$1,$B50,AT$5)</f>
        <v>0.48</v>
      </c>
      <c r="AU50" s="55">
        <f>_xll.EQNXTDZ($A$1,$B50,AU$5)</f>
        <v>0.48</v>
      </c>
      <c r="AV50" s="55">
        <f>_xll.EQNXTDZ($A$1,$B50,AV$5)</f>
        <v>0.48</v>
      </c>
      <c r="AW50" s="55">
        <f>_xll.EQNXTDZ($A$1,$B50,AW$5)</f>
        <v>0.48</v>
      </c>
      <c r="AX50" s="55">
        <f>_xll.EQNXTDZ($A$1,$B50,AX$5)</f>
        <v>0.28000000000000003</v>
      </c>
      <c r="AY50" s="55">
        <f>_xll.EQNXTDZ($A$1,$B50,AY$5)</f>
        <v>0.28000000000000003</v>
      </c>
      <c r="AZ50" s="55">
        <f>_xll.EQNXTDZ($A$1,$B50,AZ$5)</f>
        <v>0.28000000000000003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201706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295.72000000000003</v>
      </c>
      <c r="E56" s="55">
        <f>_xll.EQNXTDZ($A$1,$B56,E$5,$B$1)</f>
        <v>0</v>
      </c>
      <c r="F56" s="55">
        <f>_xll.EQNXTDZ($A$1,$B56,F$5,$B$1)</f>
        <v>295.72000000000003</v>
      </c>
      <c r="G56" s="55">
        <f>_xll.EQNXTDZ($A$1,$B56,G$5,$B$1)</f>
        <v>0</v>
      </c>
      <c r="H56" s="55">
        <f>_xll.EQNXTDZ($A$1,$B56,H$5,$B$1)</f>
        <v>295.87</v>
      </c>
      <c r="I56" s="55">
        <f>_xll.EQNXTDZ($A$1,$B56,I$5,$B$1)</f>
        <v>0</v>
      </c>
      <c r="J56" s="55">
        <f>_xll.EQNXTDZ($A$1,$B56,J$5,$B$1)</f>
        <v>195.87</v>
      </c>
      <c r="K56" s="55">
        <f>_xll.EQNXTDZ($A$1,$B56,K$5,$B$1)</f>
        <v>0</v>
      </c>
      <c r="L56" s="55">
        <f>_xll.EQNXTDZ($A$1,$B56,L$5,$B$1)</f>
        <v>195.87</v>
      </c>
      <c r="M56" s="55">
        <f>_xll.EQNXTDZ($A$1,$B56,M$5,$B$1)</f>
        <v>0</v>
      </c>
      <c r="N56" s="55">
        <f>_xll.EQNXTDZ($A$1,$B56,N$5,$B$1)</f>
        <v>195.87</v>
      </c>
      <c r="O56" s="55">
        <f>_xll.EQNXTDZ($A$1,$B56,O$5,$B$1)</f>
        <v>0</v>
      </c>
      <c r="P56" s="55">
        <f>_xll.EQNXTDZ($A$1,$B56,P$5,$B$1)</f>
        <v>197.04</v>
      </c>
      <c r="Q56" s="55">
        <f>_xll.EQNXTDZ($A$1,$B56,Q$5,$B$1)</f>
        <v>0</v>
      </c>
      <c r="R56" s="55">
        <f>_xll.EQNXTDZ($A$1,$B56,R$5,$B$1)</f>
        <v>197</v>
      </c>
      <c r="S56" s="55">
        <f>_xll.EQNXTDZ($A$1,$B56,S$5,$B$1)</f>
        <v>0</v>
      </c>
      <c r="T56" s="55">
        <f>_xll.EQNXTDZ($A$1,$B56,T$5,$B$1)</f>
        <v>197</v>
      </c>
      <c r="U56" s="55">
        <f>_xll.EQNXTDZ($A$1,$B56,U$5,$B$1)</f>
        <v>0</v>
      </c>
      <c r="V56" s="55">
        <f>_xll.EQNXTDZ($A$1,$B56,V$5,$B$1)</f>
        <v>197</v>
      </c>
      <c r="W56" s="55">
        <f>_xll.EQNXTDZ($A$1,$B56,W$5,$B$1)</f>
        <v>191</v>
      </c>
      <c r="X56" s="55">
        <f>_xll.EQNXTDZ($A$1,$B56,X$5,$B$1)</f>
        <v>191</v>
      </c>
      <c r="Y56" s="55">
        <f>_xll.EQNXTDZ($A$1,$B56,Y$5,$B$1)</f>
        <v>0</v>
      </c>
      <c r="Z56" s="55">
        <f>_xll.EQNXTDZ($A$1,$B56,Z$5,$B$1)</f>
        <v>191</v>
      </c>
      <c r="AA56" s="55">
        <f>_xll.EQNXTDZ($A$1,$B56,AA$5,$B$1)</f>
        <v>0</v>
      </c>
      <c r="AB56" s="55">
        <f>_xll.EQNXTDZ($A$1,$B56,AB$5,$B$1)</f>
        <v>375</v>
      </c>
      <c r="AC56" s="55">
        <f>_xll.EQNXTDZ($A$1,$B56,AC$5,$B$1)</f>
        <v>0</v>
      </c>
      <c r="AD56" s="55">
        <f>_xll.EQNXTDZ($A$1,$B56,AD$5,$B$1)</f>
        <v>375</v>
      </c>
      <c r="AE56" s="55">
        <f>_xll.EQNXTDZ($A$1,$B56,AE$5,$B$1)</f>
        <v>0</v>
      </c>
      <c r="AF56" s="55">
        <f>_xll.EQNXTDZ($A$1,$B56,AF$5,$B$1)</f>
        <v>375</v>
      </c>
      <c r="AG56" s="55">
        <f>_xll.EQNXTDZ($A$1,$B56,AG$5,$B$1)</f>
        <v>0</v>
      </c>
      <c r="AH56" s="55">
        <f>_xll.EQNXTDZ($A$1,$B56,AH$5,$B$1)</f>
        <v>375</v>
      </c>
      <c r="AI56" s="55">
        <f>_xll.EQNXTDZ($A$1,$B56,AI$5,$B$1)</f>
        <v>0</v>
      </c>
      <c r="AJ56" s="55">
        <f>_xll.EQNXTDZ($A$1,$B56,AJ$5,$B$1)</f>
        <v>375</v>
      </c>
      <c r="AK56" s="55">
        <f>_xll.EQNXTDZ($A$1,$B56,AK$5,$B$1)</f>
        <v>0</v>
      </c>
      <c r="AL56" s="55">
        <f>_xll.EQNXTDZ($A$1,$B56,AL$5,$B$1)</f>
        <v>370</v>
      </c>
      <c r="AM56" s="55">
        <f>_xll.EQNXTDZ($A$1,$B56,AM$5,$B$1)</f>
        <v>0</v>
      </c>
      <c r="AN56" s="55">
        <f>_xll.EQNXTDZ($A$1,$B56,AN$5,$B$1)</f>
        <v>370</v>
      </c>
      <c r="AO56" s="55">
        <f>_xll.EQNXTDZ($A$1,$B56,AO$5,$B$1)</f>
        <v>0</v>
      </c>
      <c r="AP56" s="55">
        <f>_xll.EQNXTDZ($A$1,$B56,AP$5,$B$1)</f>
        <v>366</v>
      </c>
      <c r="AQ56" s="55">
        <f>_xll.EQNXTDZ($A$1,$B56,AQ$5,$B$1)</f>
        <v>0</v>
      </c>
      <c r="AR56" s="55">
        <f>_xll.EQNXTDZ($A$1,$B56,AR$5,$B$1)</f>
        <v>366</v>
      </c>
      <c r="AS56" s="55">
        <f>_xll.EQNXTDZ($A$1,$B56,AS$5,$B$1)</f>
        <v>0</v>
      </c>
      <c r="AT56" s="55">
        <f>_xll.EQNXTDZ($A$1,$B56,AT$5,$B$1)</f>
        <v>366</v>
      </c>
      <c r="AU56" s="55">
        <f>_xll.EQNXTDZ($A$1,$B56,AU$5,$B$1)</f>
        <v>0</v>
      </c>
      <c r="AV56" s="55">
        <f>_xll.EQNXTDZ($A$1,$B56,AV$5,$B$1)</f>
        <v>366</v>
      </c>
      <c r="AW56" s="55">
        <f>_xll.EQNXTDZ($A$1,$B56,AW$5,$B$1)</f>
        <v>0</v>
      </c>
      <c r="AX56" s="55">
        <f>_xll.EQNXTDZ($A$1,$B56,AX$5,$B$1)</f>
        <v>362</v>
      </c>
      <c r="AY56" s="55">
        <f>_xll.EQNXTDZ($A$1,$B56,AY$5,$B$1)</f>
        <v>0</v>
      </c>
      <c r="AZ56" s="55">
        <f>_xll.EQNXTDZ($A$1,$B56,AZ$5,$B$1)</f>
        <v>362</v>
      </c>
      <c r="BA56" s="55">
        <f>_xll.EQNXTDZ($A$1,$B56,BA$5,$B$1)</f>
        <v>0</v>
      </c>
      <c r="BB56" s="55">
        <f>_xll.EQNXTDZ($A$1,$B56,BB$5,$B$1)</f>
        <v>362</v>
      </c>
      <c r="BC56" s="55">
        <f>_xll.EQNXTDZ($A$1,$B56,BC$5,$B$1)</f>
        <v>0</v>
      </c>
      <c r="BD56" s="55">
        <f>_xll.EQNXTDZ($A$1,$B56,BD$5,$B$1)</f>
        <v>362</v>
      </c>
      <c r="BE56" s="55">
        <f>_xll.EQNXTDZ($A$1,$B56,BE$5,$B$1)</f>
        <v>0</v>
      </c>
      <c r="BF56" s="55">
        <f>_xll.EQNXTDZ($A$1,$B56,BF$5,$B$1)</f>
        <v>362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34880.629999999997</v>
      </c>
      <c r="E58" s="55">
        <f>_xll.EQNXTDZ($A$1,$B58,E$5,$B$1)</f>
        <v>0</v>
      </c>
      <c r="F58" s="55">
        <f>_xll.EQNXTDZ($A$1,$B58,F$5,$B$1)</f>
        <v>38350.01</v>
      </c>
      <c r="G58" s="55">
        <f>_xll.EQNXTDZ($A$1,$B58,G$5,$B$1)</f>
        <v>0</v>
      </c>
      <c r="H58" s="55">
        <f>_xll.EQNXTDZ($A$1,$B58,H$5,$B$1)</f>
        <v>43794.5</v>
      </c>
      <c r="I58" s="55">
        <f>_xll.EQNXTDZ($A$1,$B58,I$5,$B$1)</f>
        <v>0</v>
      </c>
      <c r="J58" s="55">
        <f>_xll.EQNXTDZ($A$1,$B58,J$5,$B$1)</f>
        <v>48998.89</v>
      </c>
      <c r="K58" s="55">
        <f>_xll.EQNXTDZ($A$1,$B58,K$5,$B$1)</f>
        <v>0</v>
      </c>
      <c r="L58" s="55">
        <f>_xll.EQNXTDZ($A$1,$B58,L$5,$B$1)</f>
        <v>48265.84</v>
      </c>
      <c r="M58" s="55">
        <f>_xll.EQNXTDZ($A$1,$B58,M$5,$B$1)</f>
        <v>0</v>
      </c>
      <c r="N58" s="55">
        <f>_xll.EQNXTDZ($A$1,$B58,N$5,$B$1)</f>
        <v>50438.89</v>
      </c>
      <c r="O58" s="55">
        <f>_xll.EQNXTDZ($A$1,$B58,O$5,$B$1)</f>
        <v>0</v>
      </c>
      <c r="P58" s="55">
        <f>_xll.EQNXTDZ($A$1,$B58,P$5,$B$1)</f>
        <v>60109.97</v>
      </c>
      <c r="Q58" s="55">
        <f>_xll.EQNXTDZ($A$1,$B58,Q$5,$B$1)</f>
        <v>0</v>
      </c>
      <c r="R58" s="55">
        <f>_xll.EQNXTDZ($A$1,$B58,R$5,$B$1)</f>
        <v>70875</v>
      </c>
      <c r="S58" s="55">
        <f>_xll.EQNXTDZ($A$1,$B58,S$5,$B$1)</f>
        <v>0</v>
      </c>
      <c r="T58" s="55">
        <f>_xll.EQNXTDZ($A$1,$B58,T$5,$B$1)</f>
        <v>76190</v>
      </c>
      <c r="U58" s="55">
        <f>_xll.EQNXTDZ($A$1,$B58,U$5,$B$1)</f>
        <v>0</v>
      </c>
      <c r="V58" s="55">
        <f>_xll.EQNXTDZ($A$1,$B58,V$5,$B$1)</f>
        <v>86017</v>
      </c>
      <c r="W58" s="55">
        <f>_xll.EQNXTDZ($A$1,$B58,W$5,$B$1)</f>
        <v>70033</v>
      </c>
      <c r="X58" s="55">
        <f>_xll.EQNXTDZ($A$1,$B58,X$5,$B$1)</f>
        <v>74863</v>
      </c>
      <c r="Y58" s="55">
        <f>_xll.EQNXTDZ($A$1,$B58,Y$5,$B$1)</f>
        <v>0</v>
      </c>
      <c r="Z58" s="55">
        <f>_xll.EQNXTDZ($A$1,$B58,Z$5,$B$1)</f>
        <v>84937</v>
      </c>
      <c r="AA58" s="55">
        <f>_xll.EQNXTDZ($A$1,$B58,AA$5,$B$1)</f>
        <v>0</v>
      </c>
      <c r="AB58" s="55">
        <f>_xll.EQNXTDZ($A$1,$B58,AB$5,$B$1)</f>
        <v>75773</v>
      </c>
      <c r="AC58" s="55">
        <f>_xll.EQNXTDZ($A$1,$B58,AC$5,$B$1)</f>
        <v>0</v>
      </c>
      <c r="AD58" s="55">
        <f>_xll.EQNXTDZ($A$1,$B58,AD$5,$B$1)</f>
        <v>89071</v>
      </c>
      <c r="AE58" s="55">
        <f>_xll.EQNXTDZ($A$1,$B58,AE$5,$B$1)</f>
        <v>0</v>
      </c>
      <c r="AF58" s="55">
        <f>_xll.EQNXTDZ($A$1,$B58,AF$5,$B$1)</f>
        <v>94657</v>
      </c>
      <c r="AG58" s="55">
        <f>_xll.EQNXTDZ($A$1,$B58,AG$5,$B$1)</f>
        <v>0</v>
      </c>
      <c r="AH58" s="55">
        <f>_xll.EQNXTDZ($A$1,$B58,AH$5,$B$1)</f>
        <v>83751</v>
      </c>
      <c r="AI58" s="55">
        <f>_xll.EQNXTDZ($A$1,$B58,AI$5,$B$1)</f>
        <v>0</v>
      </c>
      <c r="AJ58" s="55">
        <f>_xll.EQNXTDZ($A$1,$B58,AJ$5,$B$1)</f>
        <v>94762</v>
      </c>
      <c r="AK58" s="55">
        <f>_xll.EQNXTDZ($A$1,$B58,AK$5,$B$1)</f>
        <v>0</v>
      </c>
      <c r="AL58" s="55">
        <f>_xll.EQNXTDZ($A$1,$B58,AL$5,$B$1)</f>
        <v>86063</v>
      </c>
      <c r="AM58" s="55">
        <f>_xll.EQNXTDZ($A$1,$B58,AM$5,$B$1)</f>
        <v>0</v>
      </c>
      <c r="AN58" s="55">
        <f>_xll.EQNXTDZ($A$1,$B58,AN$5,$B$1)</f>
        <v>96587</v>
      </c>
      <c r="AO58" s="55">
        <f>_xll.EQNXTDZ($A$1,$B58,AO$5,$B$1)</f>
        <v>0</v>
      </c>
      <c r="AP58" s="55">
        <f>_xll.EQNXTDZ($A$1,$B58,AP$5,$B$1)</f>
        <v>88773</v>
      </c>
      <c r="AQ58" s="55">
        <f>_xll.EQNXTDZ($A$1,$B58,AQ$5,$B$1)</f>
        <v>0</v>
      </c>
      <c r="AR58" s="55">
        <f>_xll.EQNXTDZ($A$1,$B58,AR$5,$B$1)</f>
        <v>97088</v>
      </c>
      <c r="AS58" s="55">
        <f>_xll.EQNXTDZ($A$1,$B58,AS$5,$B$1)</f>
        <v>0</v>
      </c>
      <c r="AT58" s="55">
        <f>_xll.EQNXTDZ($A$1,$B58,AT$5,$B$1)</f>
        <v>90058</v>
      </c>
      <c r="AU58" s="55">
        <f>_xll.EQNXTDZ($A$1,$B58,AU$5,$B$1)</f>
        <v>0</v>
      </c>
      <c r="AV58" s="55">
        <f>_xll.EQNXTDZ($A$1,$B58,AV$5,$B$1)</f>
        <v>100315</v>
      </c>
      <c r="AW58" s="55">
        <f>_xll.EQNXTDZ($A$1,$B58,AW$5,$B$1)</f>
        <v>0</v>
      </c>
      <c r="AX58" s="55">
        <f>_xll.EQNXTDZ($A$1,$B58,AX$5,$B$1)</f>
        <v>90127</v>
      </c>
      <c r="AY58" s="55">
        <f>_xll.EQNXTDZ($A$1,$B58,AY$5,$B$1)</f>
        <v>0</v>
      </c>
      <c r="AZ58" s="55">
        <f>_xll.EQNXTDZ($A$1,$B58,AZ$5,$B$1)</f>
        <v>101133</v>
      </c>
      <c r="BA58" s="55">
        <f>_xll.EQNXTDZ($A$1,$B58,BA$5,$B$1)</f>
        <v>0</v>
      </c>
      <c r="BB58" s="55">
        <f>_xll.EQNXTDZ($A$1,$B58,BB$5,$B$1)</f>
        <v>94394</v>
      </c>
      <c r="BC58" s="55">
        <f>_xll.EQNXTDZ($A$1,$B58,BC$5,$B$1)</f>
        <v>0</v>
      </c>
      <c r="BD58" s="55">
        <f>_xll.EQNXTDZ($A$1,$B58,BD$5,$B$1)</f>
        <v>106053</v>
      </c>
      <c r="BE58" s="55">
        <f>_xll.EQNXTDZ($A$1,$B58,BE$5,$B$1)</f>
        <v>0</v>
      </c>
      <c r="BF58" s="55">
        <f>_xll.EQNXTDZ($A$1,$B58,BF$5,$B$1)</f>
        <v>106878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35176.35</v>
      </c>
      <c r="E59" s="55">
        <f>_xll.EQNXTDZ($A$1,$B59,E$5,$B$1)</f>
        <v>0</v>
      </c>
      <c r="F59" s="55">
        <f>_xll.EQNXTDZ($A$1,$B59,F$5,$B$1)</f>
        <v>38645.730000000003</v>
      </c>
      <c r="G59" s="55">
        <f>_xll.EQNXTDZ($A$1,$B59,G$5,$B$1)</f>
        <v>0</v>
      </c>
      <c r="H59" s="55">
        <f>_xll.EQNXTDZ($A$1,$B59,H$5,$B$1)</f>
        <v>44090.37</v>
      </c>
      <c r="I59" s="55">
        <f>_xll.EQNXTDZ($A$1,$B59,I$5,$B$1)</f>
        <v>0</v>
      </c>
      <c r="J59" s="55">
        <f>_xll.EQNXTDZ($A$1,$B59,J$5,$B$1)</f>
        <v>49194.76</v>
      </c>
      <c r="K59" s="55">
        <f>_xll.EQNXTDZ($A$1,$B59,K$5,$B$1)</f>
        <v>0</v>
      </c>
      <c r="L59" s="55">
        <f>_xll.EQNXTDZ($A$1,$B59,L$5,$B$1)</f>
        <v>48461.71</v>
      </c>
      <c r="M59" s="55">
        <f>_xll.EQNXTDZ($A$1,$B59,M$5,$B$1)</f>
        <v>0</v>
      </c>
      <c r="N59" s="55">
        <f>_xll.EQNXTDZ($A$1,$B59,N$5,$B$1)</f>
        <v>50634.76</v>
      </c>
      <c r="O59" s="55">
        <f>_xll.EQNXTDZ($A$1,$B59,O$5,$B$1)</f>
        <v>0</v>
      </c>
      <c r="P59" s="55">
        <f>_xll.EQNXTDZ($A$1,$B59,P$5,$B$1)</f>
        <v>60307.01</v>
      </c>
      <c r="Q59" s="55">
        <f>_xll.EQNXTDZ($A$1,$B59,Q$5,$B$1)</f>
        <v>0</v>
      </c>
      <c r="R59" s="55">
        <f>_xll.EQNXTDZ($A$1,$B59,R$5,$B$1)</f>
        <v>71072</v>
      </c>
      <c r="S59" s="55">
        <f>_xll.EQNXTDZ($A$1,$B59,S$5,$B$1)</f>
        <v>0</v>
      </c>
      <c r="T59" s="55">
        <f>_xll.EQNXTDZ($A$1,$B59,T$5,$B$1)</f>
        <v>76387</v>
      </c>
      <c r="U59" s="55">
        <f>_xll.EQNXTDZ($A$1,$B59,U$5,$B$1)</f>
        <v>0</v>
      </c>
      <c r="V59" s="55">
        <f>_xll.EQNXTDZ($A$1,$B59,V$5,$B$1)</f>
        <v>86214</v>
      </c>
      <c r="W59" s="55">
        <f>_xll.EQNXTDZ($A$1,$B59,W$5,$B$1)</f>
        <v>70224</v>
      </c>
      <c r="X59" s="55">
        <f>_xll.EQNXTDZ($A$1,$B59,X$5,$B$1)</f>
        <v>75054</v>
      </c>
      <c r="Y59" s="55">
        <f>_xll.EQNXTDZ($A$1,$B59,Y$5,$B$1)</f>
        <v>0</v>
      </c>
      <c r="Z59" s="55">
        <f>_xll.EQNXTDZ($A$1,$B59,Z$5,$B$1)</f>
        <v>85128</v>
      </c>
      <c r="AA59" s="55">
        <f>_xll.EQNXTDZ($A$1,$B59,AA$5,$B$1)</f>
        <v>0</v>
      </c>
      <c r="AB59" s="55">
        <f>_xll.EQNXTDZ($A$1,$B59,AB$5,$B$1)</f>
        <v>76148</v>
      </c>
      <c r="AC59" s="55">
        <f>_xll.EQNXTDZ($A$1,$B59,AC$5,$B$1)</f>
        <v>0</v>
      </c>
      <c r="AD59" s="55">
        <f>_xll.EQNXTDZ($A$1,$B59,AD$5,$B$1)</f>
        <v>89446</v>
      </c>
      <c r="AE59" s="55">
        <f>_xll.EQNXTDZ($A$1,$B59,AE$5,$B$1)</f>
        <v>0</v>
      </c>
      <c r="AF59" s="55">
        <f>_xll.EQNXTDZ($A$1,$B59,AF$5,$B$1)</f>
        <v>95032</v>
      </c>
      <c r="AG59" s="55">
        <f>_xll.EQNXTDZ($A$1,$B59,AG$5,$B$1)</f>
        <v>0</v>
      </c>
      <c r="AH59" s="55">
        <f>_xll.EQNXTDZ($A$1,$B59,AH$5,$B$1)</f>
        <v>84126</v>
      </c>
      <c r="AI59" s="55">
        <f>_xll.EQNXTDZ($A$1,$B59,AI$5,$B$1)</f>
        <v>0</v>
      </c>
      <c r="AJ59" s="55">
        <f>_xll.EQNXTDZ($A$1,$B59,AJ$5,$B$1)</f>
        <v>95137</v>
      </c>
      <c r="AK59" s="55">
        <f>_xll.EQNXTDZ($A$1,$B59,AK$5,$B$1)</f>
        <v>0</v>
      </c>
      <c r="AL59" s="55">
        <f>_xll.EQNXTDZ($A$1,$B59,AL$5,$B$1)</f>
        <v>86433</v>
      </c>
      <c r="AM59" s="55">
        <f>_xll.EQNXTDZ($A$1,$B59,AM$5,$B$1)</f>
        <v>0</v>
      </c>
      <c r="AN59" s="55">
        <f>_xll.EQNXTDZ($A$1,$B59,AN$5,$B$1)</f>
        <v>96957</v>
      </c>
      <c r="AO59" s="55">
        <f>_xll.EQNXTDZ($A$1,$B59,AO$5,$B$1)</f>
        <v>0</v>
      </c>
      <c r="AP59" s="55">
        <f>_xll.EQNXTDZ($A$1,$B59,AP$5,$B$1)</f>
        <v>89139</v>
      </c>
      <c r="AQ59" s="55">
        <f>_xll.EQNXTDZ($A$1,$B59,AQ$5,$B$1)</f>
        <v>0</v>
      </c>
      <c r="AR59" s="55">
        <f>_xll.EQNXTDZ($A$1,$B59,AR$5,$B$1)</f>
        <v>97454</v>
      </c>
      <c r="AS59" s="55">
        <f>_xll.EQNXTDZ($A$1,$B59,AS$5,$B$1)</f>
        <v>0</v>
      </c>
      <c r="AT59" s="55">
        <f>_xll.EQNXTDZ($A$1,$B59,AT$5,$B$1)</f>
        <v>90424</v>
      </c>
      <c r="AU59" s="55">
        <f>_xll.EQNXTDZ($A$1,$B59,AU$5,$B$1)</f>
        <v>0</v>
      </c>
      <c r="AV59" s="55">
        <f>_xll.EQNXTDZ($A$1,$B59,AV$5,$B$1)</f>
        <v>100681</v>
      </c>
      <c r="AW59" s="55">
        <f>_xll.EQNXTDZ($A$1,$B59,AW$5,$B$1)</f>
        <v>0</v>
      </c>
      <c r="AX59" s="55">
        <f>_xll.EQNXTDZ($A$1,$B59,AX$5,$B$1)</f>
        <v>90489</v>
      </c>
      <c r="AY59" s="55">
        <f>_xll.EQNXTDZ($A$1,$B59,AY$5,$B$1)</f>
        <v>0</v>
      </c>
      <c r="AZ59" s="55">
        <f>_xll.EQNXTDZ($A$1,$B59,AZ$5,$B$1)</f>
        <v>101495</v>
      </c>
      <c r="BA59" s="55">
        <f>_xll.EQNXTDZ($A$1,$B59,BA$5,$B$1)</f>
        <v>0</v>
      </c>
      <c r="BB59" s="55">
        <f>_xll.EQNXTDZ($A$1,$B59,BB$5,$B$1)</f>
        <v>94756</v>
      </c>
      <c r="BC59" s="55">
        <f>_xll.EQNXTDZ($A$1,$B59,BC$5,$B$1)</f>
        <v>0</v>
      </c>
      <c r="BD59" s="55">
        <f>_xll.EQNXTDZ($A$1,$B59,BD$5,$B$1)</f>
        <v>106415</v>
      </c>
      <c r="BE59" s="55">
        <f>_xll.EQNXTDZ($A$1,$B59,BE$5,$B$1)</f>
        <v>0</v>
      </c>
      <c r="BF59" s="55">
        <f>_xll.EQNXTDZ($A$1,$B59,BF$5,$B$1)</f>
        <v>107240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616.35</v>
      </c>
      <c r="E60" s="55">
        <f>_xll.EQNXTDZ($A$1,$B60,E$5,$B$1)</f>
        <v>0</v>
      </c>
      <c r="F60" s="55">
        <f>_xll.EQNXTDZ($A$1,$B60,F$5,$B$1)</f>
        <v>695.31</v>
      </c>
      <c r="G60" s="55">
        <f>_xll.EQNXTDZ($A$1,$B60,G$5,$B$1)</f>
        <v>0</v>
      </c>
      <c r="H60" s="55">
        <f>_xll.EQNXTDZ($A$1,$B60,H$5,$B$1)</f>
        <v>629.96</v>
      </c>
      <c r="I60" s="55">
        <f>_xll.EQNXTDZ($A$1,$B60,I$5,$B$1)</f>
        <v>0</v>
      </c>
      <c r="J60" s="55">
        <f>_xll.EQNXTDZ($A$1,$B60,J$5,$B$1)</f>
        <v>707.99</v>
      </c>
      <c r="K60" s="55">
        <f>_xll.EQNXTDZ($A$1,$B60,K$5,$B$1)</f>
        <v>0</v>
      </c>
      <c r="L60" s="55">
        <f>_xll.EQNXTDZ($A$1,$B60,L$5,$B$1)</f>
        <v>1079.32</v>
      </c>
      <c r="M60" s="55">
        <f>_xll.EQNXTDZ($A$1,$B60,M$5,$B$1)</f>
        <v>0</v>
      </c>
      <c r="N60" s="55">
        <f>_xll.EQNXTDZ($A$1,$B60,N$5,$B$1)</f>
        <v>1127.76</v>
      </c>
      <c r="O60" s="55">
        <f>_xll.EQNXTDZ($A$1,$B60,O$5,$B$1)</f>
        <v>0</v>
      </c>
      <c r="P60" s="55">
        <f>_xll.EQNXTDZ($A$1,$B60,P$5,$B$1)</f>
        <v>455.67</v>
      </c>
      <c r="Q60" s="55">
        <f>_xll.EQNXTDZ($A$1,$B60,Q$5,$B$1)</f>
        <v>0</v>
      </c>
      <c r="R60" s="55">
        <f>_xll.EQNXTDZ($A$1,$B60,R$5,$B$1)</f>
        <v>355</v>
      </c>
      <c r="S60" s="55">
        <f>_xll.EQNXTDZ($A$1,$B60,S$5,$B$1)</f>
        <v>0</v>
      </c>
      <c r="T60" s="55">
        <f>_xll.EQNXTDZ($A$1,$B60,T$5,$B$1)</f>
        <v>356</v>
      </c>
      <c r="U60" s="55">
        <f>_xll.EQNXTDZ($A$1,$B60,U$5,$B$1)</f>
        <v>0</v>
      </c>
      <c r="V60" s="55">
        <f>_xll.EQNXTDZ($A$1,$B60,V$5,$B$1)</f>
        <v>366</v>
      </c>
      <c r="W60" s="55">
        <f>_xll.EQNXTDZ($A$1,$B60,W$5,$B$1)</f>
        <v>344</v>
      </c>
      <c r="X60" s="55">
        <f>_xll.EQNXTDZ($A$1,$B60,X$5,$B$1)</f>
        <v>358</v>
      </c>
      <c r="Y60" s="55">
        <f>_xll.EQNXTDZ($A$1,$B60,Y$5,$B$1)</f>
        <v>0</v>
      </c>
      <c r="Z60" s="55">
        <f>_xll.EQNXTDZ($A$1,$B60,Z$5,$B$1)</f>
        <v>402</v>
      </c>
      <c r="AA60" s="55">
        <f>_xll.EQNXTDZ($A$1,$B60,AA$5,$B$1)</f>
        <v>0</v>
      </c>
      <c r="AB60" s="55">
        <f>_xll.EQNXTDZ($A$1,$B60,AB$5,$B$1)</f>
        <v>421</v>
      </c>
      <c r="AC60" s="55">
        <f>_xll.EQNXTDZ($A$1,$B60,AC$5,$B$1)</f>
        <v>0</v>
      </c>
      <c r="AD60" s="55">
        <f>_xll.EQNXTDZ($A$1,$B60,AD$5,$B$1)</f>
        <v>453</v>
      </c>
      <c r="AE60" s="55">
        <f>_xll.EQNXTDZ($A$1,$B60,AE$5,$B$1)</f>
        <v>0</v>
      </c>
      <c r="AF60" s="55">
        <f>_xll.EQNXTDZ($A$1,$B60,AF$5,$B$1)</f>
        <v>527</v>
      </c>
      <c r="AG60" s="55">
        <f>_xll.EQNXTDZ($A$1,$B60,AG$5,$B$1)</f>
        <v>0</v>
      </c>
      <c r="AH60" s="55">
        <f>_xll.EQNXTDZ($A$1,$B60,AH$5,$B$1)</f>
        <v>623</v>
      </c>
      <c r="AI60" s="55">
        <f>_xll.EQNXTDZ($A$1,$B60,AI$5,$B$1)</f>
        <v>0</v>
      </c>
      <c r="AJ60" s="55">
        <f>_xll.EQNXTDZ($A$1,$B60,AJ$5,$B$1)</f>
        <v>638</v>
      </c>
      <c r="AK60" s="55">
        <f>_xll.EQNXTDZ($A$1,$B60,AK$5,$B$1)</f>
        <v>0</v>
      </c>
      <c r="AL60" s="55">
        <f>_xll.EQNXTDZ($A$1,$B60,AL$5,$B$1)</f>
        <v>675</v>
      </c>
      <c r="AM60" s="55">
        <f>_xll.EQNXTDZ($A$1,$B60,AM$5,$B$1)</f>
        <v>0</v>
      </c>
      <c r="AN60" s="55">
        <f>_xll.EQNXTDZ($A$1,$B60,AN$5,$B$1)</f>
        <v>669</v>
      </c>
      <c r="AO60" s="55">
        <f>_xll.EQNXTDZ($A$1,$B60,AO$5,$B$1)</f>
        <v>0</v>
      </c>
      <c r="AP60" s="55">
        <f>_xll.EQNXTDZ($A$1,$B60,AP$5,$B$1)</f>
        <v>707</v>
      </c>
      <c r="AQ60" s="55">
        <f>_xll.EQNXTDZ($A$1,$B60,AQ$5,$B$1)</f>
        <v>0</v>
      </c>
      <c r="AR60" s="55">
        <f>_xll.EQNXTDZ($A$1,$B60,AR$5,$B$1)</f>
        <v>658</v>
      </c>
      <c r="AS60" s="55">
        <f>_xll.EQNXTDZ($A$1,$B60,AS$5,$B$1)</f>
        <v>0</v>
      </c>
      <c r="AT60" s="55">
        <f>_xll.EQNXTDZ($A$1,$B60,AT$5,$B$1)</f>
        <v>782</v>
      </c>
      <c r="AU60" s="55">
        <f>_xll.EQNXTDZ($A$1,$B60,AU$5,$B$1)</f>
        <v>0</v>
      </c>
      <c r="AV60" s="55">
        <f>_xll.EQNXTDZ($A$1,$B60,AV$5,$B$1)</f>
        <v>731</v>
      </c>
      <c r="AW60" s="55">
        <f>_xll.EQNXTDZ($A$1,$B60,AW$5,$B$1)</f>
        <v>0</v>
      </c>
      <c r="AX60" s="55">
        <f>_xll.EQNXTDZ($A$1,$B60,AX$5,$B$1)</f>
        <v>830</v>
      </c>
      <c r="AY60" s="55">
        <f>_xll.EQNXTDZ($A$1,$B60,AY$5,$B$1)</f>
        <v>0</v>
      </c>
      <c r="AZ60" s="55">
        <f>_xll.EQNXTDZ($A$1,$B60,AZ$5,$B$1)</f>
        <v>888</v>
      </c>
      <c r="BA60" s="55">
        <f>_xll.EQNXTDZ($A$1,$B60,BA$5,$B$1)</f>
        <v>0</v>
      </c>
      <c r="BB60" s="55">
        <f>_xll.EQNXTDZ($A$1,$B60,BB$5,$B$1)</f>
        <v>1015</v>
      </c>
      <c r="BC60" s="55">
        <f>_xll.EQNXTDZ($A$1,$B60,BC$5,$B$1)</f>
        <v>0</v>
      </c>
      <c r="BD60" s="55">
        <f>_xll.EQNXTDZ($A$1,$B60,BD$5,$B$1)</f>
        <v>1046</v>
      </c>
      <c r="BE60" s="55">
        <f>_xll.EQNXTDZ($A$1,$B60,BE$5,$B$1)</f>
        <v>0</v>
      </c>
      <c r="BF60" s="55">
        <f>_xll.EQNXTDZ($A$1,$B60,BF$5,$B$1)</f>
        <v>1238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118.36</v>
      </c>
      <c r="E61" s="55">
        <f>_xll.EQNXTDZ($A$1,$B61,E$5,$B$1)</f>
        <v>0</v>
      </c>
      <c r="F61" s="55">
        <f>_xll.EQNXTDZ($A$1,$B61,F$5,$B$1)</f>
        <v>130.97999999999999</v>
      </c>
      <c r="G61" s="55">
        <f>_xll.EQNXTDZ($A$1,$B61,G$5,$B$1)</f>
        <v>0</v>
      </c>
      <c r="H61" s="55">
        <f>_xll.EQNXTDZ($A$1,$B61,H$5,$B$1)</f>
        <v>129.04</v>
      </c>
      <c r="I61" s="55">
        <f>_xll.EQNXTDZ($A$1,$B61,I$5,$B$1)</f>
        <v>0</v>
      </c>
      <c r="J61" s="55">
        <f>_xll.EQNXTDZ($A$1,$B61,J$5,$B$1)</f>
        <v>127.26</v>
      </c>
      <c r="K61" s="55">
        <f>_xll.EQNXTDZ($A$1,$B61,K$5,$B$1)</f>
        <v>0</v>
      </c>
      <c r="L61" s="55">
        <f>_xll.EQNXTDZ($A$1,$B61,L$5,$B$1)</f>
        <v>140.97</v>
      </c>
      <c r="M61" s="55">
        <f>_xll.EQNXTDZ($A$1,$B61,M$5,$B$1)</f>
        <v>0</v>
      </c>
      <c r="N61" s="55">
        <f>_xll.EQNXTDZ($A$1,$B61,N$5,$B$1)</f>
        <v>114.27</v>
      </c>
      <c r="O61" s="55">
        <f>_xll.EQNXTDZ($A$1,$B61,O$5,$B$1)</f>
        <v>0</v>
      </c>
      <c r="P61" s="55">
        <f>_xll.EQNXTDZ($A$1,$B61,P$5,$B$1)</f>
        <v>91.96</v>
      </c>
      <c r="Q61" s="55">
        <f>_xll.EQNXTDZ($A$1,$B61,Q$5,$B$1)</f>
        <v>0</v>
      </c>
      <c r="R61" s="55">
        <f>_xll.EQNXTDZ($A$1,$B61,R$5,$B$1)</f>
        <v>83</v>
      </c>
      <c r="S61" s="55">
        <f>_xll.EQNXTDZ($A$1,$B61,S$5,$B$1)</f>
        <v>0</v>
      </c>
      <c r="T61" s="55">
        <f>_xll.EQNXTDZ($A$1,$B61,T$5,$B$1)</f>
        <v>60</v>
      </c>
      <c r="U61" s="55">
        <f>_xll.EQNXTDZ($A$1,$B61,U$5,$B$1)</f>
        <v>0</v>
      </c>
      <c r="V61" s="55">
        <f>_xll.EQNXTDZ($A$1,$B61,V$5,$B$1)</f>
        <v>71</v>
      </c>
      <c r="W61" s="55">
        <f>_xll.EQNXTDZ($A$1,$B61,W$5,$B$1)</f>
        <v>62</v>
      </c>
      <c r="X61" s="55">
        <f>_xll.EQNXTDZ($A$1,$B61,X$5,$B$1)</f>
        <v>59</v>
      </c>
      <c r="Y61" s="55">
        <f>_xll.EQNXTDZ($A$1,$B61,Y$5,$B$1)</f>
        <v>0</v>
      </c>
      <c r="Z61" s="55">
        <f>_xll.EQNXTDZ($A$1,$B61,Z$5,$B$1)</f>
        <v>54</v>
      </c>
      <c r="AA61" s="55">
        <f>_xll.EQNXTDZ($A$1,$B61,AA$5,$B$1)</f>
        <v>0</v>
      </c>
      <c r="AB61" s="55">
        <f>_xll.EQNXTDZ($A$1,$B61,AB$5,$B$1)</f>
        <v>46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118.36</v>
      </c>
      <c r="E63" s="55">
        <f>_xll.EQNXTDZ($A$1,$B63,E$5,$B$1)</f>
        <v>0</v>
      </c>
      <c r="F63" s="55">
        <f>_xll.EQNXTDZ($A$1,$B63,F$5,$B$1)</f>
        <v>130.97999999999999</v>
      </c>
      <c r="G63" s="55">
        <f>_xll.EQNXTDZ($A$1,$B63,G$5,$B$1)</f>
        <v>0</v>
      </c>
      <c r="H63" s="55">
        <f>_xll.EQNXTDZ($A$1,$B63,H$5,$B$1)</f>
        <v>129.04</v>
      </c>
      <c r="I63" s="55">
        <f>_xll.EQNXTDZ($A$1,$B63,I$5,$B$1)</f>
        <v>0</v>
      </c>
      <c r="J63" s="55">
        <f>_xll.EQNXTDZ($A$1,$B63,J$5,$B$1)</f>
        <v>127.26</v>
      </c>
      <c r="K63" s="55">
        <f>_xll.EQNXTDZ($A$1,$B63,K$5,$B$1)</f>
        <v>0</v>
      </c>
      <c r="L63" s="55">
        <f>_xll.EQNXTDZ($A$1,$B63,L$5,$B$1)</f>
        <v>140.97</v>
      </c>
      <c r="M63" s="55">
        <f>_xll.EQNXTDZ($A$1,$B63,M$5,$B$1)</f>
        <v>0</v>
      </c>
      <c r="N63" s="55">
        <f>_xll.EQNXTDZ($A$1,$B63,N$5,$B$1)</f>
        <v>114.27</v>
      </c>
      <c r="O63" s="55">
        <f>_xll.EQNXTDZ($A$1,$B63,O$5,$B$1)</f>
        <v>0</v>
      </c>
      <c r="P63" s="55">
        <f>_xll.EQNXTDZ($A$1,$B63,P$5,$B$1)</f>
        <v>91.96</v>
      </c>
      <c r="Q63" s="55">
        <f>_xll.EQNXTDZ($A$1,$B63,Q$5,$B$1)</f>
        <v>0</v>
      </c>
      <c r="R63" s="55">
        <f>_xll.EQNXTDZ($A$1,$B63,R$5,$B$1)</f>
        <v>83</v>
      </c>
      <c r="S63" s="55">
        <f>_xll.EQNXTDZ($A$1,$B63,S$5,$B$1)</f>
        <v>0</v>
      </c>
      <c r="T63" s="55">
        <f>_xll.EQNXTDZ($A$1,$B63,T$5,$B$1)</f>
        <v>60</v>
      </c>
      <c r="U63" s="55">
        <f>_xll.EQNXTDZ($A$1,$B63,U$5,$B$1)</f>
        <v>0</v>
      </c>
      <c r="V63" s="55">
        <f>_xll.EQNXTDZ($A$1,$B63,V$5,$B$1)</f>
        <v>71</v>
      </c>
      <c r="W63" s="55">
        <f>_xll.EQNXTDZ($A$1,$B63,W$5,$B$1)</f>
        <v>62</v>
      </c>
      <c r="X63" s="55">
        <f>_xll.EQNXTDZ($A$1,$B63,X$5,$B$1)</f>
        <v>59</v>
      </c>
      <c r="Y63" s="55">
        <f>_xll.EQNXTDZ($A$1,$B63,Y$5,$B$1)</f>
        <v>0</v>
      </c>
      <c r="Z63" s="55">
        <f>_xll.EQNXTDZ($A$1,$B63,Z$5,$B$1)</f>
        <v>54</v>
      </c>
      <c r="AA63" s="55">
        <f>_xll.EQNXTDZ($A$1,$B63,AA$5,$B$1)</f>
        <v>0</v>
      </c>
      <c r="AB63" s="55">
        <f>_xll.EQNXTDZ($A$1,$B63,AB$5,$B$1)</f>
        <v>46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339.87</v>
      </c>
      <c r="E64" s="55">
        <f>_xll.EQNXTDZ($A$1,$B64,E$5,$B$1)</f>
        <v>0</v>
      </c>
      <c r="F64" s="55">
        <f>_xll.EQNXTDZ($A$1,$B64,F$5,$B$1)</f>
        <v>446.74</v>
      </c>
      <c r="G64" s="55">
        <f>_xll.EQNXTDZ($A$1,$B64,G$5,$B$1)</f>
        <v>0</v>
      </c>
      <c r="H64" s="55">
        <f>_xll.EQNXTDZ($A$1,$B64,H$5,$B$1)</f>
        <v>697.97</v>
      </c>
      <c r="I64" s="55">
        <f>_xll.EQNXTDZ($A$1,$B64,I$5,$B$1)</f>
        <v>0</v>
      </c>
      <c r="J64" s="55">
        <f>_xll.EQNXTDZ($A$1,$B64,J$5,$B$1)</f>
        <v>743.07</v>
      </c>
      <c r="K64" s="55">
        <f>_xll.EQNXTDZ($A$1,$B64,K$5,$B$1)</f>
        <v>0</v>
      </c>
      <c r="L64" s="55">
        <f>_xll.EQNXTDZ($A$1,$B64,L$5,$B$1)</f>
        <v>786.5</v>
      </c>
      <c r="M64" s="55">
        <f>_xll.EQNXTDZ($A$1,$B64,M$5,$B$1)</f>
        <v>0</v>
      </c>
      <c r="N64" s="55">
        <f>_xll.EQNXTDZ($A$1,$B64,N$5,$B$1)</f>
        <v>825.02</v>
      </c>
      <c r="O64" s="55">
        <f>_xll.EQNXTDZ($A$1,$B64,O$5,$B$1)</f>
        <v>0</v>
      </c>
      <c r="P64" s="55">
        <f>_xll.EQNXTDZ($A$1,$B64,P$5,$B$1)</f>
        <v>816.91</v>
      </c>
      <c r="Q64" s="55">
        <f>_xll.EQNXTDZ($A$1,$B64,Q$5,$B$1)</f>
        <v>0</v>
      </c>
      <c r="R64" s="55">
        <f>_xll.EQNXTDZ($A$1,$B64,R$5,$B$1)</f>
        <v>1172</v>
      </c>
      <c r="S64" s="55">
        <f>_xll.EQNXTDZ($A$1,$B64,S$5,$B$1)</f>
        <v>0</v>
      </c>
      <c r="T64" s="55">
        <f>_xll.EQNXTDZ($A$1,$B64,T$5,$B$1)</f>
        <v>1167</v>
      </c>
      <c r="U64" s="55">
        <f>_xll.EQNXTDZ($A$1,$B64,U$5,$B$1)</f>
        <v>0</v>
      </c>
      <c r="V64" s="55">
        <f>_xll.EQNXTDZ($A$1,$B64,V$5,$B$1)</f>
        <v>1131</v>
      </c>
      <c r="W64" s="55">
        <f>_xll.EQNXTDZ($A$1,$B64,W$5,$B$1)</f>
        <v>1122</v>
      </c>
      <c r="X64" s="55">
        <f>_xll.EQNXTDZ($A$1,$B64,X$5,$B$1)</f>
        <v>1136</v>
      </c>
      <c r="Y64" s="55">
        <f>_xll.EQNXTDZ($A$1,$B64,Y$5,$B$1)</f>
        <v>0</v>
      </c>
      <c r="Z64" s="55">
        <f>_xll.EQNXTDZ($A$1,$B64,Z$5,$B$1)</f>
        <v>1688</v>
      </c>
      <c r="AA64" s="55">
        <f>_xll.EQNXTDZ($A$1,$B64,AA$5,$B$1)</f>
        <v>0</v>
      </c>
      <c r="AB64" s="55">
        <f>_xll.EQNXTDZ($A$1,$B64,AB$5,$B$1)</f>
        <v>1497</v>
      </c>
      <c r="AC64" s="55">
        <f>_xll.EQNXTDZ($A$1,$B64,AC$5,$B$1)</f>
        <v>0</v>
      </c>
      <c r="AD64" s="55">
        <f>_xll.EQNXTDZ($A$1,$B64,AD$5,$B$1)</f>
        <v>1918</v>
      </c>
      <c r="AE64" s="55">
        <f>_xll.EQNXTDZ($A$1,$B64,AE$5,$B$1)</f>
        <v>0</v>
      </c>
      <c r="AF64" s="55">
        <f>_xll.EQNXTDZ($A$1,$B64,AF$5,$B$1)</f>
        <v>7028</v>
      </c>
      <c r="AG64" s="55">
        <f>_xll.EQNXTDZ($A$1,$B64,AG$5,$B$1)</f>
        <v>0</v>
      </c>
      <c r="AH64" s="55">
        <f>_xll.EQNXTDZ($A$1,$B64,AH$5,$B$1)</f>
        <v>8311</v>
      </c>
      <c r="AI64" s="55">
        <f>_xll.EQNXTDZ($A$1,$B64,AI$5,$B$1)</f>
        <v>0</v>
      </c>
      <c r="AJ64" s="55">
        <f>_xll.EQNXTDZ($A$1,$B64,AJ$5,$B$1)</f>
        <v>8055</v>
      </c>
      <c r="AK64" s="55">
        <f>_xll.EQNXTDZ($A$1,$B64,AK$5,$B$1)</f>
        <v>0</v>
      </c>
      <c r="AL64" s="55">
        <f>_xll.EQNXTDZ($A$1,$B64,AL$5,$B$1)</f>
        <v>8729</v>
      </c>
      <c r="AM64" s="55">
        <f>_xll.EQNXTDZ($A$1,$B64,AM$5,$B$1)</f>
        <v>0</v>
      </c>
      <c r="AN64" s="55">
        <f>_xll.EQNXTDZ($A$1,$B64,AN$5,$B$1)</f>
        <v>8807</v>
      </c>
      <c r="AO64" s="55">
        <f>_xll.EQNXTDZ($A$1,$B64,AO$5,$B$1)</f>
        <v>0</v>
      </c>
      <c r="AP64" s="55">
        <f>_xll.EQNXTDZ($A$1,$B64,AP$5,$B$1)</f>
        <v>8727</v>
      </c>
      <c r="AQ64" s="55">
        <f>_xll.EQNXTDZ($A$1,$B64,AQ$5,$B$1)</f>
        <v>0</v>
      </c>
      <c r="AR64" s="55">
        <f>_xll.EQNXTDZ($A$1,$B64,AR$5,$B$1)</f>
        <v>8370</v>
      </c>
      <c r="AS64" s="55">
        <f>_xll.EQNXTDZ($A$1,$B64,AS$5,$B$1)</f>
        <v>0</v>
      </c>
      <c r="AT64" s="55">
        <f>_xll.EQNXTDZ($A$1,$B64,AT$5,$B$1)</f>
        <v>8095</v>
      </c>
      <c r="AU64" s="55">
        <f>_xll.EQNXTDZ($A$1,$B64,AU$5,$B$1)</f>
        <v>0</v>
      </c>
      <c r="AV64" s="55">
        <f>_xll.EQNXTDZ($A$1,$B64,AV$5,$B$1)</f>
        <v>7685</v>
      </c>
      <c r="AW64" s="55">
        <f>_xll.EQNXTDZ($A$1,$B64,AW$5,$B$1)</f>
        <v>0</v>
      </c>
      <c r="AX64" s="55">
        <f>_xll.EQNXTDZ($A$1,$B64,AX$5,$B$1)</f>
        <v>8049</v>
      </c>
      <c r="AY64" s="55">
        <f>_xll.EQNXTDZ($A$1,$B64,AY$5,$B$1)</f>
        <v>0</v>
      </c>
      <c r="AZ64" s="55">
        <f>_xll.EQNXTDZ($A$1,$B64,AZ$5,$B$1)</f>
        <v>9321</v>
      </c>
      <c r="BA64" s="55">
        <f>_xll.EQNXTDZ($A$1,$B64,BA$5,$B$1)</f>
        <v>0</v>
      </c>
      <c r="BB64" s="55">
        <f>_xll.EQNXTDZ($A$1,$B64,BB$5,$B$1)</f>
        <v>9877</v>
      </c>
      <c r="BC64" s="55">
        <f>_xll.EQNXTDZ($A$1,$B64,BC$5,$B$1)</f>
        <v>0</v>
      </c>
      <c r="BD64" s="55">
        <f>_xll.EQNXTDZ($A$1,$B64,BD$5,$B$1)</f>
        <v>11393</v>
      </c>
      <c r="BE64" s="55">
        <f>_xll.EQNXTDZ($A$1,$B64,BE$5,$B$1)</f>
        <v>0</v>
      </c>
      <c r="BF64" s="55">
        <f>_xll.EQNXTDZ($A$1,$B64,BF$5,$B$1)</f>
        <v>11775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270.79000000000002</v>
      </c>
      <c r="E66" s="55">
        <f>_xll.EQNXTDZ($A$1,$B66,E$5,$B$1)</f>
        <v>0</v>
      </c>
      <c r="F66" s="55">
        <f>_xll.EQNXTDZ($A$1,$B66,F$5,$B$1)</f>
        <v>348.92</v>
      </c>
      <c r="G66" s="55">
        <f>_xll.EQNXTDZ($A$1,$B66,G$5,$B$1)</f>
        <v>0</v>
      </c>
      <c r="H66" s="55">
        <f>_xll.EQNXTDZ($A$1,$B66,H$5,$B$1)</f>
        <v>270.97000000000003</v>
      </c>
      <c r="I66" s="55">
        <f>_xll.EQNXTDZ($A$1,$B66,I$5,$B$1)</f>
        <v>0</v>
      </c>
      <c r="J66" s="55">
        <f>_xll.EQNXTDZ($A$1,$B66,J$5,$B$1)</f>
        <v>385.59</v>
      </c>
      <c r="K66" s="55">
        <f>_xll.EQNXTDZ($A$1,$B66,K$5,$B$1)</f>
        <v>0</v>
      </c>
      <c r="L66" s="55">
        <f>_xll.EQNXTDZ($A$1,$B66,L$5,$B$1)</f>
        <v>457.21</v>
      </c>
      <c r="M66" s="55">
        <f>_xll.EQNXTDZ($A$1,$B66,M$5,$B$1)</f>
        <v>0</v>
      </c>
      <c r="N66" s="55">
        <f>_xll.EQNXTDZ($A$1,$B66,N$5,$B$1)</f>
        <v>297.87</v>
      </c>
      <c r="O66" s="55">
        <f>_xll.EQNXTDZ($A$1,$B66,O$5,$B$1)</f>
        <v>0</v>
      </c>
      <c r="P66" s="55">
        <f>_xll.EQNXTDZ($A$1,$B66,P$5,$B$1)</f>
        <v>308.11</v>
      </c>
      <c r="Q66" s="55">
        <f>_xll.EQNXTDZ($A$1,$B66,Q$5,$B$1)</f>
        <v>0</v>
      </c>
      <c r="R66" s="55">
        <f>_xll.EQNXTDZ($A$1,$B66,R$5,$B$1)</f>
        <v>40</v>
      </c>
      <c r="S66" s="55">
        <f>_xll.EQNXTDZ($A$1,$B66,S$5,$B$1)</f>
        <v>0</v>
      </c>
      <c r="T66" s="55">
        <f>_xll.EQNXTDZ($A$1,$B66,T$5,$B$1)</f>
        <v>19</v>
      </c>
      <c r="U66" s="55">
        <f>_xll.EQNXTDZ($A$1,$B66,U$5,$B$1)</f>
        <v>0</v>
      </c>
      <c r="V66" s="55">
        <f>_xll.EQNXTDZ($A$1,$B66,V$5,$B$1)</f>
        <v>39</v>
      </c>
      <c r="W66" s="55">
        <f>_xll.EQNXTDZ($A$1,$B66,W$5,$B$1)</f>
        <v>46</v>
      </c>
      <c r="X66" s="55">
        <f>_xll.EQNXTDZ($A$1,$B66,X$5,$B$1)</f>
        <v>39</v>
      </c>
      <c r="Y66" s="55">
        <f>_xll.EQNXTDZ($A$1,$B66,Y$5,$B$1)</f>
        <v>0</v>
      </c>
      <c r="Z66" s="55">
        <f>_xll.EQNXTDZ($A$1,$B66,Z$5,$B$1)</f>
        <v>26</v>
      </c>
      <c r="AA66" s="55">
        <f>_xll.EQNXTDZ($A$1,$B66,AA$5,$B$1)</f>
        <v>0</v>
      </c>
      <c r="AB66" s="55">
        <f>_xll.EQNXTDZ($A$1,$B66,AB$5,$B$1)</f>
        <v>30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0</v>
      </c>
      <c r="AU66" s="55">
        <f>_xll.EQNXTDZ($A$1,$B66,AU$5,$B$1)</f>
        <v>0</v>
      </c>
      <c r="AV66" s="55">
        <f>_xll.EQNXTDZ($A$1,$B66,AV$5,$B$1)</f>
        <v>0</v>
      </c>
      <c r="AW66" s="55">
        <f>_xll.EQNXTDZ($A$1,$B66,AW$5,$B$1)</f>
        <v>0</v>
      </c>
      <c r="AX66" s="55">
        <f>_xll.EQNXTDZ($A$1,$B66,AX$5,$B$1)</f>
        <v>0</v>
      </c>
      <c r="AY66" s="55">
        <f>_xll.EQNXTDZ($A$1,$B66,AY$5,$B$1)</f>
        <v>0</v>
      </c>
      <c r="AZ66" s="55">
        <f>_xll.EQNXTDZ($A$1,$B66,AZ$5,$B$1)</f>
        <v>0</v>
      </c>
      <c r="BA66" s="55">
        <f>_xll.EQNXTDZ($A$1,$B66,BA$5,$B$1)</f>
        <v>0</v>
      </c>
      <c r="BB66" s="55">
        <f>_xll.EQNXTDZ($A$1,$B66,BB$5,$B$1)</f>
        <v>0</v>
      </c>
      <c r="BC66" s="55">
        <f>_xll.EQNXTDZ($A$1,$B66,BC$5,$B$1)</f>
        <v>0</v>
      </c>
      <c r="BD66" s="55">
        <f>_xll.EQNXTDZ($A$1,$B66,BD$5,$B$1)</f>
        <v>0</v>
      </c>
      <c r="BE66" s="55">
        <f>_xll.EQNXTDZ($A$1,$B66,BE$5,$B$1)</f>
        <v>0</v>
      </c>
      <c r="BF66" s="55">
        <f>_xll.EQNXTDZ($A$1,$B66,BF$5,$B$1)</f>
        <v>0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36521.72</v>
      </c>
      <c r="E67" s="55">
        <f>_xll.EQNXTDZ($A$1,$B67,E$5,$B$1)</f>
        <v>0</v>
      </c>
      <c r="F67" s="55">
        <f>_xll.EQNXTDZ($A$1,$B67,F$5,$B$1)</f>
        <v>40267.68</v>
      </c>
      <c r="G67" s="55">
        <f>_xll.EQNXTDZ($A$1,$B67,G$5,$B$1)</f>
        <v>0</v>
      </c>
      <c r="H67" s="55">
        <f>_xll.EQNXTDZ($A$1,$B67,H$5,$B$1)</f>
        <v>45818.31</v>
      </c>
      <c r="I67" s="55">
        <f>_xll.EQNXTDZ($A$1,$B67,I$5,$B$1)</f>
        <v>0</v>
      </c>
      <c r="J67" s="55">
        <f>_xll.EQNXTDZ($A$1,$B67,J$5,$B$1)</f>
        <v>51158.67</v>
      </c>
      <c r="K67" s="55">
        <f>_xll.EQNXTDZ($A$1,$B67,K$5,$B$1)</f>
        <v>0</v>
      </c>
      <c r="L67" s="55">
        <f>_xll.EQNXTDZ($A$1,$B67,L$5,$B$1)</f>
        <v>50925.71</v>
      </c>
      <c r="M67" s="55">
        <f>_xll.EQNXTDZ($A$1,$B67,M$5,$B$1)</f>
        <v>0</v>
      </c>
      <c r="N67" s="55">
        <f>_xll.EQNXTDZ($A$1,$B67,N$5,$B$1)</f>
        <v>52999.68</v>
      </c>
      <c r="O67" s="55">
        <f>_xll.EQNXTDZ($A$1,$B67,O$5,$B$1)</f>
        <v>0</v>
      </c>
      <c r="P67" s="55">
        <f>_xll.EQNXTDZ($A$1,$B67,P$5,$B$1)</f>
        <v>61979.66</v>
      </c>
      <c r="Q67" s="55">
        <f>_xll.EQNXTDZ($A$1,$B67,Q$5,$B$1)</f>
        <v>0</v>
      </c>
      <c r="R67" s="55">
        <f>_xll.EQNXTDZ($A$1,$B67,R$5,$B$1)</f>
        <v>72722</v>
      </c>
      <c r="S67" s="55">
        <f>_xll.EQNXTDZ($A$1,$B67,S$5,$B$1)</f>
        <v>0</v>
      </c>
      <c r="T67" s="55">
        <f>_xll.EQNXTDZ($A$1,$B67,T$5,$B$1)</f>
        <v>77989</v>
      </c>
      <c r="U67" s="55">
        <f>_xll.EQNXTDZ($A$1,$B67,U$5,$B$1)</f>
        <v>0</v>
      </c>
      <c r="V67" s="55">
        <f>_xll.EQNXTDZ($A$1,$B67,V$5,$B$1)</f>
        <v>87821</v>
      </c>
      <c r="W67" s="55">
        <f>_xll.EQNXTDZ($A$1,$B67,W$5,$B$1)</f>
        <v>71798</v>
      </c>
      <c r="X67" s="55">
        <f>_xll.EQNXTDZ($A$1,$B67,X$5,$B$1)</f>
        <v>76646</v>
      </c>
      <c r="Y67" s="55">
        <f>_xll.EQNXTDZ($A$1,$B67,Y$5,$B$1)</f>
        <v>0</v>
      </c>
      <c r="Z67" s="55">
        <f>_xll.EQNXTDZ($A$1,$B67,Z$5,$B$1)</f>
        <v>87298</v>
      </c>
      <c r="AA67" s="55">
        <f>_xll.EQNXTDZ($A$1,$B67,AA$5,$B$1)</f>
        <v>0</v>
      </c>
      <c r="AB67" s="55">
        <f>_xll.EQNXTDZ($A$1,$B67,AB$5,$B$1)</f>
        <v>78142</v>
      </c>
      <c r="AC67" s="55">
        <f>_xll.EQNXTDZ($A$1,$B67,AC$5,$B$1)</f>
        <v>0</v>
      </c>
      <c r="AD67" s="55">
        <f>_xll.EQNXTDZ($A$1,$B67,AD$5,$B$1)</f>
        <v>91817</v>
      </c>
      <c r="AE67" s="55">
        <f>_xll.EQNXTDZ($A$1,$B67,AE$5,$B$1)</f>
        <v>0</v>
      </c>
      <c r="AF67" s="55">
        <f>_xll.EQNXTDZ($A$1,$B67,AF$5,$B$1)</f>
        <v>102587</v>
      </c>
      <c r="AG67" s="55">
        <f>_xll.EQNXTDZ($A$1,$B67,AG$5,$B$1)</f>
        <v>0</v>
      </c>
      <c r="AH67" s="55">
        <f>_xll.EQNXTDZ($A$1,$B67,AH$5,$B$1)</f>
        <v>93060</v>
      </c>
      <c r="AI67" s="55">
        <f>_xll.EQNXTDZ($A$1,$B67,AI$5,$B$1)</f>
        <v>0</v>
      </c>
      <c r="AJ67" s="55">
        <f>_xll.EQNXTDZ($A$1,$B67,AJ$5,$B$1)</f>
        <v>103830</v>
      </c>
      <c r="AK67" s="55">
        <f>_xll.EQNXTDZ($A$1,$B67,AK$5,$B$1)</f>
        <v>0</v>
      </c>
      <c r="AL67" s="55">
        <f>_xll.EQNXTDZ($A$1,$B67,AL$5,$B$1)</f>
        <v>95837</v>
      </c>
      <c r="AM67" s="55">
        <f>_xll.EQNXTDZ($A$1,$B67,AM$5,$B$1)</f>
        <v>0</v>
      </c>
      <c r="AN67" s="55">
        <f>_xll.EQNXTDZ($A$1,$B67,AN$5,$B$1)</f>
        <v>106433</v>
      </c>
      <c r="AO67" s="55">
        <f>_xll.EQNXTDZ($A$1,$B67,AO$5,$B$1)</f>
        <v>0</v>
      </c>
      <c r="AP67" s="55">
        <f>_xll.EQNXTDZ($A$1,$B67,AP$5,$B$1)</f>
        <v>98573</v>
      </c>
      <c r="AQ67" s="55">
        <f>_xll.EQNXTDZ($A$1,$B67,AQ$5,$B$1)</f>
        <v>0</v>
      </c>
      <c r="AR67" s="55">
        <f>_xll.EQNXTDZ($A$1,$B67,AR$5,$B$1)</f>
        <v>106482</v>
      </c>
      <c r="AS67" s="55">
        <f>_xll.EQNXTDZ($A$1,$B67,AS$5,$B$1)</f>
        <v>0</v>
      </c>
      <c r="AT67" s="55">
        <f>_xll.EQNXTDZ($A$1,$B67,AT$5,$B$1)</f>
        <v>99301</v>
      </c>
      <c r="AU67" s="55">
        <f>_xll.EQNXTDZ($A$1,$B67,AU$5,$B$1)</f>
        <v>0</v>
      </c>
      <c r="AV67" s="55">
        <f>_xll.EQNXTDZ($A$1,$B67,AV$5,$B$1)</f>
        <v>109097</v>
      </c>
      <c r="AW67" s="55">
        <f>_xll.EQNXTDZ($A$1,$B67,AW$5,$B$1)</f>
        <v>0</v>
      </c>
      <c r="AX67" s="55">
        <f>_xll.EQNXTDZ($A$1,$B67,AX$5,$B$1)</f>
        <v>99368</v>
      </c>
      <c r="AY67" s="55">
        <f>_xll.EQNXTDZ($A$1,$B67,AY$5,$B$1)</f>
        <v>0</v>
      </c>
      <c r="AZ67" s="55">
        <f>_xll.EQNXTDZ($A$1,$B67,AZ$5,$B$1)</f>
        <v>111704</v>
      </c>
      <c r="BA67" s="55">
        <f>_xll.EQNXTDZ($A$1,$B67,BA$5,$B$1)</f>
        <v>0</v>
      </c>
      <c r="BB67" s="55">
        <f>_xll.EQNXTDZ($A$1,$B67,BB$5,$B$1)</f>
        <v>105648</v>
      </c>
      <c r="BC67" s="55">
        <f>_xll.EQNXTDZ($A$1,$B67,BC$5,$B$1)</f>
        <v>0</v>
      </c>
      <c r="BD67" s="55">
        <f>_xll.EQNXTDZ($A$1,$B67,BD$5,$B$1)</f>
        <v>118854</v>
      </c>
      <c r="BE67" s="55">
        <f>_xll.EQNXTDZ($A$1,$B67,BE$5,$B$1)</f>
        <v>0</v>
      </c>
      <c r="BF67" s="55">
        <f>_xll.EQNXTDZ($A$1,$B67,BF$5,$B$1)</f>
        <v>120253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7151.24</v>
      </c>
      <c r="E68" s="55">
        <f>_xll.EQNXTDZ($A$1,$B68,E$5,$B$1)</f>
        <v>0</v>
      </c>
      <c r="F68" s="55">
        <f>_xll.EQNXTDZ($A$1,$B68,F$5,$B$1)</f>
        <v>8141.87</v>
      </c>
      <c r="G68" s="55">
        <f>_xll.EQNXTDZ($A$1,$B68,G$5,$B$1)</f>
        <v>0</v>
      </c>
      <c r="H68" s="55">
        <f>_xll.EQNXTDZ($A$1,$B68,H$5,$B$1)</f>
        <v>9221.86</v>
      </c>
      <c r="I68" s="55">
        <f>_xll.EQNXTDZ($A$1,$B68,I$5,$B$1)</f>
        <v>0</v>
      </c>
      <c r="J68" s="55">
        <f>_xll.EQNXTDZ($A$1,$B68,J$5,$B$1)</f>
        <v>10444.030000000001</v>
      </c>
      <c r="K68" s="55">
        <f>_xll.EQNXTDZ($A$1,$B68,K$5,$B$1)</f>
        <v>0</v>
      </c>
      <c r="L68" s="55">
        <f>_xll.EQNXTDZ($A$1,$B68,L$5,$B$1)</f>
        <v>11877.83</v>
      </c>
      <c r="M68" s="55">
        <f>_xll.EQNXTDZ($A$1,$B68,M$5,$B$1)</f>
        <v>0</v>
      </c>
      <c r="N68" s="55">
        <f>_xll.EQNXTDZ($A$1,$B68,N$5,$B$1)</f>
        <v>12311.32</v>
      </c>
      <c r="O68" s="55">
        <f>_xll.EQNXTDZ($A$1,$B68,O$5,$B$1)</f>
        <v>0</v>
      </c>
      <c r="P68" s="55">
        <f>_xll.EQNXTDZ($A$1,$B68,P$5,$B$1)</f>
        <v>12357.95</v>
      </c>
      <c r="Q68" s="55">
        <f>_xll.EQNXTDZ($A$1,$B68,Q$5,$B$1)</f>
        <v>0</v>
      </c>
      <c r="R68" s="55">
        <f>_xll.EQNXTDZ($A$1,$B68,R$5,$B$1)</f>
        <v>10105</v>
      </c>
      <c r="S68" s="55">
        <f>_xll.EQNXTDZ($A$1,$B68,S$5,$B$1)</f>
        <v>0</v>
      </c>
      <c r="T68" s="55">
        <f>_xll.EQNXTDZ($A$1,$B68,T$5,$B$1)</f>
        <v>10304</v>
      </c>
      <c r="U68" s="55">
        <f>_xll.EQNXTDZ($A$1,$B68,U$5,$B$1)</f>
        <v>0</v>
      </c>
      <c r="V68" s="55">
        <f>_xll.EQNXTDZ($A$1,$B68,V$5,$B$1)</f>
        <v>10104</v>
      </c>
      <c r="W68" s="55">
        <f>_xll.EQNXTDZ($A$1,$B68,W$5,$B$1)</f>
        <v>11892</v>
      </c>
      <c r="X68" s="55">
        <f>_xll.EQNXTDZ($A$1,$B68,X$5,$B$1)</f>
        <v>10372</v>
      </c>
      <c r="Y68" s="55">
        <f>_xll.EQNXTDZ($A$1,$B68,Y$5,$B$1)</f>
        <v>0</v>
      </c>
      <c r="Z68" s="55">
        <f>_xll.EQNXTDZ($A$1,$B68,Z$5,$B$1)</f>
        <v>10228</v>
      </c>
      <c r="AA68" s="55">
        <f>_xll.EQNXTDZ($A$1,$B68,AA$5,$B$1)</f>
        <v>0</v>
      </c>
      <c r="AB68" s="55">
        <f>_xll.EQNXTDZ($A$1,$B68,AB$5,$B$1)</f>
        <v>10494</v>
      </c>
      <c r="AC68" s="55">
        <f>_xll.EQNXTDZ($A$1,$B68,AC$5,$B$1)</f>
        <v>0</v>
      </c>
      <c r="AD68" s="55">
        <f>_xll.EQNXTDZ($A$1,$B68,AD$5,$B$1)</f>
        <v>10590</v>
      </c>
      <c r="AE68" s="55">
        <f>_xll.EQNXTDZ($A$1,$B68,AE$5,$B$1)</f>
        <v>0</v>
      </c>
      <c r="AF68" s="55">
        <f>_xll.EQNXTDZ($A$1,$B68,AF$5,$B$1)</f>
        <v>10577</v>
      </c>
      <c r="AG68" s="55">
        <f>_xll.EQNXTDZ($A$1,$B68,AG$5,$B$1)</f>
        <v>0</v>
      </c>
      <c r="AH68" s="55">
        <f>_xll.EQNXTDZ($A$1,$B68,AH$5,$B$1)</f>
        <v>11224</v>
      </c>
      <c r="AI68" s="55">
        <f>_xll.EQNXTDZ($A$1,$B68,AI$5,$B$1)</f>
        <v>0</v>
      </c>
      <c r="AJ68" s="55">
        <f>_xll.EQNXTDZ($A$1,$B68,AJ$5,$B$1)</f>
        <v>11108</v>
      </c>
      <c r="AK68" s="55">
        <f>_xll.EQNXTDZ($A$1,$B68,AK$5,$B$1)</f>
        <v>0</v>
      </c>
      <c r="AL68" s="55">
        <f>_xll.EQNXTDZ($A$1,$B68,AL$5,$B$1)</f>
        <v>11590</v>
      </c>
      <c r="AM68" s="55">
        <f>_xll.EQNXTDZ($A$1,$B68,AM$5,$B$1)</f>
        <v>0</v>
      </c>
      <c r="AN68" s="55">
        <f>_xll.EQNXTDZ($A$1,$B68,AN$5,$B$1)</f>
        <v>11250</v>
      </c>
      <c r="AO68" s="55">
        <f>_xll.EQNXTDZ($A$1,$B68,AO$5,$B$1)</f>
        <v>0</v>
      </c>
      <c r="AP68" s="55">
        <f>_xll.EQNXTDZ($A$1,$B68,AP$5,$B$1)</f>
        <v>11875</v>
      </c>
      <c r="AQ68" s="55">
        <f>_xll.EQNXTDZ($A$1,$B68,AQ$5,$B$1)</f>
        <v>0</v>
      </c>
      <c r="AR68" s="55">
        <f>_xll.EQNXTDZ($A$1,$B68,AR$5,$B$1)</f>
        <v>11295</v>
      </c>
      <c r="AS68" s="55">
        <f>_xll.EQNXTDZ($A$1,$B68,AS$5,$B$1)</f>
        <v>0</v>
      </c>
      <c r="AT68" s="55">
        <f>_xll.EQNXTDZ($A$1,$B68,AT$5,$B$1)</f>
        <v>11097</v>
      </c>
      <c r="AU68" s="55">
        <f>_xll.EQNXTDZ($A$1,$B68,AU$5,$B$1)</f>
        <v>0</v>
      </c>
      <c r="AV68" s="55">
        <f>_xll.EQNXTDZ($A$1,$B68,AV$5,$B$1)</f>
        <v>10115</v>
      </c>
      <c r="AW68" s="55">
        <f>_xll.EQNXTDZ($A$1,$B68,AW$5,$B$1)</f>
        <v>0</v>
      </c>
      <c r="AX68" s="55">
        <f>_xll.EQNXTDZ($A$1,$B68,AX$5,$B$1)</f>
        <v>9886</v>
      </c>
      <c r="AY68" s="55">
        <f>_xll.EQNXTDZ($A$1,$B68,AY$5,$B$1)</f>
        <v>0</v>
      </c>
      <c r="AZ68" s="55">
        <f>_xll.EQNXTDZ($A$1,$B68,AZ$5,$B$1)</f>
        <v>9851</v>
      </c>
      <c r="BA68" s="55">
        <f>_xll.EQNXTDZ($A$1,$B68,BA$5,$B$1)</f>
        <v>0</v>
      </c>
      <c r="BB68" s="55">
        <f>_xll.EQNXTDZ($A$1,$B68,BB$5,$B$1)</f>
        <v>11918</v>
      </c>
      <c r="BC68" s="55">
        <f>_xll.EQNXTDZ($A$1,$B68,BC$5,$B$1)</f>
        <v>0</v>
      </c>
      <c r="BD68" s="55">
        <f>_xll.EQNXTDZ($A$1,$B68,BD$5,$B$1)</f>
        <v>11425</v>
      </c>
      <c r="BE68" s="55">
        <f>_xll.EQNXTDZ($A$1,$B68,BE$5,$B$1)</f>
        <v>0</v>
      </c>
      <c r="BF68" s="55">
        <f>_xll.EQNXTDZ($A$1,$B68,BF$5,$B$1)</f>
        <v>11208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7151.24</v>
      </c>
      <c r="E71" s="55">
        <f>_xll.EQNXTDZ($A$1,$B71,E$5,$B$1)</f>
        <v>0</v>
      </c>
      <c r="F71" s="55">
        <f>_xll.EQNXTDZ($A$1,$B71,F$5,$B$1)</f>
        <v>8141.87</v>
      </c>
      <c r="G71" s="55">
        <f>_xll.EQNXTDZ($A$1,$B71,G$5,$B$1)</f>
        <v>0</v>
      </c>
      <c r="H71" s="55">
        <f>_xll.EQNXTDZ($A$1,$B71,H$5,$B$1)</f>
        <v>9221.86</v>
      </c>
      <c r="I71" s="55">
        <f>_xll.EQNXTDZ($A$1,$B71,I$5,$B$1)</f>
        <v>0</v>
      </c>
      <c r="J71" s="55">
        <f>_xll.EQNXTDZ($A$1,$B71,J$5,$B$1)</f>
        <v>10444.030000000001</v>
      </c>
      <c r="K71" s="55">
        <f>_xll.EQNXTDZ($A$1,$B71,K$5,$B$1)</f>
        <v>0</v>
      </c>
      <c r="L71" s="55">
        <f>_xll.EQNXTDZ($A$1,$B71,L$5,$B$1)</f>
        <v>11877.83</v>
      </c>
      <c r="M71" s="55">
        <f>_xll.EQNXTDZ($A$1,$B71,M$5,$B$1)</f>
        <v>0</v>
      </c>
      <c r="N71" s="55">
        <f>_xll.EQNXTDZ($A$1,$B71,N$5,$B$1)</f>
        <v>12311.32</v>
      </c>
      <c r="O71" s="55">
        <f>_xll.EQNXTDZ($A$1,$B71,O$5,$B$1)</f>
        <v>0</v>
      </c>
      <c r="P71" s="55">
        <f>_xll.EQNXTDZ($A$1,$B71,P$5,$B$1)</f>
        <v>12357.95</v>
      </c>
      <c r="Q71" s="55">
        <f>_xll.EQNXTDZ($A$1,$B71,Q$5,$B$1)</f>
        <v>0</v>
      </c>
      <c r="R71" s="55">
        <f>_xll.EQNXTDZ($A$1,$B71,R$5,$B$1)</f>
        <v>10105</v>
      </c>
      <c r="S71" s="55">
        <f>_xll.EQNXTDZ($A$1,$B71,S$5,$B$1)</f>
        <v>0</v>
      </c>
      <c r="T71" s="55">
        <f>_xll.EQNXTDZ($A$1,$B71,T$5,$B$1)</f>
        <v>10304</v>
      </c>
      <c r="U71" s="55">
        <f>_xll.EQNXTDZ($A$1,$B71,U$5,$B$1)</f>
        <v>0</v>
      </c>
      <c r="V71" s="55">
        <f>_xll.EQNXTDZ($A$1,$B71,V$5,$B$1)</f>
        <v>10104</v>
      </c>
      <c r="W71" s="55">
        <f>_xll.EQNXTDZ($A$1,$B71,W$5,$B$1)</f>
        <v>11892</v>
      </c>
      <c r="X71" s="55">
        <f>_xll.EQNXTDZ($A$1,$B71,X$5,$B$1)</f>
        <v>10372</v>
      </c>
      <c r="Y71" s="55">
        <f>_xll.EQNXTDZ($A$1,$B71,Y$5,$B$1)</f>
        <v>0</v>
      </c>
      <c r="Z71" s="55">
        <f>_xll.EQNXTDZ($A$1,$B71,Z$5,$B$1)</f>
        <v>10228</v>
      </c>
      <c r="AA71" s="55">
        <f>_xll.EQNXTDZ($A$1,$B71,AA$5,$B$1)</f>
        <v>0</v>
      </c>
      <c r="AB71" s="55">
        <f>_xll.EQNXTDZ($A$1,$B71,AB$5,$B$1)</f>
        <v>10494</v>
      </c>
      <c r="AC71" s="55">
        <f>_xll.EQNXTDZ($A$1,$B71,AC$5,$B$1)</f>
        <v>0</v>
      </c>
      <c r="AD71" s="55">
        <f>_xll.EQNXTDZ($A$1,$B71,AD$5,$B$1)</f>
        <v>10590</v>
      </c>
      <c r="AE71" s="55">
        <f>_xll.EQNXTDZ($A$1,$B71,AE$5,$B$1)</f>
        <v>0</v>
      </c>
      <c r="AF71" s="55">
        <f>_xll.EQNXTDZ($A$1,$B71,AF$5,$B$1)</f>
        <v>10577</v>
      </c>
      <c r="AG71" s="55">
        <f>_xll.EQNXTDZ($A$1,$B71,AG$5,$B$1)</f>
        <v>0</v>
      </c>
      <c r="AH71" s="55">
        <f>_xll.EQNXTDZ($A$1,$B71,AH$5,$B$1)</f>
        <v>11224</v>
      </c>
      <c r="AI71" s="55">
        <f>_xll.EQNXTDZ($A$1,$B71,AI$5,$B$1)</f>
        <v>0</v>
      </c>
      <c r="AJ71" s="55">
        <f>_xll.EQNXTDZ($A$1,$B71,AJ$5,$B$1)</f>
        <v>11108</v>
      </c>
      <c r="AK71" s="55">
        <f>_xll.EQNXTDZ($A$1,$B71,AK$5,$B$1)</f>
        <v>0</v>
      </c>
      <c r="AL71" s="55">
        <f>_xll.EQNXTDZ($A$1,$B71,AL$5,$B$1)</f>
        <v>11590</v>
      </c>
      <c r="AM71" s="55">
        <f>_xll.EQNXTDZ($A$1,$B71,AM$5,$B$1)</f>
        <v>0</v>
      </c>
      <c r="AN71" s="55">
        <f>_xll.EQNXTDZ($A$1,$B71,AN$5,$B$1)</f>
        <v>11250</v>
      </c>
      <c r="AO71" s="55">
        <f>_xll.EQNXTDZ($A$1,$B71,AO$5,$B$1)</f>
        <v>0</v>
      </c>
      <c r="AP71" s="55">
        <f>_xll.EQNXTDZ($A$1,$B71,AP$5,$B$1)</f>
        <v>11875</v>
      </c>
      <c r="AQ71" s="55">
        <f>_xll.EQNXTDZ($A$1,$B71,AQ$5,$B$1)</f>
        <v>0</v>
      </c>
      <c r="AR71" s="55">
        <f>_xll.EQNXTDZ($A$1,$B71,AR$5,$B$1)</f>
        <v>11295</v>
      </c>
      <c r="AS71" s="55">
        <f>_xll.EQNXTDZ($A$1,$B71,AS$5,$B$1)</f>
        <v>0</v>
      </c>
      <c r="AT71" s="55">
        <f>_xll.EQNXTDZ($A$1,$B71,AT$5,$B$1)</f>
        <v>11097</v>
      </c>
      <c r="AU71" s="55">
        <f>_xll.EQNXTDZ($A$1,$B71,AU$5,$B$1)</f>
        <v>0</v>
      </c>
      <c r="AV71" s="55">
        <f>_xll.EQNXTDZ($A$1,$B71,AV$5,$B$1)</f>
        <v>10115</v>
      </c>
      <c r="AW71" s="55">
        <f>_xll.EQNXTDZ($A$1,$B71,AW$5,$B$1)</f>
        <v>0</v>
      </c>
      <c r="AX71" s="55">
        <f>_xll.EQNXTDZ($A$1,$B71,AX$5,$B$1)</f>
        <v>9886</v>
      </c>
      <c r="AY71" s="55">
        <f>_xll.EQNXTDZ($A$1,$B71,AY$5,$B$1)</f>
        <v>0</v>
      </c>
      <c r="AZ71" s="55">
        <f>_xll.EQNXTDZ($A$1,$B71,AZ$5,$B$1)</f>
        <v>9851</v>
      </c>
      <c r="BA71" s="55">
        <f>_xll.EQNXTDZ($A$1,$B71,BA$5,$B$1)</f>
        <v>0</v>
      </c>
      <c r="BB71" s="55">
        <f>_xll.EQNXTDZ($A$1,$B71,BB$5,$B$1)</f>
        <v>11918</v>
      </c>
      <c r="BC71" s="55">
        <f>_xll.EQNXTDZ($A$1,$B71,BC$5,$B$1)</f>
        <v>0</v>
      </c>
      <c r="BD71" s="55">
        <f>_xll.EQNXTDZ($A$1,$B71,BD$5,$B$1)</f>
        <v>11425</v>
      </c>
      <c r="BE71" s="55">
        <f>_xll.EQNXTDZ($A$1,$B71,BE$5,$B$1)</f>
        <v>0</v>
      </c>
      <c r="BF71" s="55">
        <f>_xll.EQNXTDZ($A$1,$B71,BF$5,$B$1)</f>
        <v>11208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3709.19</v>
      </c>
      <c r="E72" s="55">
        <f>_xll.EQNXTDZ($A$1,$B72,E$5,$B$1)</f>
        <v>0</v>
      </c>
      <c r="F72" s="55">
        <f>_xll.EQNXTDZ($A$1,$B72,F$5,$B$1)</f>
        <v>3581.5</v>
      </c>
      <c r="G72" s="55">
        <f>_xll.EQNXTDZ($A$1,$B72,G$5,$B$1)</f>
        <v>0</v>
      </c>
      <c r="H72" s="55">
        <f>_xll.EQNXTDZ($A$1,$B72,H$5,$B$1)</f>
        <v>2334.37</v>
      </c>
      <c r="I72" s="55">
        <f>_xll.EQNXTDZ($A$1,$B72,I$5,$B$1)</f>
        <v>0</v>
      </c>
      <c r="J72" s="55">
        <f>_xll.EQNXTDZ($A$1,$B72,J$5,$B$1)</f>
        <v>2268.7800000000002</v>
      </c>
      <c r="K72" s="55">
        <f>_xll.EQNXTDZ($A$1,$B72,K$5,$B$1)</f>
        <v>0</v>
      </c>
      <c r="L72" s="55">
        <f>_xll.EQNXTDZ($A$1,$B72,L$5,$B$1)</f>
        <v>2235.15</v>
      </c>
      <c r="M72" s="55">
        <f>_xll.EQNXTDZ($A$1,$B72,M$5,$B$1)</f>
        <v>0</v>
      </c>
      <c r="N72" s="55">
        <f>_xll.EQNXTDZ($A$1,$B72,N$5,$B$1)</f>
        <v>2093.2199999999998</v>
      </c>
      <c r="O72" s="55">
        <f>_xll.EQNXTDZ($A$1,$B72,O$5,$B$1)</f>
        <v>0</v>
      </c>
      <c r="P72" s="55">
        <f>_xll.EQNXTDZ($A$1,$B72,P$5,$B$1)</f>
        <v>1843.85</v>
      </c>
      <c r="Q72" s="55">
        <f>_xll.EQNXTDZ($A$1,$B72,Q$5,$B$1)</f>
        <v>0</v>
      </c>
      <c r="R72" s="55">
        <f>_xll.EQNXTDZ($A$1,$B72,R$5,$B$1)</f>
        <v>1669</v>
      </c>
      <c r="S72" s="55">
        <f>_xll.EQNXTDZ($A$1,$B72,S$5,$B$1)</f>
        <v>0</v>
      </c>
      <c r="T72" s="55">
        <f>_xll.EQNXTDZ($A$1,$B72,T$5,$B$1)</f>
        <v>1669</v>
      </c>
      <c r="U72" s="55">
        <f>_xll.EQNXTDZ($A$1,$B72,U$5,$B$1)</f>
        <v>0</v>
      </c>
      <c r="V72" s="55">
        <f>_xll.EQNXTDZ($A$1,$B72,V$5,$B$1)</f>
        <v>1597</v>
      </c>
      <c r="W72" s="55">
        <f>_xll.EQNXTDZ($A$1,$B72,W$5,$B$1)</f>
        <v>0</v>
      </c>
      <c r="X72" s="55">
        <f>_xll.EQNXTDZ($A$1,$B72,X$5,$B$1)</f>
        <v>1704</v>
      </c>
      <c r="Y72" s="55">
        <f>_xll.EQNXTDZ($A$1,$B72,Y$5,$B$1)</f>
        <v>0</v>
      </c>
      <c r="Z72" s="55">
        <f>_xll.EQNXTDZ($A$1,$B72,Z$5,$B$1)</f>
        <v>1745</v>
      </c>
      <c r="AA72" s="55">
        <f>_xll.EQNXTDZ($A$1,$B72,AA$5,$B$1)</f>
        <v>0</v>
      </c>
      <c r="AB72" s="55">
        <f>_xll.EQNXTDZ($A$1,$B72,AB$5,$B$1)</f>
        <v>1794</v>
      </c>
      <c r="AC72" s="55">
        <f>_xll.EQNXTDZ($A$1,$B72,AC$5,$B$1)</f>
        <v>0</v>
      </c>
      <c r="AD72" s="55">
        <f>_xll.EQNXTDZ($A$1,$B72,AD$5,$B$1)</f>
        <v>1700</v>
      </c>
      <c r="AE72" s="55">
        <f>_xll.EQNXTDZ($A$1,$B72,AE$5,$B$1)</f>
        <v>0</v>
      </c>
      <c r="AF72" s="55">
        <f>_xll.EQNXTDZ($A$1,$B72,AF$5,$B$1)</f>
        <v>1677</v>
      </c>
      <c r="AG72" s="55">
        <f>_xll.EQNXTDZ($A$1,$B72,AG$5,$B$1)</f>
        <v>0</v>
      </c>
      <c r="AH72" s="55">
        <f>_xll.EQNXTDZ($A$1,$B72,AH$5,$B$1)</f>
        <v>1710</v>
      </c>
      <c r="AI72" s="55">
        <f>_xll.EQNXTDZ($A$1,$B72,AI$5,$B$1)</f>
        <v>0</v>
      </c>
      <c r="AJ72" s="55">
        <f>_xll.EQNXTDZ($A$1,$B72,AJ$5,$B$1)</f>
        <v>1774</v>
      </c>
      <c r="AK72" s="55">
        <f>_xll.EQNXTDZ($A$1,$B72,AK$5,$B$1)</f>
        <v>0</v>
      </c>
      <c r="AL72" s="55">
        <f>_xll.EQNXTDZ($A$1,$B72,AL$5,$B$1)</f>
        <v>1798</v>
      </c>
      <c r="AM72" s="55">
        <f>_xll.EQNXTDZ($A$1,$B72,AM$5,$B$1)</f>
        <v>0</v>
      </c>
      <c r="AN72" s="55">
        <f>_xll.EQNXTDZ($A$1,$B72,AN$5,$B$1)</f>
        <v>1777</v>
      </c>
      <c r="AO72" s="55">
        <f>_xll.EQNXTDZ($A$1,$B72,AO$5,$B$1)</f>
        <v>0</v>
      </c>
      <c r="AP72" s="55">
        <f>_xll.EQNXTDZ($A$1,$B72,AP$5,$B$1)</f>
        <v>1787</v>
      </c>
      <c r="AQ72" s="55">
        <f>_xll.EQNXTDZ($A$1,$B72,AQ$5,$B$1)</f>
        <v>0</v>
      </c>
      <c r="AR72" s="55">
        <f>_xll.EQNXTDZ($A$1,$B72,AR$5,$B$1)</f>
        <v>1698</v>
      </c>
      <c r="AS72" s="55">
        <f>_xll.EQNXTDZ($A$1,$B72,AS$5,$B$1)</f>
        <v>0</v>
      </c>
      <c r="AT72" s="55">
        <f>_xll.EQNXTDZ($A$1,$B72,AT$5,$B$1)</f>
        <v>1858</v>
      </c>
      <c r="AU72" s="55">
        <f>_xll.EQNXTDZ($A$1,$B72,AU$5,$B$1)</f>
        <v>0</v>
      </c>
      <c r="AV72" s="55">
        <f>_xll.EQNXTDZ($A$1,$B72,AV$5,$B$1)</f>
        <v>1818</v>
      </c>
      <c r="AW72" s="55">
        <f>_xll.EQNXTDZ($A$1,$B72,AW$5,$B$1)</f>
        <v>0</v>
      </c>
      <c r="AX72" s="55">
        <f>_xll.EQNXTDZ($A$1,$B72,AX$5,$B$1)</f>
        <v>1832</v>
      </c>
      <c r="AY72" s="55">
        <f>_xll.EQNXTDZ($A$1,$B72,AY$5,$B$1)</f>
        <v>0</v>
      </c>
      <c r="AZ72" s="55">
        <f>_xll.EQNXTDZ($A$1,$B72,AZ$5,$B$1)</f>
        <v>1901</v>
      </c>
      <c r="BA72" s="55">
        <f>_xll.EQNXTDZ($A$1,$B72,BA$5,$B$1)</f>
        <v>0</v>
      </c>
      <c r="BB72" s="55">
        <f>_xll.EQNXTDZ($A$1,$B72,BB$5,$B$1)</f>
        <v>1860</v>
      </c>
      <c r="BC72" s="55">
        <f>_xll.EQNXTDZ($A$1,$B72,BC$5,$B$1)</f>
        <v>0</v>
      </c>
      <c r="BD72" s="55">
        <f>_xll.EQNXTDZ($A$1,$B72,BD$5,$B$1)</f>
        <v>2032</v>
      </c>
      <c r="BE72" s="55">
        <f>_xll.EQNXTDZ($A$1,$B72,BE$5,$B$1)</f>
        <v>0</v>
      </c>
      <c r="BF72" s="55">
        <f>_xll.EQNXTDZ($A$1,$B72,BF$5,$B$1)</f>
        <v>9108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1670</v>
      </c>
      <c r="S74" s="55">
        <f>_xll.EQNXTDZ($A$1,$B74,S$5,$B$1)</f>
        <v>0</v>
      </c>
      <c r="T74" s="55">
        <f>_xll.EQNXTDZ($A$1,$B74,T$5,$B$1)</f>
        <v>1402</v>
      </c>
      <c r="U74" s="55">
        <f>_xll.EQNXTDZ($A$1,$B74,U$5,$B$1)</f>
        <v>0</v>
      </c>
      <c r="V74" s="55">
        <f>_xll.EQNXTDZ($A$1,$B74,V$5,$B$1)</f>
        <v>1541</v>
      </c>
      <c r="W74" s="55">
        <f>_xll.EQNXTDZ($A$1,$B74,W$5,$B$1)</f>
        <v>1651</v>
      </c>
      <c r="X74" s="55">
        <f>_xll.EQNXTDZ($A$1,$B74,X$5,$B$1)</f>
        <v>1334</v>
      </c>
      <c r="Y74" s="55">
        <f>_xll.EQNXTDZ($A$1,$B74,Y$5,$B$1)</f>
        <v>0</v>
      </c>
      <c r="Z74" s="55">
        <f>_xll.EQNXTDZ($A$1,$B74,Z$5,$B$1)</f>
        <v>1278</v>
      </c>
      <c r="AA74" s="55">
        <f>_xll.EQNXTDZ($A$1,$B74,AA$5,$B$1)</f>
        <v>0</v>
      </c>
      <c r="AB74" s="55">
        <f>_xll.EQNXTDZ($A$1,$B74,AB$5,$B$1)</f>
        <v>1033</v>
      </c>
      <c r="AC74" s="55">
        <f>_xll.EQNXTDZ($A$1,$B74,AC$5,$B$1)</f>
        <v>0</v>
      </c>
      <c r="AD74" s="55">
        <f>_xll.EQNXTDZ($A$1,$B74,AD$5,$B$1)</f>
        <v>963</v>
      </c>
      <c r="AE74" s="55">
        <f>_xll.EQNXTDZ($A$1,$B74,AE$5,$B$1)</f>
        <v>0</v>
      </c>
      <c r="AF74" s="55">
        <f>_xll.EQNXTDZ($A$1,$B74,AF$5,$B$1)</f>
        <v>1057</v>
      </c>
      <c r="AG74" s="55">
        <f>_xll.EQNXTDZ($A$1,$B74,AG$5,$B$1)</f>
        <v>0</v>
      </c>
      <c r="AH74" s="55">
        <f>_xll.EQNXTDZ($A$1,$B74,AH$5,$B$1)</f>
        <v>906</v>
      </c>
      <c r="AI74" s="55">
        <f>_xll.EQNXTDZ($A$1,$B74,AI$5,$B$1)</f>
        <v>0</v>
      </c>
      <c r="AJ74" s="55">
        <f>_xll.EQNXTDZ($A$1,$B74,AJ$5,$B$1)</f>
        <v>1035</v>
      </c>
      <c r="AK74" s="55">
        <f>_xll.EQNXTDZ($A$1,$B74,AK$5,$B$1)</f>
        <v>0</v>
      </c>
      <c r="AL74" s="55">
        <f>_xll.EQNXTDZ($A$1,$B74,AL$5,$B$1)</f>
        <v>926</v>
      </c>
      <c r="AM74" s="55">
        <f>_xll.EQNXTDZ($A$1,$B74,AM$5,$B$1)</f>
        <v>0</v>
      </c>
      <c r="AN74" s="55">
        <f>_xll.EQNXTDZ($A$1,$B74,AN$5,$B$1)</f>
        <v>1055</v>
      </c>
      <c r="AO74" s="55">
        <f>_xll.EQNXTDZ($A$1,$B74,AO$5,$B$1)</f>
        <v>0</v>
      </c>
      <c r="AP74" s="55">
        <f>_xll.EQNXTDZ($A$1,$B74,AP$5,$B$1)</f>
        <v>1205</v>
      </c>
      <c r="AQ74" s="55">
        <f>_xll.EQNXTDZ($A$1,$B74,AQ$5,$B$1)</f>
        <v>0</v>
      </c>
      <c r="AR74" s="55">
        <f>_xll.EQNXTDZ($A$1,$B74,AR$5,$B$1)</f>
        <v>1513</v>
      </c>
      <c r="AS74" s="55">
        <f>_xll.EQNXTDZ($A$1,$B74,AS$5,$B$1)</f>
        <v>0</v>
      </c>
      <c r="AT74" s="55">
        <f>_xll.EQNXTDZ($A$1,$B74,AT$5,$B$1)</f>
        <v>1234</v>
      </c>
      <c r="AU74" s="55">
        <f>_xll.EQNXTDZ($A$1,$B74,AU$5,$B$1)</f>
        <v>0</v>
      </c>
      <c r="AV74" s="55">
        <f>_xll.EQNXTDZ($A$1,$B74,AV$5,$B$1)</f>
        <v>1408</v>
      </c>
      <c r="AW74" s="55">
        <f>_xll.EQNXTDZ($A$1,$B74,AW$5,$B$1)</f>
        <v>0</v>
      </c>
      <c r="AX74" s="55">
        <f>_xll.EQNXTDZ($A$1,$B74,AX$5,$B$1)</f>
        <v>1564</v>
      </c>
      <c r="AY74" s="55">
        <f>_xll.EQNXTDZ($A$1,$B74,AY$5,$B$1)</f>
        <v>0</v>
      </c>
      <c r="AZ74" s="55">
        <f>_xll.EQNXTDZ($A$1,$B74,AZ$5,$B$1)</f>
        <v>1500</v>
      </c>
      <c r="BA74" s="55">
        <f>_xll.EQNXTDZ($A$1,$B74,BA$5,$B$1)</f>
        <v>0</v>
      </c>
      <c r="BB74" s="55">
        <f>_xll.EQNXTDZ($A$1,$B74,BB$5,$B$1)</f>
        <v>1546</v>
      </c>
      <c r="BC74" s="55">
        <f>_xll.EQNXTDZ($A$1,$B74,BC$5,$B$1)</f>
        <v>0</v>
      </c>
      <c r="BD74" s="55">
        <f>_xll.EQNXTDZ($A$1,$B74,BD$5,$B$1)</f>
        <v>2221</v>
      </c>
      <c r="BE74" s="55">
        <f>_xll.EQNXTDZ($A$1,$B74,BE$5,$B$1)</f>
        <v>0</v>
      </c>
      <c r="BF74" s="55">
        <f>_xll.EQNXTDZ($A$1,$B74,BF$5,$B$1)</f>
        <v>2665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899.18</v>
      </c>
      <c r="E77" s="55">
        <f>_xll.EQNXTDZ($A$1,$B77,E$5,$B$1)</f>
        <v>0</v>
      </c>
      <c r="F77" s="55">
        <f>_xll.EQNXTDZ($A$1,$B77,F$5,$B$1)</f>
        <v>968.3</v>
      </c>
      <c r="G77" s="55">
        <f>_xll.EQNXTDZ($A$1,$B77,G$5,$B$1)</f>
        <v>0</v>
      </c>
      <c r="H77" s="55">
        <f>_xll.EQNXTDZ($A$1,$B77,H$5,$B$1)</f>
        <v>2885.72</v>
      </c>
      <c r="I77" s="55">
        <f>_xll.EQNXTDZ($A$1,$B77,I$5,$B$1)</f>
        <v>0</v>
      </c>
      <c r="J77" s="55">
        <f>_xll.EQNXTDZ($A$1,$B77,J$5,$B$1)</f>
        <v>2275.27</v>
      </c>
      <c r="K77" s="55">
        <f>_xll.EQNXTDZ($A$1,$B77,K$5,$B$1)</f>
        <v>0</v>
      </c>
      <c r="L77" s="55">
        <f>_xll.EQNXTDZ($A$1,$B77,L$5,$B$1)</f>
        <v>167.34</v>
      </c>
      <c r="M77" s="55">
        <f>_xll.EQNXTDZ($A$1,$B77,M$5,$B$1)</f>
        <v>0</v>
      </c>
      <c r="N77" s="55">
        <f>_xll.EQNXTDZ($A$1,$B77,N$5,$B$1)</f>
        <v>169.18</v>
      </c>
      <c r="O77" s="55">
        <f>_xll.EQNXTDZ($A$1,$B77,O$5,$B$1)</f>
        <v>0</v>
      </c>
      <c r="P77" s="55">
        <f>_xll.EQNXTDZ($A$1,$B77,P$5,$B$1)</f>
        <v>175.5</v>
      </c>
      <c r="Q77" s="55">
        <f>_xll.EQNXTDZ($A$1,$B77,Q$5,$B$1)</f>
        <v>0</v>
      </c>
      <c r="R77" s="55">
        <f>_xll.EQNXTDZ($A$1,$B77,R$5,$B$1)</f>
        <v>343</v>
      </c>
      <c r="S77" s="55">
        <f>_xll.EQNXTDZ($A$1,$B77,S$5,$B$1)</f>
        <v>0</v>
      </c>
      <c r="T77" s="55">
        <f>_xll.EQNXTDZ($A$1,$B77,T$5,$B$1)</f>
        <v>261</v>
      </c>
      <c r="U77" s="55">
        <f>_xll.EQNXTDZ($A$1,$B77,U$5,$B$1)</f>
        <v>0</v>
      </c>
      <c r="V77" s="55">
        <f>_xll.EQNXTDZ($A$1,$B77,V$5,$B$1)</f>
        <v>344</v>
      </c>
      <c r="W77" s="55">
        <f>_xll.EQNXTDZ($A$1,$B77,W$5,$B$1)</f>
        <v>345</v>
      </c>
      <c r="X77" s="55">
        <f>_xll.EQNXTDZ($A$1,$B77,X$5,$B$1)</f>
        <v>268</v>
      </c>
      <c r="Y77" s="55">
        <f>_xll.EQNXTDZ($A$1,$B77,Y$5,$B$1)</f>
        <v>0</v>
      </c>
      <c r="Z77" s="55">
        <f>_xll.EQNXTDZ($A$1,$B77,Z$5,$B$1)</f>
        <v>301</v>
      </c>
      <c r="AA77" s="55">
        <f>_xll.EQNXTDZ($A$1,$B77,AA$5,$B$1)</f>
        <v>0</v>
      </c>
      <c r="AB77" s="55">
        <f>_xll.EQNXTDZ($A$1,$B77,AB$5,$B$1)</f>
        <v>242</v>
      </c>
      <c r="AC77" s="55">
        <f>_xll.EQNXTDZ($A$1,$B77,AC$5,$B$1)</f>
        <v>0</v>
      </c>
      <c r="AD77" s="55">
        <f>_xll.EQNXTDZ($A$1,$B77,AD$5,$B$1)</f>
        <v>239</v>
      </c>
      <c r="AE77" s="55">
        <f>_xll.EQNXTDZ($A$1,$B77,AE$5,$B$1)</f>
        <v>0</v>
      </c>
      <c r="AF77" s="55">
        <f>_xll.EQNXTDZ($A$1,$B77,AF$5,$B$1)</f>
        <v>219</v>
      </c>
      <c r="AG77" s="55">
        <f>_xll.EQNXTDZ($A$1,$B77,AG$5,$B$1)</f>
        <v>0</v>
      </c>
      <c r="AH77" s="55">
        <f>_xll.EQNXTDZ($A$1,$B77,AH$5,$B$1)</f>
        <v>216</v>
      </c>
      <c r="AI77" s="55">
        <f>_xll.EQNXTDZ($A$1,$B77,AI$5,$B$1)</f>
        <v>0</v>
      </c>
      <c r="AJ77" s="55">
        <f>_xll.EQNXTDZ($A$1,$B77,AJ$5,$B$1)</f>
        <v>215</v>
      </c>
      <c r="AK77" s="55">
        <f>_xll.EQNXTDZ($A$1,$B77,AK$5,$B$1)</f>
        <v>0</v>
      </c>
      <c r="AL77" s="55">
        <f>_xll.EQNXTDZ($A$1,$B77,AL$5,$B$1)</f>
        <v>213</v>
      </c>
      <c r="AM77" s="55">
        <f>_xll.EQNXTDZ($A$1,$B77,AM$5,$B$1)</f>
        <v>0</v>
      </c>
      <c r="AN77" s="55">
        <f>_xll.EQNXTDZ($A$1,$B77,AN$5,$B$1)</f>
        <v>237</v>
      </c>
      <c r="AO77" s="55">
        <f>_xll.EQNXTDZ($A$1,$B77,AO$5,$B$1)</f>
        <v>0</v>
      </c>
      <c r="AP77" s="55">
        <f>_xll.EQNXTDZ($A$1,$B77,AP$5,$B$1)</f>
        <v>223</v>
      </c>
      <c r="AQ77" s="55">
        <f>_xll.EQNXTDZ($A$1,$B77,AQ$5,$B$1)</f>
        <v>0</v>
      </c>
      <c r="AR77" s="55">
        <f>_xll.EQNXTDZ($A$1,$B77,AR$5,$B$1)</f>
        <v>257</v>
      </c>
      <c r="AS77" s="55">
        <f>_xll.EQNXTDZ($A$1,$B77,AS$5,$B$1)</f>
        <v>0</v>
      </c>
      <c r="AT77" s="55">
        <f>_xll.EQNXTDZ($A$1,$B77,AT$5,$B$1)</f>
        <v>266</v>
      </c>
      <c r="AU77" s="55">
        <f>_xll.EQNXTDZ($A$1,$B77,AU$5,$B$1)</f>
        <v>0</v>
      </c>
      <c r="AV77" s="55">
        <f>_xll.EQNXTDZ($A$1,$B77,AV$5,$B$1)</f>
        <v>288</v>
      </c>
      <c r="AW77" s="55">
        <f>_xll.EQNXTDZ($A$1,$B77,AW$5,$B$1)</f>
        <v>0</v>
      </c>
      <c r="AX77" s="55">
        <f>_xll.EQNXTDZ($A$1,$B77,AX$5,$B$1)</f>
        <v>281</v>
      </c>
      <c r="AY77" s="55">
        <f>_xll.EQNXTDZ($A$1,$B77,AY$5,$B$1)</f>
        <v>0</v>
      </c>
      <c r="AZ77" s="55">
        <f>_xll.EQNXTDZ($A$1,$B77,AZ$5,$B$1)</f>
        <v>289</v>
      </c>
      <c r="BA77" s="55">
        <f>_xll.EQNXTDZ($A$1,$B77,BA$5,$B$1)</f>
        <v>0</v>
      </c>
      <c r="BB77" s="55">
        <f>_xll.EQNXTDZ($A$1,$B77,BB$5,$B$1)</f>
        <v>275</v>
      </c>
      <c r="BC77" s="55">
        <f>_xll.EQNXTDZ($A$1,$B77,BC$5,$B$1)</f>
        <v>0</v>
      </c>
      <c r="BD77" s="55">
        <f>_xll.EQNXTDZ($A$1,$B77,BD$5,$B$1)</f>
        <v>233</v>
      </c>
      <c r="BE77" s="55">
        <f>_xll.EQNXTDZ($A$1,$B77,BE$5,$B$1)</f>
        <v>0</v>
      </c>
      <c r="BF77" s="55">
        <f>_xll.EQNXTDZ($A$1,$B77,BF$5,$B$1)</f>
        <v>218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6109.21</v>
      </c>
      <c r="E78" s="55">
        <f>_xll.EQNXTDZ($A$1,$B78,E$5,$B$1)</f>
        <v>0</v>
      </c>
      <c r="F78" s="55">
        <f>_xll.EQNXTDZ($A$1,$B78,F$5,$B$1)</f>
        <v>5312.88</v>
      </c>
      <c r="G78" s="55">
        <f>_xll.EQNXTDZ($A$1,$B78,G$5,$B$1)</f>
        <v>0</v>
      </c>
      <c r="H78" s="55">
        <f>_xll.EQNXTDZ($A$1,$B78,H$5,$B$1)</f>
        <v>5989.05</v>
      </c>
      <c r="I78" s="55">
        <f>_xll.EQNXTDZ($A$1,$B78,I$5,$B$1)</f>
        <v>0</v>
      </c>
      <c r="J78" s="55">
        <f>_xll.EQNXTDZ($A$1,$B78,J$5,$B$1)</f>
        <v>7286.62</v>
      </c>
      <c r="K78" s="55">
        <f>_xll.EQNXTDZ($A$1,$B78,K$5,$B$1)</f>
        <v>0</v>
      </c>
      <c r="L78" s="55">
        <f>_xll.EQNXTDZ($A$1,$B78,L$5,$B$1)</f>
        <v>6635.77</v>
      </c>
      <c r="M78" s="55">
        <f>_xll.EQNXTDZ($A$1,$B78,M$5,$B$1)</f>
        <v>0</v>
      </c>
      <c r="N78" s="55">
        <f>_xll.EQNXTDZ($A$1,$B78,N$5,$B$1)</f>
        <v>9154.92</v>
      </c>
      <c r="O78" s="55">
        <f>_xll.EQNXTDZ($A$1,$B78,O$5,$B$1)</f>
        <v>0</v>
      </c>
      <c r="P78" s="55">
        <f>_xll.EQNXTDZ($A$1,$B78,P$5,$B$1)</f>
        <v>7699.96</v>
      </c>
      <c r="Q78" s="55">
        <f>_xll.EQNXTDZ($A$1,$B78,Q$5,$B$1)</f>
        <v>0</v>
      </c>
      <c r="R78" s="55">
        <f>_xll.EQNXTDZ($A$1,$B78,R$5,$B$1)</f>
        <v>2472</v>
      </c>
      <c r="S78" s="55">
        <f>_xll.EQNXTDZ($A$1,$B78,S$5,$B$1)</f>
        <v>0</v>
      </c>
      <c r="T78" s="55">
        <f>_xll.EQNXTDZ($A$1,$B78,T$5,$B$1)</f>
        <v>96</v>
      </c>
      <c r="U78" s="55">
        <f>_xll.EQNXTDZ($A$1,$B78,U$5,$B$1)</f>
        <v>0</v>
      </c>
      <c r="V78" s="55">
        <f>_xll.EQNXTDZ($A$1,$B78,V$5,$B$1)</f>
        <v>9</v>
      </c>
      <c r="W78" s="55">
        <f>_xll.EQNXTDZ($A$1,$B78,W$5,$B$1)</f>
        <v>9</v>
      </c>
      <c r="X78" s="55">
        <f>_xll.EQNXTDZ($A$1,$B78,X$5,$B$1)</f>
        <v>4</v>
      </c>
      <c r="Y78" s="55">
        <f>_xll.EQNXTDZ($A$1,$B78,Y$5,$B$1)</f>
        <v>0</v>
      </c>
      <c r="Z78" s="55">
        <f>_xll.EQNXTDZ($A$1,$B78,Z$5,$B$1)</f>
        <v>1975</v>
      </c>
      <c r="AA78" s="55">
        <f>_xll.EQNXTDZ($A$1,$B78,AA$5,$B$1)</f>
        <v>0</v>
      </c>
      <c r="AB78" s="55">
        <f>_xll.EQNXTDZ($A$1,$B78,AB$5,$B$1)</f>
        <v>2002</v>
      </c>
      <c r="AC78" s="55">
        <f>_xll.EQNXTDZ($A$1,$B78,AC$5,$B$1)</f>
        <v>0</v>
      </c>
      <c r="AD78" s="55">
        <f>_xll.EQNXTDZ($A$1,$B78,AD$5,$B$1)</f>
        <v>60</v>
      </c>
      <c r="AE78" s="55">
        <f>_xll.EQNXTDZ($A$1,$B78,AE$5,$B$1)</f>
        <v>0</v>
      </c>
      <c r="AF78" s="55">
        <f>_xll.EQNXTDZ($A$1,$B78,AF$5,$B$1)</f>
        <v>60</v>
      </c>
      <c r="AG78" s="55">
        <f>_xll.EQNXTDZ($A$1,$B78,AG$5,$B$1)</f>
        <v>0</v>
      </c>
      <c r="AH78" s="55">
        <f>_xll.EQNXTDZ($A$1,$B78,AH$5,$B$1)</f>
        <v>29</v>
      </c>
      <c r="AI78" s="55">
        <f>_xll.EQNXTDZ($A$1,$B78,AI$5,$B$1)</f>
        <v>0</v>
      </c>
      <c r="AJ78" s="55">
        <f>_xll.EQNXTDZ($A$1,$B78,AJ$5,$B$1)</f>
        <v>49</v>
      </c>
      <c r="AK78" s="55">
        <f>_xll.EQNXTDZ($A$1,$B78,AK$5,$B$1)</f>
        <v>0</v>
      </c>
      <c r="AL78" s="55">
        <f>_xll.EQNXTDZ($A$1,$B78,AL$5,$B$1)</f>
        <v>29</v>
      </c>
      <c r="AM78" s="55">
        <f>_xll.EQNXTDZ($A$1,$B78,AM$5,$B$1)</f>
        <v>0</v>
      </c>
      <c r="AN78" s="55">
        <f>_xll.EQNXTDZ($A$1,$B78,AN$5,$B$1)</f>
        <v>675</v>
      </c>
      <c r="AO78" s="55">
        <f>_xll.EQNXTDZ($A$1,$B78,AO$5,$B$1)</f>
        <v>0</v>
      </c>
      <c r="AP78" s="55">
        <f>_xll.EQNXTDZ($A$1,$B78,AP$5,$B$1)</f>
        <v>311</v>
      </c>
      <c r="AQ78" s="55">
        <f>_xll.EQNXTDZ($A$1,$B78,AQ$5,$B$1)</f>
        <v>0</v>
      </c>
      <c r="AR78" s="55">
        <f>_xll.EQNXTDZ($A$1,$B78,AR$5,$B$1)</f>
        <v>63</v>
      </c>
      <c r="AS78" s="55">
        <f>_xll.EQNXTDZ($A$1,$B78,AS$5,$B$1)</f>
        <v>0</v>
      </c>
      <c r="AT78" s="55">
        <f>_xll.EQNXTDZ($A$1,$B78,AT$5,$B$1)</f>
        <v>173</v>
      </c>
      <c r="AU78" s="55">
        <f>_xll.EQNXTDZ($A$1,$B78,AU$5,$B$1)</f>
        <v>0</v>
      </c>
      <c r="AV78" s="55">
        <f>_xll.EQNXTDZ($A$1,$B78,AV$5,$B$1)</f>
        <v>173</v>
      </c>
      <c r="AW78" s="55">
        <f>_xll.EQNXTDZ($A$1,$B78,AW$5,$B$1)</f>
        <v>0</v>
      </c>
      <c r="AX78" s="55">
        <f>_xll.EQNXTDZ($A$1,$B78,AX$5,$B$1)</f>
        <v>2</v>
      </c>
      <c r="AY78" s="55">
        <f>_xll.EQNXTDZ($A$1,$B78,AY$5,$B$1)</f>
        <v>0</v>
      </c>
      <c r="AZ78" s="55">
        <f>_xll.EQNXTDZ($A$1,$B78,AZ$5,$B$1)</f>
        <v>2</v>
      </c>
      <c r="BA78" s="55">
        <f>_xll.EQNXTDZ($A$1,$B78,BA$5,$B$1)</f>
        <v>0</v>
      </c>
      <c r="BB78" s="55">
        <f>_xll.EQNXTDZ($A$1,$B78,BB$5,$B$1)</f>
        <v>25</v>
      </c>
      <c r="BC78" s="55">
        <f>_xll.EQNXTDZ($A$1,$B78,BC$5,$B$1)</f>
        <v>0</v>
      </c>
      <c r="BD78" s="55">
        <f>_xll.EQNXTDZ($A$1,$B78,BD$5,$B$1)</f>
        <v>777</v>
      </c>
      <c r="BE78" s="55">
        <f>_xll.EQNXTDZ($A$1,$B78,BE$5,$B$1)</f>
        <v>0</v>
      </c>
      <c r="BF78" s="55">
        <f>_xll.EQNXTDZ($A$1,$B78,BF$5,$B$1)</f>
        <v>775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174.01</v>
      </c>
      <c r="E79" s="55">
        <f>_xll.EQNXTDZ($A$1,$B79,E$5,$B$1)</f>
        <v>0</v>
      </c>
      <c r="F79" s="55">
        <f>_xll.EQNXTDZ($A$1,$B79,F$5,$B$1)</f>
        <v>2454.64</v>
      </c>
      <c r="G79" s="55">
        <f>_xll.EQNXTDZ($A$1,$B79,G$5,$B$1)</f>
        <v>0</v>
      </c>
      <c r="H79" s="55">
        <f>_xll.EQNXTDZ($A$1,$B79,H$5,$B$1)</f>
        <v>2404.96</v>
      </c>
      <c r="I79" s="55">
        <f>_xll.EQNXTDZ($A$1,$B79,I$5,$B$1)</f>
        <v>0</v>
      </c>
      <c r="J79" s="55">
        <f>_xll.EQNXTDZ($A$1,$B79,J$5,$B$1)</f>
        <v>1545.33</v>
      </c>
      <c r="K79" s="55">
        <f>_xll.EQNXTDZ($A$1,$B79,K$5,$B$1)</f>
        <v>0</v>
      </c>
      <c r="L79" s="55">
        <f>_xll.EQNXTDZ($A$1,$B79,L$5,$B$1)</f>
        <v>578.91999999999996</v>
      </c>
      <c r="M79" s="55">
        <f>_xll.EQNXTDZ($A$1,$B79,M$5,$B$1)</f>
        <v>0</v>
      </c>
      <c r="N79" s="55">
        <f>_xll.EQNXTDZ($A$1,$B79,N$5,$B$1)</f>
        <v>525.29999999999995</v>
      </c>
      <c r="O79" s="55">
        <f>_xll.EQNXTDZ($A$1,$B79,O$5,$B$1)</f>
        <v>0</v>
      </c>
      <c r="P79" s="55">
        <f>_xll.EQNXTDZ($A$1,$B79,P$5,$B$1)</f>
        <v>532.27</v>
      </c>
      <c r="Q79" s="55">
        <f>_xll.EQNXTDZ($A$1,$B79,Q$5,$B$1)</f>
        <v>0</v>
      </c>
      <c r="R79" s="55">
        <f>_xll.EQNXTDZ($A$1,$B79,R$5,$B$1)</f>
        <v>6716</v>
      </c>
      <c r="S79" s="55">
        <f>_xll.EQNXTDZ($A$1,$B79,S$5,$B$1)</f>
        <v>0</v>
      </c>
      <c r="T79" s="55">
        <f>_xll.EQNXTDZ($A$1,$B79,T$5,$B$1)</f>
        <v>6618</v>
      </c>
      <c r="U79" s="55">
        <f>_xll.EQNXTDZ($A$1,$B79,U$5,$B$1)</f>
        <v>0</v>
      </c>
      <c r="V79" s="55">
        <f>_xll.EQNXTDZ($A$1,$B79,V$5,$B$1)</f>
        <v>6513</v>
      </c>
      <c r="W79" s="55">
        <f>_xll.EQNXTDZ($A$1,$B79,W$5,$B$1)</f>
        <v>6112</v>
      </c>
      <c r="X79" s="55">
        <f>_xll.EQNXTDZ($A$1,$B79,X$5,$B$1)</f>
        <v>6186</v>
      </c>
      <c r="Y79" s="55">
        <f>_xll.EQNXTDZ($A$1,$B79,Y$5,$B$1)</f>
        <v>0</v>
      </c>
      <c r="Z79" s="55">
        <f>_xll.EQNXTDZ($A$1,$B79,Z$5,$B$1)</f>
        <v>6096</v>
      </c>
      <c r="AA79" s="55">
        <f>_xll.EQNXTDZ($A$1,$B79,AA$5,$B$1)</f>
        <v>0</v>
      </c>
      <c r="AB79" s="55">
        <f>_xll.EQNXTDZ($A$1,$B79,AB$5,$B$1)</f>
        <v>5580</v>
      </c>
      <c r="AC79" s="55">
        <f>_xll.EQNXTDZ($A$1,$B79,AC$5,$B$1)</f>
        <v>0</v>
      </c>
      <c r="AD79" s="55">
        <f>_xll.EQNXTDZ($A$1,$B79,AD$5,$B$1)</f>
        <v>6604</v>
      </c>
      <c r="AE79" s="55">
        <f>_xll.EQNXTDZ($A$1,$B79,AE$5,$B$1)</f>
        <v>0</v>
      </c>
      <c r="AF79" s="55">
        <f>_xll.EQNXTDZ($A$1,$B79,AF$5,$B$1)</f>
        <v>12957</v>
      </c>
      <c r="AG79" s="55">
        <f>_xll.EQNXTDZ($A$1,$B79,AG$5,$B$1)</f>
        <v>0</v>
      </c>
      <c r="AH79" s="55">
        <f>_xll.EQNXTDZ($A$1,$B79,AH$5,$B$1)</f>
        <v>13749</v>
      </c>
      <c r="AI79" s="55">
        <f>_xll.EQNXTDZ($A$1,$B79,AI$5,$B$1)</f>
        <v>0</v>
      </c>
      <c r="AJ79" s="55">
        <f>_xll.EQNXTDZ($A$1,$B79,AJ$5,$B$1)</f>
        <v>12789</v>
      </c>
      <c r="AK79" s="55">
        <f>_xll.EQNXTDZ($A$1,$B79,AK$5,$B$1)</f>
        <v>0</v>
      </c>
      <c r="AL79" s="55">
        <f>_xll.EQNXTDZ($A$1,$B79,AL$5,$B$1)</f>
        <v>12992</v>
      </c>
      <c r="AM79" s="55">
        <f>_xll.EQNXTDZ($A$1,$B79,AM$5,$B$1)</f>
        <v>0</v>
      </c>
      <c r="AN79" s="55">
        <f>_xll.EQNXTDZ($A$1,$B79,AN$5,$B$1)</f>
        <v>13881</v>
      </c>
      <c r="AO79" s="55">
        <f>_xll.EQNXTDZ($A$1,$B79,AO$5,$B$1)</f>
        <v>0</v>
      </c>
      <c r="AP79" s="55">
        <f>_xll.EQNXTDZ($A$1,$B79,AP$5,$B$1)</f>
        <v>14095</v>
      </c>
      <c r="AQ79" s="55">
        <f>_xll.EQNXTDZ($A$1,$B79,AQ$5,$B$1)</f>
        <v>0</v>
      </c>
      <c r="AR79" s="55">
        <f>_xll.EQNXTDZ($A$1,$B79,AR$5,$B$1)</f>
        <v>13783</v>
      </c>
      <c r="AS79" s="55">
        <f>_xll.EQNXTDZ($A$1,$B79,AS$5,$B$1)</f>
        <v>0</v>
      </c>
      <c r="AT79" s="55">
        <f>_xll.EQNXTDZ($A$1,$B79,AT$5,$B$1)</f>
        <v>15446</v>
      </c>
      <c r="AU79" s="55">
        <f>_xll.EQNXTDZ($A$1,$B79,AU$5,$B$1)</f>
        <v>0</v>
      </c>
      <c r="AV79" s="55">
        <f>_xll.EQNXTDZ($A$1,$B79,AV$5,$B$1)</f>
        <v>16175</v>
      </c>
      <c r="AW79" s="55">
        <f>_xll.EQNXTDZ($A$1,$B79,AW$5,$B$1)</f>
        <v>0</v>
      </c>
      <c r="AX79" s="55">
        <f>_xll.EQNXTDZ($A$1,$B79,AX$5,$B$1)</f>
        <v>16497</v>
      </c>
      <c r="AY79" s="55">
        <f>_xll.EQNXTDZ($A$1,$B79,AY$5,$B$1)</f>
        <v>0</v>
      </c>
      <c r="AZ79" s="55">
        <f>_xll.EQNXTDZ($A$1,$B79,AZ$5,$B$1)</f>
        <v>17253</v>
      </c>
      <c r="BA79" s="55">
        <f>_xll.EQNXTDZ($A$1,$B79,BA$5,$B$1)</f>
        <v>0</v>
      </c>
      <c r="BB79" s="55">
        <f>_xll.EQNXTDZ($A$1,$B79,BB$5,$B$1)</f>
        <v>17416</v>
      </c>
      <c r="BC79" s="55">
        <f>_xll.EQNXTDZ($A$1,$B79,BC$5,$B$1)</f>
        <v>0</v>
      </c>
      <c r="BD79" s="55">
        <f>_xll.EQNXTDZ($A$1,$B79,BD$5,$B$1)</f>
        <v>20215</v>
      </c>
      <c r="BE79" s="55">
        <f>_xll.EQNXTDZ($A$1,$B79,BE$5,$B$1)</f>
        <v>0</v>
      </c>
      <c r="BF79" s="55">
        <f>_xll.EQNXTDZ($A$1,$B79,BF$5,$B$1)</f>
        <v>18228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884.33</v>
      </c>
      <c r="E80" s="55">
        <f>_xll.EQNXTDZ($A$1,$B80,E$5,$B$1)</f>
        <v>0</v>
      </c>
      <c r="F80" s="55">
        <f>_xll.EQNXTDZ($A$1,$B80,F$5,$B$1)</f>
        <v>929.04</v>
      </c>
      <c r="G80" s="55">
        <f>_xll.EQNXTDZ($A$1,$B80,G$5,$B$1)</f>
        <v>0</v>
      </c>
      <c r="H80" s="55">
        <f>_xll.EQNXTDZ($A$1,$B80,H$5,$B$1)</f>
        <v>979.27</v>
      </c>
      <c r="I80" s="55">
        <f>_xll.EQNXTDZ($A$1,$B80,I$5,$B$1)</f>
        <v>0</v>
      </c>
      <c r="J80" s="55">
        <f>_xll.EQNXTDZ($A$1,$B80,J$5,$B$1)</f>
        <v>1158.47</v>
      </c>
      <c r="K80" s="55">
        <f>_xll.EQNXTDZ($A$1,$B80,K$5,$B$1)</f>
        <v>0</v>
      </c>
      <c r="L80" s="55">
        <f>_xll.EQNXTDZ($A$1,$B80,L$5,$B$1)</f>
        <v>434.89</v>
      </c>
      <c r="M80" s="55">
        <f>_xll.EQNXTDZ($A$1,$B80,M$5,$B$1)</f>
        <v>0</v>
      </c>
      <c r="N80" s="55">
        <f>_xll.EQNXTDZ($A$1,$B80,N$5,$B$1)</f>
        <v>1492.6</v>
      </c>
      <c r="O80" s="55">
        <f>_xll.EQNXTDZ($A$1,$B80,O$5,$B$1)</f>
        <v>0</v>
      </c>
      <c r="P80" s="55">
        <f>_xll.EQNXTDZ($A$1,$B80,P$5,$B$1)</f>
        <v>3897.99</v>
      </c>
      <c r="Q80" s="55">
        <f>_xll.EQNXTDZ($A$1,$B80,Q$5,$B$1)</f>
        <v>0</v>
      </c>
      <c r="R80" s="55">
        <f>_xll.EQNXTDZ($A$1,$B80,R$5,$B$1)</f>
        <v>22479</v>
      </c>
      <c r="S80" s="55">
        <f>_xll.EQNXTDZ($A$1,$B80,S$5,$B$1)</f>
        <v>0</v>
      </c>
      <c r="T80" s="55">
        <f>_xll.EQNXTDZ($A$1,$B80,T$5,$B$1)</f>
        <v>28966</v>
      </c>
      <c r="U80" s="55">
        <f>_xll.EQNXTDZ($A$1,$B80,U$5,$B$1)</f>
        <v>0</v>
      </c>
      <c r="V80" s="55">
        <f>_xll.EQNXTDZ($A$1,$B80,V$5,$B$1)</f>
        <v>41636</v>
      </c>
      <c r="W80" s="55">
        <f>_xll.EQNXTDZ($A$1,$B80,W$5,$B$1)</f>
        <v>27518</v>
      </c>
      <c r="X80" s="55">
        <f>_xll.EQNXTDZ($A$1,$B80,X$5,$B$1)</f>
        <v>29237</v>
      </c>
      <c r="Y80" s="55">
        <f>_xll.EQNXTDZ($A$1,$B80,Y$5,$B$1)</f>
        <v>0</v>
      </c>
      <c r="Z80" s="55">
        <f>_xll.EQNXTDZ($A$1,$B80,Z$5,$B$1)</f>
        <v>35707</v>
      </c>
      <c r="AA80" s="55">
        <f>_xll.EQNXTDZ($A$1,$B80,AA$5,$B$1)</f>
        <v>0</v>
      </c>
      <c r="AB80" s="55">
        <f>_xll.EQNXTDZ($A$1,$B80,AB$5,$B$1)</f>
        <v>28263</v>
      </c>
      <c r="AC80" s="55">
        <f>_xll.EQNXTDZ($A$1,$B80,AC$5,$B$1)</f>
        <v>0</v>
      </c>
      <c r="AD80" s="55">
        <f>_xll.EQNXTDZ($A$1,$B80,AD$5,$B$1)</f>
        <v>29091</v>
      </c>
      <c r="AE80" s="55">
        <f>_xll.EQNXTDZ($A$1,$B80,AE$5,$B$1)</f>
        <v>0</v>
      </c>
      <c r="AF80" s="55">
        <f>_xll.EQNXTDZ($A$1,$B80,AF$5,$B$1)</f>
        <v>30420</v>
      </c>
      <c r="AG80" s="55">
        <f>_xll.EQNXTDZ($A$1,$B80,AG$5,$B$1)</f>
        <v>0</v>
      </c>
      <c r="AH80" s="55">
        <f>_xll.EQNXTDZ($A$1,$B80,AH$5,$B$1)</f>
        <v>26140</v>
      </c>
      <c r="AI80" s="55">
        <f>_xll.EQNXTDZ($A$1,$B80,AI$5,$B$1)</f>
        <v>0</v>
      </c>
      <c r="AJ80" s="55">
        <f>_xll.EQNXTDZ($A$1,$B80,AJ$5,$B$1)</f>
        <v>36402</v>
      </c>
      <c r="AK80" s="55">
        <f>_xll.EQNXTDZ($A$1,$B80,AK$5,$B$1)</f>
        <v>0</v>
      </c>
      <c r="AL80" s="55">
        <f>_xll.EQNXTDZ($A$1,$B80,AL$5,$B$1)</f>
        <v>29160</v>
      </c>
      <c r="AM80" s="55">
        <f>_xll.EQNXTDZ($A$1,$B80,AM$5,$B$1)</f>
        <v>0</v>
      </c>
      <c r="AN80" s="55">
        <f>_xll.EQNXTDZ($A$1,$B80,AN$5,$B$1)</f>
        <v>38683</v>
      </c>
      <c r="AO80" s="55">
        <f>_xll.EQNXTDZ($A$1,$B80,AO$5,$B$1)</f>
        <v>0</v>
      </c>
      <c r="AP80" s="55">
        <f>_xll.EQNXTDZ($A$1,$B80,AP$5,$B$1)</f>
        <v>30262</v>
      </c>
      <c r="AQ80" s="55">
        <f>_xll.EQNXTDZ($A$1,$B80,AQ$5,$B$1)</f>
        <v>0</v>
      </c>
      <c r="AR80" s="55">
        <f>_xll.EQNXTDZ($A$1,$B80,AR$5,$B$1)</f>
        <v>42861</v>
      </c>
      <c r="AS80" s="55">
        <f>_xll.EQNXTDZ($A$1,$B80,AS$5,$B$1)</f>
        <v>0</v>
      </c>
      <c r="AT80" s="55">
        <f>_xll.EQNXTDZ($A$1,$B80,AT$5,$B$1)</f>
        <v>36897</v>
      </c>
      <c r="AU80" s="55">
        <f>_xll.EQNXTDZ($A$1,$B80,AU$5,$B$1)</f>
        <v>0</v>
      </c>
      <c r="AV80" s="55">
        <f>_xll.EQNXTDZ($A$1,$B80,AV$5,$B$1)</f>
        <v>43795</v>
      </c>
      <c r="AW80" s="55">
        <f>_xll.EQNXTDZ($A$1,$B80,AW$5,$B$1)</f>
        <v>0</v>
      </c>
      <c r="AX80" s="55">
        <f>_xll.EQNXTDZ($A$1,$B80,AX$5,$B$1)</f>
        <v>31481</v>
      </c>
      <c r="AY80" s="55">
        <f>_xll.EQNXTDZ($A$1,$B80,AY$5,$B$1)</f>
        <v>0</v>
      </c>
      <c r="AZ80" s="55">
        <f>_xll.EQNXTDZ($A$1,$B80,AZ$5,$B$1)</f>
        <v>35792</v>
      </c>
      <c r="BA80" s="55">
        <f>_xll.EQNXTDZ($A$1,$B80,BA$5,$B$1)</f>
        <v>0</v>
      </c>
      <c r="BB80" s="55">
        <f>_xll.EQNXTDZ($A$1,$B80,BB$5,$B$1)</f>
        <v>30689</v>
      </c>
      <c r="BC80" s="55">
        <f>_xll.EQNXTDZ($A$1,$B80,BC$5,$B$1)</f>
        <v>0</v>
      </c>
      <c r="BD80" s="55">
        <f>_xll.EQNXTDZ($A$1,$B80,BD$5,$B$1)</f>
        <v>38829</v>
      </c>
      <c r="BE80" s="55">
        <f>_xll.EQNXTDZ($A$1,$B80,BE$5,$B$1)</f>
        <v>0</v>
      </c>
      <c r="BF80" s="55">
        <f>_xll.EQNXTDZ($A$1,$B80,BF$5,$B$1)</f>
        <v>33770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22.69</v>
      </c>
      <c r="E81" s="55">
        <f>_xll.EQNXTDZ($A$1,$B81,E$5,$B$1)</f>
        <v>0</v>
      </c>
      <c r="F81" s="55">
        <f>_xll.EQNXTDZ($A$1,$B81,F$5,$B$1)</f>
        <v>21.15</v>
      </c>
      <c r="G81" s="55">
        <f>_xll.EQNXTDZ($A$1,$B81,G$5,$B$1)</f>
        <v>0</v>
      </c>
      <c r="H81" s="55">
        <f>_xll.EQNXTDZ($A$1,$B81,H$5,$B$1)</f>
        <v>25.7</v>
      </c>
      <c r="I81" s="55">
        <f>_xll.EQNXTDZ($A$1,$B81,I$5,$B$1)</f>
        <v>0</v>
      </c>
      <c r="J81" s="55">
        <f>_xll.EQNXTDZ($A$1,$B81,J$5,$B$1)</f>
        <v>15.21</v>
      </c>
      <c r="K81" s="55">
        <f>_xll.EQNXTDZ($A$1,$B81,K$5,$B$1)</f>
        <v>0</v>
      </c>
      <c r="L81" s="55">
        <f>_xll.EQNXTDZ($A$1,$B81,L$5,$B$1)</f>
        <v>24.53</v>
      </c>
      <c r="M81" s="55">
        <f>_xll.EQNXTDZ($A$1,$B81,M$5,$B$1)</f>
        <v>0</v>
      </c>
      <c r="N81" s="55">
        <f>_xll.EQNXTDZ($A$1,$B81,N$5,$B$1)</f>
        <v>16.07</v>
      </c>
      <c r="O81" s="55">
        <f>_xll.EQNXTDZ($A$1,$B81,O$5,$B$1)</f>
        <v>0</v>
      </c>
      <c r="P81" s="55">
        <f>_xll.EQNXTDZ($A$1,$B81,P$5,$B$1)</f>
        <v>20.12</v>
      </c>
      <c r="Q81" s="55">
        <f>_xll.EQNXTDZ($A$1,$B81,Q$5,$B$1)</f>
        <v>0</v>
      </c>
      <c r="R81" s="55">
        <f>_xll.EQNXTDZ($A$1,$B81,R$5,$B$1)</f>
        <v>16</v>
      </c>
      <c r="S81" s="55">
        <f>_xll.EQNXTDZ($A$1,$B81,S$5,$B$1)</f>
        <v>0</v>
      </c>
      <c r="T81" s="55">
        <f>_xll.EQNXTDZ($A$1,$B81,T$5,$B$1)</f>
        <v>17</v>
      </c>
      <c r="U81" s="55">
        <f>_xll.EQNXTDZ($A$1,$B81,U$5,$B$1)</f>
        <v>0</v>
      </c>
      <c r="V81" s="55">
        <f>_xll.EQNXTDZ($A$1,$B81,V$5,$B$1)</f>
        <v>21</v>
      </c>
      <c r="W81" s="55">
        <f>_xll.EQNXTDZ($A$1,$B81,W$5,$B$1)</f>
        <v>29</v>
      </c>
      <c r="X81" s="55">
        <f>_xll.EQNXTDZ($A$1,$B81,X$5,$B$1)</f>
        <v>29</v>
      </c>
      <c r="Y81" s="55">
        <f>_xll.EQNXTDZ($A$1,$B81,Y$5,$B$1)</f>
        <v>0</v>
      </c>
      <c r="Z81" s="55">
        <f>_xll.EQNXTDZ($A$1,$B81,Z$5,$B$1)</f>
        <v>26</v>
      </c>
      <c r="AA81" s="55">
        <f>_xll.EQNXTDZ($A$1,$B81,AA$5,$B$1)</f>
        <v>0</v>
      </c>
      <c r="AB81" s="55">
        <f>_xll.EQNXTDZ($A$1,$B81,AB$5,$B$1)</f>
        <v>17</v>
      </c>
      <c r="AC81" s="55">
        <f>_xll.EQNXTDZ($A$1,$B81,AC$5,$B$1)</f>
        <v>0</v>
      </c>
      <c r="AD81" s="55">
        <f>_xll.EQNXTDZ($A$1,$B81,AD$5,$B$1)</f>
        <v>10</v>
      </c>
      <c r="AE81" s="55">
        <f>_xll.EQNXTDZ($A$1,$B81,AE$5,$B$1)</f>
        <v>0</v>
      </c>
      <c r="AF81" s="55">
        <f>_xll.EQNXTDZ($A$1,$B81,AF$5,$B$1)</f>
        <v>7</v>
      </c>
      <c r="AG81" s="55">
        <f>_xll.EQNXTDZ($A$1,$B81,AG$5,$B$1)</f>
        <v>0</v>
      </c>
      <c r="AH81" s="55">
        <f>_xll.EQNXTDZ($A$1,$B81,AH$5,$B$1)</f>
        <v>5</v>
      </c>
      <c r="AI81" s="55">
        <f>_xll.EQNXTDZ($A$1,$B81,AI$5,$B$1)</f>
        <v>0</v>
      </c>
      <c r="AJ81" s="55">
        <f>_xll.EQNXTDZ($A$1,$B81,AJ$5,$B$1)</f>
        <v>5</v>
      </c>
      <c r="AK81" s="55">
        <f>_xll.EQNXTDZ($A$1,$B81,AK$5,$B$1)</f>
        <v>0</v>
      </c>
      <c r="AL81" s="55">
        <f>_xll.EQNXTDZ($A$1,$B81,AL$5,$B$1)</f>
        <v>8</v>
      </c>
      <c r="AM81" s="55">
        <f>_xll.EQNXTDZ($A$1,$B81,AM$5,$B$1)</f>
        <v>0</v>
      </c>
      <c r="AN81" s="55">
        <f>_xll.EQNXTDZ($A$1,$B81,AN$5,$B$1)</f>
        <v>14</v>
      </c>
      <c r="AO81" s="55">
        <f>_xll.EQNXTDZ($A$1,$B81,AO$5,$B$1)</f>
        <v>0</v>
      </c>
      <c r="AP81" s="55">
        <f>_xll.EQNXTDZ($A$1,$B81,AP$5,$B$1)</f>
        <v>20</v>
      </c>
      <c r="AQ81" s="55">
        <f>_xll.EQNXTDZ($A$1,$B81,AQ$5,$B$1)</f>
        <v>0</v>
      </c>
      <c r="AR81" s="55">
        <f>_xll.EQNXTDZ($A$1,$B81,AR$5,$B$1)</f>
        <v>32</v>
      </c>
      <c r="AS81" s="55">
        <f>_xll.EQNXTDZ($A$1,$B81,AS$5,$B$1)</f>
        <v>0</v>
      </c>
      <c r="AT81" s="55">
        <f>_xll.EQNXTDZ($A$1,$B81,AT$5,$B$1)</f>
        <v>28</v>
      </c>
      <c r="AU81" s="55">
        <f>_xll.EQNXTDZ($A$1,$B81,AU$5,$B$1)</f>
        <v>0</v>
      </c>
      <c r="AV81" s="55">
        <f>_xll.EQNXTDZ($A$1,$B81,AV$5,$B$1)</f>
        <v>28</v>
      </c>
      <c r="AW81" s="55">
        <f>_xll.EQNXTDZ($A$1,$B81,AW$5,$B$1)</f>
        <v>0</v>
      </c>
      <c r="AX81" s="55">
        <f>_xll.EQNXTDZ($A$1,$B81,AX$5,$B$1)</f>
        <v>28</v>
      </c>
      <c r="AY81" s="55">
        <f>_xll.EQNXTDZ($A$1,$B81,AY$5,$B$1)</f>
        <v>0</v>
      </c>
      <c r="AZ81" s="55">
        <f>_xll.EQNXTDZ($A$1,$B81,AZ$5,$B$1)</f>
        <v>29</v>
      </c>
      <c r="BA81" s="55">
        <f>_xll.EQNXTDZ($A$1,$B81,BA$5,$B$1)</f>
        <v>0</v>
      </c>
      <c r="BB81" s="55">
        <f>_xll.EQNXTDZ($A$1,$B81,BB$5,$B$1)</f>
        <v>21</v>
      </c>
      <c r="BC81" s="55">
        <f>_xll.EQNXTDZ($A$1,$B81,BC$5,$B$1)</f>
        <v>0</v>
      </c>
      <c r="BD81" s="55">
        <f>_xll.EQNXTDZ($A$1,$B81,BD$5,$B$1)</f>
        <v>26</v>
      </c>
      <c r="BE81" s="55">
        <f>_xll.EQNXTDZ($A$1,$B81,BE$5,$B$1)</f>
        <v>0</v>
      </c>
      <c r="BF81" s="55">
        <f>_xll.EQNXTDZ($A$1,$B81,BF$5,$B$1)</f>
        <v>29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12607.76</v>
      </c>
      <c r="E82" s="55">
        <f>_xll.EQNXTDZ($A$1,$B82,E$5,$B$1)</f>
        <v>0</v>
      </c>
      <c r="F82" s="55">
        <f>_xll.EQNXTDZ($A$1,$B82,F$5,$B$1)</f>
        <v>17236.61</v>
      </c>
      <c r="G82" s="55">
        <f>_xll.EQNXTDZ($A$1,$B82,G$5,$B$1)</f>
        <v>0</v>
      </c>
      <c r="H82" s="55">
        <f>_xll.EQNXTDZ($A$1,$B82,H$5,$B$1)</f>
        <v>17242</v>
      </c>
      <c r="I82" s="55">
        <f>_xll.EQNXTDZ($A$1,$B82,I$5,$B$1)</f>
        <v>0</v>
      </c>
      <c r="J82" s="55">
        <f>_xll.EQNXTDZ($A$1,$B82,J$5,$B$1)</f>
        <v>22236.01</v>
      </c>
      <c r="K82" s="55">
        <f>_xll.EQNXTDZ($A$1,$B82,K$5,$B$1)</f>
        <v>0</v>
      </c>
      <c r="L82" s="55">
        <f>_xll.EQNXTDZ($A$1,$B82,L$5,$B$1)</f>
        <v>24457.96</v>
      </c>
      <c r="M82" s="55">
        <f>_xll.EQNXTDZ($A$1,$B82,M$5,$B$1)</f>
        <v>0</v>
      </c>
      <c r="N82" s="55">
        <f>_xll.EQNXTDZ($A$1,$B82,N$5,$B$1)</f>
        <v>24265.02</v>
      </c>
      <c r="O82" s="55">
        <f>_xll.EQNXTDZ($A$1,$B82,O$5,$B$1)</f>
        <v>0</v>
      </c>
      <c r="P82" s="55">
        <f>_xll.EQNXTDZ($A$1,$B82,P$5,$B$1)</f>
        <v>26741.32</v>
      </c>
      <c r="Q82" s="55">
        <f>_xll.EQNXTDZ($A$1,$B82,Q$5,$B$1)</f>
        <v>0</v>
      </c>
      <c r="R82" s="55">
        <f>_xll.EQNXTDZ($A$1,$B82,R$5,$B$1)</f>
        <v>28065</v>
      </c>
      <c r="S82" s="55">
        <f>_xll.EQNXTDZ($A$1,$B82,S$5,$B$1)</f>
        <v>0</v>
      </c>
      <c r="T82" s="55">
        <f>_xll.EQNXTDZ($A$1,$B82,T$5,$B$1)</f>
        <v>29773</v>
      </c>
      <c r="U82" s="55">
        <f>_xll.EQNXTDZ($A$1,$B82,U$5,$B$1)</f>
        <v>0</v>
      </c>
      <c r="V82" s="55">
        <f>_xll.EQNXTDZ($A$1,$B82,V$5,$B$1)</f>
        <v>27825</v>
      </c>
      <c r="W82" s="55">
        <f>_xll.EQNXTDZ($A$1,$B82,W$5,$B$1)</f>
        <v>22695</v>
      </c>
      <c r="X82" s="55">
        <f>_xll.EQNXTDZ($A$1,$B82,X$5,$B$1)</f>
        <v>31606</v>
      </c>
      <c r="Y82" s="55">
        <f>_xll.EQNXTDZ($A$1,$B82,Y$5,$B$1)</f>
        <v>0</v>
      </c>
      <c r="Z82" s="55">
        <f>_xll.EQNXTDZ($A$1,$B82,Z$5,$B$1)</f>
        <v>31629</v>
      </c>
      <c r="AA82" s="55">
        <f>_xll.EQNXTDZ($A$1,$B82,AA$5,$B$1)</f>
        <v>0</v>
      </c>
      <c r="AB82" s="55">
        <f>_xll.EQNXTDZ($A$1,$B82,AB$5,$B$1)</f>
        <v>34037</v>
      </c>
      <c r="AC82" s="55">
        <f>_xll.EQNXTDZ($A$1,$B82,AC$5,$B$1)</f>
        <v>0</v>
      </c>
      <c r="AD82" s="55">
        <f>_xll.EQNXTDZ($A$1,$B82,AD$5,$B$1)</f>
        <v>32503</v>
      </c>
      <c r="AE82" s="55">
        <f>_xll.EQNXTDZ($A$1,$B82,AE$5,$B$1)</f>
        <v>0</v>
      </c>
      <c r="AF82" s="55">
        <f>_xll.EQNXTDZ($A$1,$B82,AF$5,$B$1)</f>
        <v>34087</v>
      </c>
      <c r="AG82" s="55">
        <f>_xll.EQNXTDZ($A$1,$B82,AG$5,$B$1)</f>
        <v>0</v>
      </c>
      <c r="AH82" s="55">
        <f>_xll.EQNXTDZ($A$1,$B82,AH$5,$B$1)</f>
        <v>36264</v>
      </c>
      <c r="AI82" s="55">
        <f>_xll.EQNXTDZ($A$1,$B82,AI$5,$B$1)</f>
        <v>0</v>
      </c>
      <c r="AJ82" s="55">
        <f>_xll.EQNXTDZ($A$1,$B82,AJ$5,$B$1)</f>
        <v>33948</v>
      </c>
      <c r="AK82" s="55">
        <f>_xll.EQNXTDZ($A$1,$B82,AK$5,$B$1)</f>
        <v>0</v>
      </c>
      <c r="AL82" s="55">
        <f>_xll.EQNXTDZ($A$1,$B82,AL$5,$B$1)</f>
        <v>36662</v>
      </c>
      <c r="AM82" s="55">
        <f>_xll.EQNXTDZ($A$1,$B82,AM$5,$B$1)</f>
        <v>0</v>
      </c>
      <c r="AN82" s="55">
        <f>_xll.EQNXTDZ($A$1,$B82,AN$5,$B$1)</f>
        <v>39511</v>
      </c>
      <c r="AO82" s="55">
        <f>_xll.EQNXTDZ($A$1,$B82,AO$5,$B$1)</f>
        <v>0</v>
      </c>
      <c r="AP82" s="55">
        <f>_xll.EQNXTDZ($A$1,$B82,AP$5,$B$1)</f>
        <v>41810</v>
      </c>
      <c r="AQ82" s="55">
        <f>_xll.EQNXTDZ($A$1,$B82,AQ$5,$B$1)</f>
        <v>0</v>
      </c>
      <c r="AR82" s="55">
        <f>_xll.EQNXTDZ($A$1,$B82,AR$5,$B$1)</f>
        <v>46153</v>
      </c>
      <c r="AS82" s="55">
        <f>_xll.EQNXTDZ($A$1,$B82,AS$5,$B$1)</f>
        <v>0</v>
      </c>
      <c r="AT82" s="55">
        <f>_xll.EQNXTDZ($A$1,$B82,AT$5,$B$1)</f>
        <v>49954</v>
      </c>
      <c r="AU82" s="55">
        <f>_xll.EQNXTDZ($A$1,$B82,AU$5,$B$1)</f>
        <v>0</v>
      </c>
      <c r="AV82" s="55">
        <f>_xll.EQNXTDZ($A$1,$B82,AV$5,$B$1)</f>
        <v>51155</v>
      </c>
      <c r="AW82" s="55">
        <f>_xll.EQNXTDZ($A$1,$B82,AW$5,$B$1)</f>
        <v>0</v>
      </c>
      <c r="AX82" s="55">
        <f>_xll.EQNXTDZ($A$1,$B82,AX$5,$B$1)</f>
        <v>53577</v>
      </c>
      <c r="AY82" s="55">
        <f>_xll.EQNXTDZ($A$1,$B82,AY$5,$B$1)</f>
        <v>0</v>
      </c>
      <c r="AZ82" s="55">
        <f>_xll.EQNXTDZ($A$1,$B82,AZ$5,$B$1)</f>
        <v>57710</v>
      </c>
      <c r="BA82" s="55">
        <f>_xll.EQNXTDZ($A$1,$B82,BA$5,$B$1)</f>
        <v>0</v>
      </c>
      <c r="BB82" s="55">
        <f>_xll.EQNXTDZ($A$1,$B82,BB$5,$B$1)</f>
        <v>59046</v>
      </c>
      <c r="BC82" s="55">
        <f>_xll.EQNXTDZ($A$1,$B82,BC$5,$B$1)</f>
        <v>0</v>
      </c>
      <c r="BD82" s="55">
        <f>_xll.EQNXTDZ($A$1,$B82,BD$5,$B$1)</f>
        <v>63304</v>
      </c>
      <c r="BE82" s="55">
        <f>_xll.EQNXTDZ($A$1,$B82,BE$5,$B$1)</f>
        <v>0</v>
      </c>
      <c r="BF82" s="55">
        <f>_xll.EQNXTDZ($A$1,$B82,BF$5,$B$1)</f>
        <v>67714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7037.52</v>
      </c>
      <c r="E83" s="55">
        <f>_xll.EQNXTDZ($A$1,$B83,E$5,$B$1)</f>
        <v>0</v>
      </c>
      <c r="F83" s="55">
        <f>_xll.EQNXTDZ($A$1,$B83,F$5,$B$1)</f>
        <v>6769.16</v>
      </c>
      <c r="G83" s="55">
        <f>_xll.EQNXTDZ($A$1,$B83,G$5,$B$1)</f>
        <v>0</v>
      </c>
      <c r="H83" s="55">
        <f>_xll.EQNXTDZ($A$1,$B83,H$5,$B$1)</f>
        <v>5352.85</v>
      </c>
      <c r="I83" s="55">
        <f>_xll.EQNXTDZ($A$1,$B83,I$5,$B$1)</f>
        <v>0</v>
      </c>
      <c r="J83" s="55">
        <f>_xll.EQNXTDZ($A$1,$B83,J$5,$B$1)</f>
        <v>14441.84</v>
      </c>
      <c r="K83" s="55">
        <f>_xll.EQNXTDZ($A$1,$B83,K$5,$B$1)</f>
        <v>0</v>
      </c>
      <c r="L83" s="55">
        <f>_xll.EQNXTDZ($A$1,$B83,L$5,$B$1)</f>
        <v>12101.43</v>
      </c>
      <c r="M83" s="55">
        <f>_xll.EQNXTDZ($A$1,$B83,M$5,$B$1)</f>
        <v>0</v>
      </c>
      <c r="N83" s="55">
        <f>_xll.EQNXTDZ($A$1,$B83,N$5,$B$1)</f>
        <v>18556.04</v>
      </c>
      <c r="O83" s="55">
        <f>_xll.EQNXTDZ($A$1,$B83,O$5,$B$1)</f>
        <v>0</v>
      </c>
      <c r="P83" s="55">
        <f>_xll.EQNXTDZ($A$1,$B83,P$5,$B$1)</f>
        <v>17414.490000000002</v>
      </c>
      <c r="Q83" s="55">
        <f>_xll.EQNXTDZ($A$1,$B83,Q$5,$B$1)</f>
        <v>0</v>
      </c>
      <c r="R83" s="55">
        <f>_xll.EQNXTDZ($A$1,$B83,R$5,$B$1)</f>
        <v>6788</v>
      </c>
      <c r="S83" s="55">
        <f>_xll.EQNXTDZ($A$1,$B83,S$5,$B$1)</f>
        <v>0</v>
      </c>
      <c r="T83" s="55">
        <f>_xll.EQNXTDZ($A$1,$B83,T$5,$B$1)</f>
        <v>3421</v>
      </c>
      <c r="U83" s="55">
        <f>_xll.EQNXTDZ($A$1,$B83,U$5,$B$1)</f>
        <v>0</v>
      </c>
      <c r="V83" s="55">
        <f>_xll.EQNXTDZ($A$1,$B83,V$5,$B$1)</f>
        <v>4149</v>
      </c>
      <c r="W83" s="55">
        <f>_xll.EQNXTDZ($A$1,$B83,W$5,$B$1)</f>
        <v>4525</v>
      </c>
      <c r="X83" s="55">
        <f>_xll.EQNXTDZ($A$1,$B83,X$5,$B$1)</f>
        <v>4385</v>
      </c>
      <c r="Y83" s="55">
        <f>_xll.EQNXTDZ($A$1,$B83,Y$5,$B$1)</f>
        <v>0</v>
      </c>
      <c r="Z83" s="55">
        <f>_xll.EQNXTDZ($A$1,$B83,Z$5,$B$1)</f>
        <v>7161</v>
      </c>
      <c r="AA83" s="55">
        <f>_xll.EQNXTDZ($A$1,$B83,AA$5,$B$1)</f>
        <v>0</v>
      </c>
      <c r="AB83" s="55">
        <f>_xll.EQNXTDZ($A$1,$B83,AB$5,$B$1)</f>
        <v>5862</v>
      </c>
      <c r="AC83" s="55">
        <f>_xll.EQNXTDZ($A$1,$B83,AC$5,$B$1)</f>
        <v>0</v>
      </c>
      <c r="AD83" s="55">
        <f>_xll.EQNXTDZ($A$1,$B83,AD$5,$B$1)</f>
        <v>12848</v>
      </c>
      <c r="AE83" s="55">
        <f>_xll.EQNXTDZ($A$1,$B83,AE$5,$B$1)</f>
        <v>0</v>
      </c>
      <c r="AF83" s="55">
        <f>_xll.EQNXTDZ($A$1,$B83,AF$5,$B$1)</f>
        <v>16228</v>
      </c>
      <c r="AG83" s="55">
        <f>_xll.EQNXTDZ($A$1,$B83,AG$5,$B$1)</f>
        <v>0</v>
      </c>
      <c r="AH83" s="55">
        <f>_xll.EQNXTDZ($A$1,$B83,AH$5,$B$1)</f>
        <v>9666</v>
      </c>
      <c r="AI83" s="55">
        <f>_xll.EQNXTDZ($A$1,$B83,AI$5,$B$1)</f>
        <v>0</v>
      </c>
      <c r="AJ83" s="55">
        <f>_xll.EQNXTDZ($A$1,$B83,AJ$5,$B$1)</f>
        <v>10578</v>
      </c>
      <c r="AK83" s="55">
        <f>_xll.EQNXTDZ($A$1,$B83,AK$5,$B$1)</f>
        <v>0</v>
      </c>
      <c r="AL83" s="55">
        <f>_xll.EQNXTDZ($A$1,$B83,AL$5,$B$1)</f>
        <v>9329</v>
      </c>
      <c r="AM83" s="55">
        <f>_xll.EQNXTDZ($A$1,$B83,AM$5,$B$1)</f>
        <v>0</v>
      </c>
      <c r="AN83" s="55">
        <f>_xll.EQNXTDZ($A$1,$B83,AN$5,$B$1)</f>
        <v>10363</v>
      </c>
      <c r="AO83" s="55">
        <f>_xll.EQNXTDZ($A$1,$B83,AO$5,$B$1)</f>
        <v>0</v>
      </c>
      <c r="AP83" s="55">
        <f>_xll.EQNXTDZ($A$1,$B83,AP$5,$B$1)</f>
        <v>18221</v>
      </c>
      <c r="AQ83" s="55">
        <f>_xll.EQNXTDZ($A$1,$B83,AQ$5,$B$1)</f>
        <v>0</v>
      </c>
      <c r="AR83" s="55">
        <f>_xll.EQNXTDZ($A$1,$B83,AR$5,$B$1)</f>
        <v>7350</v>
      </c>
      <c r="AS83" s="55">
        <f>_xll.EQNXTDZ($A$1,$B83,AS$5,$B$1)</f>
        <v>0</v>
      </c>
      <c r="AT83" s="55">
        <f>_xll.EQNXTDZ($A$1,$B83,AT$5,$B$1)</f>
        <v>11032</v>
      </c>
      <c r="AU83" s="55">
        <f>_xll.EQNXTDZ($A$1,$B83,AU$5,$B$1)</f>
        <v>0</v>
      </c>
      <c r="AV83" s="55">
        <f>_xll.EQNXTDZ($A$1,$B83,AV$5,$B$1)</f>
        <v>13373</v>
      </c>
      <c r="AW83" s="55">
        <f>_xll.EQNXTDZ($A$1,$B83,AW$5,$B$1)</f>
        <v>0</v>
      </c>
      <c r="AX83" s="55">
        <f>_xll.EQNXTDZ($A$1,$B83,AX$5,$B$1)</f>
        <v>13286</v>
      </c>
      <c r="AY83" s="55">
        <f>_xll.EQNXTDZ($A$1,$B83,AY$5,$B$1)</f>
        <v>0</v>
      </c>
      <c r="AZ83" s="55">
        <f>_xll.EQNXTDZ($A$1,$B83,AZ$5,$B$1)</f>
        <v>16733</v>
      </c>
      <c r="BA83" s="55">
        <f>_xll.EQNXTDZ($A$1,$B83,BA$5,$B$1)</f>
        <v>0</v>
      </c>
      <c r="BB83" s="55">
        <f>_xll.EQNXTDZ($A$1,$B83,BB$5,$B$1)</f>
        <v>15463</v>
      </c>
      <c r="BC83" s="55">
        <f>_xll.EQNXTDZ($A$1,$B83,BC$5,$B$1)</f>
        <v>0</v>
      </c>
      <c r="BD83" s="55">
        <f>_xll.EQNXTDZ($A$1,$B83,BD$5,$B$1)</f>
        <v>14453</v>
      </c>
      <c r="BE83" s="55">
        <f>_xll.EQNXTDZ($A$1,$B83,BE$5,$B$1)</f>
        <v>0</v>
      </c>
      <c r="BF83" s="55">
        <f>_xll.EQNXTDZ($A$1,$B83,BF$5,$B$1)</f>
        <v>12908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3625.46</v>
      </c>
      <c r="E84" s="55">
        <f>_xll.EQNXTDZ($A$1,$B84,E$5,$B$1)</f>
        <v>0</v>
      </c>
      <c r="F84" s="55">
        <f>_xll.EQNXTDZ($A$1,$B84,F$5,$B$1)</f>
        <v>799.24</v>
      </c>
      <c r="G84" s="55">
        <f>_xll.EQNXTDZ($A$1,$B84,G$5,$B$1)</f>
        <v>0</v>
      </c>
      <c r="H84" s="55">
        <f>_xll.EQNXTDZ($A$1,$B84,H$5,$B$1)</f>
        <v>5256.06</v>
      </c>
      <c r="I84" s="55">
        <f>_xll.EQNXTDZ($A$1,$B84,I$5,$B$1)</f>
        <v>0</v>
      </c>
      <c r="J84" s="55">
        <f>_xll.EQNXTDZ($A$1,$B84,J$5,$B$1)</f>
        <v>735.36</v>
      </c>
      <c r="K84" s="55">
        <f>_xll.EQNXTDZ($A$1,$B84,K$5,$B$1)</f>
        <v>0</v>
      </c>
      <c r="L84" s="55">
        <f>_xll.EQNXTDZ($A$1,$B84,L$5,$B$1)</f>
        <v>951.89</v>
      </c>
      <c r="M84" s="55">
        <f>_xll.EQNXTDZ($A$1,$B84,M$5,$B$1)</f>
        <v>0</v>
      </c>
      <c r="N84" s="55">
        <f>_xll.EQNXTDZ($A$1,$B84,N$5,$B$1)</f>
        <v>336.82</v>
      </c>
      <c r="O84" s="55">
        <f>_xll.EQNXTDZ($A$1,$B84,O$5,$B$1)</f>
        <v>0</v>
      </c>
      <c r="P84" s="55">
        <f>_xll.EQNXTDZ($A$1,$B84,P$5,$B$1)</f>
        <v>1019.84</v>
      </c>
      <c r="Q84" s="55">
        <f>_xll.EQNXTDZ($A$1,$B84,Q$5,$B$1)</f>
        <v>0</v>
      </c>
      <c r="R84" s="55">
        <f>_xll.EQNXTDZ($A$1,$B84,R$5,$B$1)</f>
        <v>3122</v>
      </c>
      <c r="S84" s="55">
        <f>_xll.EQNXTDZ($A$1,$B84,S$5,$B$1)</f>
        <v>0</v>
      </c>
      <c r="T84" s="55">
        <f>_xll.EQNXTDZ($A$1,$B84,T$5,$B$1)</f>
        <v>3308</v>
      </c>
      <c r="U84" s="55">
        <f>_xll.EQNXTDZ($A$1,$B84,U$5,$B$1)</f>
        <v>0</v>
      </c>
      <c r="V84" s="55">
        <f>_xll.EQNXTDZ($A$1,$B84,V$5,$B$1)</f>
        <v>3776</v>
      </c>
      <c r="W84" s="55">
        <f>_xll.EQNXTDZ($A$1,$B84,W$5,$B$1)</f>
        <v>9554</v>
      </c>
      <c r="X84" s="55">
        <f>_xll.EQNXTDZ($A$1,$B84,X$5,$B$1)</f>
        <v>3010</v>
      </c>
      <c r="Y84" s="55">
        <f>_xll.EQNXTDZ($A$1,$B84,Y$5,$B$1)</f>
        <v>0</v>
      </c>
      <c r="Z84" s="55">
        <f>_xll.EQNXTDZ($A$1,$B84,Z$5,$B$1)</f>
        <v>3496</v>
      </c>
      <c r="AA84" s="55">
        <f>_xll.EQNXTDZ($A$1,$B84,AA$5,$B$1)</f>
        <v>0</v>
      </c>
      <c r="AB84" s="55">
        <f>_xll.EQNXTDZ($A$1,$B84,AB$5,$B$1)</f>
        <v>8813</v>
      </c>
      <c r="AC84" s="55">
        <f>_xll.EQNXTDZ($A$1,$B84,AC$5,$B$1)</f>
        <v>0</v>
      </c>
      <c r="AD84" s="55">
        <f>_xll.EQNXTDZ($A$1,$B84,AD$5,$B$1)</f>
        <v>9650</v>
      </c>
      <c r="AE84" s="55">
        <f>_xll.EQNXTDZ($A$1,$B84,AE$5,$B$1)</f>
        <v>0</v>
      </c>
      <c r="AF84" s="55">
        <f>_xll.EQNXTDZ($A$1,$B84,AF$5,$B$1)</f>
        <v>9396</v>
      </c>
      <c r="AG84" s="55">
        <f>_xll.EQNXTDZ($A$1,$B84,AG$5,$B$1)</f>
        <v>0</v>
      </c>
      <c r="AH84" s="55">
        <f>_xll.EQNXTDZ($A$1,$B84,AH$5,$B$1)</f>
        <v>9687</v>
      </c>
      <c r="AI84" s="55">
        <f>_xll.EQNXTDZ($A$1,$B84,AI$5,$B$1)</f>
        <v>0</v>
      </c>
      <c r="AJ84" s="55">
        <f>_xll.EQNXTDZ($A$1,$B84,AJ$5,$B$1)</f>
        <v>11094</v>
      </c>
      <c r="AK84" s="55">
        <f>_xll.EQNXTDZ($A$1,$B84,AK$5,$B$1)</f>
        <v>0</v>
      </c>
      <c r="AL84" s="55">
        <f>_xll.EQNXTDZ($A$1,$B84,AL$5,$B$1)</f>
        <v>12649</v>
      </c>
      <c r="AM84" s="55">
        <f>_xll.EQNXTDZ($A$1,$B84,AM$5,$B$1)</f>
        <v>0</v>
      </c>
      <c r="AN84" s="55">
        <f>_xll.EQNXTDZ($A$1,$B84,AN$5,$B$1)</f>
        <v>11438</v>
      </c>
      <c r="AO84" s="55">
        <f>_xll.EQNXTDZ($A$1,$B84,AO$5,$B$1)</f>
        <v>0</v>
      </c>
      <c r="AP84" s="55">
        <f>_xll.EQNXTDZ($A$1,$B84,AP$5,$B$1)</f>
        <v>11552</v>
      </c>
      <c r="AQ84" s="55">
        <f>_xll.EQNXTDZ($A$1,$B84,AQ$5,$B$1)</f>
        <v>0</v>
      </c>
      <c r="AR84" s="55">
        <f>_xll.EQNXTDZ($A$1,$B84,AR$5,$B$1)</f>
        <v>11446</v>
      </c>
      <c r="AS84" s="55">
        <f>_xll.EQNXTDZ($A$1,$B84,AS$5,$B$1)</f>
        <v>0</v>
      </c>
      <c r="AT84" s="55">
        <f>_xll.EQNXTDZ($A$1,$B84,AT$5,$B$1)</f>
        <v>11034</v>
      </c>
      <c r="AU84" s="55">
        <f>_xll.EQNXTDZ($A$1,$B84,AU$5,$B$1)</f>
        <v>0</v>
      </c>
      <c r="AV84" s="55">
        <f>_xll.EQNXTDZ($A$1,$B84,AV$5,$B$1)</f>
        <v>12680</v>
      </c>
      <c r="AW84" s="55">
        <f>_xll.EQNXTDZ($A$1,$B84,AW$5,$B$1)</f>
        <v>0</v>
      </c>
      <c r="AX84" s="55">
        <f>_xll.EQNXTDZ($A$1,$B84,AX$5,$B$1)</f>
        <v>14121</v>
      </c>
      <c r="AY84" s="55">
        <f>_xll.EQNXTDZ($A$1,$B84,AY$5,$B$1)</f>
        <v>0</v>
      </c>
      <c r="AZ84" s="55">
        <f>_xll.EQNXTDZ($A$1,$B84,AZ$5,$B$1)</f>
        <v>16419</v>
      </c>
      <c r="BA84" s="55">
        <f>_xll.EQNXTDZ($A$1,$B84,BA$5,$B$1)</f>
        <v>0</v>
      </c>
      <c r="BB84" s="55">
        <f>_xll.EQNXTDZ($A$1,$B84,BB$5,$B$1)</f>
        <v>17783</v>
      </c>
      <c r="BC84" s="55">
        <f>_xll.EQNXTDZ($A$1,$B84,BC$5,$B$1)</f>
        <v>0</v>
      </c>
      <c r="BD84" s="55">
        <f>_xll.EQNXTDZ($A$1,$B84,BD$5,$B$1)</f>
        <v>17878</v>
      </c>
      <c r="BE84" s="55">
        <f>_xll.EQNXTDZ($A$1,$B84,BE$5,$B$1)</f>
        <v>0</v>
      </c>
      <c r="BF84" s="55">
        <f>_xll.EQNXTDZ($A$1,$B84,BF$5,$B$1)</f>
        <v>19625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2873.29</v>
      </c>
      <c r="E85" s="55">
        <f>_xll.EQNXTDZ($A$1,$B85,E$5,$B$1)</f>
        <v>0</v>
      </c>
      <c r="F85" s="55">
        <f>_xll.EQNXTDZ($A$1,$B85,F$5,$B$1)</f>
        <v>5643.26</v>
      </c>
      <c r="G85" s="55">
        <f>_xll.EQNXTDZ($A$1,$B85,G$5,$B$1)</f>
        <v>0</v>
      </c>
      <c r="H85" s="55">
        <f>_xll.EQNXTDZ($A$1,$B85,H$5,$B$1)</f>
        <v>5684.11</v>
      </c>
      <c r="I85" s="55">
        <f>_xll.EQNXTDZ($A$1,$B85,I$5,$B$1)</f>
        <v>0</v>
      </c>
      <c r="J85" s="55">
        <f>_xll.EQNXTDZ($A$1,$B85,J$5,$B$1)</f>
        <v>4310.8</v>
      </c>
      <c r="K85" s="55">
        <f>_xll.EQNXTDZ($A$1,$B85,K$5,$B$1)</f>
        <v>0</v>
      </c>
      <c r="L85" s="55">
        <f>_xll.EQNXTDZ($A$1,$B85,L$5,$B$1)</f>
        <v>5010.3999999999996</v>
      </c>
      <c r="M85" s="55">
        <f>_xll.EQNXTDZ($A$1,$B85,M$5,$B$1)</f>
        <v>0</v>
      </c>
      <c r="N85" s="55">
        <f>_xll.EQNXTDZ($A$1,$B85,N$5,$B$1)</f>
        <v>4146.45</v>
      </c>
      <c r="O85" s="55">
        <f>_xll.EQNXTDZ($A$1,$B85,O$5,$B$1)</f>
        <v>0</v>
      </c>
      <c r="P85" s="55">
        <f>_xll.EQNXTDZ($A$1,$B85,P$5,$B$1)</f>
        <v>4508.16</v>
      </c>
      <c r="Q85" s="55">
        <f>_xll.EQNXTDZ($A$1,$B85,Q$5,$B$1)</f>
        <v>0</v>
      </c>
      <c r="R85" s="55">
        <f>_xll.EQNXTDZ($A$1,$B85,R$5,$B$1)</f>
        <v>2743</v>
      </c>
      <c r="S85" s="55">
        <f>_xll.EQNXTDZ($A$1,$B85,S$5,$B$1)</f>
        <v>0</v>
      </c>
      <c r="T85" s="55">
        <f>_xll.EQNXTDZ($A$1,$B85,T$5,$B$1)</f>
        <v>4696</v>
      </c>
      <c r="U85" s="55">
        <f>_xll.EQNXTDZ($A$1,$B85,U$5,$B$1)</f>
        <v>0</v>
      </c>
      <c r="V85" s="55">
        <f>_xll.EQNXTDZ($A$1,$B85,V$5,$B$1)</f>
        <v>2909</v>
      </c>
      <c r="W85" s="55">
        <f>_xll.EQNXTDZ($A$1,$B85,W$5,$B$1)</f>
        <v>562</v>
      </c>
      <c r="X85" s="55">
        <f>_xll.EQNXTDZ($A$1,$B85,X$5,$B$1)</f>
        <v>2547</v>
      </c>
      <c r="Y85" s="55">
        <f>_xll.EQNXTDZ($A$1,$B85,Y$5,$B$1)</f>
        <v>0</v>
      </c>
      <c r="Z85" s="55">
        <f>_xll.EQNXTDZ($A$1,$B85,Z$5,$B$1)</f>
        <v>3205</v>
      </c>
      <c r="AA85" s="55">
        <f>_xll.EQNXTDZ($A$1,$B85,AA$5,$B$1)</f>
        <v>0</v>
      </c>
      <c r="AB85" s="55">
        <f>_xll.EQNXTDZ($A$1,$B85,AB$5,$B$1)</f>
        <v>1015</v>
      </c>
      <c r="AC85" s="55">
        <f>_xll.EQNXTDZ($A$1,$B85,AC$5,$B$1)</f>
        <v>0</v>
      </c>
      <c r="AD85" s="55">
        <f>_xll.EQNXTDZ($A$1,$B85,AD$5,$B$1)</f>
        <v>8029</v>
      </c>
      <c r="AE85" s="55">
        <f>_xll.EQNXTDZ($A$1,$B85,AE$5,$B$1)</f>
        <v>0</v>
      </c>
      <c r="AF85" s="55">
        <f>_xll.EQNXTDZ($A$1,$B85,AF$5,$B$1)</f>
        <v>8350</v>
      </c>
      <c r="AG85" s="55">
        <f>_xll.EQNXTDZ($A$1,$B85,AG$5,$B$1)</f>
        <v>0</v>
      </c>
      <c r="AH85" s="55">
        <f>_xll.EQNXTDZ($A$1,$B85,AH$5,$B$1)</f>
        <v>8475</v>
      </c>
      <c r="AI85" s="55">
        <f>_xll.EQNXTDZ($A$1,$B85,AI$5,$B$1)</f>
        <v>0</v>
      </c>
      <c r="AJ85" s="55">
        <f>_xll.EQNXTDZ($A$1,$B85,AJ$5,$B$1)</f>
        <v>11349</v>
      </c>
      <c r="AK85" s="55">
        <f>_xll.EQNXTDZ($A$1,$B85,AK$5,$B$1)</f>
        <v>0</v>
      </c>
      <c r="AL85" s="55">
        <f>_xll.EQNXTDZ($A$1,$B85,AL$5,$B$1)</f>
        <v>11472</v>
      </c>
      <c r="AM85" s="55">
        <f>_xll.EQNXTDZ($A$1,$B85,AM$5,$B$1)</f>
        <v>0</v>
      </c>
      <c r="AN85" s="55">
        <f>_xll.EQNXTDZ($A$1,$B85,AN$5,$B$1)</f>
        <v>10390</v>
      </c>
      <c r="AO85" s="55">
        <f>_xll.EQNXTDZ($A$1,$B85,AO$5,$B$1)</f>
        <v>0</v>
      </c>
      <c r="AP85" s="55">
        <f>_xll.EQNXTDZ($A$1,$B85,AP$5,$B$1)</f>
        <v>6445</v>
      </c>
      <c r="AQ85" s="55">
        <f>_xll.EQNXTDZ($A$1,$B85,AQ$5,$B$1)</f>
        <v>0</v>
      </c>
      <c r="AR85" s="55">
        <f>_xll.EQNXTDZ($A$1,$B85,AR$5,$B$1)</f>
        <v>8765</v>
      </c>
      <c r="AS85" s="55">
        <f>_xll.EQNXTDZ($A$1,$B85,AS$5,$B$1)</f>
        <v>0</v>
      </c>
      <c r="AT85" s="55">
        <f>_xll.EQNXTDZ($A$1,$B85,AT$5,$B$1)</f>
        <v>1325</v>
      </c>
      <c r="AU85" s="55">
        <f>_xll.EQNXTDZ($A$1,$B85,AU$5,$B$1)</f>
        <v>0</v>
      </c>
      <c r="AV85" s="55">
        <f>_xll.EQNXTDZ($A$1,$B85,AV$5,$B$1)</f>
        <v>478</v>
      </c>
      <c r="AW85" s="55">
        <f>_xll.EQNXTDZ($A$1,$B85,AW$5,$B$1)</f>
        <v>0</v>
      </c>
      <c r="AX85" s="55">
        <f>_xll.EQNXTDZ($A$1,$B85,AX$5,$B$1)</f>
        <v>491</v>
      </c>
      <c r="AY85" s="55">
        <f>_xll.EQNXTDZ($A$1,$B85,AY$5,$B$1)</f>
        <v>0</v>
      </c>
      <c r="AZ85" s="55">
        <f>_xll.EQNXTDZ($A$1,$B85,AZ$5,$B$1)</f>
        <v>257</v>
      </c>
      <c r="BA85" s="55">
        <f>_xll.EQNXTDZ($A$1,$B85,BA$5,$B$1)</f>
        <v>0</v>
      </c>
      <c r="BB85" s="55">
        <f>_xll.EQNXTDZ($A$1,$B85,BB$5,$B$1)</f>
        <v>9</v>
      </c>
      <c r="BC85" s="55">
        <f>_xll.EQNXTDZ($A$1,$B85,BC$5,$B$1)</f>
        <v>0</v>
      </c>
      <c r="BD85" s="55">
        <f>_xll.EQNXTDZ($A$1,$B85,BD$5,$B$1)</f>
        <v>9</v>
      </c>
      <c r="BE85" s="55">
        <f>_xll.EQNXTDZ($A$1,$B85,BE$5,$B$1)</f>
        <v>0</v>
      </c>
      <c r="BF85" s="55">
        <f>_xll.EQNXTDZ($A$1,$B85,BF$5,$B$1)</f>
        <v>1659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27051.05</v>
      </c>
      <c r="E86" s="55">
        <f>_xll.EQNXTDZ($A$1,$B86,E$5,$B$1)</f>
        <v>0</v>
      </c>
      <c r="F86" s="55">
        <f>_xll.EQNXTDZ($A$1,$B86,F$5,$B$1)</f>
        <v>31398.46</v>
      </c>
      <c r="G86" s="55">
        <f>_xll.EQNXTDZ($A$1,$B86,G$5,$B$1)</f>
        <v>0</v>
      </c>
      <c r="H86" s="55">
        <f>_xll.EQNXTDZ($A$1,$B86,H$5,$B$1)</f>
        <v>34539.99</v>
      </c>
      <c r="I86" s="55">
        <f>_xll.EQNXTDZ($A$1,$B86,I$5,$B$1)</f>
        <v>0</v>
      </c>
      <c r="J86" s="55">
        <f>_xll.EQNXTDZ($A$1,$B86,J$5,$B$1)</f>
        <v>42897.69</v>
      </c>
      <c r="K86" s="55">
        <f>_xll.EQNXTDZ($A$1,$B86,K$5,$B$1)</f>
        <v>0</v>
      </c>
      <c r="L86" s="55">
        <f>_xll.EQNXTDZ($A$1,$B86,L$5,$B$1)</f>
        <v>42981.1</v>
      </c>
      <c r="M86" s="55">
        <f>_xll.EQNXTDZ($A$1,$B86,M$5,$B$1)</f>
        <v>0</v>
      </c>
      <c r="N86" s="55">
        <f>_xll.EQNXTDZ($A$1,$B86,N$5,$B$1)</f>
        <v>48813</v>
      </c>
      <c r="O86" s="55">
        <f>_xll.EQNXTDZ($A$1,$B86,O$5,$B$1)</f>
        <v>0</v>
      </c>
      <c r="P86" s="55">
        <f>_xll.EQNXTDZ($A$1,$B86,P$5,$B$1)</f>
        <v>53601.919999999998</v>
      </c>
      <c r="Q86" s="55">
        <f>_xll.EQNXTDZ($A$1,$B86,Q$5,$B$1)</f>
        <v>0</v>
      </c>
      <c r="R86" s="55">
        <f>_xll.EQNXTDZ($A$1,$B86,R$5,$B$1)</f>
        <v>63213</v>
      </c>
      <c r="S86" s="55">
        <f>_xll.EQNXTDZ($A$1,$B86,S$5,$B$1)</f>
        <v>0</v>
      </c>
      <c r="T86" s="55">
        <f>_xll.EQNXTDZ($A$1,$B86,T$5,$B$1)</f>
        <v>70181</v>
      </c>
      <c r="U86" s="55">
        <f>_xll.EQNXTDZ($A$1,$B86,U$5,$B$1)</f>
        <v>0</v>
      </c>
      <c r="V86" s="55">
        <f>_xll.EQNXTDZ($A$1,$B86,V$5,$B$1)</f>
        <v>80316</v>
      </c>
      <c r="W86" s="55">
        <f>_xll.EQNXTDZ($A$1,$B86,W$5,$B$1)</f>
        <v>64883</v>
      </c>
      <c r="X86" s="55">
        <f>_xll.EQNXTDZ($A$1,$B86,X$5,$B$1)</f>
        <v>70814</v>
      </c>
      <c r="Y86" s="55">
        <f>_xll.EQNXTDZ($A$1,$B86,Y$5,$B$1)</f>
        <v>0</v>
      </c>
      <c r="Z86" s="55">
        <f>_xll.EQNXTDZ($A$1,$B86,Z$5,$B$1)</f>
        <v>81224</v>
      </c>
      <c r="AA86" s="55">
        <f>_xll.EQNXTDZ($A$1,$B86,AA$5,$B$1)</f>
        <v>0</v>
      </c>
      <c r="AB86" s="55">
        <f>_xll.EQNXTDZ($A$1,$B86,AB$5,$B$1)</f>
        <v>78007</v>
      </c>
      <c r="AC86" s="55">
        <f>_xll.EQNXTDZ($A$1,$B86,AC$5,$B$1)</f>
        <v>0</v>
      </c>
      <c r="AD86" s="55">
        <f>_xll.EQNXTDZ($A$1,$B86,AD$5,$B$1)</f>
        <v>92131</v>
      </c>
      <c r="AE86" s="55">
        <f>_xll.EQNXTDZ($A$1,$B86,AE$5,$B$1)</f>
        <v>0</v>
      </c>
      <c r="AF86" s="55">
        <f>_xll.EQNXTDZ($A$1,$B86,AF$5,$B$1)</f>
        <v>98488</v>
      </c>
      <c r="AG86" s="55">
        <f>_xll.EQNXTDZ($A$1,$B86,AG$5,$B$1)</f>
        <v>0</v>
      </c>
      <c r="AH86" s="55">
        <f>_xll.EQNXTDZ($A$1,$B86,AH$5,$B$1)</f>
        <v>90237</v>
      </c>
      <c r="AI86" s="55">
        <f>_xll.EQNXTDZ($A$1,$B86,AI$5,$B$1)</f>
        <v>0</v>
      </c>
      <c r="AJ86" s="55">
        <f>_xll.EQNXTDZ($A$1,$B86,AJ$5,$B$1)</f>
        <v>103376</v>
      </c>
      <c r="AK86" s="55">
        <f>_xll.EQNXTDZ($A$1,$B86,AK$5,$B$1)</f>
        <v>0</v>
      </c>
      <c r="AL86" s="55">
        <f>_xll.EQNXTDZ($A$1,$B86,AL$5,$B$1)</f>
        <v>99280</v>
      </c>
      <c r="AM86" s="55">
        <f>_xll.EQNXTDZ($A$1,$B86,AM$5,$B$1)</f>
        <v>0</v>
      </c>
      <c r="AN86" s="55">
        <f>_xll.EQNXTDZ($A$1,$B86,AN$5,$B$1)</f>
        <v>110399</v>
      </c>
      <c r="AO86" s="55">
        <f>_xll.EQNXTDZ($A$1,$B86,AO$5,$B$1)</f>
        <v>0</v>
      </c>
      <c r="AP86" s="55">
        <f>_xll.EQNXTDZ($A$1,$B86,AP$5,$B$1)</f>
        <v>108310</v>
      </c>
      <c r="AQ86" s="55">
        <f>_xll.EQNXTDZ($A$1,$B86,AQ$5,$B$1)</f>
        <v>0</v>
      </c>
      <c r="AR86" s="55">
        <f>_xll.EQNXTDZ($A$1,$B86,AR$5,$B$1)</f>
        <v>116607</v>
      </c>
      <c r="AS86" s="55">
        <f>_xll.EQNXTDZ($A$1,$B86,AS$5,$B$1)</f>
        <v>0</v>
      </c>
      <c r="AT86" s="55">
        <f>_xll.EQNXTDZ($A$1,$B86,AT$5,$B$1)</f>
        <v>110270</v>
      </c>
      <c r="AU86" s="55">
        <f>_xll.EQNXTDZ($A$1,$B86,AU$5,$B$1)</f>
        <v>0</v>
      </c>
      <c r="AV86" s="55">
        <f>_xll.EQNXTDZ($A$1,$B86,AV$5,$B$1)</f>
        <v>121509</v>
      </c>
      <c r="AW86" s="55">
        <f>_xll.EQNXTDZ($A$1,$B86,AW$5,$B$1)</f>
        <v>0</v>
      </c>
      <c r="AX86" s="55">
        <f>_xll.EQNXTDZ($A$1,$B86,AX$5,$B$1)</f>
        <v>112984</v>
      </c>
      <c r="AY86" s="55">
        <f>_xll.EQNXTDZ($A$1,$B86,AY$5,$B$1)</f>
        <v>0</v>
      </c>
      <c r="AZ86" s="55">
        <f>_xll.EQNXTDZ($A$1,$B86,AZ$5,$B$1)</f>
        <v>126940</v>
      </c>
      <c r="BA86" s="55">
        <f>_xll.EQNXTDZ($A$1,$B86,BA$5,$B$1)</f>
        <v>0</v>
      </c>
      <c r="BB86" s="55">
        <f>_xll.EQNXTDZ($A$1,$B86,BB$5,$B$1)</f>
        <v>123011</v>
      </c>
      <c r="BC86" s="55">
        <f>_xll.EQNXTDZ($A$1,$B86,BC$5,$B$1)</f>
        <v>0</v>
      </c>
      <c r="BD86" s="55">
        <f>_xll.EQNXTDZ($A$1,$B86,BD$5,$B$1)</f>
        <v>134499</v>
      </c>
      <c r="BE86" s="55">
        <f>_xll.EQNXTDZ($A$1,$B86,BE$5,$B$1)</f>
        <v>0</v>
      </c>
      <c r="BF86" s="55">
        <f>_xll.EQNXTDZ($A$1,$B86,BF$5,$B$1)</f>
        <v>135705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6461.41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168.13</v>
      </c>
      <c r="E88" s="55">
        <f>_xll.EQNXTDZ($A$1,$B88,E$5,$B$1)</f>
        <v>0</v>
      </c>
      <c r="F88" s="55">
        <f>_xll.EQNXTDZ($A$1,$B88,F$5,$B$1)</f>
        <v>80.02</v>
      </c>
      <c r="G88" s="55">
        <f>_xll.EQNXTDZ($A$1,$B88,G$5,$B$1)</f>
        <v>0</v>
      </c>
      <c r="H88" s="55">
        <f>_xll.EQNXTDZ($A$1,$B88,H$5,$B$1)</f>
        <v>57.33</v>
      </c>
      <c r="I88" s="55">
        <f>_xll.EQNXTDZ($A$1,$B88,I$5,$B$1)</f>
        <v>0</v>
      </c>
      <c r="J88" s="55">
        <f>_xll.EQNXTDZ($A$1,$B88,J$5,$B$1)</f>
        <v>127.09</v>
      </c>
      <c r="K88" s="55">
        <f>_xll.EQNXTDZ($A$1,$B88,K$5,$B$1)</f>
        <v>0</v>
      </c>
      <c r="L88" s="55">
        <f>_xll.EQNXTDZ($A$1,$B88,L$5,$B$1)</f>
        <v>57.69</v>
      </c>
      <c r="M88" s="55">
        <f>_xll.EQNXTDZ($A$1,$B88,M$5,$B$1)</f>
        <v>0</v>
      </c>
      <c r="N88" s="55">
        <f>_xll.EQNXTDZ($A$1,$B88,N$5,$B$1)</f>
        <v>185.56</v>
      </c>
      <c r="O88" s="55">
        <f>_xll.EQNXTDZ($A$1,$B88,O$5,$B$1)</f>
        <v>0</v>
      </c>
      <c r="P88" s="55">
        <f>_xll.EQNXTDZ($A$1,$B88,P$5,$B$1)</f>
        <v>0.64</v>
      </c>
      <c r="Q88" s="55">
        <f>_xll.EQNXTDZ($A$1,$B88,Q$5,$B$1)</f>
        <v>0</v>
      </c>
      <c r="R88" s="55">
        <f>_xll.EQNXTDZ($A$1,$B88,R$5,$B$1)</f>
        <v>113</v>
      </c>
      <c r="S88" s="55">
        <f>_xll.EQNXTDZ($A$1,$B88,S$5,$B$1)</f>
        <v>0</v>
      </c>
      <c r="T88" s="55">
        <f>_xll.EQNXTDZ($A$1,$B88,T$5,$B$1)</f>
        <v>1</v>
      </c>
      <c r="U88" s="55">
        <f>_xll.EQNXTDZ($A$1,$B88,U$5,$B$1)</f>
        <v>0</v>
      </c>
      <c r="V88" s="55">
        <f>_xll.EQNXTDZ($A$1,$B88,V$5,$B$1)</f>
        <v>200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181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4269.71</v>
      </c>
      <c r="G89" s="55">
        <f>_xll.EQNXTDZ($A$1,$B89,G$5,$B$1)</f>
        <v>0</v>
      </c>
      <c r="H89" s="55">
        <f>_xll.EQNXTDZ($A$1,$B89,H$5,$B$1)</f>
        <v>4985.01</v>
      </c>
      <c r="I89" s="55">
        <f>_xll.EQNXTDZ($A$1,$B89,I$5,$B$1)</f>
        <v>0</v>
      </c>
      <c r="J89" s="55">
        <f>_xll.EQNXTDZ($A$1,$B89,J$5,$B$1)</f>
        <v>5536.02</v>
      </c>
      <c r="K89" s="55">
        <f>_xll.EQNXTDZ($A$1,$B89,K$5,$B$1)</f>
        <v>0</v>
      </c>
      <c r="L89" s="55">
        <f>_xll.EQNXTDZ($A$1,$B89,L$5,$B$1)</f>
        <v>6425.32</v>
      </c>
      <c r="M89" s="55">
        <f>_xll.EQNXTDZ($A$1,$B89,M$5,$B$1)</f>
        <v>0</v>
      </c>
      <c r="N89" s="55">
        <f>_xll.EQNXTDZ($A$1,$B89,N$5,$B$1)</f>
        <v>8830.93</v>
      </c>
      <c r="O89" s="55">
        <f>_xll.EQNXTDZ($A$1,$B89,O$5,$B$1)</f>
        <v>0</v>
      </c>
      <c r="P89" s="55">
        <f>_xll.EQNXTDZ($A$1,$B89,P$5,$B$1)</f>
        <v>6407.77</v>
      </c>
      <c r="Q89" s="55">
        <f>_xll.EQNXTDZ($A$1,$B89,Q$5,$B$1)</f>
        <v>0</v>
      </c>
      <c r="R89" s="55">
        <f>_xll.EQNXTDZ($A$1,$B89,R$5,$B$1)</f>
        <v>7541</v>
      </c>
      <c r="S89" s="55">
        <f>_xll.EQNXTDZ($A$1,$B89,S$5,$B$1)</f>
        <v>0</v>
      </c>
      <c r="T89" s="55">
        <f>_xll.EQNXTDZ($A$1,$B89,T$5,$B$1)</f>
        <v>6381</v>
      </c>
      <c r="U89" s="55">
        <f>_xll.EQNXTDZ($A$1,$B89,U$5,$B$1)</f>
        <v>0</v>
      </c>
      <c r="V89" s="55">
        <f>_xll.EQNXTDZ($A$1,$B89,V$5,$B$1)</f>
        <v>4905</v>
      </c>
      <c r="W89" s="55">
        <f>_xll.EQNXTDZ($A$1,$B89,W$5,$B$1)</f>
        <v>6556</v>
      </c>
      <c r="X89" s="55">
        <f>_xll.EQNXTDZ($A$1,$B89,X$5,$B$1)</f>
        <v>5421</v>
      </c>
      <c r="Y89" s="55">
        <f>_xll.EQNXTDZ($A$1,$B89,Y$5,$B$1)</f>
        <v>0</v>
      </c>
      <c r="Z89" s="55">
        <f>_xll.EQNXTDZ($A$1,$B89,Z$5,$B$1)</f>
        <v>5094</v>
      </c>
      <c r="AA89" s="55">
        <f>_xll.EQNXTDZ($A$1,$B89,AA$5,$B$1)</f>
        <v>0</v>
      </c>
      <c r="AB89" s="55">
        <f>_xll.EQNXTDZ($A$1,$B89,AB$5,$B$1)</f>
        <v>6252</v>
      </c>
      <c r="AC89" s="55">
        <f>_xll.EQNXTDZ($A$1,$B89,AC$5,$B$1)</f>
        <v>0</v>
      </c>
      <c r="AD89" s="55">
        <f>_xll.EQNXTDZ($A$1,$B89,AD$5,$B$1)</f>
        <v>6292</v>
      </c>
      <c r="AE89" s="55">
        <f>_xll.EQNXTDZ($A$1,$B89,AE$5,$B$1)</f>
        <v>0</v>
      </c>
      <c r="AF89" s="55">
        <f>_xll.EQNXTDZ($A$1,$B89,AF$5,$B$1)</f>
        <v>6734</v>
      </c>
      <c r="AG89" s="55">
        <f>_xll.EQNXTDZ($A$1,$B89,AG$5,$B$1)</f>
        <v>0</v>
      </c>
      <c r="AH89" s="55">
        <f>_xll.EQNXTDZ($A$1,$B89,AH$5,$B$1)</f>
        <v>6740</v>
      </c>
      <c r="AI89" s="55">
        <f>_xll.EQNXTDZ($A$1,$B89,AI$5,$B$1)</f>
        <v>0</v>
      </c>
      <c r="AJ89" s="55">
        <f>_xll.EQNXTDZ($A$1,$B89,AJ$5,$B$1)</f>
        <v>5789</v>
      </c>
      <c r="AK89" s="55">
        <f>_xll.EQNXTDZ($A$1,$B89,AK$5,$B$1)</f>
        <v>0</v>
      </c>
      <c r="AL89" s="55">
        <f>_xll.EQNXTDZ($A$1,$B89,AL$5,$B$1)</f>
        <v>7860</v>
      </c>
      <c r="AM89" s="55">
        <f>_xll.EQNXTDZ($A$1,$B89,AM$5,$B$1)</f>
        <v>0</v>
      </c>
      <c r="AN89" s="55">
        <f>_xll.EQNXTDZ($A$1,$B89,AN$5,$B$1)</f>
        <v>8177</v>
      </c>
      <c r="AO89" s="55">
        <f>_xll.EQNXTDZ($A$1,$B89,AO$5,$B$1)</f>
        <v>0</v>
      </c>
      <c r="AP89" s="55">
        <f>_xll.EQNXTDZ($A$1,$B89,AP$5,$B$1)</f>
        <v>8045</v>
      </c>
      <c r="AQ89" s="55">
        <f>_xll.EQNXTDZ($A$1,$B89,AQ$5,$B$1)</f>
        <v>0</v>
      </c>
      <c r="AR89" s="55">
        <f>_xll.EQNXTDZ($A$1,$B89,AR$5,$B$1)</f>
        <v>10951</v>
      </c>
      <c r="AS89" s="55">
        <f>_xll.EQNXTDZ($A$1,$B89,AS$5,$B$1)</f>
        <v>0</v>
      </c>
      <c r="AT89" s="55">
        <f>_xll.EQNXTDZ($A$1,$B89,AT$5,$B$1)</f>
        <v>10515</v>
      </c>
      <c r="AU89" s="55">
        <f>_xll.EQNXTDZ($A$1,$B89,AU$5,$B$1)</f>
        <v>0</v>
      </c>
      <c r="AV89" s="55">
        <f>_xll.EQNXTDZ($A$1,$B89,AV$5,$B$1)</f>
        <v>10532</v>
      </c>
      <c r="AW89" s="55">
        <f>_xll.EQNXTDZ($A$1,$B89,AW$5,$B$1)</f>
        <v>0</v>
      </c>
      <c r="AX89" s="55">
        <f>_xll.EQNXTDZ($A$1,$B89,AX$5,$B$1)</f>
        <v>9981</v>
      </c>
      <c r="AY89" s="55">
        <f>_xll.EQNXTDZ($A$1,$B89,AY$5,$B$1)</f>
        <v>0</v>
      </c>
      <c r="AZ89" s="55">
        <f>_xll.EQNXTDZ($A$1,$B89,AZ$5,$B$1)</f>
        <v>12927</v>
      </c>
      <c r="BA89" s="55">
        <f>_xll.EQNXTDZ($A$1,$B89,BA$5,$B$1)</f>
        <v>0</v>
      </c>
      <c r="BB89" s="55">
        <f>_xll.EQNXTDZ($A$1,$B89,BB$5,$B$1)</f>
        <v>13909</v>
      </c>
      <c r="BC89" s="55">
        <f>_xll.EQNXTDZ($A$1,$B89,BC$5,$B$1)</f>
        <v>0</v>
      </c>
      <c r="BD89" s="55">
        <f>_xll.EQNXTDZ($A$1,$B89,BD$5,$B$1)</f>
        <v>14246</v>
      </c>
      <c r="BE89" s="55">
        <f>_xll.EQNXTDZ($A$1,$B89,BE$5,$B$1)</f>
        <v>0</v>
      </c>
      <c r="BF89" s="55">
        <f>_xll.EQNXTDZ($A$1,$B89,BF$5,$B$1)</f>
        <v>14808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3081.52</v>
      </c>
      <c r="G91" s="55">
        <f>_xll.EQNXTDZ($A$1,$B91,G$5,$B$1)</f>
        <v>0</v>
      </c>
      <c r="H91" s="55">
        <f>_xll.EQNXTDZ($A$1,$B91,H$5,$B$1)</f>
        <v>3839.04</v>
      </c>
      <c r="I91" s="55">
        <f>_xll.EQNXTDZ($A$1,$B91,I$5,$B$1)</f>
        <v>0</v>
      </c>
      <c r="J91" s="55">
        <f>_xll.EQNXTDZ($A$1,$B91,J$5,$B$1)</f>
        <v>3621.24</v>
      </c>
      <c r="K91" s="55">
        <f>_xll.EQNXTDZ($A$1,$B91,K$5,$B$1)</f>
        <v>0</v>
      </c>
      <c r="L91" s="55">
        <f>_xll.EQNXTDZ($A$1,$B91,L$5,$B$1)</f>
        <v>3883.93</v>
      </c>
      <c r="M91" s="55">
        <f>_xll.EQNXTDZ($A$1,$B91,M$5,$B$1)</f>
        <v>0</v>
      </c>
      <c r="N91" s="55">
        <f>_xll.EQNXTDZ($A$1,$B91,N$5,$B$1)</f>
        <v>3646.59</v>
      </c>
      <c r="O91" s="55">
        <f>_xll.EQNXTDZ($A$1,$B91,O$5,$B$1)</f>
        <v>0</v>
      </c>
      <c r="P91" s="55">
        <f>_xll.EQNXTDZ($A$1,$B91,P$5,$B$1)</f>
        <v>4276.9399999999996</v>
      </c>
      <c r="Q91" s="55">
        <f>_xll.EQNXTDZ($A$1,$B91,Q$5,$B$1)</f>
        <v>0</v>
      </c>
      <c r="R91" s="55">
        <f>_xll.EQNXTDZ($A$1,$B91,R$5,$B$1)</f>
        <v>7800</v>
      </c>
      <c r="S91" s="55">
        <f>_xll.EQNXTDZ($A$1,$B91,S$5,$B$1)</f>
        <v>0</v>
      </c>
      <c r="T91" s="55">
        <f>_xll.EQNXTDZ($A$1,$B91,T$5,$B$1)</f>
        <v>7752</v>
      </c>
      <c r="U91" s="55">
        <f>_xll.EQNXTDZ($A$1,$B91,U$5,$B$1)</f>
        <v>0</v>
      </c>
      <c r="V91" s="55">
        <f>_xll.EQNXTDZ($A$1,$B91,V$5,$B$1)</f>
        <v>9341</v>
      </c>
      <c r="W91" s="55">
        <f>_xll.EQNXTDZ($A$1,$B91,W$5,$B$1)</f>
        <v>8425</v>
      </c>
      <c r="X91" s="55">
        <f>_xll.EQNXTDZ($A$1,$B91,X$5,$B$1)</f>
        <v>10682</v>
      </c>
      <c r="Y91" s="55">
        <f>_xll.EQNXTDZ($A$1,$B91,Y$5,$B$1)</f>
        <v>0</v>
      </c>
      <c r="Z91" s="55">
        <f>_xll.EQNXTDZ($A$1,$B91,Z$5,$B$1)</f>
        <v>12313</v>
      </c>
      <c r="AA91" s="55">
        <f>_xll.EQNXTDZ($A$1,$B91,AA$5,$B$1)</f>
        <v>0</v>
      </c>
      <c r="AB91" s="55">
        <f>_xll.EQNXTDZ($A$1,$B91,AB$5,$B$1)</f>
        <v>16035</v>
      </c>
      <c r="AC91" s="55">
        <f>_xll.EQNXTDZ($A$1,$B91,AC$5,$B$1)</f>
        <v>0</v>
      </c>
      <c r="AD91" s="55">
        <f>_xll.EQNXTDZ($A$1,$B91,AD$5,$B$1)</f>
        <v>15553</v>
      </c>
      <c r="AE91" s="55">
        <f>_xll.EQNXTDZ($A$1,$B91,AE$5,$B$1)</f>
        <v>0</v>
      </c>
      <c r="AF91" s="55">
        <f>_xll.EQNXTDZ($A$1,$B91,AF$5,$B$1)</f>
        <v>16899</v>
      </c>
      <c r="AG91" s="55">
        <f>_xll.EQNXTDZ($A$1,$B91,AG$5,$B$1)</f>
        <v>0</v>
      </c>
      <c r="AH91" s="55">
        <f>_xll.EQNXTDZ($A$1,$B91,AH$5,$B$1)</f>
        <v>20027</v>
      </c>
      <c r="AI91" s="55">
        <f>_xll.EQNXTDZ($A$1,$B91,AI$5,$B$1)</f>
        <v>0</v>
      </c>
      <c r="AJ91" s="55">
        <f>_xll.EQNXTDZ($A$1,$B91,AJ$5,$B$1)</f>
        <v>21721</v>
      </c>
      <c r="AK91" s="55">
        <f>_xll.EQNXTDZ($A$1,$B91,AK$5,$B$1)</f>
        <v>0</v>
      </c>
      <c r="AL91" s="55">
        <f>_xll.EQNXTDZ($A$1,$B91,AL$5,$B$1)</f>
        <v>24901</v>
      </c>
      <c r="AM91" s="55">
        <f>_xll.EQNXTDZ($A$1,$B91,AM$5,$B$1)</f>
        <v>0</v>
      </c>
      <c r="AN91" s="55">
        <f>_xll.EQNXTDZ($A$1,$B91,AN$5,$B$1)</f>
        <v>25500</v>
      </c>
      <c r="AO91" s="55">
        <f>_xll.EQNXTDZ($A$1,$B91,AO$5,$B$1)</f>
        <v>0</v>
      </c>
      <c r="AP91" s="55">
        <f>_xll.EQNXTDZ($A$1,$B91,AP$5,$B$1)</f>
        <v>32895</v>
      </c>
      <c r="AQ91" s="55">
        <f>_xll.EQNXTDZ($A$1,$B91,AQ$5,$B$1)</f>
        <v>0</v>
      </c>
      <c r="AR91" s="55">
        <f>_xll.EQNXTDZ($A$1,$B91,AR$5,$B$1)</f>
        <v>29681</v>
      </c>
      <c r="AS91" s="55">
        <f>_xll.EQNXTDZ($A$1,$B91,AS$5,$B$1)</f>
        <v>0</v>
      </c>
      <c r="AT91" s="55">
        <f>_xll.EQNXTDZ($A$1,$B91,AT$5,$B$1)</f>
        <v>32698</v>
      </c>
      <c r="AU91" s="55">
        <f>_xll.EQNXTDZ($A$1,$B91,AU$5,$B$1)</f>
        <v>0</v>
      </c>
      <c r="AV91" s="55">
        <f>_xll.EQNXTDZ($A$1,$B91,AV$5,$B$1)</f>
        <v>34028</v>
      </c>
      <c r="AW91" s="55">
        <f>_xll.EQNXTDZ($A$1,$B91,AW$5,$B$1)</f>
        <v>0</v>
      </c>
      <c r="AX91" s="55">
        <f>_xll.EQNXTDZ($A$1,$B91,AX$5,$B$1)</f>
        <v>35983</v>
      </c>
      <c r="AY91" s="55">
        <f>_xll.EQNXTDZ($A$1,$B91,AY$5,$B$1)</f>
        <v>0</v>
      </c>
      <c r="AZ91" s="55">
        <f>_xll.EQNXTDZ($A$1,$B91,AZ$5,$B$1)</f>
        <v>35400</v>
      </c>
      <c r="BA91" s="55">
        <f>_xll.EQNXTDZ($A$1,$B91,BA$5,$B$1)</f>
        <v>0</v>
      </c>
      <c r="BB91" s="55">
        <f>_xll.EQNXTDZ($A$1,$B91,BB$5,$B$1)</f>
        <v>38912</v>
      </c>
      <c r="BC91" s="55">
        <f>_xll.EQNXTDZ($A$1,$B91,BC$5,$B$1)</f>
        <v>0</v>
      </c>
      <c r="BD91" s="55">
        <f>_xll.EQNXTDZ($A$1,$B91,BD$5,$B$1)</f>
        <v>40835</v>
      </c>
      <c r="BE91" s="55">
        <f>_xll.EQNXTDZ($A$1,$B91,BE$5,$B$1)</f>
        <v>0</v>
      </c>
      <c r="BF91" s="55">
        <f>_xll.EQNXTDZ($A$1,$B91,BF$5,$B$1)</f>
        <v>44728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2000.59</v>
      </c>
      <c r="E92" s="55">
        <f>_xll.EQNXTDZ($A$1,$B92,E$5,$B$1)</f>
        <v>0</v>
      </c>
      <c r="F92" s="55">
        <f>_xll.EQNXTDZ($A$1,$B92,F$5,$B$1)</f>
        <v>4233.46</v>
      </c>
      <c r="G92" s="55">
        <f>_xll.EQNXTDZ($A$1,$B92,G$5,$B$1)</f>
        <v>0</v>
      </c>
      <c r="H92" s="55">
        <f>_xll.EQNXTDZ($A$1,$B92,H$5,$B$1)</f>
        <v>2829.65</v>
      </c>
      <c r="I92" s="55">
        <f>_xll.EQNXTDZ($A$1,$B92,I$5,$B$1)</f>
        <v>0</v>
      </c>
      <c r="J92" s="55">
        <f>_xll.EQNXTDZ($A$1,$B92,J$5,$B$1)</f>
        <v>6385.96</v>
      </c>
      <c r="K92" s="55">
        <f>_xll.EQNXTDZ($A$1,$B92,K$5,$B$1)</f>
        <v>0</v>
      </c>
      <c r="L92" s="55">
        <f>_xll.EQNXTDZ($A$1,$B92,L$5,$B$1)</f>
        <v>3364.92</v>
      </c>
      <c r="M92" s="55">
        <f>_xll.EQNXTDZ($A$1,$B92,M$5,$B$1)</f>
        <v>0</v>
      </c>
      <c r="N92" s="55">
        <f>_xll.EQNXTDZ($A$1,$B92,N$5,$B$1)</f>
        <v>7655.16</v>
      </c>
      <c r="O92" s="55">
        <f>_xll.EQNXTDZ($A$1,$B92,O$5,$B$1)</f>
        <v>0</v>
      </c>
      <c r="P92" s="55">
        <f>_xll.EQNXTDZ($A$1,$B92,P$5,$B$1)</f>
        <v>3866.48</v>
      </c>
      <c r="Q92" s="55">
        <f>_xll.EQNXTDZ($A$1,$B92,Q$5,$B$1)</f>
        <v>0</v>
      </c>
      <c r="R92" s="55">
        <f>_xll.EQNXTDZ($A$1,$B92,R$5,$B$1)</f>
        <v>115</v>
      </c>
      <c r="S92" s="55">
        <f>_xll.EQNXTDZ($A$1,$B92,S$5,$B$1)</f>
        <v>0</v>
      </c>
      <c r="T92" s="55">
        <f>_xll.EQNXTDZ($A$1,$B92,T$5,$B$1)</f>
        <v>136</v>
      </c>
      <c r="U92" s="55">
        <f>_xll.EQNXTDZ($A$1,$B92,U$5,$B$1)</f>
        <v>0</v>
      </c>
      <c r="V92" s="55">
        <f>_xll.EQNXTDZ($A$1,$B92,V$5,$B$1)</f>
        <v>66</v>
      </c>
      <c r="W92" s="55">
        <f>_xll.EQNXTDZ($A$1,$B92,W$5,$B$1)</f>
        <v>152</v>
      </c>
      <c r="X92" s="55">
        <f>_xll.EQNXTDZ($A$1,$B92,X$5,$B$1)</f>
        <v>220</v>
      </c>
      <c r="Y92" s="55">
        <f>_xll.EQNXTDZ($A$1,$B92,Y$5,$B$1)</f>
        <v>0</v>
      </c>
      <c r="Z92" s="55">
        <f>_xll.EQNXTDZ($A$1,$B92,Z$5,$B$1)</f>
        <v>240</v>
      </c>
      <c r="AA92" s="55">
        <f>_xll.EQNXTDZ($A$1,$B92,AA$5,$B$1)</f>
        <v>0</v>
      </c>
      <c r="AB92" s="55">
        <f>_xll.EQNXTDZ($A$1,$B92,AB$5,$B$1)</f>
        <v>260</v>
      </c>
      <c r="AC92" s="55">
        <f>_xll.EQNXTDZ($A$1,$B92,AC$5,$B$1)</f>
        <v>0</v>
      </c>
      <c r="AD92" s="55">
        <f>_xll.EQNXTDZ($A$1,$B92,AD$5,$B$1)</f>
        <v>239</v>
      </c>
      <c r="AE92" s="55">
        <f>_xll.EQNXTDZ($A$1,$B92,AE$5,$B$1)</f>
        <v>0</v>
      </c>
      <c r="AF92" s="55">
        <f>_xll.EQNXTDZ($A$1,$B92,AF$5,$B$1)</f>
        <v>207</v>
      </c>
      <c r="AG92" s="55">
        <f>_xll.EQNXTDZ($A$1,$B92,AG$5,$B$1)</f>
        <v>0</v>
      </c>
      <c r="AH92" s="55">
        <f>_xll.EQNXTDZ($A$1,$B92,AH$5,$B$1)</f>
        <v>293</v>
      </c>
      <c r="AI92" s="55">
        <f>_xll.EQNXTDZ($A$1,$B92,AI$5,$B$1)</f>
        <v>0</v>
      </c>
      <c r="AJ92" s="55">
        <f>_xll.EQNXTDZ($A$1,$B92,AJ$5,$B$1)</f>
        <v>1419</v>
      </c>
      <c r="AK92" s="55">
        <f>_xll.EQNXTDZ($A$1,$B92,AK$5,$B$1)</f>
        <v>0</v>
      </c>
      <c r="AL92" s="55">
        <f>_xll.EQNXTDZ($A$1,$B92,AL$5,$B$1)</f>
        <v>1394</v>
      </c>
      <c r="AM92" s="55">
        <f>_xll.EQNXTDZ($A$1,$B92,AM$5,$B$1)</f>
        <v>0</v>
      </c>
      <c r="AN92" s="55">
        <f>_xll.EQNXTDZ($A$1,$B92,AN$5,$B$1)</f>
        <v>1388</v>
      </c>
      <c r="AO92" s="55">
        <f>_xll.EQNXTDZ($A$1,$B92,AO$5,$B$1)</f>
        <v>0</v>
      </c>
      <c r="AP92" s="55">
        <f>_xll.EQNXTDZ($A$1,$B92,AP$5,$B$1)</f>
        <v>1411</v>
      </c>
      <c r="AQ92" s="55">
        <f>_xll.EQNXTDZ($A$1,$B92,AQ$5,$B$1)</f>
        <v>0</v>
      </c>
      <c r="AR92" s="55">
        <f>_xll.EQNXTDZ($A$1,$B92,AR$5,$B$1)</f>
        <v>356</v>
      </c>
      <c r="AS92" s="55">
        <f>_xll.EQNXTDZ($A$1,$B92,AS$5,$B$1)</f>
        <v>0</v>
      </c>
      <c r="AT92" s="55">
        <f>_xll.EQNXTDZ($A$1,$B92,AT$5,$B$1)</f>
        <v>345</v>
      </c>
      <c r="AU92" s="55">
        <f>_xll.EQNXTDZ($A$1,$B92,AU$5,$B$1)</f>
        <v>0</v>
      </c>
      <c r="AV92" s="55">
        <f>_xll.EQNXTDZ($A$1,$B92,AV$5,$B$1)</f>
        <v>344</v>
      </c>
      <c r="AW92" s="55">
        <f>_xll.EQNXTDZ($A$1,$B92,AW$5,$B$1)</f>
        <v>0</v>
      </c>
      <c r="AX92" s="55">
        <f>_xll.EQNXTDZ($A$1,$B92,AX$5,$B$1)</f>
        <v>140</v>
      </c>
      <c r="AY92" s="55">
        <f>_xll.EQNXTDZ($A$1,$B92,AY$5,$B$1)</f>
        <v>0</v>
      </c>
      <c r="AZ92" s="55">
        <f>_xll.EQNXTDZ($A$1,$B92,AZ$5,$B$1)</f>
        <v>155</v>
      </c>
      <c r="BA92" s="55">
        <f>_xll.EQNXTDZ($A$1,$B92,BA$5,$B$1)</f>
        <v>0</v>
      </c>
      <c r="BB92" s="55">
        <f>_xll.EQNXTDZ($A$1,$B92,BB$5,$B$1)</f>
        <v>180</v>
      </c>
      <c r="BC92" s="55">
        <f>_xll.EQNXTDZ($A$1,$B92,BC$5,$B$1)</f>
        <v>0</v>
      </c>
      <c r="BD92" s="55">
        <f>_xll.EQNXTDZ($A$1,$B92,BD$5,$B$1)</f>
        <v>203</v>
      </c>
      <c r="BE92" s="55">
        <f>_xll.EQNXTDZ($A$1,$B92,BE$5,$B$1)</f>
        <v>0</v>
      </c>
      <c r="BF92" s="55">
        <f>_xll.EQNXTDZ($A$1,$B92,BF$5,$B$1)</f>
        <v>1378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8630.1299999999992</v>
      </c>
      <c r="E93" s="55">
        <f>_xll.EQNXTDZ($A$1,$B93,E$5,$B$1)</f>
        <v>0</v>
      </c>
      <c r="F93" s="55">
        <f>_xll.EQNXTDZ($A$1,$B93,F$5,$B$1)</f>
        <v>11664.71</v>
      </c>
      <c r="G93" s="55">
        <f>_xll.EQNXTDZ($A$1,$B93,G$5,$B$1)</f>
        <v>0</v>
      </c>
      <c r="H93" s="55">
        <f>_xll.EQNXTDZ($A$1,$B93,H$5,$B$1)</f>
        <v>11711.03</v>
      </c>
      <c r="I93" s="55">
        <f>_xll.EQNXTDZ($A$1,$B93,I$5,$B$1)</f>
        <v>0</v>
      </c>
      <c r="J93" s="55">
        <f>_xll.EQNXTDZ($A$1,$B93,J$5,$B$1)</f>
        <v>15670.31</v>
      </c>
      <c r="K93" s="55">
        <f>_xll.EQNXTDZ($A$1,$B93,K$5,$B$1)</f>
        <v>0</v>
      </c>
      <c r="L93" s="55">
        <f>_xll.EQNXTDZ($A$1,$B93,L$5,$B$1)</f>
        <v>13731.86</v>
      </c>
      <c r="M93" s="55">
        <f>_xll.EQNXTDZ($A$1,$B93,M$5,$B$1)</f>
        <v>0</v>
      </c>
      <c r="N93" s="55">
        <f>_xll.EQNXTDZ($A$1,$B93,N$5,$B$1)</f>
        <v>20318.240000000002</v>
      </c>
      <c r="O93" s="55">
        <f>_xll.EQNXTDZ($A$1,$B93,O$5,$B$1)</f>
        <v>0</v>
      </c>
      <c r="P93" s="55">
        <f>_xll.EQNXTDZ($A$1,$B93,P$5,$B$1)</f>
        <v>14551.83</v>
      </c>
      <c r="Q93" s="55">
        <f>_xll.EQNXTDZ($A$1,$B93,Q$5,$B$1)</f>
        <v>0</v>
      </c>
      <c r="R93" s="55">
        <f>_xll.EQNXTDZ($A$1,$B93,R$5,$B$1)</f>
        <v>15569</v>
      </c>
      <c r="S93" s="55">
        <f>_xll.EQNXTDZ($A$1,$B93,S$5,$B$1)</f>
        <v>0</v>
      </c>
      <c r="T93" s="55">
        <f>_xll.EQNXTDZ($A$1,$B93,T$5,$B$1)</f>
        <v>14270</v>
      </c>
      <c r="U93" s="55">
        <f>_xll.EQNXTDZ($A$1,$B93,U$5,$B$1)</f>
        <v>0</v>
      </c>
      <c r="V93" s="55">
        <f>_xll.EQNXTDZ($A$1,$B93,V$5,$B$1)</f>
        <v>14512</v>
      </c>
      <c r="W93" s="55">
        <f>_xll.EQNXTDZ($A$1,$B93,W$5,$B$1)</f>
        <v>15133</v>
      </c>
      <c r="X93" s="55">
        <f>_xll.EQNXTDZ($A$1,$B93,X$5,$B$1)</f>
        <v>16323</v>
      </c>
      <c r="Y93" s="55">
        <f>_xll.EQNXTDZ($A$1,$B93,Y$5,$B$1)</f>
        <v>0</v>
      </c>
      <c r="Z93" s="55">
        <f>_xll.EQNXTDZ($A$1,$B93,Z$5,$B$1)</f>
        <v>17828</v>
      </c>
      <c r="AA93" s="55">
        <f>_xll.EQNXTDZ($A$1,$B93,AA$5,$B$1)</f>
        <v>0</v>
      </c>
      <c r="AB93" s="55">
        <f>_xll.EQNXTDZ($A$1,$B93,AB$5,$B$1)</f>
        <v>22547</v>
      </c>
      <c r="AC93" s="55">
        <f>_xll.EQNXTDZ($A$1,$B93,AC$5,$B$1)</f>
        <v>0</v>
      </c>
      <c r="AD93" s="55">
        <f>_xll.EQNXTDZ($A$1,$B93,AD$5,$B$1)</f>
        <v>22084</v>
      </c>
      <c r="AE93" s="55">
        <f>_xll.EQNXTDZ($A$1,$B93,AE$5,$B$1)</f>
        <v>0</v>
      </c>
      <c r="AF93" s="55">
        <f>_xll.EQNXTDZ($A$1,$B93,AF$5,$B$1)</f>
        <v>23840</v>
      </c>
      <c r="AG93" s="55">
        <f>_xll.EQNXTDZ($A$1,$B93,AG$5,$B$1)</f>
        <v>0</v>
      </c>
      <c r="AH93" s="55">
        <f>_xll.EQNXTDZ($A$1,$B93,AH$5,$B$1)</f>
        <v>27060</v>
      </c>
      <c r="AI93" s="55">
        <f>_xll.EQNXTDZ($A$1,$B93,AI$5,$B$1)</f>
        <v>0</v>
      </c>
      <c r="AJ93" s="55">
        <f>_xll.EQNXTDZ($A$1,$B93,AJ$5,$B$1)</f>
        <v>28929</v>
      </c>
      <c r="AK93" s="55">
        <f>_xll.EQNXTDZ($A$1,$B93,AK$5,$B$1)</f>
        <v>0</v>
      </c>
      <c r="AL93" s="55">
        <f>_xll.EQNXTDZ($A$1,$B93,AL$5,$B$1)</f>
        <v>34155</v>
      </c>
      <c r="AM93" s="55">
        <f>_xll.EQNXTDZ($A$1,$B93,AM$5,$B$1)</f>
        <v>0</v>
      </c>
      <c r="AN93" s="55">
        <f>_xll.EQNXTDZ($A$1,$B93,AN$5,$B$1)</f>
        <v>35065</v>
      </c>
      <c r="AO93" s="55">
        <f>_xll.EQNXTDZ($A$1,$B93,AO$5,$B$1)</f>
        <v>0</v>
      </c>
      <c r="AP93" s="55">
        <f>_xll.EQNXTDZ($A$1,$B93,AP$5,$B$1)</f>
        <v>42351</v>
      </c>
      <c r="AQ93" s="55">
        <f>_xll.EQNXTDZ($A$1,$B93,AQ$5,$B$1)</f>
        <v>0</v>
      </c>
      <c r="AR93" s="55">
        <f>_xll.EQNXTDZ($A$1,$B93,AR$5,$B$1)</f>
        <v>40988</v>
      </c>
      <c r="AS93" s="55">
        <f>_xll.EQNXTDZ($A$1,$B93,AS$5,$B$1)</f>
        <v>0</v>
      </c>
      <c r="AT93" s="55">
        <f>_xll.EQNXTDZ($A$1,$B93,AT$5,$B$1)</f>
        <v>43558</v>
      </c>
      <c r="AU93" s="55">
        <f>_xll.EQNXTDZ($A$1,$B93,AU$5,$B$1)</f>
        <v>0</v>
      </c>
      <c r="AV93" s="55">
        <f>_xll.EQNXTDZ($A$1,$B93,AV$5,$B$1)</f>
        <v>44904</v>
      </c>
      <c r="AW93" s="55">
        <f>_xll.EQNXTDZ($A$1,$B93,AW$5,$B$1)</f>
        <v>0</v>
      </c>
      <c r="AX93" s="55">
        <f>_xll.EQNXTDZ($A$1,$B93,AX$5,$B$1)</f>
        <v>46104</v>
      </c>
      <c r="AY93" s="55">
        <f>_xll.EQNXTDZ($A$1,$B93,AY$5,$B$1)</f>
        <v>0</v>
      </c>
      <c r="AZ93" s="55">
        <f>_xll.EQNXTDZ($A$1,$B93,AZ$5,$B$1)</f>
        <v>48482</v>
      </c>
      <c r="BA93" s="55">
        <f>_xll.EQNXTDZ($A$1,$B93,BA$5,$B$1)</f>
        <v>0</v>
      </c>
      <c r="BB93" s="55">
        <f>_xll.EQNXTDZ($A$1,$B93,BB$5,$B$1)</f>
        <v>53001</v>
      </c>
      <c r="BC93" s="55">
        <f>_xll.EQNXTDZ($A$1,$B93,BC$5,$B$1)</f>
        <v>0</v>
      </c>
      <c r="BD93" s="55">
        <f>_xll.EQNXTDZ($A$1,$B93,BD$5,$B$1)</f>
        <v>55284</v>
      </c>
      <c r="BE93" s="55">
        <f>_xll.EQNXTDZ($A$1,$B93,BE$5,$B$1)</f>
        <v>0</v>
      </c>
      <c r="BF93" s="55">
        <f>_xll.EQNXTDZ($A$1,$B93,BF$5,$B$1)</f>
        <v>60914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18420.919999999998</v>
      </c>
      <c r="E94" s="55">
        <f>_xll.EQNXTDZ($A$1,$B94,E$5,$B$1)</f>
        <v>0</v>
      </c>
      <c r="F94" s="55">
        <f>_xll.EQNXTDZ($A$1,$B94,F$5,$B$1)</f>
        <v>19733.75</v>
      </c>
      <c r="G94" s="55">
        <f>_xll.EQNXTDZ($A$1,$B94,G$5,$B$1)</f>
        <v>0</v>
      </c>
      <c r="H94" s="55">
        <f>_xll.EQNXTDZ($A$1,$B94,H$5,$B$1)</f>
        <v>22828.959999999999</v>
      </c>
      <c r="I94" s="55">
        <f>_xll.EQNXTDZ($A$1,$B94,I$5,$B$1)</f>
        <v>0</v>
      </c>
      <c r="J94" s="55">
        <f>_xll.EQNXTDZ($A$1,$B94,J$5,$B$1)</f>
        <v>27227.38</v>
      </c>
      <c r="K94" s="55">
        <f>_xll.EQNXTDZ($A$1,$B94,K$5,$B$1)</f>
        <v>0</v>
      </c>
      <c r="L94" s="55">
        <f>_xll.EQNXTDZ($A$1,$B94,L$5,$B$1)</f>
        <v>29249.24</v>
      </c>
      <c r="M94" s="55">
        <f>_xll.EQNXTDZ($A$1,$B94,M$5,$B$1)</f>
        <v>0</v>
      </c>
      <c r="N94" s="55">
        <f>_xll.EQNXTDZ($A$1,$B94,N$5,$B$1)</f>
        <v>28494.76</v>
      </c>
      <c r="O94" s="55">
        <f>_xll.EQNXTDZ($A$1,$B94,O$5,$B$1)</f>
        <v>0</v>
      </c>
      <c r="P94" s="55">
        <f>_xll.EQNXTDZ($A$1,$B94,P$5,$B$1)</f>
        <v>39050.089999999997</v>
      </c>
      <c r="Q94" s="55">
        <f>_xll.EQNXTDZ($A$1,$B94,Q$5,$B$1)</f>
        <v>0</v>
      </c>
      <c r="R94" s="55">
        <f>_xll.EQNXTDZ($A$1,$B94,R$5,$B$1)</f>
        <v>47644</v>
      </c>
      <c r="S94" s="55">
        <f>_xll.EQNXTDZ($A$1,$B94,S$5,$B$1)</f>
        <v>0</v>
      </c>
      <c r="T94" s="55">
        <f>_xll.EQNXTDZ($A$1,$B94,T$5,$B$1)</f>
        <v>55911</v>
      </c>
      <c r="U94" s="55">
        <f>_xll.EQNXTDZ($A$1,$B94,U$5,$B$1)</f>
        <v>0</v>
      </c>
      <c r="V94" s="55">
        <f>_xll.EQNXTDZ($A$1,$B94,V$5,$B$1)</f>
        <v>65804</v>
      </c>
      <c r="W94" s="55">
        <f>_xll.EQNXTDZ($A$1,$B94,W$5,$B$1)</f>
        <v>49750</v>
      </c>
      <c r="X94" s="55">
        <f>_xll.EQNXTDZ($A$1,$B94,X$5,$B$1)</f>
        <v>54491</v>
      </c>
      <c r="Y94" s="55">
        <f>_xll.EQNXTDZ($A$1,$B94,Y$5,$B$1)</f>
        <v>0</v>
      </c>
      <c r="Z94" s="55">
        <f>_xll.EQNXTDZ($A$1,$B94,Z$5,$B$1)</f>
        <v>63396</v>
      </c>
      <c r="AA94" s="55">
        <f>_xll.EQNXTDZ($A$1,$B94,AA$5,$B$1)</f>
        <v>0</v>
      </c>
      <c r="AB94" s="55">
        <f>_xll.EQNXTDZ($A$1,$B94,AB$5,$B$1)</f>
        <v>55460</v>
      </c>
      <c r="AC94" s="55">
        <f>_xll.EQNXTDZ($A$1,$B94,AC$5,$B$1)</f>
        <v>0</v>
      </c>
      <c r="AD94" s="55">
        <f>_xll.EQNXTDZ($A$1,$B94,AD$5,$B$1)</f>
        <v>70047</v>
      </c>
      <c r="AE94" s="55">
        <f>_xll.EQNXTDZ($A$1,$B94,AE$5,$B$1)</f>
        <v>0</v>
      </c>
      <c r="AF94" s="55">
        <f>_xll.EQNXTDZ($A$1,$B94,AF$5,$B$1)</f>
        <v>74648</v>
      </c>
      <c r="AG94" s="55">
        <f>_xll.EQNXTDZ($A$1,$B94,AG$5,$B$1)</f>
        <v>0</v>
      </c>
      <c r="AH94" s="55">
        <f>_xll.EQNXTDZ($A$1,$B94,AH$5,$B$1)</f>
        <v>63177</v>
      </c>
      <c r="AI94" s="55">
        <f>_xll.EQNXTDZ($A$1,$B94,AI$5,$B$1)</f>
        <v>0</v>
      </c>
      <c r="AJ94" s="55">
        <f>_xll.EQNXTDZ($A$1,$B94,AJ$5,$B$1)</f>
        <v>74447</v>
      </c>
      <c r="AK94" s="55">
        <f>_xll.EQNXTDZ($A$1,$B94,AK$5,$B$1)</f>
        <v>0</v>
      </c>
      <c r="AL94" s="55">
        <f>_xll.EQNXTDZ($A$1,$B94,AL$5,$B$1)</f>
        <v>65125</v>
      </c>
      <c r="AM94" s="55">
        <f>_xll.EQNXTDZ($A$1,$B94,AM$5,$B$1)</f>
        <v>0</v>
      </c>
      <c r="AN94" s="55">
        <f>_xll.EQNXTDZ($A$1,$B94,AN$5,$B$1)</f>
        <v>75334</v>
      </c>
      <c r="AO94" s="55">
        <f>_xll.EQNXTDZ($A$1,$B94,AO$5,$B$1)</f>
        <v>0</v>
      </c>
      <c r="AP94" s="55">
        <f>_xll.EQNXTDZ($A$1,$B94,AP$5,$B$1)</f>
        <v>65959</v>
      </c>
      <c r="AQ94" s="55">
        <f>_xll.EQNXTDZ($A$1,$B94,AQ$5,$B$1)</f>
        <v>0</v>
      </c>
      <c r="AR94" s="55">
        <f>_xll.EQNXTDZ($A$1,$B94,AR$5,$B$1)</f>
        <v>75619</v>
      </c>
      <c r="AS94" s="55">
        <f>_xll.EQNXTDZ($A$1,$B94,AS$5,$B$1)</f>
        <v>0</v>
      </c>
      <c r="AT94" s="55">
        <f>_xll.EQNXTDZ($A$1,$B94,AT$5,$B$1)</f>
        <v>66712</v>
      </c>
      <c r="AU94" s="55">
        <f>_xll.EQNXTDZ($A$1,$B94,AU$5,$B$1)</f>
        <v>0</v>
      </c>
      <c r="AV94" s="55">
        <f>_xll.EQNXTDZ($A$1,$B94,AV$5,$B$1)</f>
        <v>76605</v>
      </c>
      <c r="AW94" s="55">
        <f>_xll.EQNXTDZ($A$1,$B94,AW$5,$B$1)</f>
        <v>0</v>
      </c>
      <c r="AX94" s="55">
        <f>_xll.EQNXTDZ($A$1,$B94,AX$5,$B$1)</f>
        <v>66880</v>
      </c>
      <c r="AY94" s="55">
        <f>_xll.EQNXTDZ($A$1,$B94,AY$5,$B$1)</f>
        <v>0</v>
      </c>
      <c r="AZ94" s="55">
        <f>_xll.EQNXTDZ($A$1,$B94,AZ$5,$B$1)</f>
        <v>78458</v>
      </c>
      <c r="BA94" s="55">
        <f>_xll.EQNXTDZ($A$1,$B94,BA$5,$B$1)</f>
        <v>0</v>
      </c>
      <c r="BB94" s="55">
        <f>_xll.EQNXTDZ($A$1,$B94,BB$5,$B$1)</f>
        <v>70010</v>
      </c>
      <c r="BC94" s="55">
        <f>_xll.EQNXTDZ($A$1,$B94,BC$5,$B$1)</f>
        <v>0</v>
      </c>
      <c r="BD94" s="55">
        <f>_xll.EQNXTDZ($A$1,$B94,BD$5,$B$1)</f>
        <v>79215</v>
      </c>
      <c r="BE94" s="55">
        <f>_xll.EQNXTDZ($A$1,$B94,BE$5,$B$1)</f>
        <v>0</v>
      </c>
      <c r="BF94" s="55">
        <f>_xll.EQNXTDZ($A$1,$B94,BF$5,$B$1)</f>
        <v>74791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57.97</v>
      </c>
      <c r="E96" s="55">
        <f>_xll.EQNXTDZ($A$1,$B96,E$5,$B$1)</f>
        <v>0</v>
      </c>
      <c r="F96" s="55">
        <f>_xll.EQNXTDZ($A$1,$B96,F$5,$B$1)</f>
        <v>74.739999999999995</v>
      </c>
      <c r="G96" s="55">
        <f>_xll.EQNXTDZ($A$1,$B96,G$5,$B$1)</f>
        <v>0</v>
      </c>
      <c r="H96" s="55">
        <f>_xll.EQNXTDZ($A$1,$B96,H$5,$B$1)</f>
        <v>153.38999999999999</v>
      </c>
      <c r="I96" s="55">
        <f>_xll.EQNXTDZ($A$1,$B96,I$5,$B$1)</f>
        <v>0</v>
      </c>
      <c r="J96" s="55">
        <f>_xll.EQNXTDZ($A$1,$B96,J$5,$B$1)</f>
        <v>111.26</v>
      </c>
      <c r="K96" s="55">
        <f>_xll.EQNXTDZ($A$1,$B96,K$5,$B$1)</f>
        <v>0</v>
      </c>
      <c r="L96" s="55">
        <f>_xll.EQNXTDZ($A$1,$B96,L$5,$B$1)</f>
        <v>181.46</v>
      </c>
      <c r="M96" s="55">
        <f>_xll.EQNXTDZ($A$1,$B96,M$5,$B$1)</f>
        <v>0</v>
      </c>
      <c r="N96" s="55">
        <f>_xll.EQNXTDZ($A$1,$B96,N$5,$B$1)</f>
        <v>250.98</v>
      </c>
      <c r="O96" s="55">
        <f>_xll.EQNXTDZ($A$1,$B96,O$5,$B$1)</f>
        <v>0</v>
      </c>
      <c r="P96" s="55">
        <f>_xll.EQNXTDZ($A$1,$B96,P$5,$B$1)</f>
        <v>320.04000000000002</v>
      </c>
      <c r="Q96" s="55">
        <f>_xll.EQNXTDZ($A$1,$B96,Q$5,$B$1)</f>
        <v>0</v>
      </c>
      <c r="R96" s="55">
        <f>_xll.EQNXTDZ($A$1,$B96,R$5,$B$1)</f>
        <v>2103</v>
      </c>
      <c r="S96" s="55">
        <f>_xll.EQNXTDZ($A$1,$B96,S$5,$B$1)</f>
        <v>0</v>
      </c>
      <c r="T96" s="55">
        <f>_xll.EQNXTDZ($A$1,$B96,T$5,$B$1)</f>
        <v>1728</v>
      </c>
      <c r="U96" s="55">
        <f>_xll.EQNXTDZ($A$1,$B96,U$5,$B$1)</f>
        <v>0</v>
      </c>
      <c r="V96" s="55">
        <f>_xll.EQNXTDZ($A$1,$B96,V$5,$B$1)</f>
        <v>1909</v>
      </c>
      <c r="W96" s="55">
        <f>_xll.EQNXTDZ($A$1,$B96,W$5,$B$1)</f>
        <v>2039</v>
      </c>
      <c r="X96" s="55">
        <f>_xll.EQNXTDZ($A$1,$B96,X$5,$B$1)</f>
        <v>2287</v>
      </c>
      <c r="Y96" s="55">
        <f>_xll.EQNXTDZ($A$1,$B96,Y$5,$B$1)</f>
        <v>0</v>
      </c>
      <c r="Z96" s="55">
        <f>_xll.EQNXTDZ($A$1,$B96,Z$5,$B$1)</f>
        <v>2279</v>
      </c>
      <c r="AA96" s="55">
        <f>_xll.EQNXTDZ($A$1,$B96,AA$5,$B$1)</f>
        <v>0</v>
      </c>
      <c r="AB96" s="55">
        <f>_xll.EQNXTDZ($A$1,$B96,AB$5,$B$1)</f>
        <v>1537</v>
      </c>
      <c r="AC96" s="55">
        <f>_xll.EQNXTDZ($A$1,$B96,AC$5,$B$1)</f>
        <v>0</v>
      </c>
      <c r="AD96" s="55">
        <f>_xll.EQNXTDZ($A$1,$B96,AD$5,$B$1)</f>
        <v>1614</v>
      </c>
      <c r="AE96" s="55">
        <f>_xll.EQNXTDZ($A$1,$B96,AE$5,$B$1)</f>
        <v>0</v>
      </c>
      <c r="AF96" s="55">
        <f>_xll.EQNXTDZ($A$1,$B96,AF$5,$B$1)</f>
        <v>1392</v>
      </c>
      <c r="AG96" s="55">
        <f>_xll.EQNXTDZ($A$1,$B96,AG$5,$B$1)</f>
        <v>0</v>
      </c>
      <c r="AH96" s="55">
        <f>_xll.EQNXTDZ($A$1,$B96,AH$5,$B$1)</f>
        <v>2049</v>
      </c>
      <c r="AI96" s="55">
        <f>_xll.EQNXTDZ($A$1,$B96,AI$5,$B$1)</f>
        <v>0</v>
      </c>
      <c r="AJ96" s="55">
        <f>_xll.EQNXTDZ($A$1,$B96,AJ$5,$B$1)</f>
        <v>2413</v>
      </c>
      <c r="AK96" s="55">
        <f>_xll.EQNXTDZ($A$1,$B96,AK$5,$B$1)</f>
        <v>0</v>
      </c>
      <c r="AL96" s="55">
        <f>_xll.EQNXTDZ($A$1,$B96,AL$5,$B$1)</f>
        <v>3164</v>
      </c>
      <c r="AM96" s="55">
        <f>_xll.EQNXTDZ($A$1,$B96,AM$5,$B$1)</f>
        <v>0</v>
      </c>
      <c r="AN96" s="55">
        <f>_xll.EQNXTDZ($A$1,$B96,AN$5,$B$1)</f>
        <v>2224</v>
      </c>
      <c r="AO96" s="55">
        <f>_xll.EQNXTDZ($A$1,$B96,AO$5,$B$1)</f>
        <v>0</v>
      </c>
      <c r="AP96" s="55">
        <f>_xll.EQNXTDZ($A$1,$B96,AP$5,$B$1)</f>
        <v>3118</v>
      </c>
      <c r="AQ96" s="55">
        <f>_xll.EQNXTDZ($A$1,$B96,AQ$5,$B$1)</f>
        <v>0</v>
      </c>
      <c r="AR96" s="55">
        <f>_xll.EQNXTDZ($A$1,$B96,AR$5,$B$1)</f>
        <v>2254</v>
      </c>
      <c r="AS96" s="55">
        <f>_xll.EQNXTDZ($A$1,$B96,AS$5,$B$1)</f>
        <v>0</v>
      </c>
      <c r="AT96" s="55">
        <f>_xll.EQNXTDZ($A$1,$B96,AT$5,$B$1)</f>
        <v>2515</v>
      </c>
      <c r="AU96" s="55">
        <f>_xll.EQNXTDZ($A$1,$B96,AU$5,$B$1)</f>
        <v>0</v>
      </c>
      <c r="AV96" s="55">
        <f>_xll.EQNXTDZ($A$1,$B96,AV$5,$B$1)</f>
        <v>2515</v>
      </c>
      <c r="AW96" s="55">
        <f>_xll.EQNXTDZ($A$1,$B96,AW$5,$B$1)</f>
        <v>0</v>
      </c>
      <c r="AX96" s="55">
        <f>_xll.EQNXTDZ($A$1,$B96,AX$5,$B$1)</f>
        <v>2426</v>
      </c>
      <c r="AY96" s="55">
        <f>_xll.EQNXTDZ($A$1,$B96,AY$5,$B$1)</f>
        <v>0</v>
      </c>
      <c r="AZ96" s="55">
        <f>_xll.EQNXTDZ($A$1,$B96,AZ$5,$B$1)</f>
        <v>2450</v>
      </c>
      <c r="BA96" s="55">
        <f>_xll.EQNXTDZ($A$1,$B96,BA$5,$B$1)</f>
        <v>0</v>
      </c>
      <c r="BB96" s="55">
        <f>_xll.EQNXTDZ($A$1,$B96,BB$5,$B$1)</f>
        <v>2598</v>
      </c>
      <c r="BC96" s="55">
        <f>_xll.EQNXTDZ($A$1,$B96,BC$5,$B$1)</f>
        <v>0</v>
      </c>
      <c r="BD96" s="55">
        <f>_xll.EQNXTDZ($A$1,$B96,BD$5,$B$1)</f>
        <v>2736</v>
      </c>
      <c r="BE96" s="55">
        <f>_xll.EQNXTDZ($A$1,$B96,BE$5,$B$1)</f>
        <v>0</v>
      </c>
      <c r="BF96" s="55">
        <f>_xll.EQNXTDZ($A$1,$B96,BF$5,$B$1)</f>
        <v>3260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36521.72</v>
      </c>
      <c r="E97" s="55">
        <f>_xll.EQNXTDZ($A$1,$B97,E$5,$B$1)</f>
        <v>0</v>
      </c>
      <c r="F97" s="55">
        <f>_xll.EQNXTDZ($A$1,$B97,F$5,$B$1)</f>
        <v>40267.68</v>
      </c>
      <c r="G97" s="55">
        <f>_xll.EQNXTDZ($A$1,$B97,G$5,$B$1)</f>
        <v>0</v>
      </c>
      <c r="H97" s="55">
        <f>_xll.EQNXTDZ($A$1,$B97,H$5,$B$1)</f>
        <v>45818.31</v>
      </c>
      <c r="I97" s="55">
        <f>_xll.EQNXTDZ($A$1,$B97,I$5,$B$1)</f>
        <v>0</v>
      </c>
      <c r="J97" s="55">
        <f>_xll.EQNXTDZ($A$1,$B97,J$5,$B$1)</f>
        <v>51158.67</v>
      </c>
      <c r="K97" s="55">
        <f>_xll.EQNXTDZ($A$1,$B97,K$5,$B$1)</f>
        <v>0</v>
      </c>
      <c r="L97" s="55">
        <f>_xll.EQNXTDZ($A$1,$B97,L$5,$B$1)</f>
        <v>50925.71</v>
      </c>
      <c r="M97" s="55">
        <f>_xll.EQNXTDZ($A$1,$B97,M$5,$B$1)</f>
        <v>0</v>
      </c>
      <c r="N97" s="55">
        <f>_xll.EQNXTDZ($A$1,$B97,N$5,$B$1)</f>
        <v>52999.68</v>
      </c>
      <c r="O97" s="55">
        <f>_xll.EQNXTDZ($A$1,$B97,O$5,$B$1)</f>
        <v>0</v>
      </c>
      <c r="P97" s="55">
        <f>_xll.EQNXTDZ($A$1,$B97,P$5,$B$1)</f>
        <v>61979.66</v>
      </c>
      <c r="Q97" s="55">
        <f>_xll.EQNXTDZ($A$1,$B97,Q$5,$B$1)</f>
        <v>0</v>
      </c>
      <c r="R97" s="55">
        <f>_xll.EQNXTDZ($A$1,$B97,R$5,$B$1)</f>
        <v>72722</v>
      </c>
      <c r="S97" s="55">
        <f>_xll.EQNXTDZ($A$1,$B97,S$5,$B$1)</f>
        <v>0</v>
      </c>
      <c r="T97" s="55">
        <f>_xll.EQNXTDZ($A$1,$B97,T$5,$B$1)</f>
        <v>77989</v>
      </c>
      <c r="U97" s="55">
        <f>_xll.EQNXTDZ($A$1,$B97,U$5,$B$1)</f>
        <v>0</v>
      </c>
      <c r="V97" s="55">
        <f>_xll.EQNXTDZ($A$1,$B97,V$5,$B$1)</f>
        <v>87821</v>
      </c>
      <c r="W97" s="55">
        <f>_xll.EQNXTDZ($A$1,$B97,W$5,$B$1)</f>
        <v>71798</v>
      </c>
      <c r="X97" s="55">
        <f>_xll.EQNXTDZ($A$1,$B97,X$5,$B$1)</f>
        <v>76646</v>
      </c>
      <c r="Y97" s="55">
        <f>_xll.EQNXTDZ($A$1,$B97,Y$5,$B$1)</f>
        <v>0</v>
      </c>
      <c r="Z97" s="55">
        <f>_xll.EQNXTDZ($A$1,$B97,Z$5,$B$1)</f>
        <v>87298</v>
      </c>
      <c r="AA97" s="55">
        <f>_xll.EQNXTDZ($A$1,$B97,AA$5,$B$1)</f>
        <v>0</v>
      </c>
      <c r="AB97" s="55">
        <f>_xll.EQNXTDZ($A$1,$B97,AB$5,$B$1)</f>
        <v>78142</v>
      </c>
      <c r="AC97" s="55">
        <f>_xll.EQNXTDZ($A$1,$B97,AC$5,$B$1)</f>
        <v>0</v>
      </c>
      <c r="AD97" s="55">
        <f>_xll.EQNXTDZ($A$1,$B97,AD$5,$B$1)</f>
        <v>91817</v>
      </c>
      <c r="AE97" s="55">
        <f>_xll.EQNXTDZ($A$1,$B97,AE$5,$B$1)</f>
        <v>0</v>
      </c>
      <c r="AF97" s="55">
        <f>_xll.EQNXTDZ($A$1,$B97,AF$5,$B$1)</f>
        <v>102587</v>
      </c>
      <c r="AG97" s="55">
        <f>_xll.EQNXTDZ($A$1,$B97,AG$5,$B$1)</f>
        <v>0</v>
      </c>
      <c r="AH97" s="55">
        <f>_xll.EQNXTDZ($A$1,$B97,AH$5,$B$1)</f>
        <v>93060</v>
      </c>
      <c r="AI97" s="55">
        <f>_xll.EQNXTDZ($A$1,$B97,AI$5,$B$1)</f>
        <v>0</v>
      </c>
      <c r="AJ97" s="55">
        <f>_xll.EQNXTDZ($A$1,$B97,AJ$5,$B$1)</f>
        <v>103830</v>
      </c>
      <c r="AK97" s="55">
        <f>_xll.EQNXTDZ($A$1,$B97,AK$5,$B$1)</f>
        <v>0</v>
      </c>
      <c r="AL97" s="55">
        <f>_xll.EQNXTDZ($A$1,$B97,AL$5,$B$1)</f>
        <v>95837</v>
      </c>
      <c r="AM97" s="55">
        <f>_xll.EQNXTDZ($A$1,$B97,AM$5,$B$1)</f>
        <v>0</v>
      </c>
      <c r="AN97" s="55">
        <f>_xll.EQNXTDZ($A$1,$B97,AN$5,$B$1)</f>
        <v>106433</v>
      </c>
      <c r="AO97" s="55">
        <f>_xll.EQNXTDZ($A$1,$B97,AO$5,$B$1)</f>
        <v>0</v>
      </c>
      <c r="AP97" s="55">
        <f>_xll.EQNXTDZ($A$1,$B97,AP$5,$B$1)</f>
        <v>98573</v>
      </c>
      <c r="AQ97" s="55">
        <f>_xll.EQNXTDZ($A$1,$B97,AQ$5,$B$1)</f>
        <v>0</v>
      </c>
      <c r="AR97" s="55">
        <f>_xll.EQNXTDZ($A$1,$B97,AR$5,$B$1)</f>
        <v>106482</v>
      </c>
      <c r="AS97" s="55">
        <f>_xll.EQNXTDZ($A$1,$B97,AS$5,$B$1)</f>
        <v>0</v>
      </c>
      <c r="AT97" s="55">
        <f>_xll.EQNXTDZ($A$1,$B97,AT$5,$B$1)</f>
        <v>99301</v>
      </c>
      <c r="AU97" s="55">
        <f>_xll.EQNXTDZ($A$1,$B97,AU$5,$B$1)</f>
        <v>0</v>
      </c>
      <c r="AV97" s="55">
        <f>_xll.EQNXTDZ($A$1,$B97,AV$5,$B$1)</f>
        <v>109097</v>
      </c>
      <c r="AW97" s="55">
        <f>_xll.EQNXTDZ($A$1,$B97,AW$5,$B$1)</f>
        <v>0</v>
      </c>
      <c r="AX97" s="55">
        <f>_xll.EQNXTDZ($A$1,$B97,AX$5,$B$1)</f>
        <v>99368</v>
      </c>
      <c r="AY97" s="55">
        <f>_xll.EQNXTDZ($A$1,$B97,AY$5,$B$1)</f>
        <v>0</v>
      </c>
      <c r="AZ97" s="55">
        <f>_xll.EQNXTDZ($A$1,$B97,AZ$5,$B$1)</f>
        <v>111704</v>
      </c>
      <c r="BA97" s="55">
        <f>_xll.EQNXTDZ($A$1,$B97,BA$5,$B$1)</f>
        <v>0</v>
      </c>
      <c r="BB97" s="55">
        <f>_xll.EQNXTDZ($A$1,$B97,BB$5,$B$1)</f>
        <v>105648</v>
      </c>
      <c r="BC97" s="55">
        <f>_xll.EQNXTDZ($A$1,$B97,BC$5,$B$1)</f>
        <v>0</v>
      </c>
      <c r="BD97" s="55">
        <f>_xll.EQNXTDZ($A$1,$B97,BD$5,$B$1)</f>
        <v>118854</v>
      </c>
      <c r="BE97" s="55">
        <f>_xll.EQNXTDZ($A$1,$B97,BE$5,$B$1)</f>
        <v>0</v>
      </c>
      <c r="BF97" s="55">
        <f>_xll.EQNXTDZ($A$1,$B97,BF$5,$B$1)</f>
        <v>120253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132540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Tata Consultancy Services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9753.98</v>
      </c>
      <c r="H6" s="100">
        <f>_xll.EQNXTDZ($A$1,$B6,H$1,$B$1)</f>
        <v>13266.11</v>
      </c>
      <c r="I6" s="100">
        <f>_xll.EQNXTDZ($A$1,$B6,I$1,$B$1)</f>
        <v>18687.330000000002</v>
      </c>
      <c r="J6" s="100">
        <f>_xll.EQNXTDZ($A$1,$B6,J$1,$B$1)</f>
        <v>22622.35</v>
      </c>
      <c r="K6" s="100">
        <f>_xll.EQNXTDZ($A$1,$B6,K$1,$B$1)</f>
        <v>27814.959999999999</v>
      </c>
      <c r="L6" s="100">
        <f>_xll.EQNXTDZ($A$1,$B6,L$1,$B$1)</f>
        <v>30029.31</v>
      </c>
      <c r="M6" s="100">
        <f>_xll.EQNXTDZ($A$1,$B6,M$1,$B$1)</f>
        <v>37324.78</v>
      </c>
      <c r="N6" s="100">
        <f>_xll.EQNXTDZ($A$1,$B6,N$1,$B$1)</f>
        <v>48894.080000000002</v>
      </c>
      <c r="O6" s="100">
        <f>_xll.EQNXTDZ($A$1,$B6,O$1,$B$1)</f>
        <v>62990.3</v>
      </c>
      <c r="P6" s="100">
        <f>_xll.EQNXTDZ($A$1,$B6,P$1,$B$1)</f>
        <v>81812.509999999995</v>
      </c>
      <c r="Q6" s="100">
        <f>_xll.EQNXTDZ($A$1,$B6,Q$1,$B$1)</f>
        <v>94652.5</v>
      </c>
      <c r="R6" s="100">
        <f>_xll.EQNXTDZ($A$1,$B6,R$1,$B$1)</f>
        <v>108646</v>
      </c>
      <c r="S6" s="100">
        <f>_xll.EQNXTDZ($A$1,$B6,S$1,$B$1)</f>
        <v>117966</v>
      </c>
      <c r="T6" s="100">
        <f>_xll.EQNXTDZ($A$1,$B6,T$1,$B$1)</f>
        <v>123104</v>
      </c>
      <c r="U6" s="100">
        <f>_xll.EQNXTDZ($A$1,$B6,U$1,$B$1)</f>
        <v>146463</v>
      </c>
      <c r="V6" s="100">
        <f>_xll.EQNXTDZ($A$1,$B6,V$1,$B$1)</f>
        <v>156949</v>
      </c>
      <c r="W6" s="100">
        <f>_xll.EQNXTDZ($A$1,$B6,W$1,$B$1)</f>
        <v>164177</v>
      </c>
      <c r="X6" s="100">
        <f>_xll.EQNXTDZ($A$1,$B6,X$1,$B$1)</f>
        <v>191754</v>
      </c>
      <c r="Y6" s="100">
        <f>_xll.EQNXTDZ($A$1,$B6,Y$1,$B$1)</f>
        <v>225458</v>
      </c>
      <c r="Z6" s="100">
        <f>_xll.EQNXTDZ($A$1,$B6,Z$1,$B$1)</f>
        <v>240893</v>
      </c>
      <c r="AA6" s="100">
        <f>_xll.EQNXTDZ($A$1,$B6,AA$1,$B$1)</f>
        <v>255324</v>
      </c>
      <c r="AB6" s="100">
        <f>_xll.EQNXTDZ($A$1,$B6,AB$1,$B$1)</f>
        <v>267021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5.51</v>
      </c>
      <c r="H9" s="100">
        <f>_xll.EQNXTDZ($A$1,$B9,H$1,$B$1)</f>
        <v>2.12</v>
      </c>
      <c r="I9" s="100">
        <f>_xll.EQNXTDZ($A$1,$B9,I$1,$B$1)</f>
        <v>2.12</v>
      </c>
      <c r="J9" s="100">
        <f>_xll.EQNXTDZ($A$1,$B9,J$1,$B$1)</f>
        <v>2.83</v>
      </c>
      <c r="K9" s="100">
        <f>_xll.EQNXTDZ($A$1,$B9,K$1,$B$1)</f>
        <v>2.08</v>
      </c>
      <c r="L9" s="100">
        <f>_xll.EQNXTDZ($A$1,$B9,L$1,$B$1)</f>
        <v>0.39</v>
      </c>
      <c r="M9" s="100">
        <f>_xll.EQNXTDZ($A$1,$B9,M$1,$B$1)</f>
        <v>0.27</v>
      </c>
      <c r="N9" s="100">
        <f>_xll.EQNXTDZ($A$1,$B9,N$1,$B$1)</f>
        <v>0.25</v>
      </c>
      <c r="O9" s="100">
        <f>_xll.EQNXTDZ($A$1,$B9,O$1,$B$1)</f>
        <v>0.82</v>
      </c>
      <c r="P9" s="100">
        <f>_xll.EQNXTDZ($A$1,$B9,P$1,$B$1)</f>
        <v>3.15</v>
      </c>
      <c r="Q9" s="100">
        <f>_xll.EQNXTDZ($A$1,$B9,Q$1,$B$1)</f>
        <v>4.09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9748.4699999999993</v>
      </c>
      <c r="H10" s="100">
        <f>_xll.EQNXTDZ($A$1,$B10,H$1,$B$1)</f>
        <v>13263.99</v>
      </c>
      <c r="I10" s="100">
        <f>_xll.EQNXTDZ($A$1,$B10,I$1,$B$1)</f>
        <v>18685.21</v>
      </c>
      <c r="J10" s="100">
        <f>_xll.EQNXTDZ($A$1,$B10,J$1,$B$1)</f>
        <v>22619.52</v>
      </c>
      <c r="K10" s="100">
        <f>_xll.EQNXTDZ($A$1,$B10,K$1,$B$1)</f>
        <v>27812.880000000001</v>
      </c>
      <c r="L10" s="100">
        <f>_xll.EQNXTDZ($A$1,$B10,L$1,$B$1)</f>
        <v>30028.92</v>
      </c>
      <c r="M10" s="100">
        <f>_xll.EQNXTDZ($A$1,$B10,M$1,$B$1)</f>
        <v>37324.51</v>
      </c>
      <c r="N10" s="100">
        <f>_xll.EQNXTDZ($A$1,$B10,N$1,$B$1)</f>
        <v>48893.83</v>
      </c>
      <c r="O10" s="100">
        <f>_xll.EQNXTDZ($A$1,$B10,O$1,$B$1)</f>
        <v>62989.48</v>
      </c>
      <c r="P10" s="100">
        <f>_xll.EQNXTDZ($A$1,$B10,P$1,$B$1)</f>
        <v>81809.36</v>
      </c>
      <c r="Q10" s="100">
        <f>_xll.EQNXTDZ($A$1,$B10,Q$1,$B$1)</f>
        <v>94648.41</v>
      </c>
      <c r="R10" s="100">
        <f>_xll.EQNXTDZ($A$1,$B10,R$1,$B$1)</f>
        <v>108646</v>
      </c>
      <c r="S10" s="100">
        <f>_xll.EQNXTDZ($A$1,$B10,S$1,$B$1)</f>
        <v>117966</v>
      </c>
      <c r="T10" s="100">
        <f>_xll.EQNXTDZ($A$1,$B10,T$1,$B$1)</f>
        <v>123104</v>
      </c>
      <c r="U10" s="100">
        <f>_xll.EQNXTDZ($A$1,$B10,U$1,$B$1)</f>
        <v>146463</v>
      </c>
      <c r="V10" s="100">
        <f>_xll.EQNXTDZ($A$1,$B10,V$1,$B$1)</f>
        <v>156949</v>
      </c>
      <c r="W10" s="100">
        <f>_xll.EQNXTDZ($A$1,$B10,W$1,$B$1)</f>
        <v>164177</v>
      </c>
      <c r="X10" s="100">
        <f>_xll.EQNXTDZ($A$1,$B10,X$1,$B$1)</f>
        <v>191754</v>
      </c>
      <c r="Y10" s="100">
        <f>_xll.EQNXTDZ($A$1,$B10,Y$1,$B$1)</f>
        <v>225458</v>
      </c>
      <c r="Z10" s="100">
        <f>_xll.EQNXTDZ($A$1,$B10,Z$1,$B$1)</f>
        <v>240893</v>
      </c>
      <c r="AA10" s="100">
        <f>_xll.EQNXTDZ($A$1,$B10,AA$1,$B$1)</f>
        <v>255324</v>
      </c>
      <c r="AB10" s="100">
        <f>_xll.EQNXTDZ($A$1,$B10,AB$1,$B$1)</f>
        <v>267021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-1</v>
      </c>
      <c r="T11" s="100">
        <f>_xll.EQNXTDZ($A$1,$B11,T$1,$B$1)</f>
        <v>1</v>
      </c>
      <c r="U11" s="100">
        <f>_xll.EQNXTDZ($A$1,$B11,U$1,$B$1)</f>
        <v>0</v>
      </c>
      <c r="V11" s="100">
        <f>_xll.EQNXTDZ($A$1,$B11,V$1,$B$1)</f>
        <v>-1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-2</v>
      </c>
      <c r="Z11" s="100">
        <f>_xll.EQNXTDZ($A$1,$B11,Z$1,$B$1)</f>
        <v>5</v>
      </c>
      <c r="AA11" s="100">
        <f>_xll.EQNXTDZ($A$1,$B11,AA$1,$B$1)</f>
        <v>-1</v>
      </c>
      <c r="AB11" s="100">
        <f>_xll.EQNXTDZ($A$1,$B11,AB$1,$B$1)</f>
        <v>-2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94</v>
      </c>
      <c r="T12" s="100">
        <f>_xll.EQNXTDZ($A$1,$B12,T$1,$B$1)</f>
        <v>85</v>
      </c>
      <c r="U12" s="100">
        <f>_xll.EQNXTDZ($A$1,$B12,U$1,$B$1)</f>
        <v>40</v>
      </c>
      <c r="V12" s="100">
        <f>_xll.EQNXTDZ($A$1,$B12,V$1,$B$1)</f>
        <v>18</v>
      </c>
      <c r="W12" s="100">
        <f>_xll.EQNXTDZ($A$1,$B12,W$1,$B$1)</f>
        <v>15</v>
      </c>
      <c r="X12" s="100">
        <f>_xll.EQNXTDZ($A$1,$B12,X$1,$B$1)</f>
        <v>26</v>
      </c>
      <c r="Y12" s="100">
        <f>_xll.EQNXTDZ($A$1,$B12,Y$1,$B$1)</f>
        <v>37</v>
      </c>
      <c r="Z12" s="100">
        <f>_xll.EQNXTDZ($A$1,$B12,Z$1,$B$1)</f>
        <v>42</v>
      </c>
      <c r="AA12" s="100">
        <f>_xll.EQNXTDZ($A$1,$B12,AA$1,$B$1)</f>
        <v>49</v>
      </c>
      <c r="AB12" s="100">
        <f>_xll.EQNXTDZ($A$1,$B12,AB$1,$B$1)</f>
        <v>43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52.93</v>
      </c>
      <c r="H13" s="100">
        <f>_xll.EQNXTDZ($A$1,$B13,H$1,$B$1)</f>
        <v>75.989999999999995</v>
      </c>
      <c r="I13" s="100">
        <f>_xll.EQNXTDZ($A$1,$B13,I$1,$B$1)</f>
        <v>115.86</v>
      </c>
      <c r="J13" s="100">
        <f>_xll.EQNXTDZ($A$1,$B13,J$1,$B$1)</f>
        <v>158.22</v>
      </c>
      <c r="K13" s="100">
        <f>_xll.EQNXTDZ($A$1,$B13,K$1,$B$1)</f>
        <v>196.23</v>
      </c>
      <c r="L13" s="100">
        <f>_xll.EQNXTDZ($A$1,$B13,L$1,$B$1)</f>
        <v>250.59</v>
      </c>
      <c r="M13" s="100">
        <f>_xll.EQNXTDZ($A$1,$B13,M$1,$B$1)</f>
        <v>302.08</v>
      </c>
      <c r="N13" s="100">
        <f>_xll.EQNXTDZ($A$1,$B13,N$1,$B$1)</f>
        <v>366.32</v>
      </c>
      <c r="O13" s="100">
        <f>_xll.EQNXTDZ($A$1,$B13,O$1,$B$1)</f>
        <v>475.76</v>
      </c>
      <c r="P13" s="100">
        <f>_xll.EQNXTDZ($A$1,$B13,P$1,$B$1)</f>
        <v>527.1</v>
      </c>
      <c r="Q13" s="100">
        <f>_xll.EQNXTDZ($A$1,$B13,Q$1,$B$1)</f>
        <v>573.87</v>
      </c>
      <c r="R13" s="100">
        <f>_xll.EQNXTDZ($A$1,$B13,R$1,$B$1)</f>
        <v>0</v>
      </c>
      <c r="S13" s="100">
        <f>_xll.EQNXTDZ($A$1,$B13,S$1,$B$1)</f>
        <v>0</v>
      </c>
      <c r="T13" s="100">
        <f>_xll.EQNXTDZ($A$1,$B13,T$1,$B$1)</f>
        <v>0</v>
      </c>
      <c r="U13" s="100">
        <f>_xll.EQNXTDZ($A$1,$B13,U$1,$B$1)</f>
        <v>0</v>
      </c>
      <c r="V13" s="100">
        <f>_xll.EQNXTDZ($A$1,$B13,V$1,$B$1)</f>
        <v>0</v>
      </c>
      <c r="W13" s="100">
        <f>_xll.EQNXTDZ($A$1,$B13,W$1,$B$1)</f>
        <v>0</v>
      </c>
      <c r="X13" s="100">
        <f>_xll.EQNXTDZ($A$1,$B13,X$1,$B$1)</f>
        <v>0</v>
      </c>
      <c r="Y13" s="100">
        <f>_xll.EQNXTDZ($A$1,$B13,Y$1,$B$1)</f>
        <v>0</v>
      </c>
      <c r="Z13" s="100">
        <f>_xll.EQNXTDZ($A$1,$B13,Z$1,$B$1)</f>
        <v>0</v>
      </c>
      <c r="AA13" s="100">
        <f>_xll.EQNXTDZ($A$1,$B13,AA$1,$B$1)</f>
        <v>0</v>
      </c>
      <c r="AB13" s="100">
        <f>_xll.EQNXTDZ($A$1,$B13,AB$1,$B$1)</f>
        <v>0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2382.86</v>
      </c>
      <c r="H14" s="100">
        <f>_xll.EQNXTDZ($A$1,$B14,H$1,$B$1)</f>
        <v>4715.1000000000004</v>
      </c>
      <c r="I14" s="100">
        <f>_xll.EQNXTDZ($A$1,$B14,I$1,$B$1)</f>
        <v>8995.98</v>
      </c>
      <c r="J14" s="100">
        <f>_xll.EQNXTDZ($A$1,$B14,J$1,$B$1)</f>
        <v>11399.97</v>
      </c>
      <c r="K14" s="100">
        <f>_xll.EQNXTDZ($A$1,$B14,K$1,$B$1)</f>
        <v>14470.4</v>
      </c>
      <c r="L14" s="100">
        <f>_xll.EQNXTDZ($A$1,$B14,L$1,$B$1)</f>
        <v>15065.75</v>
      </c>
      <c r="M14" s="100">
        <f>_xll.EQNXTDZ($A$1,$B14,M$1,$B$1)</f>
        <v>18805.7</v>
      </c>
      <c r="N14" s="100">
        <f>_xll.EQNXTDZ($A$1,$B14,N$1,$B$1)</f>
        <v>24683.35</v>
      </c>
      <c r="O14" s="100">
        <f>_xll.EQNXTDZ($A$1,$B14,O$1,$B$1)</f>
        <v>31921.86</v>
      </c>
      <c r="P14" s="100">
        <f>_xll.EQNXTDZ($A$1,$B14,P$1,$B$1)</f>
        <v>40486.300000000003</v>
      </c>
      <c r="Q14" s="100">
        <f>_xll.EQNXTDZ($A$1,$B14,Q$1,$B$1)</f>
        <v>50924.35</v>
      </c>
      <c r="R14" s="100">
        <f>_xll.EQNXTDZ($A$1,$B14,R$1,$B$1)</f>
        <v>55348</v>
      </c>
      <c r="S14" s="100">
        <f>_xll.EQNXTDZ($A$1,$B14,S$1,$B$1)</f>
        <v>61621</v>
      </c>
      <c r="T14" s="100">
        <f>_xll.EQNXTDZ($A$1,$B14,T$1,$B$1)</f>
        <v>66383</v>
      </c>
      <c r="U14" s="100">
        <f>_xll.EQNXTDZ($A$1,$B14,U$1,$B$1)</f>
        <v>78246</v>
      </c>
      <c r="V14" s="100">
        <f>_xll.EQNXTDZ($A$1,$B14,V$1,$B$1)</f>
        <v>85952</v>
      </c>
      <c r="W14" s="100">
        <f>_xll.EQNXTDZ($A$1,$B14,W$1,$B$1)</f>
        <v>91804</v>
      </c>
      <c r="X14" s="100">
        <f>_xll.EQNXTDZ($A$1,$B14,X$1,$B$1)</f>
        <v>107542</v>
      </c>
      <c r="Y14" s="100">
        <f>_xll.EQNXTDZ($A$1,$B14,Y$1,$B$1)</f>
        <v>127509</v>
      </c>
      <c r="Z14" s="100">
        <f>_xll.EQNXTDZ($A$1,$B14,Z$1,$B$1)</f>
        <v>140116</v>
      </c>
      <c r="AA14" s="100">
        <f>_xll.EQNXTDZ($A$1,$B14,AA$1,$B$1)</f>
        <v>145776</v>
      </c>
      <c r="AB14" s="100">
        <f>_xll.EQNXTDZ($A$1,$B14,AB$1,$B$1)</f>
        <v>154979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0.02</v>
      </c>
      <c r="G15" s="100">
        <f>_xll.EQNXTDZ($A$1,$B15,G$1,$B$1)</f>
        <v>3150.65</v>
      </c>
      <c r="H15" s="100">
        <f>_xll.EQNXTDZ($A$1,$B15,H$1,$B$1)</f>
        <v>2750.89</v>
      </c>
      <c r="I15" s="100">
        <f>_xll.EQNXTDZ($A$1,$B15,I$1,$B$1)</f>
        <v>1990.63</v>
      </c>
      <c r="J15" s="100">
        <f>_xll.EQNXTDZ($A$1,$B15,J$1,$B$1)</f>
        <v>2199.8000000000002</v>
      </c>
      <c r="K15" s="100">
        <f>_xll.EQNXTDZ($A$1,$B15,K$1,$B$1)</f>
        <v>2437.54</v>
      </c>
      <c r="L15" s="100">
        <f>_xll.EQNXTDZ($A$1,$B15,L$1,$B$1)</f>
        <v>2486.34</v>
      </c>
      <c r="M15" s="100">
        <f>_xll.EQNXTDZ($A$1,$B15,M$1,$B$1)</f>
        <v>3302.23</v>
      </c>
      <c r="N15" s="100">
        <f>_xll.EQNXTDZ($A$1,$B15,N$1,$B$1)</f>
        <v>4271.84</v>
      </c>
      <c r="O15" s="100">
        <f>_xll.EQNXTDZ($A$1,$B15,O$1,$B$1)</f>
        <v>6311.79</v>
      </c>
      <c r="P15" s="100">
        <f>_xll.EQNXTDZ($A$1,$B15,P$1,$B$1)</f>
        <v>8180.67</v>
      </c>
      <c r="Q15" s="100">
        <f>_xll.EQNXTDZ($A$1,$B15,Q$1,$B$1)</f>
        <v>9811.27</v>
      </c>
      <c r="R15" s="100">
        <f>_xll.EQNXTDZ($A$1,$B15,R$1,$B$1)</f>
        <v>3406</v>
      </c>
      <c r="S15" s="100">
        <f>_xll.EQNXTDZ($A$1,$B15,S$1,$B$1)</f>
        <v>3685</v>
      </c>
      <c r="T15" s="100">
        <f>_xll.EQNXTDZ($A$1,$B15,T$1,$B$1)</f>
        <v>3938</v>
      </c>
      <c r="U15" s="100">
        <f>_xll.EQNXTDZ($A$1,$B15,U$1,$B$1)</f>
        <v>4262</v>
      </c>
      <c r="V15" s="100">
        <f>_xll.EQNXTDZ($A$1,$B15,V$1,$B$1)</f>
        <v>2702</v>
      </c>
      <c r="W15" s="100">
        <f>_xll.EQNXTDZ($A$1,$B15,W$1,$B$1)</f>
        <v>2131</v>
      </c>
      <c r="X15" s="100">
        <f>_xll.EQNXTDZ($A$1,$B15,X$1,$B$1)</f>
        <v>2139</v>
      </c>
      <c r="Y15" s="100">
        <f>_xll.EQNXTDZ($A$1,$B15,Y$1,$B$1)</f>
        <v>6143</v>
      </c>
      <c r="Z15" s="100">
        <f>_xll.EQNXTDZ($A$1,$B15,Z$1,$B$1)</f>
        <v>7117</v>
      </c>
      <c r="AA15" s="100">
        <f>_xll.EQNXTDZ($A$1,$B15,AA$1,$B$1)</f>
        <v>7793</v>
      </c>
      <c r="AB15" s="100">
        <f>_xll.EQNXTDZ($A$1,$B15,AB$1,$B$1)</f>
        <v>8489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727.26</v>
      </c>
      <c r="H16" s="100">
        <f>_xll.EQNXTDZ($A$1,$B16,H$1,$B$1)</f>
        <v>1027.6500000000001</v>
      </c>
      <c r="I16" s="100">
        <f>_xll.EQNXTDZ($A$1,$B16,I$1,$B$1)</f>
        <v>1137.3399999999999</v>
      </c>
      <c r="J16" s="100">
        <f>_xll.EQNXTDZ($A$1,$B16,J$1,$B$1)</f>
        <v>1534.49</v>
      </c>
      <c r="K16" s="100">
        <f>_xll.EQNXTDZ($A$1,$B16,K$1,$B$1)</f>
        <v>1454.73</v>
      </c>
      <c r="L16" s="100">
        <f>_xll.EQNXTDZ($A$1,$B16,L$1,$B$1)</f>
        <v>1452.03</v>
      </c>
      <c r="M16" s="100">
        <f>_xll.EQNXTDZ($A$1,$B16,M$1,$B$1)</f>
        <v>1625.09</v>
      </c>
      <c r="N16" s="100">
        <f>_xll.EQNXTDZ($A$1,$B16,N$1,$B$1)</f>
        <v>2219.15</v>
      </c>
      <c r="O16" s="100">
        <f>_xll.EQNXTDZ($A$1,$B16,O$1,$B$1)</f>
        <v>2652.5</v>
      </c>
      <c r="P16" s="100">
        <f>_xll.EQNXTDZ($A$1,$B16,P$1,$B$1)</f>
        <v>3088.68</v>
      </c>
      <c r="Q16" s="100">
        <f>_xll.EQNXTDZ($A$1,$B16,Q$1,$B$1)</f>
        <v>3835.83</v>
      </c>
      <c r="R16" s="100">
        <f>_xll.EQNXTDZ($A$1,$B16,R$1,$B$1)</f>
        <v>2571</v>
      </c>
      <c r="S16" s="100">
        <f>_xll.EQNXTDZ($A$1,$B16,S$1,$B$1)</f>
        <v>2715</v>
      </c>
      <c r="T16" s="100">
        <f>_xll.EQNXTDZ($A$1,$B16,T$1,$B$1)</f>
        <v>2614</v>
      </c>
      <c r="U16" s="100">
        <f>_xll.EQNXTDZ($A$1,$B16,U$1,$B$1)</f>
        <v>2230</v>
      </c>
      <c r="V16" s="100">
        <f>_xll.EQNXTDZ($A$1,$B16,V$1,$B$1)</f>
        <v>1888</v>
      </c>
      <c r="W16" s="100">
        <f>_xll.EQNXTDZ($A$1,$B16,W$1,$B$1)</f>
        <v>1447</v>
      </c>
      <c r="X16" s="100">
        <f>_xll.EQNXTDZ($A$1,$B16,X$1,$B$1)</f>
        <v>1137</v>
      </c>
      <c r="Y16" s="100">
        <f>_xll.EQNXTDZ($A$1,$B16,Y$1,$B$1)</f>
        <v>1846</v>
      </c>
      <c r="Z16" s="100">
        <f>_xll.EQNXTDZ($A$1,$B16,Z$1,$B$1)</f>
        <v>3655</v>
      </c>
      <c r="AA16" s="100">
        <f>_xll.EQNXTDZ($A$1,$B16,AA$1,$B$1)</f>
        <v>11600</v>
      </c>
      <c r="AB16" s="100">
        <f>_xll.EQNXTDZ($A$1,$B16,AB$1,$B$1)</f>
        <v>4358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0.01</v>
      </c>
      <c r="G17" s="100">
        <f>_xll.EQNXTDZ($A$1,$B17,G$1,$B$1)</f>
        <v>626.04</v>
      </c>
      <c r="H17" s="100">
        <f>_xll.EQNXTDZ($A$1,$B17,H$1,$B$1)</f>
        <v>849.24</v>
      </c>
      <c r="I17" s="100">
        <f>_xll.EQNXTDZ($A$1,$B17,I$1,$B$1)</f>
        <v>1235.3699999999999</v>
      </c>
      <c r="J17" s="100">
        <f>_xll.EQNXTDZ($A$1,$B17,J$1,$B$1)</f>
        <v>1532.66</v>
      </c>
      <c r="K17" s="100">
        <f>_xll.EQNXTDZ($A$1,$B17,K$1,$B$1)</f>
        <v>1945.4</v>
      </c>
      <c r="L17" s="100">
        <f>_xll.EQNXTDZ($A$1,$B17,L$1,$B$1)</f>
        <v>1852.96</v>
      </c>
      <c r="M17" s="100">
        <f>_xll.EQNXTDZ($A$1,$B17,M$1,$B$1)</f>
        <v>2162.29</v>
      </c>
      <c r="N17" s="100">
        <f>_xll.EQNXTDZ($A$1,$B17,N$1,$B$1)</f>
        <v>2831.48</v>
      </c>
      <c r="O17" s="100">
        <f>_xll.EQNXTDZ($A$1,$B17,O$1,$B$1)</f>
        <v>3477.14</v>
      </c>
      <c r="P17" s="100">
        <f>_xll.EQNXTDZ($A$1,$B17,P$1,$B$1)</f>
        <v>4278.5200000000004</v>
      </c>
      <c r="Q17" s="100">
        <f>_xll.EQNXTDZ($A$1,$B17,Q$1,$B$1)</f>
        <v>4842.25</v>
      </c>
      <c r="R17" s="100">
        <f>_xll.EQNXTDZ($A$1,$B17,R$1,$B$1)</f>
        <v>16509</v>
      </c>
      <c r="S17" s="100">
        <f>_xll.EQNXTDZ($A$1,$B17,S$1,$B$1)</f>
        <v>17416</v>
      </c>
      <c r="T17" s="100">
        <f>_xll.EQNXTDZ($A$1,$B17,T$1,$B$1)</f>
        <v>17361</v>
      </c>
      <c r="U17" s="100">
        <f>_xll.EQNXTDZ($A$1,$B17,U$1,$B$1)</f>
        <v>21772</v>
      </c>
      <c r="V17" s="100">
        <f>_xll.EQNXTDZ($A$1,$B17,V$1,$B$1)</f>
        <v>24137</v>
      </c>
      <c r="W17" s="100">
        <f>_xll.EQNXTDZ($A$1,$B17,W$1,$B$1)</f>
        <v>22033</v>
      </c>
      <c r="X17" s="100">
        <f>_xll.EQNXTDZ($A$1,$B17,X$1,$B$1)</f>
        <v>27718</v>
      </c>
      <c r="Y17" s="100">
        <f>_xll.EQNXTDZ($A$1,$B17,Y$1,$B$1)</f>
        <v>30526</v>
      </c>
      <c r="Z17" s="100">
        <f>_xll.EQNXTDZ($A$1,$B17,Z$1,$B$1)</f>
        <v>25548</v>
      </c>
      <c r="AA17" s="100">
        <f>_xll.EQNXTDZ($A$1,$B17,AA$1,$B$1)</f>
        <v>22572</v>
      </c>
      <c r="AB17" s="100">
        <f>_xll.EQNXTDZ($A$1,$B17,AB$1,$B$1)</f>
        <v>26572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18.03</v>
      </c>
      <c r="H18" s="100">
        <f>_xll.EQNXTDZ($A$1,$B18,H$1,$B$1)</f>
        <v>37.090000000000003</v>
      </c>
      <c r="I18" s="100">
        <f>_xll.EQNXTDZ($A$1,$B18,I$1,$B$1)</f>
        <v>32.58</v>
      </c>
      <c r="J18" s="100">
        <f>_xll.EQNXTDZ($A$1,$B18,J$1,$B$1)</f>
        <v>35.71</v>
      </c>
      <c r="K18" s="100">
        <f>_xll.EQNXTDZ($A$1,$B18,K$1,$B$1)</f>
        <v>30.52</v>
      </c>
      <c r="L18" s="100">
        <f>_xll.EQNXTDZ($A$1,$B18,L$1,$B$1)</f>
        <v>6.59</v>
      </c>
      <c r="M18" s="100">
        <f>_xll.EQNXTDZ($A$1,$B18,M$1,$B$1)</f>
        <v>20.37</v>
      </c>
      <c r="N18" s="100">
        <f>_xll.EQNXTDZ($A$1,$B18,N$1,$B$1)</f>
        <v>40.33</v>
      </c>
      <c r="O18" s="100">
        <f>_xll.EQNXTDZ($A$1,$B18,O$1,$B$1)</f>
        <v>54.86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0</v>
      </c>
      <c r="T18" s="100">
        <f>_xll.EQNXTDZ($A$1,$B18,T$1,$B$1)</f>
        <v>0</v>
      </c>
      <c r="U18" s="100">
        <f>_xll.EQNXTDZ($A$1,$B18,U$1,$B$1)</f>
        <v>0</v>
      </c>
      <c r="V18" s="100">
        <f>_xll.EQNXTDZ($A$1,$B18,V$1,$B$1)</f>
        <v>0</v>
      </c>
      <c r="W18" s="100">
        <f>_xll.EQNXTDZ($A$1,$B18,W$1,$B$1)</f>
        <v>0</v>
      </c>
      <c r="X18" s="100">
        <f>_xll.EQNXTDZ($A$1,$B18,X$1,$B$1)</f>
        <v>0</v>
      </c>
      <c r="Y18" s="100">
        <f>_xll.EQNXTDZ($A$1,$B18,Y$1,$B$1)</f>
        <v>0</v>
      </c>
      <c r="Z18" s="100">
        <f>_xll.EQNXTDZ($A$1,$B18,Z$1,$B$1)</f>
        <v>0</v>
      </c>
      <c r="AA18" s="100">
        <f>_xll.EQNXTDZ($A$1,$B18,AA$1,$B$1)</f>
        <v>0</v>
      </c>
      <c r="AB18" s="100">
        <f>_xll.EQNXTDZ($A$1,$B18,AB$1,$B$1)</f>
        <v>0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78.87</v>
      </c>
      <c r="H19" s="100">
        <f>_xll.EQNXTDZ($A$1,$B19,H$1,$B$1)</f>
        <v>123.73</v>
      </c>
      <c r="I19" s="100">
        <f>_xll.EQNXTDZ($A$1,$B19,I$1,$B$1)</f>
        <v>38.6</v>
      </c>
      <c r="J19" s="100">
        <f>_xll.EQNXTDZ($A$1,$B19,J$1,$B$1)</f>
        <v>48.74</v>
      </c>
      <c r="K19" s="100">
        <f>_xll.EQNXTDZ($A$1,$B19,K$1,$B$1)</f>
        <v>889.62</v>
      </c>
      <c r="L19" s="100">
        <f>_xll.EQNXTDZ($A$1,$B19,L$1,$B$1)</f>
        <v>414.89</v>
      </c>
      <c r="M19" s="100">
        <f>_xll.EQNXTDZ($A$1,$B19,M$1,$B$1)</f>
        <v>68.739999999999995</v>
      </c>
      <c r="N19" s="100">
        <f>_xll.EQNXTDZ($A$1,$B19,N$1,$B$1)</f>
        <v>499.16</v>
      </c>
      <c r="O19" s="100">
        <f>_xll.EQNXTDZ($A$1,$B19,O$1,$B$1)</f>
        <v>55.88</v>
      </c>
      <c r="P19" s="100">
        <f>_xll.EQNXTDZ($A$1,$B19,P$1,$B$1)</f>
        <v>101.13</v>
      </c>
      <c r="Q19" s="100">
        <f>_xll.EQNXTDZ($A$1,$B19,Q$1,$B$1)</f>
        <v>179.13</v>
      </c>
      <c r="R19" s="100">
        <f>_xll.EQNXTDZ($A$1,$B19,R$1,$B$1)</f>
        <v>135</v>
      </c>
      <c r="S19" s="100">
        <f>_xll.EQNXTDZ($A$1,$B19,S$1,$B$1)</f>
        <v>125</v>
      </c>
      <c r="T19" s="100">
        <f>_xll.EQNXTDZ($A$1,$B19,T$1,$B$1)</f>
        <v>206</v>
      </c>
      <c r="U19" s="100">
        <f>_xll.EQNXTDZ($A$1,$B19,U$1,$B$1)</f>
        <v>407</v>
      </c>
      <c r="V19" s="100">
        <f>_xll.EQNXTDZ($A$1,$B19,V$1,$B$1)</f>
        <v>144</v>
      </c>
      <c r="W19" s="100">
        <f>_xll.EQNXTDZ($A$1,$B19,W$1,$B$1)</f>
        <v>201</v>
      </c>
      <c r="X19" s="100">
        <f>_xll.EQNXTDZ($A$1,$B19,X$1,$B$1)</f>
        <v>144</v>
      </c>
      <c r="Y19" s="100">
        <f>_xll.EQNXTDZ($A$1,$B19,Y$1,$B$1)</f>
        <v>301</v>
      </c>
      <c r="Z19" s="100">
        <f>_xll.EQNXTDZ($A$1,$B19,Z$1,$B$1)</f>
        <v>114</v>
      </c>
      <c r="AA19" s="100">
        <f>_xll.EQNXTDZ($A$1,$B19,AA$1,$B$1)</f>
        <v>128</v>
      </c>
      <c r="AB19" s="100">
        <f>_xll.EQNXTDZ($A$1,$B19,AB$1,$B$1)</f>
        <v>795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0.03</v>
      </c>
      <c r="G21" s="100">
        <f>_xll.EQNXTDZ($A$1,$B21,G$1,$B$1)</f>
        <v>7036.64</v>
      </c>
      <c r="H21" s="100">
        <f>_xll.EQNXTDZ($A$1,$B21,H$1,$B$1)</f>
        <v>9579.69</v>
      </c>
      <c r="I21" s="100">
        <f>_xll.EQNXTDZ($A$1,$B21,I$1,$B$1)</f>
        <v>13546.36</v>
      </c>
      <c r="J21" s="100">
        <f>_xll.EQNXTDZ($A$1,$B21,J$1,$B$1)</f>
        <v>16909.59</v>
      </c>
      <c r="K21" s="100">
        <f>_xll.EQNXTDZ($A$1,$B21,K$1,$B$1)</f>
        <v>21424.44</v>
      </c>
      <c r="L21" s="100">
        <f>_xll.EQNXTDZ($A$1,$B21,L$1,$B$1)</f>
        <v>21529.15</v>
      </c>
      <c r="M21" s="100">
        <f>_xll.EQNXTDZ($A$1,$B21,M$1,$B$1)</f>
        <v>26286.5</v>
      </c>
      <c r="N21" s="100">
        <f>_xll.EQNXTDZ($A$1,$B21,N$1,$B$1)</f>
        <v>34911.629999999997</v>
      </c>
      <c r="O21" s="100">
        <f>_xll.EQNXTDZ($A$1,$B21,O$1,$B$1)</f>
        <v>44949.79</v>
      </c>
      <c r="P21" s="100">
        <f>_xll.EQNXTDZ($A$1,$B21,P$1,$B$1)</f>
        <v>56662.400000000001</v>
      </c>
      <c r="Q21" s="100">
        <f>_xll.EQNXTDZ($A$1,$B21,Q$1,$B$1)</f>
        <v>70166.7</v>
      </c>
      <c r="R21" s="100">
        <f>_xll.EQNXTDZ($A$1,$B21,R$1,$B$1)</f>
        <v>77969</v>
      </c>
      <c r="S21" s="100">
        <f>_xll.EQNXTDZ($A$1,$B21,S$1,$B$1)</f>
        <v>85655</v>
      </c>
      <c r="T21" s="100">
        <f>_xll.EQNXTDZ($A$1,$B21,T$1,$B$1)</f>
        <v>90588</v>
      </c>
      <c r="U21" s="100">
        <f>_xll.EQNXTDZ($A$1,$B21,U$1,$B$1)</f>
        <v>106957</v>
      </c>
      <c r="V21" s="100">
        <f>_xll.EQNXTDZ($A$1,$B21,V$1,$B$1)</f>
        <v>114840</v>
      </c>
      <c r="W21" s="100">
        <f>_xll.EQNXTDZ($A$1,$B21,W$1,$B$1)</f>
        <v>117631</v>
      </c>
      <c r="X21" s="100">
        <f>_xll.EQNXTDZ($A$1,$B21,X$1,$B$1)</f>
        <v>138706</v>
      </c>
      <c r="Y21" s="100">
        <f>_xll.EQNXTDZ($A$1,$B21,Y$1,$B$1)</f>
        <v>166360</v>
      </c>
      <c r="Z21" s="100">
        <f>_xll.EQNXTDZ($A$1,$B21,Z$1,$B$1)</f>
        <v>176597</v>
      </c>
      <c r="AA21" s="100">
        <f>_xll.EQNXTDZ($A$1,$B21,AA$1,$B$1)</f>
        <v>187917</v>
      </c>
      <c r="AB21" s="100">
        <f>_xll.EQNXTDZ($A$1,$B21,AB$1,$B$1)</f>
        <v>195234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-0.03</v>
      </c>
      <c r="G22" s="100">
        <f>_xll.EQNXTDZ($A$1,$B22,G$1,$B$1)</f>
        <v>2711.83</v>
      </c>
      <c r="H22" s="100">
        <f>_xll.EQNXTDZ($A$1,$B22,H$1,$B$1)</f>
        <v>3684.3</v>
      </c>
      <c r="I22" s="100">
        <f>_xll.EQNXTDZ($A$1,$B22,I$1,$B$1)</f>
        <v>5138.8500000000004</v>
      </c>
      <c r="J22" s="100">
        <f>_xll.EQNXTDZ($A$1,$B22,J$1,$B$1)</f>
        <v>5709.93</v>
      </c>
      <c r="K22" s="100">
        <f>_xll.EQNXTDZ($A$1,$B22,K$1,$B$1)</f>
        <v>6388.44</v>
      </c>
      <c r="L22" s="100">
        <f>_xll.EQNXTDZ($A$1,$B22,L$1,$B$1)</f>
        <v>8499.77</v>
      </c>
      <c r="M22" s="100">
        <f>_xll.EQNXTDZ($A$1,$B22,M$1,$B$1)</f>
        <v>11038.01</v>
      </c>
      <c r="N22" s="100">
        <f>_xll.EQNXTDZ($A$1,$B22,N$1,$B$1)</f>
        <v>13982.2</v>
      </c>
      <c r="O22" s="100">
        <f>_xll.EQNXTDZ($A$1,$B22,O$1,$B$1)</f>
        <v>18039.689999999999</v>
      </c>
      <c r="P22" s="100">
        <f>_xll.EQNXTDZ($A$1,$B22,P$1,$B$1)</f>
        <v>25146.959999999999</v>
      </c>
      <c r="Q22" s="100">
        <f>_xll.EQNXTDZ($A$1,$B22,Q$1,$B$1)</f>
        <v>24481.71</v>
      </c>
      <c r="R22" s="100">
        <f>_xll.EQNXTDZ($A$1,$B22,R$1,$B$1)</f>
        <v>30677</v>
      </c>
      <c r="S22" s="100">
        <f>_xll.EQNXTDZ($A$1,$B22,S$1,$B$1)</f>
        <v>32311</v>
      </c>
      <c r="T22" s="100">
        <f>_xll.EQNXTDZ($A$1,$B22,T$1,$B$1)</f>
        <v>32516</v>
      </c>
      <c r="U22" s="100">
        <f>_xll.EQNXTDZ($A$1,$B22,U$1,$B$1)</f>
        <v>39506</v>
      </c>
      <c r="V22" s="100">
        <f>_xll.EQNXTDZ($A$1,$B22,V$1,$B$1)</f>
        <v>42109</v>
      </c>
      <c r="W22" s="100">
        <f>_xll.EQNXTDZ($A$1,$B22,W$1,$B$1)</f>
        <v>46546</v>
      </c>
      <c r="X22" s="100">
        <f>_xll.EQNXTDZ($A$1,$B22,X$1,$B$1)</f>
        <v>53048</v>
      </c>
      <c r="Y22" s="100">
        <f>_xll.EQNXTDZ($A$1,$B22,Y$1,$B$1)</f>
        <v>59098</v>
      </c>
      <c r="Z22" s="100">
        <f>_xll.EQNXTDZ($A$1,$B22,Z$1,$B$1)</f>
        <v>64296</v>
      </c>
      <c r="AA22" s="100">
        <f>_xll.EQNXTDZ($A$1,$B22,AA$1,$B$1)</f>
        <v>67407</v>
      </c>
      <c r="AB22" s="100">
        <f>_xll.EQNXTDZ($A$1,$B22,AB$1,$B$1)</f>
        <v>71787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4.3</v>
      </c>
      <c r="G23" s="100">
        <f>_xll.EQNXTDZ($A$1,$B23,G$1,$B$1)</f>
        <v>96.13</v>
      </c>
      <c r="H23" s="100">
        <f>_xll.EQNXTDZ($A$1,$B23,H$1,$B$1)</f>
        <v>113.89</v>
      </c>
      <c r="I23" s="100">
        <f>_xll.EQNXTDZ($A$1,$B23,I$1,$B$1)</f>
        <v>229.05</v>
      </c>
      <c r="J23" s="100">
        <f>_xll.EQNXTDZ($A$1,$B23,J$1,$B$1)</f>
        <v>729.74</v>
      </c>
      <c r="K23" s="100">
        <f>_xll.EQNXTDZ($A$1,$B23,K$1,$B$1)</f>
        <v>354.37</v>
      </c>
      <c r="L23" s="100">
        <f>_xll.EQNXTDZ($A$1,$B23,L$1,$B$1)</f>
        <v>466.85</v>
      </c>
      <c r="M23" s="100">
        <f>_xll.EQNXTDZ($A$1,$B23,M$1,$B$1)</f>
        <v>744.35</v>
      </c>
      <c r="N23" s="100">
        <f>_xll.EQNXTDZ($A$1,$B23,N$1,$B$1)</f>
        <v>881.28</v>
      </c>
      <c r="O23" s="100">
        <f>_xll.EQNXTDZ($A$1,$B23,O$1,$B$1)</f>
        <v>1178.45</v>
      </c>
      <c r="P23" s="100">
        <f>_xll.EQNXTDZ($A$1,$B23,P$1,$B$1)</f>
        <v>1642.57</v>
      </c>
      <c r="Q23" s="100">
        <f>_xll.EQNXTDZ($A$1,$B23,Q$1,$B$1)</f>
        <v>3229.91</v>
      </c>
      <c r="R23" s="100">
        <f>_xll.EQNXTDZ($A$1,$B23,R$1,$B$1)</f>
        <v>3084</v>
      </c>
      <c r="S23" s="100">
        <f>_xll.EQNXTDZ($A$1,$B23,S$1,$B$1)</f>
        <v>4221</v>
      </c>
      <c r="T23" s="100">
        <f>_xll.EQNXTDZ($A$1,$B23,T$1,$B$1)</f>
        <v>3642</v>
      </c>
      <c r="U23" s="100">
        <f>_xll.EQNXTDZ($A$1,$B23,U$1,$B$1)</f>
        <v>4311</v>
      </c>
      <c r="V23" s="100">
        <f>_xll.EQNXTDZ($A$1,$B23,V$1,$B$1)</f>
        <v>4592</v>
      </c>
      <c r="W23" s="100">
        <f>_xll.EQNXTDZ($A$1,$B23,W$1,$B$1)</f>
        <v>3134</v>
      </c>
      <c r="X23" s="100">
        <f>_xll.EQNXTDZ($A$1,$B23,X$1,$B$1)</f>
        <v>4027</v>
      </c>
      <c r="Y23" s="100">
        <f>_xll.EQNXTDZ($A$1,$B23,Y$1,$B$1)</f>
        <v>3610</v>
      </c>
      <c r="Z23" s="100">
        <f>_xll.EQNXTDZ($A$1,$B23,Z$1,$B$1)</f>
        <v>4422</v>
      </c>
      <c r="AA23" s="100">
        <f>_xll.EQNXTDZ($A$1,$B23,AA$1,$B$1)</f>
        <v>3962</v>
      </c>
      <c r="AB23" s="100">
        <f>_xll.EQNXTDZ($A$1,$B23,AB$1,$B$1)</f>
        <v>5013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4.2699999999999996</v>
      </c>
      <c r="G24" s="100">
        <f>_xll.EQNXTDZ($A$1,$B24,G$1,$B$1)</f>
        <v>2807.96</v>
      </c>
      <c r="H24" s="100">
        <f>_xll.EQNXTDZ($A$1,$B24,H$1,$B$1)</f>
        <v>3798.19</v>
      </c>
      <c r="I24" s="100">
        <f>_xll.EQNXTDZ($A$1,$B24,I$1,$B$1)</f>
        <v>5367.9</v>
      </c>
      <c r="J24" s="100">
        <f>_xll.EQNXTDZ($A$1,$B24,J$1,$B$1)</f>
        <v>6439.67</v>
      </c>
      <c r="K24" s="100">
        <f>_xll.EQNXTDZ($A$1,$B24,K$1,$B$1)</f>
        <v>6742.81</v>
      </c>
      <c r="L24" s="100">
        <f>_xll.EQNXTDZ($A$1,$B24,L$1,$B$1)</f>
        <v>8966.6200000000008</v>
      </c>
      <c r="M24" s="100">
        <f>_xll.EQNXTDZ($A$1,$B24,M$1,$B$1)</f>
        <v>11782.36</v>
      </c>
      <c r="N24" s="100">
        <f>_xll.EQNXTDZ($A$1,$B24,N$1,$B$1)</f>
        <v>14863.48</v>
      </c>
      <c r="O24" s="100">
        <f>_xll.EQNXTDZ($A$1,$B24,O$1,$B$1)</f>
        <v>19218.14</v>
      </c>
      <c r="P24" s="100">
        <f>_xll.EQNXTDZ($A$1,$B24,P$1,$B$1)</f>
        <v>26789.53</v>
      </c>
      <c r="Q24" s="100">
        <f>_xll.EQNXTDZ($A$1,$B24,Q$1,$B$1)</f>
        <v>27711.62</v>
      </c>
      <c r="R24" s="100">
        <f>_xll.EQNXTDZ($A$1,$B24,R$1,$B$1)</f>
        <v>33761</v>
      </c>
      <c r="S24" s="100">
        <f>_xll.EQNXTDZ($A$1,$B24,S$1,$B$1)</f>
        <v>36532</v>
      </c>
      <c r="T24" s="100">
        <f>_xll.EQNXTDZ($A$1,$B24,T$1,$B$1)</f>
        <v>36158</v>
      </c>
      <c r="U24" s="100">
        <f>_xll.EQNXTDZ($A$1,$B24,U$1,$B$1)</f>
        <v>43817</v>
      </c>
      <c r="V24" s="100">
        <f>_xll.EQNXTDZ($A$1,$B24,V$1,$B$1)</f>
        <v>46701</v>
      </c>
      <c r="W24" s="100">
        <f>_xll.EQNXTDZ($A$1,$B24,W$1,$B$1)</f>
        <v>49680</v>
      </c>
      <c r="X24" s="100">
        <f>_xll.EQNXTDZ($A$1,$B24,X$1,$B$1)</f>
        <v>57075</v>
      </c>
      <c r="Y24" s="100">
        <f>_xll.EQNXTDZ($A$1,$B24,Y$1,$B$1)</f>
        <v>62708</v>
      </c>
      <c r="Z24" s="100">
        <f>_xll.EQNXTDZ($A$1,$B24,Z$1,$B$1)</f>
        <v>68718</v>
      </c>
      <c r="AA24" s="100">
        <f>_xll.EQNXTDZ($A$1,$B24,AA$1,$B$1)</f>
        <v>71369</v>
      </c>
      <c r="AB24" s="100">
        <f>_xll.EQNXTDZ($A$1,$B24,AB$1,$B$1)</f>
        <v>76800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0.2</v>
      </c>
      <c r="G25" s="100">
        <f>_xll.EQNXTDZ($A$1,$B25,G$1,$B$1)</f>
        <v>15.45</v>
      </c>
      <c r="H25" s="100">
        <f>_xll.EQNXTDZ($A$1,$B25,H$1,$B$1)</f>
        <v>9.14</v>
      </c>
      <c r="I25" s="100">
        <f>_xll.EQNXTDZ($A$1,$B25,I$1,$B$1)</f>
        <v>9.4499999999999993</v>
      </c>
      <c r="J25" s="100">
        <f>_xll.EQNXTDZ($A$1,$B25,J$1,$B$1)</f>
        <v>30.01</v>
      </c>
      <c r="K25" s="100">
        <f>_xll.EQNXTDZ($A$1,$B25,K$1,$B$1)</f>
        <v>28.66</v>
      </c>
      <c r="L25" s="100">
        <f>_xll.EQNXTDZ($A$1,$B25,L$1,$B$1)</f>
        <v>16.100000000000001</v>
      </c>
      <c r="M25" s="100">
        <f>_xll.EQNXTDZ($A$1,$B25,M$1,$B$1)</f>
        <v>26.48</v>
      </c>
      <c r="N25" s="100">
        <f>_xll.EQNXTDZ($A$1,$B25,N$1,$B$1)</f>
        <v>22.23</v>
      </c>
      <c r="O25" s="100">
        <f>_xll.EQNXTDZ($A$1,$B25,O$1,$B$1)</f>
        <v>48.49</v>
      </c>
      <c r="P25" s="100">
        <f>_xll.EQNXTDZ($A$1,$B25,P$1,$B$1)</f>
        <v>38.520000000000003</v>
      </c>
      <c r="Q25" s="100">
        <f>_xll.EQNXTDZ($A$1,$B25,Q$1,$B$1)</f>
        <v>104.19</v>
      </c>
      <c r="R25" s="100">
        <f>_xll.EQNXTDZ($A$1,$B25,R$1,$B$1)</f>
        <v>33</v>
      </c>
      <c r="S25" s="100">
        <f>_xll.EQNXTDZ($A$1,$B25,S$1,$B$1)</f>
        <v>32</v>
      </c>
      <c r="T25" s="100">
        <f>_xll.EQNXTDZ($A$1,$B25,T$1,$B$1)</f>
        <v>52</v>
      </c>
      <c r="U25" s="100">
        <f>_xll.EQNXTDZ($A$1,$B25,U$1,$B$1)</f>
        <v>198</v>
      </c>
      <c r="V25" s="100">
        <f>_xll.EQNXTDZ($A$1,$B25,V$1,$B$1)</f>
        <v>924</v>
      </c>
      <c r="W25" s="100">
        <f>_xll.EQNXTDZ($A$1,$B25,W$1,$B$1)</f>
        <v>637</v>
      </c>
      <c r="X25" s="100">
        <f>_xll.EQNXTDZ($A$1,$B25,X$1,$B$1)</f>
        <v>784</v>
      </c>
      <c r="Y25" s="100">
        <f>_xll.EQNXTDZ($A$1,$B25,Y$1,$B$1)</f>
        <v>779</v>
      </c>
      <c r="Z25" s="100">
        <f>_xll.EQNXTDZ($A$1,$B25,Z$1,$B$1)</f>
        <v>778</v>
      </c>
      <c r="AA25" s="100">
        <f>_xll.EQNXTDZ($A$1,$B25,AA$1,$B$1)</f>
        <v>796</v>
      </c>
      <c r="AB25" s="100">
        <f>_xll.EQNXTDZ($A$1,$B25,AB$1,$B$1)</f>
        <v>1227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4.07</v>
      </c>
      <c r="G26" s="100">
        <f>_xll.EQNXTDZ($A$1,$B26,G$1,$B$1)</f>
        <v>2792.51</v>
      </c>
      <c r="H26" s="100">
        <f>_xll.EQNXTDZ($A$1,$B26,H$1,$B$1)</f>
        <v>3789.05</v>
      </c>
      <c r="I26" s="100">
        <f>_xll.EQNXTDZ($A$1,$B26,I$1,$B$1)</f>
        <v>5358.45</v>
      </c>
      <c r="J26" s="100">
        <f>_xll.EQNXTDZ($A$1,$B26,J$1,$B$1)</f>
        <v>6409.66</v>
      </c>
      <c r="K26" s="100">
        <f>_xll.EQNXTDZ($A$1,$B26,K$1,$B$1)</f>
        <v>6714.15</v>
      </c>
      <c r="L26" s="100">
        <f>_xll.EQNXTDZ($A$1,$B26,L$1,$B$1)</f>
        <v>8950.52</v>
      </c>
      <c r="M26" s="100">
        <f>_xll.EQNXTDZ($A$1,$B26,M$1,$B$1)</f>
        <v>11755.88</v>
      </c>
      <c r="N26" s="100">
        <f>_xll.EQNXTDZ($A$1,$B26,N$1,$B$1)</f>
        <v>14841.25</v>
      </c>
      <c r="O26" s="100">
        <f>_xll.EQNXTDZ($A$1,$B26,O$1,$B$1)</f>
        <v>19169.650000000001</v>
      </c>
      <c r="P26" s="100">
        <f>_xll.EQNXTDZ($A$1,$B26,P$1,$B$1)</f>
        <v>26751.01</v>
      </c>
      <c r="Q26" s="100">
        <f>_xll.EQNXTDZ($A$1,$B26,Q$1,$B$1)</f>
        <v>27607.43</v>
      </c>
      <c r="R26" s="100">
        <f>_xll.EQNXTDZ($A$1,$B26,R$1,$B$1)</f>
        <v>33728</v>
      </c>
      <c r="S26" s="100">
        <f>_xll.EQNXTDZ($A$1,$B26,S$1,$B$1)</f>
        <v>36500</v>
      </c>
      <c r="T26" s="100">
        <f>_xll.EQNXTDZ($A$1,$B26,T$1,$B$1)</f>
        <v>36106</v>
      </c>
      <c r="U26" s="100">
        <f>_xll.EQNXTDZ($A$1,$B26,U$1,$B$1)</f>
        <v>43619</v>
      </c>
      <c r="V26" s="100">
        <f>_xll.EQNXTDZ($A$1,$B26,V$1,$B$1)</f>
        <v>45777</v>
      </c>
      <c r="W26" s="100">
        <f>_xll.EQNXTDZ($A$1,$B26,W$1,$B$1)</f>
        <v>49043</v>
      </c>
      <c r="X26" s="100">
        <f>_xll.EQNXTDZ($A$1,$B26,X$1,$B$1)</f>
        <v>56291</v>
      </c>
      <c r="Y26" s="100">
        <f>_xll.EQNXTDZ($A$1,$B26,Y$1,$B$1)</f>
        <v>61929</v>
      </c>
      <c r="Z26" s="100">
        <f>_xll.EQNXTDZ($A$1,$B26,Z$1,$B$1)</f>
        <v>67940</v>
      </c>
      <c r="AA26" s="100">
        <f>_xll.EQNXTDZ($A$1,$B26,AA$1,$B$1)</f>
        <v>70573</v>
      </c>
      <c r="AB26" s="100">
        <f>_xll.EQNXTDZ($A$1,$B26,AB$1,$B$1)</f>
        <v>75573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0.84</v>
      </c>
      <c r="G27" s="100">
        <f>_xll.EQNXTDZ($A$1,$B27,G$1,$B$1)</f>
        <v>158.82</v>
      </c>
      <c r="H27" s="100">
        <f>_xll.EQNXTDZ($A$1,$B27,H$1,$B$1)</f>
        <v>282.43</v>
      </c>
      <c r="I27" s="100">
        <f>_xll.EQNXTDZ($A$1,$B27,I$1,$B$1)</f>
        <v>440.17</v>
      </c>
      <c r="J27" s="100">
        <f>_xll.EQNXTDZ($A$1,$B27,J$1,$B$1)</f>
        <v>563.71</v>
      </c>
      <c r="K27" s="100">
        <f>_xll.EQNXTDZ($A$1,$B27,K$1,$B$1)</f>
        <v>564.08000000000004</v>
      </c>
      <c r="L27" s="100">
        <f>_xll.EQNXTDZ($A$1,$B27,L$1,$B$1)</f>
        <v>660.89</v>
      </c>
      <c r="M27" s="100">
        <f>_xll.EQNXTDZ($A$1,$B27,M$1,$B$1)</f>
        <v>735.26</v>
      </c>
      <c r="N27" s="100">
        <f>_xll.EQNXTDZ($A$1,$B27,N$1,$B$1)</f>
        <v>917.94</v>
      </c>
      <c r="O27" s="100">
        <f>_xll.EQNXTDZ($A$1,$B27,O$1,$B$1)</f>
        <v>1079.92</v>
      </c>
      <c r="P27" s="100">
        <f>_xll.EQNXTDZ($A$1,$B27,P$1,$B$1)</f>
        <v>1349.15</v>
      </c>
      <c r="Q27" s="100">
        <f>_xll.EQNXTDZ($A$1,$B27,Q$1,$B$1)</f>
        <v>1798.69</v>
      </c>
      <c r="R27" s="100">
        <f>_xll.EQNXTDZ($A$1,$B27,R$1,$B$1)</f>
        <v>1888</v>
      </c>
      <c r="S27" s="100">
        <f>_xll.EQNXTDZ($A$1,$B27,S$1,$B$1)</f>
        <v>1987</v>
      </c>
      <c r="T27" s="100">
        <f>_xll.EQNXTDZ($A$1,$B27,T$1,$B$1)</f>
        <v>2014</v>
      </c>
      <c r="U27" s="100">
        <f>_xll.EQNXTDZ($A$1,$B27,U$1,$B$1)</f>
        <v>2056</v>
      </c>
      <c r="V27" s="100">
        <f>_xll.EQNXTDZ($A$1,$B27,V$1,$B$1)</f>
        <v>3529</v>
      </c>
      <c r="W27" s="100">
        <f>_xll.EQNXTDZ($A$1,$B27,W$1,$B$1)</f>
        <v>4065</v>
      </c>
      <c r="X27" s="100">
        <f>_xll.EQNXTDZ($A$1,$B27,X$1,$B$1)</f>
        <v>4604</v>
      </c>
      <c r="Y27" s="100">
        <f>_xll.EQNXTDZ($A$1,$B27,Y$1,$B$1)</f>
        <v>5022</v>
      </c>
      <c r="Z27" s="100">
        <f>_xll.EQNXTDZ($A$1,$B27,Z$1,$B$1)</f>
        <v>4985</v>
      </c>
      <c r="AA27" s="100">
        <f>_xll.EQNXTDZ($A$1,$B27,AA$1,$B$1)</f>
        <v>5242</v>
      </c>
      <c r="AB27" s="100">
        <f>_xll.EQNXTDZ($A$1,$B27,AB$1,$B$1)</f>
        <v>5560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489.75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-1218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-958</v>
      </c>
      <c r="AA29" s="100">
        <f>_xll.EQNXTDZ($A$1,$B29,AA$1,$B$1)</f>
        <v>0</v>
      </c>
      <c r="AB29" s="100">
        <f>_xll.EQNXTDZ($A$1,$B29,AB$1,$B$1)</f>
        <v>-4526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1.49</v>
      </c>
      <c r="G30" s="100">
        <f>_xll.EQNXTDZ($A$1,$B30,G$1,$B$1)</f>
        <v>396.99</v>
      </c>
      <c r="H30" s="100">
        <f>_xll.EQNXTDZ($A$1,$B30,H$1,$B$1)</f>
        <v>509.57</v>
      </c>
      <c r="I30" s="100">
        <f>_xll.EQNXTDZ($A$1,$B30,I$1,$B$1)</f>
        <v>663.96</v>
      </c>
      <c r="J30" s="100">
        <f>_xll.EQNXTDZ($A$1,$B30,J$1,$B$1)</f>
        <v>786.31</v>
      </c>
      <c r="K30" s="100">
        <f>_xll.EQNXTDZ($A$1,$B30,K$1,$B$1)</f>
        <v>838.95</v>
      </c>
      <c r="L30" s="100">
        <f>_xll.EQNXTDZ($A$1,$B30,L$1,$B$1)</f>
        <v>1196.97</v>
      </c>
      <c r="M30" s="100">
        <f>_xll.EQNXTDZ($A$1,$B30,M$1,$B$1)</f>
        <v>1830.83</v>
      </c>
      <c r="N30" s="100">
        <f>_xll.EQNXTDZ($A$1,$B30,N$1,$B$1)</f>
        <v>3399.86</v>
      </c>
      <c r="O30" s="100">
        <f>_xll.EQNXTDZ($A$1,$B30,O$1,$B$1)</f>
        <v>4014.04</v>
      </c>
      <c r="P30" s="100">
        <f>_xll.EQNXTDZ($A$1,$B30,P$1,$B$1)</f>
        <v>6069.99</v>
      </c>
      <c r="Q30" s="100">
        <f>_xll.EQNXTDZ($A$1,$B30,Q$1,$B$1)</f>
        <v>6238.79</v>
      </c>
      <c r="R30" s="100">
        <f>_xll.EQNXTDZ($A$1,$B30,R$1,$B$1)</f>
        <v>7502</v>
      </c>
      <c r="S30" s="100">
        <f>_xll.EQNXTDZ($A$1,$B30,S$1,$B$1)</f>
        <v>8156</v>
      </c>
      <c r="T30" s="100">
        <f>_xll.EQNXTDZ($A$1,$B30,T$1,$B$1)</f>
        <v>8212</v>
      </c>
      <c r="U30" s="100">
        <f>_xll.EQNXTDZ($A$1,$B30,U$1,$B$1)</f>
        <v>10001</v>
      </c>
      <c r="V30" s="100">
        <f>_xll.EQNXTDZ($A$1,$B30,V$1,$B$1)</f>
        <v>9801</v>
      </c>
      <c r="W30" s="100">
        <f>_xll.EQNXTDZ($A$1,$B30,W$1,$B$1)</f>
        <v>11198</v>
      </c>
      <c r="X30" s="100">
        <f>_xll.EQNXTDZ($A$1,$B30,X$1,$B$1)</f>
        <v>13238</v>
      </c>
      <c r="Y30" s="100">
        <f>_xll.EQNXTDZ($A$1,$B30,Y$1,$B$1)</f>
        <v>14604</v>
      </c>
      <c r="Z30" s="100">
        <f>_xll.EQNXTDZ($A$1,$B30,Z$1,$B$1)</f>
        <v>15898</v>
      </c>
      <c r="AA30" s="100">
        <f>_xll.EQNXTDZ($A$1,$B30,AA$1,$B$1)</f>
        <v>16534</v>
      </c>
      <c r="AB30" s="100">
        <f>_xll.EQNXTDZ($A$1,$B30,AB$1,$B$1)</f>
        <v>16033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-9.1199999999999992</v>
      </c>
      <c r="H32" s="100">
        <f>_xll.EQNXTDZ($A$1,$B32,H$1,$B$1)</f>
        <v>-29.84</v>
      </c>
      <c r="I32" s="100">
        <f>_xll.EQNXTDZ($A$1,$B32,I$1,$B$1)</f>
        <v>-42.77</v>
      </c>
      <c r="J32" s="100">
        <f>_xll.EQNXTDZ($A$1,$B32,J$1,$B$1)</f>
        <v>-34.42</v>
      </c>
      <c r="K32" s="100">
        <f>_xll.EQNXTDZ($A$1,$B32,K$1,$B$1)</f>
        <v>-54</v>
      </c>
      <c r="L32" s="100">
        <f>_xll.EQNXTDZ($A$1,$B32,L$1,$B$1)</f>
        <v>-90.99</v>
      </c>
      <c r="M32" s="100">
        <f>_xll.EQNXTDZ($A$1,$B32,M$1,$B$1)</f>
        <v>-121.45</v>
      </c>
      <c r="N32" s="100">
        <f>_xll.EQNXTDZ($A$1,$B32,N$1,$B$1)</f>
        <v>-109.96</v>
      </c>
      <c r="O32" s="100">
        <f>_xll.EQNXTDZ($A$1,$B32,O$1,$B$1)</f>
        <v>-158.38</v>
      </c>
      <c r="P32" s="100">
        <f>_xll.EQNXTDZ($A$1,$B32,P$1,$B$1)</f>
        <v>-168</v>
      </c>
      <c r="Q32" s="100">
        <f>_xll.EQNXTDZ($A$1,$B32,Q$1,$B$1)</f>
        <v>-207.52</v>
      </c>
      <c r="R32" s="100">
        <f>_xll.EQNXTDZ($A$1,$B32,R$1,$B$1)</f>
        <v>-68</v>
      </c>
      <c r="S32" s="100">
        <f>_xll.EQNXTDZ($A$1,$B32,S$1,$B$1)</f>
        <v>-68</v>
      </c>
      <c r="T32" s="100">
        <f>_xll.EQNXTDZ($A$1,$B32,T$1,$B$1)</f>
        <v>-54</v>
      </c>
      <c r="U32" s="100">
        <f>_xll.EQNXTDZ($A$1,$B32,U$1,$B$1)</f>
        <v>-90</v>
      </c>
      <c r="V32" s="100">
        <f>_xll.EQNXTDZ($A$1,$B32,V$1,$B$1)</f>
        <v>-107</v>
      </c>
      <c r="W32" s="100">
        <f>_xll.EQNXTDZ($A$1,$B32,W$1,$B$1)</f>
        <v>-132</v>
      </c>
      <c r="X32" s="100">
        <f>_xll.EQNXTDZ($A$1,$B32,X$1,$B$1)</f>
        <v>-122</v>
      </c>
      <c r="Y32" s="100">
        <f>_xll.EQNXTDZ($A$1,$B32,Y$1,$B$1)</f>
        <v>-156</v>
      </c>
      <c r="Z32" s="100">
        <f>_xll.EQNXTDZ($A$1,$B32,Z$1,$B$1)</f>
        <v>-191</v>
      </c>
      <c r="AA32" s="100">
        <f>_xll.EQNXTDZ($A$1,$B32,AA$1,$B$1)</f>
        <v>-244</v>
      </c>
      <c r="AB32" s="100">
        <f>_xll.EQNXTDZ($A$1,$B32,AB$1,$B$1)</f>
        <v>-244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6</v>
      </c>
      <c r="G33" s="100">
        <f>_xll.EQNXTDZ($A$1,$B33,G$1,$B$1)</f>
        <v>0.99</v>
      </c>
      <c r="H33" s="100">
        <f>_xll.EQNXTDZ($A$1,$B33,H$1,$B$1)</f>
        <v>-0.47</v>
      </c>
      <c r="I33" s="100">
        <f>_xll.EQNXTDZ($A$1,$B33,I$1,$B$1)</f>
        <v>1.08</v>
      </c>
      <c r="J33" s="100">
        <f>_xll.EQNXTDZ($A$1,$B33,J$1,$B$1)</f>
        <v>0.8</v>
      </c>
      <c r="K33" s="100">
        <f>_xll.EQNXTDZ($A$1,$B33,K$1,$B$1)</f>
        <v>-0.7</v>
      </c>
      <c r="L33" s="100">
        <f>_xll.EQNXTDZ($A$1,$B33,L$1,$B$1)</f>
        <v>-1.03</v>
      </c>
      <c r="M33" s="100">
        <f>_xll.EQNXTDZ($A$1,$B33,M$1,$B$1)</f>
        <v>-0.3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-1.06</v>
      </c>
      <c r="G34" s="100">
        <f>_xll.EQNXTDZ($A$1,$B34,G$1,$B$1)</f>
        <v>-251.67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6.68</v>
      </c>
      <c r="G35" s="100">
        <f>_xll.EQNXTDZ($A$1,$B35,G$1,$B$1)</f>
        <v>1976.9</v>
      </c>
      <c r="H35" s="100">
        <f>_xll.EQNXTDZ($A$1,$B35,H$1,$B$1)</f>
        <v>2966.74</v>
      </c>
      <c r="I35" s="100">
        <f>_xll.EQNXTDZ($A$1,$B35,I$1,$B$1)</f>
        <v>4212.63</v>
      </c>
      <c r="J35" s="100">
        <f>_xll.EQNXTDZ($A$1,$B35,J$1,$B$1)</f>
        <v>5026.0200000000004</v>
      </c>
      <c r="K35" s="100">
        <f>_xll.EQNXTDZ($A$1,$B35,K$1,$B$1)</f>
        <v>5256.42</v>
      </c>
      <c r="L35" s="100">
        <f>_xll.EQNXTDZ($A$1,$B35,L$1,$B$1)</f>
        <v>7000.64</v>
      </c>
      <c r="M35" s="100">
        <f>_xll.EQNXTDZ($A$1,$B35,M$1,$B$1)</f>
        <v>9068.0400000000009</v>
      </c>
      <c r="N35" s="100">
        <f>_xll.EQNXTDZ($A$1,$B35,N$1,$B$1)</f>
        <v>10413.49</v>
      </c>
      <c r="O35" s="100">
        <f>_xll.EQNXTDZ($A$1,$B35,O$1,$B$1)</f>
        <v>13917.31</v>
      </c>
      <c r="P35" s="100">
        <f>_xll.EQNXTDZ($A$1,$B35,P$1,$B$1)</f>
        <v>19163.87</v>
      </c>
      <c r="Q35" s="100">
        <f>_xll.EQNXTDZ($A$1,$B35,Q$1,$B$1)</f>
        <v>19852.18</v>
      </c>
      <c r="R35" s="100">
        <f>_xll.EQNXTDZ($A$1,$B35,R$1,$B$1)</f>
        <v>24270</v>
      </c>
      <c r="S35" s="100">
        <f>_xll.EQNXTDZ($A$1,$B35,S$1,$B$1)</f>
        <v>26289</v>
      </c>
      <c r="T35" s="100">
        <f>_xll.EQNXTDZ($A$1,$B35,T$1,$B$1)</f>
        <v>25826</v>
      </c>
      <c r="U35" s="100">
        <f>_xll.EQNXTDZ($A$1,$B35,U$1,$B$1)</f>
        <v>31472</v>
      </c>
      <c r="V35" s="100">
        <f>_xll.EQNXTDZ($A$1,$B35,V$1,$B$1)</f>
        <v>32340</v>
      </c>
      <c r="W35" s="100">
        <f>_xll.EQNXTDZ($A$1,$B35,W$1,$B$1)</f>
        <v>32430</v>
      </c>
      <c r="X35" s="100">
        <f>_xll.EQNXTDZ($A$1,$B35,X$1,$B$1)</f>
        <v>38327</v>
      </c>
      <c r="Y35" s="100">
        <f>_xll.EQNXTDZ($A$1,$B35,Y$1,$B$1)</f>
        <v>42147</v>
      </c>
      <c r="Z35" s="100">
        <f>_xll.EQNXTDZ($A$1,$B35,Z$1,$B$1)</f>
        <v>45908</v>
      </c>
      <c r="AA35" s="100">
        <f>_xll.EQNXTDZ($A$1,$B35,AA$1,$B$1)</f>
        <v>48553</v>
      </c>
      <c r="AB35" s="100">
        <f>_xll.EQNXTDZ($A$1,$B35,AB$1,$B$1)</f>
        <v>49210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36.44</v>
      </c>
      <c r="G41" s="55">
        <f>_xll.EQNXTDZ($A$1,$B41,G$1,$B$1)</f>
        <v>48.01</v>
      </c>
      <c r="H41" s="55">
        <f>_xll.EQNXTDZ($A$1,$B41,H$1,$B$1)</f>
        <v>48.93</v>
      </c>
      <c r="I41" s="55">
        <f>_xll.EQNXTDZ($A$1,$B41,I$1,$B$1)</f>
        <v>97.86</v>
      </c>
      <c r="J41" s="55">
        <f>_xll.EQNXTDZ($A$1,$B41,J$1,$B$1)</f>
        <v>197.86</v>
      </c>
      <c r="K41" s="55">
        <f>_xll.EQNXTDZ($A$1,$B41,K$1,$B$1)</f>
        <v>197.86</v>
      </c>
      <c r="L41" s="55">
        <f>_xll.EQNXTDZ($A$1,$B41,L$1,$B$1)</f>
        <v>295.72000000000003</v>
      </c>
      <c r="M41" s="55">
        <f>_xll.EQNXTDZ($A$1,$B41,M$1,$B$1)</f>
        <v>295.72000000000003</v>
      </c>
      <c r="N41" s="55">
        <f>_xll.EQNXTDZ($A$1,$B41,N$1,$B$1)</f>
        <v>295.72000000000003</v>
      </c>
      <c r="O41" s="55">
        <f>_xll.EQNXTDZ($A$1,$B41,O$1,$B$1)</f>
        <v>295.72000000000003</v>
      </c>
      <c r="P41" s="55">
        <f>_xll.EQNXTDZ($A$1,$B41,P$1,$B$1)</f>
        <v>195.87</v>
      </c>
      <c r="Q41" s="55">
        <f>_xll.EQNXTDZ($A$1,$B41,Q$1,$B$1)</f>
        <v>195.87</v>
      </c>
      <c r="R41" s="55">
        <f>_xll.EQNXTDZ($A$1,$B41,R$1,$B$1)</f>
        <v>197</v>
      </c>
      <c r="S41" s="55">
        <f>_xll.EQNXTDZ($A$1,$B41,S$1,$B$1)</f>
        <v>197</v>
      </c>
      <c r="T41" s="55">
        <f>_xll.EQNXTDZ($A$1,$B41,T$1,$B$1)</f>
        <v>191</v>
      </c>
      <c r="U41" s="55">
        <f>_xll.EQNXTDZ($A$1,$B41,U$1,$B$1)</f>
        <v>375</v>
      </c>
      <c r="V41" s="55">
        <f>_xll.EQNXTDZ($A$1,$B41,V$1,$B$1)</f>
        <v>375</v>
      </c>
      <c r="W41" s="55">
        <f>_xll.EQNXTDZ($A$1,$B41,W$1,$B$1)</f>
        <v>370</v>
      </c>
      <c r="X41" s="55">
        <f>_xll.EQNXTDZ($A$1,$B41,X$1,$B$1)</f>
        <v>366</v>
      </c>
      <c r="Y41" s="55">
        <f>_xll.EQNXTDZ($A$1,$B41,Y$1,$B$1)</f>
        <v>366</v>
      </c>
      <c r="Z41" s="55">
        <f>_xll.EQNXTDZ($A$1,$B41,Z$1,$B$1)</f>
        <v>362</v>
      </c>
      <c r="AA41" s="55">
        <f>_xll.EQNXTDZ($A$1,$B41,AA$1,$B$1)</f>
        <v>362</v>
      </c>
      <c r="AB41" s="55">
        <f>_xll.EQNXTDZ($A$1,$B41,AB$1,$B$1)</f>
        <v>362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10.64</v>
      </c>
      <c r="G43" s="55">
        <f>_xll.EQNXTDZ($A$1,$B43,G$1,$B$1)</f>
        <v>3429.53</v>
      </c>
      <c r="H43" s="55">
        <f>_xll.EQNXTDZ($A$1,$B43,H$1,$B$1)</f>
        <v>5949.88</v>
      </c>
      <c r="I43" s="55">
        <f>_xll.EQNXTDZ($A$1,$B43,I$1,$B$1)</f>
        <v>8752.24</v>
      </c>
      <c r="J43" s="55">
        <f>_xll.EQNXTDZ($A$1,$B43,J$1,$B$1)</f>
        <v>12102.26</v>
      </c>
      <c r="K43" s="55">
        <f>_xll.EQNXTDZ($A$1,$B43,K$1,$B$1)</f>
        <v>15502.15</v>
      </c>
      <c r="L43" s="55">
        <f>_xll.EQNXTDZ($A$1,$B43,L$1,$B$1)</f>
        <v>18171</v>
      </c>
      <c r="M43" s="55">
        <f>_xll.EQNXTDZ($A$1,$B43,M$1,$B$1)</f>
        <v>24209.09</v>
      </c>
      <c r="N43" s="55">
        <f>_xll.EQNXTDZ($A$1,$B43,N$1,$B$1)</f>
        <v>29283.51</v>
      </c>
      <c r="O43" s="55">
        <f>_xll.EQNXTDZ($A$1,$B43,O$1,$B$1)</f>
        <v>38350.01</v>
      </c>
      <c r="P43" s="55">
        <f>_xll.EQNXTDZ($A$1,$B43,P$1,$B$1)</f>
        <v>48998.89</v>
      </c>
      <c r="Q43" s="55">
        <f>_xll.EQNXTDZ($A$1,$B43,Q$1,$B$1)</f>
        <v>50438.89</v>
      </c>
      <c r="R43" s="55">
        <f>_xll.EQNXTDZ($A$1,$B43,R$1,$B$1)</f>
        <v>70875</v>
      </c>
      <c r="S43" s="55">
        <f>_xll.EQNXTDZ($A$1,$B43,S$1,$B$1)</f>
        <v>86017</v>
      </c>
      <c r="T43" s="55">
        <f>_xll.EQNXTDZ($A$1,$B43,T$1,$B$1)</f>
        <v>84937</v>
      </c>
      <c r="U43" s="55">
        <f>_xll.EQNXTDZ($A$1,$B43,U$1,$B$1)</f>
        <v>89071</v>
      </c>
      <c r="V43" s="55">
        <f>_xll.EQNXTDZ($A$1,$B43,V$1,$B$1)</f>
        <v>83751</v>
      </c>
      <c r="W43" s="55">
        <f>_xll.EQNXTDZ($A$1,$B43,W$1,$B$1)</f>
        <v>86063</v>
      </c>
      <c r="X43" s="55">
        <f>_xll.EQNXTDZ($A$1,$B43,X$1,$B$1)</f>
        <v>88773</v>
      </c>
      <c r="Y43" s="55">
        <f>_xll.EQNXTDZ($A$1,$B43,Y$1,$B$1)</f>
        <v>90058</v>
      </c>
      <c r="Z43" s="55">
        <f>_xll.EQNXTDZ($A$1,$B43,Z$1,$B$1)</f>
        <v>90127</v>
      </c>
      <c r="AA43" s="55">
        <f>_xll.EQNXTDZ($A$1,$B43,AA$1,$B$1)</f>
        <v>94394</v>
      </c>
      <c r="AB43" s="55">
        <f>_xll.EQNXTDZ($A$1,$B43,AB$1,$B$1)</f>
        <v>106878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47.08</v>
      </c>
      <c r="G44" s="55">
        <f>_xll.EQNXTDZ($A$1,$B44,G$1,$B$1)</f>
        <v>3477.54</v>
      </c>
      <c r="H44" s="55">
        <f>_xll.EQNXTDZ($A$1,$B44,H$1,$B$1)</f>
        <v>5998.81</v>
      </c>
      <c r="I44" s="55">
        <f>_xll.EQNXTDZ($A$1,$B44,I$1,$B$1)</f>
        <v>8850.1</v>
      </c>
      <c r="J44" s="55">
        <f>_xll.EQNXTDZ($A$1,$B44,J$1,$B$1)</f>
        <v>12300.12</v>
      </c>
      <c r="K44" s="55">
        <f>_xll.EQNXTDZ($A$1,$B44,K$1,$B$1)</f>
        <v>15700.01</v>
      </c>
      <c r="L44" s="55">
        <f>_xll.EQNXTDZ($A$1,$B44,L$1,$B$1)</f>
        <v>18466.72</v>
      </c>
      <c r="M44" s="55">
        <f>_xll.EQNXTDZ($A$1,$B44,M$1,$B$1)</f>
        <v>24504.81</v>
      </c>
      <c r="N44" s="55">
        <f>_xll.EQNXTDZ($A$1,$B44,N$1,$B$1)</f>
        <v>29579.23</v>
      </c>
      <c r="O44" s="55">
        <f>_xll.EQNXTDZ($A$1,$B44,O$1,$B$1)</f>
        <v>38645.730000000003</v>
      </c>
      <c r="P44" s="55">
        <f>_xll.EQNXTDZ($A$1,$B44,P$1,$B$1)</f>
        <v>49194.76</v>
      </c>
      <c r="Q44" s="55">
        <f>_xll.EQNXTDZ($A$1,$B44,Q$1,$B$1)</f>
        <v>50634.76</v>
      </c>
      <c r="R44" s="55">
        <f>_xll.EQNXTDZ($A$1,$B44,R$1,$B$1)</f>
        <v>71072</v>
      </c>
      <c r="S44" s="55">
        <f>_xll.EQNXTDZ($A$1,$B44,S$1,$B$1)</f>
        <v>86214</v>
      </c>
      <c r="T44" s="55">
        <f>_xll.EQNXTDZ($A$1,$B44,T$1,$B$1)</f>
        <v>85128</v>
      </c>
      <c r="U44" s="55">
        <f>_xll.EQNXTDZ($A$1,$B44,U$1,$B$1)</f>
        <v>89446</v>
      </c>
      <c r="V44" s="55">
        <f>_xll.EQNXTDZ($A$1,$B44,V$1,$B$1)</f>
        <v>84126</v>
      </c>
      <c r="W44" s="55">
        <f>_xll.EQNXTDZ($A$1,$B44,W$1,$B$1)</f>
        <v>86433</v>
      </c>
      <c r="X44" s="55">
        <f>_xll.EQNXTDZ($A$1,$B44,X$1,$B$1)</f>
        <v>89139</v>
      </c>
      <c r="Y44" s="55">
        <f>_xll.EQNXTDZ($A$1,$B44,Y$1,$B$1)</f>
        <v>90424</v>
      </c>
      <c r="Z44" s="55">
        <f>_xll.EQNXTDZ($A$1,$B44,Z$1,$B$1)</f>
        <v>90489</v>
      </c>
      <c r="AA44" s="55">
        <f>_xll.EQNXTDZ($A$1,$B44,AA$1,$B$1)</f>
        <v>94756</v>
      </c>
      <c r="AB44" s="55">
        <f>_xll.EQNXTDZ($A$1,$B44,AB$1,$B$1)</f>
        <v>107240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80.069999999999993</v>
      </c>
      <c r="G45" s="55">
        <f>_xll.EQNXTDZ($A$1,$B45,G$1,$B$1)</f>
        <v>89.74</v>
      </c>
      <c r="H45" s="55">
        <f>_xll.EQNXTDZ($A$1,$B45,H$1,$B$1)</f>
        <v>164.72</v>
      </c>
      <c r="I45" s="55">
        <f>_xll.EQNXTDZ($A$1,$B45,I$1,$B$1)</f>
        <v>211.8</v>
      </c>
      <c r="J45" s="55">
        <f>_xll.EQNXTDZ($A$1,$B45,J$1,$B$1)</f>
        <v>212.73</v>
      </c>
      <c r="K45" s="55">
        <f>_xll.EQNXTDZ($A$1,$B45,K$1,$B$1)</f>
        <v>277.16000000000003</v>
      </c>
      <c r="L45" s="55">
        <f>_xll.EQNXTDZ($A$1,$B45,L$1,$B$1)</f>
        <v>361.71</v>
      </c>
      <c r="M45" s="55">
        <f>_xll.EQNXTDZ($A$1,$B45,M$1,$B$1)</f>
        <v>458.17</v>
      </c>
      <c r="N45" s="55">
        <f>_xll.EQNXTDZ($A$1,$B45,N$1,$B$1)</f>
        <v>558.77</v>
      </c>
      <c r="O45" s="55">
        <f>_xll.EQNXTDZ($A$1,$B45,O$1,$B$1)</f>
        <v>695.31</v>
      </c>
      <c r="P45" s="55">
        <f>_xll.EQNXTDZ($A$1,$B45,P$1,$B$1)</f>
        <v>707.99</v>
      </c>
      <c r="Q45" s="55">
        <f>_xll.EQNXTDZ($A$1,$B45,Q$1,$B$1)</f>
        <v>1127.76</v>
      </c>
      <c r="R45" s="55">
        <f>_xll.EQNXTDZ($A$1,$B45,R$1,$B$1)</f>
        <v>355</v>
      </c>
      <c r="S45" s="55">
        <f>_xll.EQNXTDZ($A$1,$B45,S$1,$B$1)</f>
        <v>366</v>
      </c>
      <c r="T45" s="55">
        <f>_xll.EQNXTDZ($A$1,$B45,T$1,$B$1)</f>
        <v>402</v>
      </c>
      <c r="U45" s="55">
        <f>_xll.EQNXTDZ($A$1,$B45,U$1,$B$1)</f>
        <v>453</v>
      </c>
      <c r="V45" s="55">
        <f>_xll.EQNXTDZ($A$1,$B45,V$1,$B$1)</f>
        <v>623</v>
      </c>
      <c r="W45" s="55">
        <f>_xll.EQNXTDZ($A$1,$B45,W$1,$B$1)</f>
        <v>675</v>
      </c>
      <c r="X45" s="55">
        <f>_xll.EQNXTDZ($A$1,$B45,X$1,$B$1)</f>
        <v>707</v>
      </c>
      <c r="Y45" s="55">
        <f>_xll.EQNXTDZ($A$1,$B45,Y$1,$B$1)</f>
        <v>782</v>
      </c>
      <c r="Z45" s="55">
        <f>_xll.EQNXTDZ($A$1,$B45,Z$1,$B$1)</f>
        <v>830</v>
      </c>
      <c r="AA45" s="55">
        <f>_xll.EQNXTDZ($A$1,$B45,AA$1,$B$1)</f>
        <v>1015</v>
      </c>
      <c r="AB45" s="55">
        <f>_xll.EQNXTDZ($A$1,$B45,AB$1,$B$1)</f>
        <v>1238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17.420000000000002</v>
      </c>
      <c r="G47" s="55">
        <f>_xll.EQNXTDZ($A$1,$B47,G$1,$B$1)</f>
        <v>127.8</v>
      </c>
      <c r="H47" s="55">
        <f>_xll.EQNXTDZ($A$1,$B47,H$1,$B$1)</f>
        <v>86.07</v>
      </c>
      <c r="I47" s="55">
        <f>_xll.EQNXTDZ($A$1,$B47,I$1,$B$1)</f>
        <v>63.09</v>
      </c>
      <c r="J47" s="55">
        <f>_xll.EQNXTDZ($A$1,$B47,J$1,$B$1)</f>
        <v>18.07</v>
      </c>
      <c r="K47" s="55">
        <f>_xll.EQNXTDZ($A$1,$B47,K$1,$B$1)</f>
        <v>37.89</v>
      </c>
      <c r="L47" s="55">
        <f>_xll.EQNXTDZ($A$1,$B47,L$1,$B$1)</f>
        <v>31.21</v>
      </c>
      <c r="M47" s="55">
        <f>_xll.EQNXTDZ($A$1,$B47,M$1,$B$1)</f>
        <v>33.700000000000003</v>
      </c>
      <c r="N47" s="55">
        <f>_xll.EQNXTDZ($A$1,$B47,N$1,$B$1)</f>
        <v>112.61</v>
      </c>
      <c r="O47" s="55">
        <f>_xll.EQNXTDZ($A$1,$B47,O$1,$B$1)</f>
        <v>129.46</v>
      </c>
      <c r="P47" s="55">
        <f>_xll.EQNXTDZ($A$1,$B47,P$1,$B$1)</f>
        <v>126.21</v>
      </c>
      <c r="Q47" s="55">
        <f>_xll.EQNXTDZ($A$1,$B47,Q$1,$B$1)</f>
        <v>113.69</v>
      </c>
      <c r="R47" s="55">
        <f>_xll.EQNXTDZ($A$1,$B47,R$1,$B$1)</f>
        <v>83</v>
      </c>
      <c r="S47" s="55">
        <f>_xll.EQNXTDZ($A$1,$B47,S$1,$B$1)</f>
        <v>71</v>
      </c>
      <c r="T47" s="55">
        <f>_xll.EQNXTDZ($A$1,$B47,T$1,$B$1)</f>
        <v>54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423.76</v>
      </c>
      <c r="G48" s="55">
        <f>_xll.EQNXTDZ($A$1,$B48,G$1,$B$1)</f>
        <v>75.209999999999994</v>
      </c>
      <c r="H48" s="55">
        <f>_xll.EQNXTDZ($A$1,$B48,H$1,$B$1)</f>
        <v>30.62</v>
      </c>
      <c r="I48" s="55">
        <f>_xll.EQNXTDZ($A$1,$B48,I$1,$B$1)</f>
        <v>443.66</v>
      </c>
      <c r="J48" s="55">
        <f>_xll.EQNXTDZ($A$1,$B48,J$1,$B$1)</f>
        <v>436.95</v>
      </c>
      <c r="K48" s="55">
        <f>_xll.EQNXTDZ($A$1,$B48,K$1,$B$1)</f>
        <v>525.99</v>
      </c>
      <c r="L48" s="55">
        <f>_xll.EQNXTDZ($A$1,$B48,L$1,$B$1)</f>
        <v>72.040000000000006</v>
      </c>
      <c r="M48" s="55">
        <f>_xll.EQNXTDZ($A$1,$B48,M$1,$B$1)</f>
        <v>4</v>
      </c>
      <c r="N48" s="55">
        <f>_xll.EQNXTDZ($A$1,$B48,N$1,$B$1)</f>
        <v>2.76</v>
      </c>
      <c r="O48" s="55">
        <f>_xll.EQNXTDZ($A$1,$B48,O$1,$B$1)</f>
        <v>1.52</v>
      </c>
      <c r="P48" s="55">
        <f>_xll.EQNXTDZ($A$1,$B48,P$1,$B$1)</f>
        <v>1.05</v>
      </c>
      <c r="Q48" s="55">
        <f>_xll.EQNXTDZ($A$1,$B48,Q$1,$B$1)</f>
        <v>0.57999999999999996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7.78</v>
      </c>
      <c r="G49" s="55">
        <f>_xll.EQNXTDZ($A$1,$B49,G$1,$B$1)</f>
        <v>66</v>
      </c>
      <c r="H49" s="55">
        <f>_xll.EQNXTDZ($A$1,$B49,H$1,$B$1)</f>
        <v>33.07</v>
      </c>
      <c r="I49" s="55">
        <f>_xll.EQNXTDZ($A$1,$B49,I$1,$B$1)</f>
        <v>-0.74</v>
      </c>
      <c r="J49" s="55">
        <f>_xll.EQNXTDZ($A$1,$B49,J$1,$B$1)</f>
        <v>33.03</v>
      </c>
      <c r="K49" s="55">
        <f>_xll.EQNXTDZ($A$1,$B49,K$1,$B$1)</f>
        <v>68.510000000000005</v>
      </c>
      <c r="L49" s="55">
        <f>_xll.EQNXTDZ($A$1,$B49,L$1,$B$1)</f>
        <v>-99.18</v>
      </c>
      <c r="M49" s="55">
        <f>_xll.EQNXTDZ($A$1,$B49,M$1,$B$1)</f>
        <v>-50.69</v>
      </c>
      <c r="N49" s="55">
        <f>_xll.EQNXTDZ($A$1,$B49,N$1,$B$1)</f>
        <v>-82.59</v>
      </c>
      <c r="O49" s="55">
        <f>_xll.EQNXTDZ($A$1,$B49,O$1,$B$1)</f>
        <v>-74.739999999999995</v>
      </c>
      <c r="P49" s="55">
        <f>_xll.EQNXTDZ($A$1,$B49,P$1,$B$1)</f>
        <v>-111.26</v>
      </c>
      <c r="Q49" s="55">
        <f>_xll.EQNXTDZ($A$1,$B49,Q$1,$B$1)</f>
        <v>-250.98</v>
      </c>
      <c r="R49" s="55">
        <f>_xll.EQNXTDZ($A$1,$B49,R$1,$B$1)</f>
        <v>-2103</v>
      </c>
      <c r="S49" s="55">
        <f>_xll.EQNXTDZ($A$1,$B49,S$1,$B$1)</f>
        <v>-1909</v>
      </c>
      <c r="T49" s="55">
        <f>_xll.EQNXTDZ($A$1,$B49,T$1,$B$1)</f>
        <v>-2279</v>
      </c>
      <c r="U49" s="55">
        <f>_xll.EQNXTDZ($A$1,$B49,U$1,$B$1)</f>
        <v>-1614</v>
      </c>
      <c r="V49" s="55">
        <f>_xll.EQNXTDZ($A$1,$B49,V$1,$B$1)</f>
        <v>-2049</v>
      </c>
      <c r="W49" s="55">
        <f>_xll.EQNXTDZ($A$1,$B49,W$1,$B$1)</f>
        <v>-3164</v>
      </c>
      <c r="X49" s="55">
        <f>_xll.EQNXTDZ($A$1,$B49,X$1,$B$1)</f>
        <v>-3118</v>
      </c>
      <c r="Y49" s="55">
        <f>_xll.EQNXTDZ($A$1,$B49,Y$1,$B$1)</f>
        <v>-2515</v>
      </c>
      <c r="Z49" s="55">
        <f>_xll.EQNXTDZ($A$1,$B49,Z$1,$B$1)</f>
        <v>-2426</v>
      </c>
      <c r="AA49" s="55">
        <f>_xll.EQNXTDZ($A$1,$B49,AA$1,$B$1)</f>
        <v>-2598</v>
      </c>
      <c r="AB49" s="55">
        <f>_xll.EQNXTDZ($A$1,$B49,AB$1,$B$1)</f>
        <v>-3260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160.74</v>
      </c>
      <c r="N50" s="55">
        <f>_xll.EQNXTDZ($A$1,$B50,N$1,$B$1)</f>
        <v>254.67</v>
      </c>
      <c r="O50" s="55">
        <f>_xll.EQNXTDZ($A$1,$B50,O$1,$B$1)</f>
        <v>392.4</v>
      </c>
      <c r="P50" s="55">
        <f>_xll.EQNXTDZ($A$1,$B50,P$1,$B$1)</f>
        <v>650.79999999999995</v>
      </c>
      <c r="Q50" s="55">
        <f>_xll.EQNXTDZ($A$1,$B50,Q$1,$B$1)</f>
        <v>424.21</v>
      </c>
      <c r="R50" s="55">
        <f>_xll.EQNXTDZ($A$1,$B50,R$1,$B$1)</f>
        <v>643</v>
      </c>
      <c r="S50" s="55">
        <f>_xll.EQNXTDZ($A$1,$B50,S$1,$B$1)</f>
        <v>642</v>
      </c>
      <c r="T50" s="55">
        <f>_xll.EQNXTDZ($A$1,$B50,T$1,$B$1)</f>
        <v>1153</v>
      </c>
      <c r="U50" s="55">
        <f>_xll.EQNXTDZ($A$1,$B50,U$1,$B$1)</f>
        <v>1359</v>
      </c>
      <c r="V50" s="55">
        <f>_xll.EQNXTDZ($A$1,$B50,V$1,$B$1)</f>
        <v>7665</v>
      </c>
      <c r="W50" s="55">
        <f>_xll.EQNXTDZ($A$1,$B50,W$1,$B$1)</f>
        <v>7754</v>
      </c>
      <c r="X50" s="55">
        <f>_xll.EQNXTDZ($A$1,$B50,X$1,$B$1)</f>
        <v>7485</v>
      </c>
      <c r="Y50" s="55">
        <f>_xll.EQNXTDZ($A$1,$B50,Y$1,$B$1)</f>
        <v>7213</v>
      </c>
      <c r="Z50" s="55">
        <f>_xll.EQNXTDZ($A$1,$B50,Z$1,$B$1)</f>
        <v>7068</v>
      </c>
      <c r="AA50" s="55">
        <f>_xll.EQNXTDZ($A$1,$B50,AA$1,$B$1)</f>
        <v>8750</v>
      </c>
      <c r="AB50" s="55">
        <f>_xll.EQNXTDZ($A$1,$B50,AB$1,$B$1)</f>
        <v>10588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24.87</v>
      </c>
      <c r="N51" s="55">
        <f>_xll.EQNXTDZ($A$1,$B51,N$1,$B$1)</f>
        <v>42.26</v>
      </c>
      <c r="O51" s="55">
        <f>_xll.EQNXTDZ($A$1,$B51,O$1,$B$1)</f>
        <v>54.34</v>
      </c>
      <c r="P51" s="55">
        <f>_xll.EQNXTDZ($A$1,$B51,P$1,$B$1)</f>
        <v>92.27</v>
      </c>
      <c r="Q51" s="55">
        <f>_xll.EQNXTDZ($A$1,$B51,Q$1,$B$1)</f>
        <v>67.53</v>
      </c>
      <c r="R51" s="55">
        <f>_xll.EQNXTDZ($A$1,$B51,R$1,$B$1)</f>
        <v>62</v>
      </c>
      <c r="S51" s="55">
        <f>_xll.EQNXTDZ($A$1,$B51,S$1,$B$1)</f>
        <v>17</v>
      </c>
      <c r="T51" s="55">
        <f>_xll.EQNXTDZ($A$1,$B51,T$1,$B$1)</f>
        <v>18</v>
      </c>
      <c r="U51" s="55">
        <f>_xll.EQNXTDZ($A$1,$B51,U$1,$B$1)</f>
        <v>3</v>
      </c>
      <c r="V51" s="55">
        <f>_xll.EQNXTDZ($A$1,$B51,V$1,$B$1)</f>
        <v>3</v>
      </c>
      <c r="W51" s="55">
        <f>_xll.EQNXTDZ($A$1,$B51,W$1,$B$1)</f>
        <v>0</v>
      </c>
      <c r="X51" s="55">
        <f>_xll.EQNXTDZ($A$1,$B51,X$1,$B$1)</f>
        <v>339</v>
      </c>
      <c r="Y51" s="55">
        <f>_xll.EQNXTDZ($A$1,$B51,Y$1,$B$1)</f>
        <v>120</v>
      </c>
      <c r="Z51" s="55">
        <f>_xll.EQNXTDZ($A$1,$B51,Z$1,$B$1)</f>
        <v>69</v>
      </c>
      <c r="AA51" s="55">
        <f>_xll.EQNXTDZ($A$1,$B51,AA$1,$B$1)</f>
        <v>60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139.22999999999999</v>
      </c>
      <c r="N52" s="55">
        <f>_xll.EQNXTDZ($A$1,$B52,N$1,$B$1)</f>
        <v>217.65</v>
      </c>
      <c r="O52" s="55">
        <f>_xll.EQNXTDZ($A$1,$B52,O$1,$B$1)</f>
        <v>348.92</v>
      </c>
      <c r="P52" s="55">
        <f>_xll.EQNXTDZ($A$1,$B52,P$1,$B$1)</f>
        <v>385.59</v>
      </c>
      <c r="Q52" s="55">
        <f>_xll.EQNXTDZ($A$1,$B52,Q$1,$B$1)</f>
        <v>631.15</v>
      </c>
      <c r="R52" s="55">
        <f>_xll.EQNXTDZ($A$1,$B52,R$1,$B$1)</f>
        <v>507</v>
      </c>
      <c r="S52" s="55">
        <f>_xll.EQNXTDZ($A$1,$B52,S$1,$B$1)</f>
        <v>511</v>
      </c>
      <c r="T52" s="55">
        <f>_xll.EQNXTDZ($A$1,$B52,T$1,$B$1)</f>
        <v>543</v>
      </c>
      <c r="U52" s="55">
        <f>_xll.EQNXTDZ($A$1,$B52,U$1,$B$1)</f>
        <v>556</v>
      </c>
      <c r="V52" s="55">
        <f>_xll.EQNXTDZ($A$1,$B52,V$1,$B$1)</f>
        <v>643</v>
      </c>
      <c r="W52" s="55">
        <f>_xll.EQNXTDZ($A$1,$B52,W$1,$B$1)</f>
        <v>975</v>
      </c>
      <c r="X52" s="55">
        <f>_xll.EQNXTDZ($A$1,$B52,X$1,$B$1)</f>
        <v>903</v>
      </c>
      <c r="Y52" s="55">
        <f>_xll.EQNXTDZ($A$1,$B52,Y$1,$B$1)</f>
        <v>762</v>
      </c>
      <c r="Z52" s="55">
        <f>_xll.EQNXTDZ($A$1,$B52,Z$1,$B$1)</f>
        <v>912</v>
      </c>
      <c r="AA52" s="55">
        <f>_xll.EQNXTDZ($A$1,$B52,AA$1,$B$1)</f>
        <v>1067</v>
      </c>
      <c r="AB52" s="55">
        <f>_xll.EQNXTDZ($A$1,$B52,AB$1,$B$1)</f>
        <v>1187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448.96</v>
      </c>
      <c r="G53" s="55">
        <f>_xll.EQNXTDZ($A$1,$B53,G$1,$B$1)</f>
        <v>269.01</v>
      </c>
      <c r="H53" s="55">
        <f>_xll.EQNXTDZ($A$1,$B53,H$1,$B$1)</f>
        <v>149.76</v>
      </c>
      <c r="I53" s="55">
        <f>_xll.EQNXTDZ($A$1,$B53,I$1,$B$1)</f>
        <v>506.01</v>
      </c>
      <c r="J53" s="55">
        <f>_xll.EQNXTDZ($A$1,$B53,J$1,$B$1)</f>
        <v>488.05</v>
      </c>
      <c r="K53" s="55">
        <f>_xll.EQNXTDZ($A$1,$B53,K$1,$B$1)</f>
        <v>632.39</v>
      </c>
      <c r="L53" s="55">
        <f>_xll.EQNXTDZ($A$1,$B53,L$1,$B$1)</f>
        <v>4.0699999999999896</v>
      </c>
      <c r="M53" s="55">
        <f>_xll.EQNXTDZ($A$1,$B53,M$1,$B$1)</f>
        <v>311.85000000000002</v>
      </c>
      <c r="N53" s="55">
        <f>_xll.EQNXTDZ($A$1,$B53,N$1,$B$1)</f>
        <v>547.36</v>
      </c>
      <c r="O53" s="55">
        <f>_xll.EQNXTDZ($A$1,$B53,O$1,$B$1)</f>
        <v>851.9</v>
      </c>
      <c r="P53" s="55">
        <f>_xll.EQNXTDZ($A$1,$B53,P$1,$B$1)</f>
        <v>1144.6600000000001</v>
      </c>
      <c r="Q53" s="55">
        <f>_xll.EQNXTDZ($A$1,$B53,Q$1,$B$1)</f>
        <v>986.18</v>
      </c>
      <c r="R53" s="55">
        <f>_xll.EQNXTDZ($A$1,$B53,R$1,$B$1)</f>
        <v>-808</v>
      </c>
      <c r="S53" s="55">
        <f>_xll.EQNXTDZ($A$1,$B53,S$1,$B$1)</f>
        <v>-668</v>
      </c>
      <c r="T53" s="55">
        <f>_xll.EQNXTDZ($A$1,$B53,T$1,$B$1)</f>
        <v>-511</v>
      </c>
      <c r="U53" s="55">
        <f>_xll.EQNXTDZ($A$1,$B53,U$1,$B$1)</f>
        <v>304</v>
      </c>
      <c r="V53" s="55">
        <f>_xll.EQNXTDZ($A$1,$B53,V$1,$B$1)</f>
        <v>6262</v>
      </c>
      <c r="W53" s="55">
        <f>_xll.EQNXTDZ($A$1,$B53,W$1,$B$1)</f>
        <v>5565</v>
      </c>
      <c r="X53" s="55">
        <f>_xll.EQNXTDZ($A$1,$B53,X$1,$B$1)</f>
        <v>5609</v>
      </c>
      <c r="Y53" s="55">
        <f>_xll.EQNXTDZ($A$1,$B53,Y$1,$B$1)</f>
        <v>5580</v>
      </c>
      <c r="Z53" s="55">
        <f>_xll.EQNXTDZ($A$1,$B53,Z$1,$B$1)</f>
        <v>5623</v>
      </c>
      <c r="AA53" s="55">
        <f>_xll.EQNXTDZ($A$1,$B53,AA$1,$B$1)</f>
        <v>7279</v>
      </c>
      <c r="AB53" s="55">
        <f>_xll.EQNXTDZ($A$1,$B53,AB$1,$B$1)</f>
        <v>8515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335.37</v>
      </c>
      <c r="G54" s="55">
        <f>_xll.EQNXTDZ($A$1,$B54,G$1,$B$1)</f>
        <v>662.62</v>
      </c>
      <c r="H54" s="55">
        <f>_xll.EQNXTDZ($A$1,$B54,H$1,$B$1)</f>
        <v>1023.41</v>
      </c>
      <c r="I54" s="55">
        <f>_xll.EQNXTDZ($A$1,$B54,I$1,$B$1)</f>
        <v>1329.61</v>
      </c>
      <c r="J54" s="55">
        <f>_xll.EQNXTDZ($A$1,$B54,J$1,$B$1)</f>
        <v>1887.94</v>
      </c>
      <c r="K54" s="55">
        <f>_xll.EQNXTDZ($A$1,$B54,K$1,$B$1)</f>
        <v>2310.06</v>
      </c>
      <c r="L54" s="55">
        <f>_xll.EQNXTDZ($A$1,$B54,L$1,$B$1)</f>
        <v>2977.73</v>
      </c>
      <c r="M54" s="55">
        <f>_xll.EQNXTDZ($A$1,$B54,M$1,$B$1)</f>
        <v>2572.33</v>
      </c>
      <c r="N54" s="55">
        <f>_xll.EQNXTDZ($A$1,$B54,N$1,$B$1)</f>
        <v>3250.78</v>
      </c>
      <c r="O54" s="55">
        <f>_xll.EQNXTDZ($A$1,$B54,O$1,$B$1)</f>
        <v>4269.71</v>
      </c>
      <c r="P54" s="55">
        <f>_xll.EQNXTDZ($A$1,$B54,P$1,$B$1)</f>
        <v>5536.02</v>
      </c>
      <c r="Q54" s="55">
        <f>_xll.EQNXTDZ($A$1,$B54,Q$1,$B$1)</f>
        <v>8830.93</v>
      </c>
      <c r="R54" s="55">
        <f>_xll.EQNXTDZ($A$1,$B54,R$1,$B$1)</f>
        <v>7541</v>
      </c>
      <c r="S54" s="55">
        <f>_xll.EQNXTDZ($A$1,$B54,S$1,$B$1)</f>
        <v>4905</v>
      </c>
      <c r="T54" s="55">
        <f>_xll.EQNXTDZ($A$1,$B54,T$1,$B$1)</f>
        <v>5094</v>
      </c>
      <c r="U54" s="55">
        <f>_xll.EQNXTDZ($A$1,$B54,U$1,$B$1)</f>
        <v>6292</v>
      </c>
      <c r="V54" s="55">
        <f>_xll.EQNXTDZ($A$1,$B54,V$1,$B$1)</f>
        <v>6740</v>
      </c>
      <c r="W54" s="55">
        <f>_xll.EQNXTDZ($A$1,$B54,W$1,$B$1)</f>
        <v>7860</v>
      </c>
      <c r="X54" s="55">
        <f>_xll.EQNXTDZ($A$1,$B54,X$1,$B$1)</f>
        <v>8045</v>
      </c>
      <c r="Y54" s="55">
        <f>_xll.EQNXTDZ($A$1,$B54,Y$1,$B$1)</f>
        <v>10515</v>
      </c>
      <c r="Z54" s="55">
        <f>_xll.EQNXTDZ($A$1,$B54,Z$1,$B$1)</f>
        <v>9981</v>
      </c>
      <c r="AA54" s="55">
        <f>_xll.EQNXTDZ($A$1,$B54,AA$1,$B$1)</f>
        <v>13909</v>
      </c>
      <c r="AB54" s="55">
        <f>_xll.EQNXTDZ($A$1,$B54,AB$1,$B$1)</f>
        <v>14808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68.069999999999993</v>
      </c>
      <c r="G55" s="55">
        <f>_xll.EQNXTDZ($A$1,$B55,G$1,$B$1)</f>
        <v>242.57</v>
      </c>
      <c r="H55" s="55">
        <f>_xll.EQNXTDZ($A$1,$B55,H$1,$B$1)</f>
        <v>703.06</v>
      </c>
      <c r="I55" s="55">
        <f>_xll.EQNXTDZ($A$1,$B55,I$1,$B$1)</f>
        <v>1142.18</v>
      </c>
      <c r="J55" s="55">
        <f>_xll.EQNXTDZ($A$1,$B55,J$1,$B$1)</f>
        <v>1302.6300000000001</v>
      </c>
      <c r="K55" s="55">
        <f>_xll.EQNXTDZ($A$1,$B55,K$1,$B$1)</f>
        <v>2030.38</v>
      </c>
      <c r="L55" s="55">
        <f>_xll.EQNXTDZ($A$1,$B55,L$1,$B$1)</f>
        <v>1116.06</v>
      </c>
      <c r="M55" s="55">
        <f>_xll.EQNXTDZ($A$1,$B55,M$1,$B$1)</f>
        <v>1923.2</v>
      </c>
      <c r="N55" s="55">
        <f>_xll.EQNXTDZ($A$1,$B55,N$1,$B$1)</f>
        <v>2410.2800000000002</v>
      </c>
      <c r="O55" s="55">
        <f>_xll.EQNXTDZ($A$1,$B55,O$1,$B$1)</f>
        <v>3081.52</v>
      </c>
      <c r="P55" s="55">
        <f>_xll.EQNXTDZ($A$1,$B55,P$1,$B$1)</f>
        <v>3621.24</v>
      </c>
      <c r="Q55" s="55">
        <f>_xll.EQNXTDZ($A$1,$B55,Q$1,$B$1)</f>
        <v>3646.59</v>
      </c>
      <c r="R55" s="55">
        <f>_xll.EQNXTDZ($A$1,$B55,R$1,$B$1)</f>
        <v>5360</v>
      </c>
      <c r="S55" s="55">
        <f>_xll.EQNXTDZ($A$1,$B55,S$1,$B$1)</f>
        <v>6067</v>
      </c>
      <c r="T55" s="55">
        <f>_xll.EQNXTDZ($A$1,$B55,T$1,$B$1)</f>
        <v>8874</v>
      </c>
      <c r="U55" s="55">
        <f>_xll.EQNXTDZ($A$1,$B55,U$1,$B$1)</f>
        <v>10530</v>
      </c>
      <c r="V55" s="55">
        <f>_xll.EQNXTDZ($A$1,$B55,V$1,$B$1)</f>
        <v>13566</v>
      </c>
      <c r="W55" s="55">
        <f>_xll.EQNXTDZ($A$1,$B55,W$1,$B$1)</f>
        <v>15160</v>
      </c>
      <c r="X55" s="55">
        <f>_xll.EQNXTDZ($A$1,$B55,X$1,$B$1)</f>
        <v>21164</v>
      </c>
      <c r="Y55" s="55">
        <f>_xll.EQNXTDZ($A$1,$B55,Y$1,$B$1)</f>
        <v>19288</v>
      </c>
      <c r="Z55" s="55">
        <f>_xll.EQNXTDZ($A$1,$B55,Z$1,$B$1)</f>
        <v>20031</v>
      </c>
      <c r="AA55" s="55">
        <f>_xll.EQNXTDZ($A$1,$B55,AA$1,$B$1)</f>
        <v>21312</v>
      </c>
      <c r="AB55" s="55">
        <f>_xll.EQNXTDZ($A$1,$B55,AB$1,$B$1)</f>
        <v>24377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31.57</v>
      </c>
      <c r="N56" s="55">
        <f>_xll.EQNXTDZ($A$1,$B56,N$1,$B$1)</f>
        <v>0.89</v>
      </c>
      <c r="O56" s="55">
        <f>_xll.EQNXTDZ($A$1,$B56,O$1,$B$1)</f>
        <v>80.02</v>
      </c>
      <c r="P56" s="55">
        <f>_xll.EQNXTDZ($A$1,$B56,P$1,$B$1)</f>
        <v>127.09</v>
      </c>
      <c r="Q56" s="55">
        <f>_xll.EQNXTDZ($A$1,$B56,Q$1,$B$1)</f>
        <v>185.56</v>
      </c>
      <c r="R56" s="55">
        <f>_xll.EQNXTDZ($A$1,$B56,R$1,$B$1)</f>
        <v>113</v>
      </c>
      <c r="S56" s="55">
        <f>_xll.EQNXTDZ($A$1,$B56,S$1,$B$1)</f>
        <v>200</v>
      </c>
      <c r="T56" s="55">
        <f>_xll.EQNXTDZ($A$1,$B56,T$1,$B$1)</f>
        <v>181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17.579999999999998</v>
      </c>
      <c r="G57" s="55">
        <f>_xll.EQNXTDZ($A$1,$B57,G$1,$B$1)</f>
        <v>548.35</v>
      </c>
      <c r="H57" s="55">
        <f>_xll.EQNXTDZ($A$1,$B57,H$1,$B$1)</f>
        <v>571.63</v>
      </c>
      <c r="I57" s="55">
        <f>_xll.EQNXTDZ($A$1,$B57,I$1,$B$1)</f>
        <v>1023.66</v>
      </c>
      <c r="J57" s="55">
        <f>_xll.EQNXTDZ($A$1,$B57,J$1,$B$1)</f>
        <v>1286.6099999999999</v>
      </c>
      <c r="K57" s="55">
        <f>_xll.EQNXTDZ($A$1,$B57,K$1,$B$1)</f>
        <v>1627.3</v>
      </c>
      <c r="L57" s="55">
        <f>_xll.EQNXTDZ($A$1,$B57,L$1,$B$1)</f>
        <v>4300.07</v>
      </c>
      <c r="M57" s="55">
        <f>_xll.EQNXTDZ($A$1,$B57,M$1,$B$1)</f>
        <v>2718.93</v>
      </c>
      <c r="N57" s="55">
        <f>_xll.EQNXTDZ($A$1,$B57,N$1,$B$1)</f>
        <v>4727.1400000000003</v>
      </c>
      <c r="O57" s="55">
        <f>_xll.EQNXTDZ($A$1,$B57,O$1,$B$1)</f>
        <v>4233.46</v>
      </c>
      <c r="P57" s="55">
        <f>_xll.EQNXTDZ($A$1,$B57,P$1,$B$1)</f>
        <v>6385.96</v>
      </c>
      <c r="Q57" s="55">
        <f>_xll.EQNXTDZ($A$1,$B57,Q$1,$B$1)</f>
        <v>7655.16</v>
      </c>
      <c r="R57" s="55">
        <f>_xll.EQNXTDZ($A$1,$B57,R$1,$B$1)</f>
        <v>2555</v>
      </c>
      <c r="S57" s="55">
        <f>_xll.EQNXTDZ($A$1,$B57,S$1,$B$1)</f>
        <v>3340</v>
      </c>
      <c r="T57" s="55">
        <f>_xll.EQNXTDZ($A$1,$B57,T$1,$B$1)</f>
        <v>3679</v>
      </c>
      <c r="U57" s="55">
        <f>_xll.EQNXTDZ($A$1,$B57,U$1,$B$1)</f>
        <v>5262</v>
      </c>
      <c r="V57" s="55">
        <f>_xll.EQNXTDZ($A$1,$B57,V$1,$B$1)</f>
        <v>6754</v>
      </c>
      <c r="W57" s="55">
        <f>_xll.EQNXTDZ($A$1,$B57,W$1,$B$1)</f>
        <v>11135</v>
      </c>
      <c r="X57" s="55">
        <f>_xll.EQNXTDZ($A$1,$B57,X$1,$B$1)</f>
        <v>13142</v>
      </c>
      <c r="Y57" s="55">
        <f>_xll.EQNXTDZ($A$1,$B57,Y$1,$B$1)</f>
        <v>13755</v>
      </c>
      <c r="Z57" s="55">
        <f>_xll.EQNXTDZ($A$1,$B57,Z$1,$B$1)</f>
        <v>16092</v>
      </c>
      <c r="AA57" s="55">
        <f>_xll.EQNXTDZ($A$1,$B57,AA$1,$B$1)</f>
        <v>17780</v>
      </c>
      <c r="AB57" s="55">
        <f>_xll.EQNXTDZ($A$1,$B57,AB$1,$B$1)</f>
        <v>21729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421.02</v>
      </c>
      <c r="G59" s="55">
        <f>_xll.EQNXTDZ($A$1,$B59,G$1,$B$1)</f>
        <v>1453.54</v>
      </c>
      <c r="H59" s="55">
        <f>_xll.EQNXTDZ($A$1,$B59,H$1,$B$1)</f>
        <v>2298.1</v>
      </c>
      <c r="I59" s="55">
        <f>_xll.EQNXTDZ($A$1,$B59,I$1,$B$1)</f>
        <v>3495.45</v>
      </c>
      <c r="J59" s="55">
        <f>_xll.EQNXTDZ($A$1,$B59,J$1,$B$1)</f>
        <v>4477.18</v>
      </c>
      <c r="K59" s="55">
        <f>_xll.EQNXTDZ($A$1,$B59,K$1,$B$1)</f>
        <v>5967.74</v>
      </c>
      <c r="L59" s="55">
        <f>_xll.EQNXTDZ($A$1,$B59,L$1,$B$1)</f>
        <v>8393.86</v>
      </c>
      <c r="M59" s="55">
        <f>_xll.EQNXTDZ($A$1,$B59,M$1,$B$1)</f>
        <v>7246.03</v>
      </c>
      <c r="N59" s="55">
        <f>_xll.EQNXTDZ($A$1,$B59,N$1,$B$1)</f>
        <v>10389.09</v>
      </c>
      <c r="O59" s="55">
        <f>_xll.EQNXTDZ($A$1,$B59,O$1,$B$1)</f>
        <v>11664.71</v>
      </c>
      <c r="P59" s="55">
        <f>_xll.EQNXTDZ($A$1,$B59,P$1,$B$1)</f>
        <v>15670.31</v>
      </c>
      <c r="Q59" s="55">
        <f>_xll.EQNXTDZ($A$1,$B59,Q$1,$B$1)</f>
        <v>20318.240000000002</v>
      </c>
      <c r="R59" s="55">
        <f>_xll.EQNXTDZ($A$1,$B59,R$1,$B$1)</f>
        <v>15569</v>
      </c>
      <c r="S59" s="55">
        <f>_xll.EQNXTDZ($A$1,$B59,S$1,$B$1)</f>
        <v>14512</v>
      </c>
      <c r="T59" s="55">
        <f>_xll.EQNXTDZ($A$1,$B59,T$1,$B$1)</f>
        <v>17828</v>
      </c>
      <c r="U59" s="55">
        <f>_xll.EQNXTDZ($A$1,$B59,U$1,$B$1)</f>
        <v>22084</v>
      </c>
      <c r="V59" s="55">
        <f>_xll.EQNXTDZ($A$1,$B59,V$1,$B$1)</f>
        <v>27060</v>
      </c>
      <c r="W59" s="55">
        <f>_xll.EQNXTDZ($A$1,$B59,W$1,$B$1)</f>
        <v>34155</v>
      </c>
      <c r="X59" s="55">
        <f>_xll.EQNXTDZ($A$1,$B59,X$1,$B$1)</f>
        <v>42351</v>
      </c>
      <c r="Y59" s="55">
        <f>_xll.EQNXTDZ($A$1,$B59,Y$1,$B$1)</f>
        <v>43558</v>
      </c>
      <c r="Z59" s="55">
        <f>_xll.EQNXTDZ($A$1,$B59,Z$1,$B$1)</f>
        <v>46104</v>
      </c>
      <c r="AA59" s="55">
        <f>_xll.EQNXTDZ($A$1,$B59,AA$1,$B$1)</f>
        <v>53001</v>
      </c>
      <c r="AB59" s="55">
        <f>_xll.EQNXTDZ($A$1,$B59,AB$1,$B$1)</f>
        <v>60914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997.13</v>
      </c>
      <c r="G60" s="55">
        <f>_xll.EQNXTDZ($A$1,$B60,G$1,$B$1)</f>
        <v>5289.83</v>
      </c>
      <c r="H60" s="55">
        <f>_xll.EQNXTDZ($A$1,$B60,H$1,$B$1)</f>
        <v>8611.39</v>
      </c>
      <c r="I60" s="55">
        <f>_xll.EQNXTDZ($A$1,$B60,I$1,$B$1)</f>
        <v>13063.36</v>
      </c>
      <c r="J60" s="55">
        <f>_xll.EQNXTDZ($A$1,$B60,J$1,$B$1)</f>
        <v>17478.080000000002</v>
      </c>
      <c r="K60" s="55">
        <f>_xll.EQNXTDZ($A$1,$B60,K$1,$B$1)</f>
        <v>22577.3</v>
      </c>
      <c r="L60" s="55">
        <f>_xll.EQNXTDZ($A$1,$B60,L$1,$B$1)</f>
        <v>27226.36</v>
      </c>
      <c r="M60" s="55">
        <f>_xll.EQNXTDZ($A$1,$B60,M$1,$B$1)</f>
        <v>32520.86</v>
      </c>
      <c r="N60" s="55">
        <f>_xll.EQNXTDZ($A$1,$B60,N$1,$B$1)</f>
        <v>41074.449999999997</v>
      </c>
      <c r="O60" s="55">
        <f>_xll.EQNXTDZ($A$1,$B60,O$1,$B$1)</f>
        <v>51857.65</v>
      </c>
      <c r="P60" s="55">
        <f>_xll.EQNXTDZ($A$1,$B60,P$1,$B$1)</f>
        <v>66717.72</v>
      </c>
      <c r="Q60" s="55">
        <f>_xll.EQNXTDZ($A$1,$B60,Q$1,$B$1)</f>
        <v>73066.94</v>
      </c>
      <c r="R60" s="55">
        <f>_xll.EQNXTDZ($A$1,$B60,R$1,$B$1)</f>
        <v>86188</v>
      </c>
      <c r="S60" s="55">
        <f>_xll.EQNXTDZ($A$1,$B60,S$1,$B$1)</f>
        <v>100424</v>
      </c>
      <c r="T60" s="55">
        <f>_xll.EQNXTDZ($A$1,$B60,T$1,$B$1)</f>
        <v>102847</v>
      </c>
      <c r="U60" s="55">
        <f>_xll.EQNXTDZ($A$1,$B60,U$1,$B$1)</f>
        <v>112287</v>
      </c>
      <c r="V60" s="55">
        <f>_xll.EQNXTDZ($A$1,$B60,V$1,$B$1)</f>
        <v>118071</v>
      </c>
      <c r="W60" s="55">
        <f>_xll.EQNXTDZ($A$1,$B60,W$1,$B$1)</f>
        <v>126828</v>
      </c>
      <c r="X60" s="55">
        <f>_xll.EQNXTDZ($A$1,$B60,X$1,$B$1)</f>
        <v>137806</v>
      </c>
      <c r="Y60" s="55">
        <f>_xll.EQNXTDZ($A$1,$B60,Y$1,$B$1)</f>
        <v>140344</v>
      </c>
      <c r="Z60" s="55">
        <f>_xll.EQNXTDZ($A$1,$B60,Z$1,$B$1)</f>
        <v>143046</v>
      </c>
      <c r="AA60" s="55">
        <f>_xll.EQNXTDZ($A$1,$B60,AA$1,$B$1)</f>
        <v>156051</v>
      </c>
      <c r="AB60" s="55">
        <f>_xll.EQNXTDZ($A$1,$B60,AB$1,$B$1)</f>
        <v>177907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578.14</v>
      </c>
      <c r="G62" s="55">
        <f>_xll.EQNXTDZ($A$1,$B62,G$1,$B$1)</f>
        <v>1649.54</v>
      </c>
      <c r="H62" s="55">
        <f>_xll.EQNXTDZ($A$1,$B62,H$1,$B$1)</f>
        <v>2684.94</v>
      </c>
      <c r="I62" s="55">
        <f>_xll.EQNXTDZ($A$1,$B62,I$1,$B$1)</f>
        <v>4266.05</v>
      </c>
      <c r="J62" s="55">
        <f>_xll.EQNXTDZ($A$1,$B62,J$1,$B$1)</f>
        <v>5556.75</v>
      </c>
      <c r="K62" s="55">
        <f>_xll.EQNXTDZ($A$1,$B62,K$1,$B$1)</f>
        <v>9105.26</v>
      </c>
      <c r="L62" s="55">
        <f>_xll.EQNXTDZ($A$1,$B62,L$1,$B$1)</f>
        <v>9635.5</v>
      </c>
      <c r="M62" s="55">
        <f>_xll.EQNXTDZ($A$1,$B62,M$1,$B$1)</f>
        <v>11024.24</v>
      </c>
      <c r="N62" s="55">
        <f>_xll.EQNXTDZ($A$1,$B62,N$1,$B$1)</f>
        <v>12991.29</v>
      </c>
      <c r="O62" s="55">
        <f>_xll.EQNXTDZ($A$1,$B62,O$1,$B$1)</f>
        <v>15204.49</v>
      </c>
      <c r="P62" s="55">
        <f>_xll.EQNXTDZ($A$1,$B62,P$1,$B$1)</f>
        <v>16166.19</v>
      </c>
      <c r="Q62" s="55">
        <f>_xll.EQNXTDZ($A$1,$B62,Q$1,$B$1)</f>
        <v>19409.27</v>
      </c>
      <c r="R62" s="55">
        <f>_xll.EQNXTDZ($A$1,$B62,R$1,$B$1)</f>
        <v>21586</v>
      </c>
      <c r="S62" s="55">
        <f>_xll.EQNXTDZ($A$1,$B62,S$1,$B$1)</f>
        <v>22988</v>
      </c>
      <c r="T62" s="55">
        <f>_xll.EQNXTDZ($A$1,$B62,T$1,$B$1)</f>
        <v>25003</v>
      </c>
      <c r="U62" s="55">
        <f>_xll.EQNXTDZ($A$1,$B62,U$1,$B$1)</f>
        <v>26593</v>
      </c>
      <c r="V62" s="55">
        <f>_xll.EQNXTDZ($A$1,$B62,V$1,$B$1)</f>
        <v>37984</v>
      </c>
      <c r="W62" s="55">
        <f>_xll.EQNXTDZ($A$1,$B62,W$1,$B$1)</f>
        <v>40451</v>
      </c>
      <c r="X62" s="55">
        <f>_xll.EQNXTDZ($A$1,$B62,X$1,$B$1)</f>
        <v>44601</v>
      </c>
      <c r="Y62" s="55">
        <f>_xll.EQNXTDZ($A$1,$B62,Y$1,$B$1)</f>
        <v>48474</v>
      </c>
      <c r="Z62" s="55">
        <f>_xll.EQNXTDZ($A$1,$B62,Z$1,$B$1)</f>
        <v>52112</v>
      </c>
      <c r="AA62" s="55">
        <f>_xll.EQNXTDZ($A$1,$B62,AA$1,$B$1)</f>
        <v>59776</v>
      </c>
      <c r="AB62" s="55">
        <f>_xll.EQNXTDZ($A$1,$B62,AB$1,$B$1)</f>
        <v>70843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0.95</v>
      </c>
      <c r="G63" s="55">
        <f>_xll.EQNXTDZ($A$1,$B63,G$1,$B$1)</f>
        <v>155.93</v>
      </c>
      <c r="H63" s="55">
        <f>_xll.EQNXTDZ($A$1,$B63,H$1,$B$1)</f>
        <v>661.91</v>
      </c>
      <c r="I63" s="55">
        <f>_xll.EQNXTDZ($A$1,$B63,I$1,$B$1)</f>
        <v>1079.1600000000001</v>
      </c>
      <c r="J63" s="55">
        <f>_xll.EQNXTDZ($A$1,$B63,J$1,$B$1)</f>
        <v>1622.2</v>
      </c>
      <c r="K63" s="55">
        <f>_xll.EQNXTDZ($A$1,$B63,K$1,$B$1)</f>
        <v>2359.7199999999998</v>
      </c>
      <c r="L63" s="55">
        <f>_xll.EQNXTDZ($A$1,$B63,L$1,$B$1)</f>
        <v>2897.47</v>
      </c>
      <c r="M63" s="55">
        <f>_xll.EQNXTDZ($A$1,$B63,M$1,$B$1)</f>
        <v>3545.15</v>
      </c>
      <c r="N63" s="55">
        <f>_xll.EQNXTDZ($A$1,$B63,N$1,$B$1)</f>
        <v>4329.2299999999996</v>
      </c>
      <c r="O63" s="55">
        <f>_xll.EQNXTDZ($A$1,$B63,O$1,$B$1)</f>
        <v>5376.48</v>
      </c>
      <c r="P63" s="55">
        <f>_xll.EQNXTDZ($A$1,$B63,P$1,$B$1)</f>
        <v>6621.86</v>
      </c>
      <c r="Q63" s="55">
        <f>_xll.EQNXTDZ($A$1,$B63,Q$1,$B$1)</f>
        <v>7771.1</v>
      </c>
      <c r="R63" s="55">
        <f>_xll.EQNXTDZ($A$1,$B63,R$1,$B$1)</f>
        <v>9812</v>
      </c>
      <c r="S63" s="55">
        <f>_xll.EQNXTDZ($A$1,$B63,S$1,$B$1)</f>
        <v>11287</v>
      </c>
      <c r="T63" s="55">
        <f>_xll.EQNXTDZ($A$1,$B63,T$1,$B$1)</f>
        <v>13030</v>
      </c>
      <c r="U63" s="55">
        <f>_xll.EQNXTDZ($A$1,$B63,U$1,$B$1)</f>
        <v>14303</v>
      </c>
      <c r="V63" s="55">
        <f>_xll.EQNXTDZ($A$1,$B63,V$1,$B$1)</f>
        <v>17056</v>
      </c>
      <c r="W63" s="55">
        <f>_xll.EQNXTDZ($A$1,$B63,W$1,$B$1)</f>
        <v>19430</v>
      </c>
      <c r="X63" s="55">
        <f>_xll.EQNXTDZ($A$1,$B63,X$1,$B$1)</f>
        <v>23303</v>
      </c>
      <c r="Y63" s="55">
        <f>_xll.EQNXTDZ($A$1,$B63,Y$1,$B$1)</f>
        <v>27959</v>
      </c>
      <c r="Z63" s="55">
        <f>_xll.EQNXTDZ($A$1,$B63,Z$1,$B$1)</f>
        <v>32508</v>
      </c>
      <c r="AA63" s="55">
        <f>_xll.EQNXTDZ($A$1,$B63,AA$1,$B$1)</f>
        <v>36723</v>
      </c>
      <c r="AB63" s="55">
        <f>_xll.EQNXTDZ($A$1,$B63,AB$1,$B$1)</f>
        <v>39500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577.19000000000005</v>
      </c>
      <c r="G65" s="55">
        <f>_xll.EQNXTDZ($A$1,$B65,G$1,$B$1)</f>
        <v>1493.61</v>
      </c>
      <c r="H65" s="55">
        <f>_xll.EQNXTDZ($A$1,$B65,H$1,$B$1)</f>
        <v>2023.03</v>
      </c>
      <c r="I65" s="55">
        <f>_xll.EQNXTDZ($A$1,$B65,I$1,$B$1)</f>
        <v>3186.89</v>
      </c>
      <c r="J65" s="55">
        <f>_xll.EQNXTDZ($A$1,$B65,J$1,$B$1)</f>
        <v>3934.55</v>
      </c>
      <c r="K65" s="55">
        <f>_xll.EQNXTDZ($A$1,$B65,K$1,$B$1)</f>
        <v>6745.54</v>
      </c>
      <c r="L65" s="55">
        <f>_xll.EQNXTDZ($A$1,$B65,L$1,$B$1)</f>
        <v>6738.03</v>
      </c>
      <c r="M65" s="55">
        <f>_xll.EQNXTDZ($A$1,$B65,M$1,$B$1)</f>
        <v>7479.09</v>
      </c>
      <c r="N65" s="55">
        <f>_xll.EQNXTDZ($A$1,$B65,N$1,$B$1)</f>
        <v>8662.06</v>
      </c>
      <c r="O65" s="55">
        <f>_xll.EQNXTDZ($A$1,$B65,O$1,$B$1)</f>
        <v>9828.01</v>
      </c>
      <c r="P65" s="55">
        <f>_xll.EQNXTDZ($A$1,$B65,P$1,$B$1)</f>
        <v>9544.33</v>
      </c>
      <c r="Q65" s="55">
        <f>_xll.EQNXTDZ($A$1,$B65,Q$1,$B$1)</f>
        <v>11638.17</v>
      </c>
      <c r="R65" s="55">
        <f>_xll.EQNXTDZ($A$1,$B65,R$1,$B$1)</f>
        <v>11774</v>
      </c>
      <c r="S65" s="55">
        <f>_xll.EQNXTDZ($A$1,$B65,S$1,$B$1)</f>
        <v>11701</v>
      </c>
      <c r="T65" s="55">
        <f>_xll.EQNXTDZ($A$1,$B65,T$1,$B$1)</f>
        <v>11973</v>
      </c>
      <c r="U65" s="55">
        <f>_xll.EQNXTDZ($A$1,$B65,U$1,$B$1)</f>
        <v>12290</v>
      </c>
      <c r="V65" s="55">
        <f>_xll.EQNXTDZ($A$1,$B65,V$1,$B$1)</f>
        <v>20928</v>
      </c>
      <c r="W65" s="55">
        <f>_xll.EQNXTDZ($A$1,$B65,W$1,$B$1)</f>
        <v>21021</v>
      </c>
      <c r="X65" s="55">
        <f>_xll.EQNXTDZ($A$1,$B65,X$1,$B$1)</f>
        <v>21298</v>
      </c>
      <c r="Y65" s="55">
        <f>_xll.EQNXTDZ($A$1,$B65,Y$1,$B$1)</f>
        <v>20515</v>
      </c>
      <c r="Z65" s="55">
        <f>_xll.EQNXTDZ($A$1,$B65,Z$1,$B$1)</f>
        <v>19604</v>
      </c>
      <c r="AA65" s="55">
        <f>_xll.EQNXTDZ($A$1,$B65,AA$1,$B$1)</f>
        <v>23053</v>
      </c>
      <c r="AB65" s="55">
        <f>_xll.EQNXTDZ($A$1,$B65,AB$1,$B$1)</f>
        <v>31343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2.0699999999999998</v>
      </c>
      <c r="G67" s="55">
        <f>_xll.EQNXTDZ($A$1,$B67,G$1,$B$1)</f>
        <v>124.05</v>
      </c>
      <c r="H67" s="55">
        <f>_xll.EQNXTDZ($A$1,$B67,H$1,$B$1)</f>
        <v>708.96</v>
      </c>
      <c r="I67" s="55">
        <f>_xll.EQNXTDZ($A$1,$B67,I$1,$B$1)</f>
        <v>793.04</v>
      </c>
      <c r="J67" s="55">
        <f>_xll.EQNXTDZ($A$1,$B67,J$1,$B$1)</f>
        <v>906.87</v>
      </c>
      <c r="K67" s="55">
        <f>_xll.EQNXTDZ($A$1,$B67,K$1,$B$1)</f>
        <v>705.49</v>
      </c>
      <c r="L67" s="55">
        <f>_xll.EQNXTDZ($A$1,$B67,L$1,$B$1)</f>
        <v>1017.37</v>
      </c>
      <c r="M67" s="55">
        <f>_xll.EQNXTDZ($A$1,$B67,M$1,$B$1)</f>
        <v>1193.8900000000001</v>
      </c>
      <c r="N67" s="55">
        <f>_xll.EQNXTDZ($A$1,$B67,N$1,$B$1)</f>
        <v>1446.37</v>
      </c>
      <c r="O67" s="55">
        <f>_xll.EQNXTDZ($A$1,$B67,O$1,$B$1)</f>
        <v>1895.36</v>
      </c>
      <c r="P67" s="55">
        <f>_xll.EQNXTDZ($A$1,$B67,P$1,$B$1)</f>
        <v>3168.48</v>
      </c>
      <c r="Q67" s="55">
        <f>_xll.EQNXTDZ($A$1,$B67,Q$1,$B$1)</f>
        <v>2766.37</v>
      </c>
      <c r="R67" s="55">
        <f>_xll.EQNXTDZ($A$1,$B67,R$1,$B$1)</f>
        <v>1670</v>
      </c>
      <c r="S67" s="55">
        <f>_xll.EQNXTDZ($A$1,$B67,S$1,$B$1)</f>
        <v>1541</v>
      </c>
      <c r="T67" s="55">
        <f>_xll.EQNXTDZ($A$1,$B67,T$1,$B$1)</f>
        <v>1278</v>
      </c>
      <c r="U67" s="55">
        <f>_xll.EQNXTDZ($A$1,$B67,U$1,$B$1)</f>
        <v>963</v>
      </c>
      <c r="V67" s="55">
        <f>_xll.EQNXTDZ($A$1,$B67,V$1,$B$1)</f>
        <v>906</v>
      </c>
      <c r="W67" s="55">
        <f>_xll.EQNXTDZ($A$1,$B67,W$1,$B$1)</f>
        <v>926</v>
      </c>
      <c r="X67" s="55">
        <f>_xll.EQNXTDZ($A$1,$B67,X$1,$B$1)</f>
        <v>1205</v>
      </c>
      <c r="Y67" s="55">
        <f>_xll.EQNXTDZ($A$1,$B67,Y$1,$B$1)</f>
        <v>1234</v>
      </c>
      <c r="Z67" s="55">
        <f>_xll.EQNXTDZ($A$1,$B67,Z$1,$B$1)</f>
        <v>1564</v>
      </c>
      <c r="AA67" s="55">
        <f>_xll.EQNXTDZ($A$1,$B67,AA$1,$B$1)</f>
        <v>1546</v>
      </c>
      <c r="AB67" s="55">
        <f>_xll.EQNXTDZ($A$1,$B67,AB$1,$B$1)</f>
        <v>2665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13.25</v>
      </c>
      <c r="G71" s="55">
        <f>_xll.EQNXTDZ($A$1,$B71,G$1,$B$1)</f>
        <v>8.6199999999999992</v>
      </c>
      <c r="H71" s="55">
        <f>_xll.EQNXTDZ($A$1,$B71,H$1,$B$1)</f>
        <v>28.16</v>
      </c>
      <c r="I71" s="55">
        <f>_xll.EQNXTDZ($A$1,$B71,I$1,$B$1)</f>
        <v>18.559999999999899</v>
      </c>
      <c r="J71" s="55">
        <f>_xll.EQNXTDZ($A$1,$B71,J$1,$B$1)</f>
        <v>14.889999999999899</v>
      </c>
      <c r="K71" s="55">
        <f>_xll.EQNXTDZ($A$1,$B71,K$1,$B$1)</f>
        <v>29.98</v>
      </c>
      <c r="L71" s="55">
        <f>_xll.EQNXTDZ($A$1,$B71,L$1,$B$1)</f>
        <v>1222.6400000000001</v>
      </c>
      <c r="M71" s="55">
        <f>_xll.EQNXTDZ($A$1,$B71,M$1,$B$1)</f>
        <v>1078.68</v>
      </c>
      <c r="N71" s="55">
        <f>_xll.EQNXTDZ($A$1,$B71,N$1,$B$1)</f>
        <v>574.55999999999995</v>
      </c>
      <c r="O71" s="55">
        <f>_xll.EQNXTDZ($A$1,$B71,O$1,$B$1)</f>
        <v>968.3</v>
      </c>
      <c r="P71" s="55">
        <f>_xll.EQNXTDZ($A$1,$B71,P$1,$B$1)</f>
        <v>2275.27</v>
      </c>
      <c r="Q71" s="55">
        <f>_xll.EQNXTDZ($A$1,$B71,Q$1,$B$1)</f>
        <v>169.18</v>
      </c>
      <c r="R71" s="55">
        <f>_xll.EQNXTDZ($A$1,$B71,R$1,$B$1)</f>
        <v>343</v>
      </c>
      <c r="S71" s="55">
        <f>_xll.EQNXTDZ($A$1,$B71,S$1,$B$1)</f>
        <v>344</v>
      </c>
      <c r="T71" s="55">
        <f>_xll.EQNXTDZ($A$1,$B71,T$1,$B$1)</f>
        <v>301</v>
      </c>
      <c r="U71" s="55">
        <f>_xll.EQNXTDZ($A$1,$B71,U$1,$B$1)</f>
        <v>239</v>
      </c>
      <c r="V71" s="55">
        <f>_xll.EQNXTDZ($A$1,$B71,V$1,$B$1)</f>
        <v>216</v>
      </c>
      <c r="W71" s="55">
        <f>_xll.EQNXTDZ($A$1,$B71,W$1,$B$1)</f>
        <v>213</v>
      </c>
      <c r="X71" s="55">
        <f>_xll.EQNXTDZ($A$1,$B71,X$1,$B$1)</f>
        <v>223</v>
      </c>
      <c r="Y71" s="55">
        <f>_xll.EQNXTDZ($A$1,$B71,Y$1,$B$1)</f>
        <v>266</v>
      </c>
      <c r="Z71" s="55">
        <f>_xll.EQNXTDZ($A$1,$B71,Z$1,$B$1)</f>
        <v>281</v>
      </c>
      <c r="AA71" s="55">
        <f>_xll.EQNXTDZ($A$1,$B71,AA$1,$B$1)</f>
        <v>275</v>
      </c>
      <c r="AB71" s="55">
        <f>_xll.EQNXTDZ($A$1,$B71,AB$1,$B$1)</f>
        <v>218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2764.09</v>
      </c>
      <c r="N72" s="55">
        <f>_xll.EQNXTDZ($A$1,$B72,N$1,$B$1)</f>
        <v>4138.07</v>
      </c>
      <c r="O72" s="55">
        <f>_xll.EQNXTDZ($A$1,$B72,O$1,$B$1)</f>
        <v>4954.84</v>
      </c>
      <c r="P72" s="55">
        <f>_xll.EQNXTDZ($A$1,$B72,P$1,$B$1)</f>
        <v>7068.96</v>
      </c>
      <c r="Q72" s="55">
        <f>_xll.EQNXTDZ($A$1,$B72,Q$1,$B$1)</f>
        <v>8620.67</v>
      </c>
      <c r="R72" s="55">
        <f>_xll.EQNXTDZ($A$1,$B72,R$1,$B$1)</f>
        <v>7837</v>
      </c>
      <c r="S72" s="55">
        <f>_xll.EQNXTDZ($A$1,$B72,S$1,$B$1)</f>
        <v>5973</v>
      </c>
      <c r="T72" s="55">
        <f>_xll.EQNXTDZ($A$1,$B72,T$1,$B$1)</f>
        <v>7218</v>
      </c>
      <c r="U72" s="55">
        <f>_xll.EQNXTDZ($A$1,$B72,U$1,$B$1)</f>
        <v>5579</v>
      </c>
      <c r="V72" s="55">
        <f>_xll.EQNXTDZ($A$1,$B72,V$1,$B$1)</f>
        <v>3804</v>
      </c>
      <c r="W72" s="55">
        <f>_xll.EQNXTDZ($A$1,$B72,W$1,$B$1)</f>
        <v>3138</v>
      </c>
      <c r="X72" s="55">
        <f>_xll.EQNXTDZ($A$1,$B72,X$1,$B$1)</f>
        <v>3420</v>
      </c>
      <c r="Y72" s="55">
        <f>_xll.EQNXTDZ($A$1,$B72,Y$1,$B$1)</f>
        <v>3849</v>
      </c>
      <c r="Z72" s="55">
        <f>_xll.EQNXTDZ($A$1,$B72,Z$1,$B$1)</f>
        <v>2778</v>
      </c>
      <c r="AA72" s="55">
        <f>_xll.EQNXTDZ($A$1,$B72,AA$1,$B$1)</f>
        <v>2899</v>
      </c>
      <c r="AB72" s="55">
        <f>_xll.EQNXTDZ($A$1,$B72,AB$1,$B$1)</f>
        <v>4162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2968.7</v>
      </c>
      <c r="N73" s="55">
        <f>_xll.EQNXTDZ($A$1,$B73,N$1,$B$1)</f>
        <v>3191.65</v>
      </c>
      <c r="O73" s="55">
        <f>_xll.EQNXTDZ($A$1,$B73,O$1,$B$1)</f>
        <v>2812.68</v>
      </c>
      <c r="P73" s="55">
        <f>_xll.EQNXTDZ($A$1,$B73,P$1,$B$1)</f>
        <v>1754.52</v>
      </c>
      <c r="Q73" s="55">
        <f>_xll.EQNXTDZ($A$1,$B73,Q$1,$B$1)</f>
        <v>1059.55</v>
      </c>
      <c r="R73" s="55">
        <f>_xll.EQNXTDZ($A$1,$B73,R$1,$B$1)</f>
        <v>1351</v>
      </c>
      <c r="S73" s="55">
        <f>_xll.EQNXTDZ($A$1,$B73,S$1,$B$1)</f>
        <v>549</v>
      </c>
      <c r="T73" s="55">
        <f>_xll.EQNXTDZ($A$1,$B73,T$1,$B$1)</f>
        <v>853</v>
      </c>
      <c r="U73" s="55">
        <f>_xll.EQNXTDZ($A$1,$B73,U$1,$B$1)</f>
        <v>1085</v>
      </c>
      <c r="V73" s="55">
        <f>_xll.EQNXTDZ($A$1,$B73,V$1,$B$1)</f>
        <v>1980</v>
      </c>
      <c r="W73" s="55">
        <f>_xll.EQNXTDZ($A$1,$B73,W$1,$B$1)</f>
        <v>2250</v>
      </c>
      <c r="X73" s="55">
        <f>_xll.EQNXTDZ($A$1,$B73,X$1,$B$1)</f>
        <v>3350</v>
      </c>
      <c r="Y73" s="55">
        <f>_xll.EQNXTDZ($A$1,$B73,Y$1,$B$1)</f>
        <v>4210</v>
      </c>
      <c r="Z73" s="55">
        <f>_xll.EQNXTDZ($A$1,$B73,Z$1,$B$1)</f>
        <v>5835</v>
      </c>
      <c r="AA73" s="55">
        <f>_xll.EQNXTDZ($A$1,$B73,AA$1,$B$1)</f>
        <v>5267</v>
      </c>
      <c r="AB73" s="55">
        <f>_xll.EQNXTDZ($A$1,$B73,AB$1,$B$1)</f>
        <v>3814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592.51</v>
      </c>
      <c r="G74" s="55">
        <f>_xll.EQNXTDZ($A$1,$B74,G$1,$B$1)</f>
        <v>1626.28</v>
      </c>
      <c r="H74" s="55">
        <f>_xll.EQNXTDZ($A$1,$B74,H$1,$B$1)</f>
        <v>2760.15</v>
      </c>
      <c r="I74" s="55">
        <f>_xll.EQNXTDZ($A$1,$B74,I$1,$B$1)</f>
        <v>3998.49</v>
      </c>
      <c r="J74" s="55">
        <f>_xll.EQNXTDZ($A$1,$B74,J$1,$B$1)</f>
        <v>4856.3100000000004</v>
      </c>
      <c r="K74" s="55">
        <f>_xll.EQNXTDZ($A$1,$B74,K$1,$B$1)</f>
        <v>7481.01</v>
      </c>
      <c r="L74" s="55">
        <f>_xll.EQNXTDZ($A$1,$B74,L$1,$B$1)</f>
        <v>8978.0400000000009</v>
      </c>
      <c r="M74" s="55">
        <f>_xll.EQNXTDZ($A$1,$B74,M$1,$B$1)</f>
        <v>15484.45</v>
      </c>
      <c r="N74" s="55">
        <f>_xll.EQNXTDZ($A$1,$B74,N$1,$B$1)</f>
        <v>18012.71</v>
      </c>
      <c r="O74" s="55">
        <f>_xll.EQNXTDZ($A$1,$B74,O$1,$B$1)</f>
        <v>20459.189999999999</v>
      </c>
      <c r="P74" s="55">
        <f>_xll.EQNXTDZ($A$1,$B74,P$1,$B$1)</f>
        <v>23811.56</v>
      </c>
      <c r="Q74" s="55">
        <f>_xll.EQNXTDZ($A$1,$B74,Q$1,$B$1)</f>
        <v>24253.94</v>
      </c>
      <c r="R74" s="55">
        <f>_xll.EQNXTDZ($A$1,$B74,R$1,$B$1)</f>
        <v>22975</v>
      </c>
      <c r="S74" s="55">
        <f>_xll.EQNXTDZ($A$1,$B74,S$1,$B$1)</f>
        <v>20108</v>
      </c>
      <c r="T74" s="55">
        <f>_xll.EQNXTDZ($A$1,$B74,T$1,$B$1)</f>
        <v>21623</v>
      </c>
      <c r="U74" s="55">
        <f>_xll.EQNXTDZ($A$1,$B74,U$1,$B$1)</f>
        <v>20156</v>
      </c>
      <c r="V74" s="55">
        <f>_xll.EQNXTDZ($A$1,$B74,V$1,$B$1)</f>
        <v>27834</v>
      </c>
      <c r="W74" s="55">
        <f>_xll.EQNXTDZ($A$1,$B74,W$1,$B$1)</f>
        <v>27548</v>
      </c>
      <c r="X74" s="55">
        <f>_xll.EQNXTDZ($A$1,$B74,X$1,$B$1)</f>
        <v>29496</v>
      </c>
      <c r="Y74" s="55">
        <f>_xll.EQNXTDZ($A$1,$B74,Y$1,$B$1)</f>
        <v>30074</v>
      </c>
      <c r="Z74" s="55">
        <f>_xll.EQNXTDZ($A$1,$B74,Z$1,$B$1)</f>
        <v>30062</v>
      </c>
      <c r="AA74" s="55">
        <f>_xll.EQNXTDZ($A$1,$B74,AA$1,$B$1)</f>
        <v>33040</v>
      </c>
      <c r="AB74" s="55">
        <f>_xll.EQNXTDZ($A$1,$B74,AB$1,$B$1)</f>
        <v>42202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24.25</v>
      </c>
      <c r="G75" s="55">
        <f>_xll.EQNXTDZ($A$1,$B75,G$1,$B$1)</f>
        <v>412.92</v>
      </c>
      <c r="H75" s="55">
        <f>_xll.EQNXTDZ($A$1,$B75,H$1,$B$1)</f>
        <v>676.46</v>
      </c>
      <c r="I75" s="55">
        <f>_xll.EQNXTDZ($A$1,$B75,I$1,$B$1)</f>
        <v>1238.31</v>
      </c>
      <c r="J75" s="55">
        <f>_xll.EQNXTDZ($A$1,$B75,J$1,$B$1)</f>
        <v>2591.27</v>
      </c>
      <c r="K75" s="55">
        <f>_xll.EQNXTDZ($A$1,$B75,K$1,$B$1)</f>
        <v>1584.43</v>
      </c>
      <c r="L75" s="55">
        <f>_xll.EQNXTDZ($A$1,$B75,L$1,$B$1)</f>
        <v>2459.44</v>
      </c>
      <c r="M75" s="55">
        <f>_xll.EQNXTDZ($A$1,$B75,M$1,$B$1)</f>
        <v>683.99</v>
      </c>
      <c r="N75" s="55">
        <f>_xll.EQNXTDZ($A$1,$B75,N$1,$B$1)</f>
        <v>775.77</v>
      </c>
      <c r="O75" s="55">
        <f>_xll.EQNXTDZ($A$1,$B75,O$1,$B$1)</f>
        <v>929.04</v>
      </c>
      <c r="P75" s="55">
        <f>_xll.EQNXTDZ($A$1,$B75,P$1,$B$1)</f>
        <v>1158.47</v>
      </c>
      <c r="Q75" s="55">
        <f>_xll.EQNXTDZ($A$1,$B75,Q$1,$B$1)</f>
        <v>1492.6</v>
      </c>
      <c r="R75" s="55">
        <f>_xll.EQNXTDZ($A$1,$B75,R$1,$B$1)</f>
        <v>22479</v>
      </c>
      <c r="S75" s="55">
        <f>_xll.EQNXTDZ($A$1,$B75,S$1,$B$1)</f>
        <v>41636</v>
      </c>
      <c r="T75" s="55">
        <f>_xll.EQNXTDZ($A$1,$B75,T$1,$B$1)</f>
        <v>35707</v>
      </c>
      <c r="U75" s="55">
        <f>_xll.EQNXTDZ($A$1,$B75,U$1,$B$1)</f>
        <v>29091</v>
      </c>
      <c r="V75" s="55">
        <f>_xll.EQNXTDZ($A$1,$B75,V$1,$B$1)</f>
        <v>26140</v>
      </c>
      <c r="W75" s="55">
        <f>_xll.EQNXTDZ($A$1,$B75,W$1,$B$1)</f>
        <v>29160</v>
      </c>
      <c r="X75" s="55">
        <f>_xll.EQNXTDZ($A$1,$B75,X$1,$B$1)</f>
        <v>30262</v>
      </c>
      <c r="Y75" s="55">
        <f>_xll.EQNXTDZ($A$1,$B75,Y$1,$B$1)</f>
        <v>36897</v>
      </c>
      <c r="Z75" s="55">
        <f>_xll.EQNXTDZ($A$1,$B75,Z$1,$B$1)</f>
        <v>31481</v>
      </c>
      <c r="AA75" s="55">
        <f>_xll.EQNXTDZ($A$1,$B75,AA$1,$B$1)</f>
        <v>30689</v>
      </c>
      <c r="AB75" s="55">
        <f>_xll.EQNXTDZ($A$1,$B75,AB$1,$B$1)</f>
        <v>33770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18.48</v>
      </c>
      <c r="G76" s="55">
        <f>_xll.EQNXTDZ($A$1,$B76,G$1,$B$1)</f>
        <v>32</v>
      </c>
      <c r="H76" s="55">
        <f>_xll.EQNXTDZ($A$1,$B76,H$1,$B$1)</f>
        <v>80.64</v>
      </c>
      <c r="I76" s="55">
        <f>_xll.EQNXTDZ($A$1,$B76,I$1,$B$1)</f>
        <v>41.6</v>
      </c>
      <c r="J76" s="55">
        <f>_xll.EQNXTDZ($A$1,$B76,J$1,$B$1)</f>
        <v>42.43</v>
      </c>
      <c r="K76" s="55">
        <f>_xll.EQNXTDZ($A$1,$B76,K$1,$B$1)</f>
        <v>36.6</v>
      </c>
      <c r="L76" s="55">
        <f>_xll.EQNXTDZ($A$1,$B76,L$1,$B$1)</f>
        <v>17.79</v>
      </c>
      <c r="M76" s="55">
        <f>_xll.EQNXTDZ($A$1,$B76,M$1,$B$1)</f>
        <v>22.82</v>
      </c>
      <c r="N76" s="55">
        <f>_xll.EQNXTDZ($A$1,$B76,N$1,$B$1)</f>
        <v>17.77</v>
      </c>
      <c r="O76" s="55">
        <f>_xll.EQNXTDZ($A$1,$B76,O$1,$B$1)</f>
        <v>21.15</v>
      </c>
      <c r="P76" s="55">
        <f>_xll.EQNXTDZ($A$1,$B76,P$1,$B$1)</f>
        <v>15.21</v>
      </c>
      <c r="Q76" s="55">
        <f>_xll.EQNXTDZ($A$1,$B76,Q$1,$B$1)</f>
        <v>16.07</v>
      </c>
      <c r="R76" s="55">
        <f>_xll.EQNXTDZ($A$1,$B76,R$1,$B$1)</f>
        <v>16</v>
      </c>
      <c r="S76" s="55">
        <f>_xll.EQNXTDZ($A$1,$B76,S$1,$B$1)</f>
        <v>21</v>
      </c>
      <c r="T76" s="55">
        <f>_xll.EQNXTDZ($A$1,$B76,T$1,$B$1)</f>
        <v>26</v>
      </c>
      <c r="U76" s="55">
        <f>_xll.EQNXTDZ($A$1,$B76,U$1,$B$1)</f>
        <v>10</v>
      </c>
      <c r="V76" s="55">
        <f>_xll.EQNXTDZ($A$1,$B76,V$1,$B$1)</f>
        <v>5</v>
      </c>
      <c r="W76" s="55">
        <f>_xll.EQNXTDZ($A$1,$B76,W$1,$B$1)</f>
        <v>8</v>
      </c>
      <c r="X76" s="55">
        <f>_xll.EQNXTDZ($A$1,$B76,X$1,$B$1)</f>
        <v>20</v>
      </c>
      <c r="Y76" s="55">
        <f>_xll.EQNXTDZ($A$1,$B76,Y$1,$B$1)</f>
        <v>28</v>
      </c>
      <c r="Z76" s="55">
        <f>_xll.EQNXTDZ($A$1,$B76,Z$1,$B$1)</f>
        <v>28</v>
      </c>
      <c r="AA76" s="55">
        <f>_xll.EQNXTDZ($A$1,$B76,AA$1,$B$1)</f>
        <v>21</v>
      </c>
      <c r="AB76" s="55">
        <f>_xll.EQNXTDZ($A$1,$B76,AB$1,$B$1)</f>
        <v>29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300.63</v>
      </c>
      <c r="G77" s="55">
        <f>_xll.EQNXTDZ($A$1,$B77,G$1,$B$1)</f>
        <v>2280.39</v>
      </c>
      <c r="H77" s="55">
        <f>_xll.EQNXTDZ($A$1,$B77,H$1,$B$1)</f>
        <v>3733.18</v>
      </c>
      <c r="I77" s="55">
        <f>_xll.EQNXTDZ($A$1,$B77,I$1,$B$1)</f>
        <v>5081.43</v>
      </c>
      <c r="J77" s="55">
        <f>_xll.EQNXTDZ($A$1,$B77,J$1,$B$1)</f>
        <v>6730.57</v>
      </c>
      <c r="K77" s="55">
        <f>_xll.EQNXTDZ($A$1,$B77,K$1,$B$1)</f>
        <v>7615.4</v>
      </c>
      <c r="L77" s="55">
        <f>_xll.EQNXTDZ($A$1,$B77,L$1,$B$1)</f>
        <v>7056.55</v>
      </c>
      <c r="M77" s="55">
        <f>_xll.EQNXTDZ($A$1,$B77,M$1,$B$1)</f>
        <v>9543.82</v>
      </c>
      <c r="N77" s="55">
        <f>_xll.EQNXTDZ($A$1,$B77,N$1,$B$1)</f>
        <v>13768.11</v>
      </c>
      <c r="O77" s="55">
        <f>_xll.EQNXTDZ($A$1,$B77,O$1,$B$1)</f>
        <v>17236.61</v>
      </c>
      <c r="P77" s="55">
        <f>_xll.EQNXTDZ($A$1,$B77,P$1,$B$1)</f>
        <v>22236.01</v>
      </c>
      <c r="Q77" s="55">
        <f>_xll.EQNXTDZ($A$1,$B77,Q$1,$B$1)</f>
        <v>24265.02</v>
      </c>
      <c r="R77" s="55">
        <f>_xll.EQNXTDZ($A$1,$B77,R$1,$B$1)</f>
        <v>28065</v>
      </c>
      <c r="S77" s="55">
        <f>_xll.EQNXTDZ($A$1,$B77,S$1,$B$1)</f>
        <v>27825</v>
      </c>
      <c r="T77" s="55">
        <f>_xll.EQNXTDZ($A$1,$B77,T$1,$B$1)</f>
        <v>31629</v>
      </c>
      <c r="U77" s="55">
        <f>_xll.EQNXTDZ($A$1,$B77,U$1,$B$1)</f>
        <v>32503</v>
      </c>
      <c r="V77" s="55">
        <f>_xll.EQNXTDZ($A$1,$B77,V$1,$B$1)</f>
        <v>36264</v>
      </c>
      <c r="W77" s="55">
        <f>_xll.EQNXTDZ($A$1,$B77,W$1,$B$1)</f>
        <v>36662</v>
      </c>
      <c r="X77" s="55">
        <f>_xll.EQNXTDZ($A$1,$B77,X$1,$B$1)</f>
        <v>41810</v>
      </c>
      <c r="Y77" s="55">
        <f>_xll.EQNXTDZ($A$1,$B77,Y$1,$B$1)</f>
        <v>49954</v>
      </c>
      <c r="Z77" s="55">
        <f>_xll.EQNXTDZ($A$1,$B77,Z$1,$B$1)</f>
        <v>53577</v>
      </c>
      <c r="AA77" s="55">
        <f>_xll.EQNXTDZ($A$1,$B77,AA$1,$B$1)</f>
        <v>59046</v>
      </c>
      <c r="AB77" s="55">
        <f>_xll.EQNXTDZ($A$1,$B77,AB$1,$B$1)</f>
        <v>67714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27.77</v>
      </c>
      <c r="G78" s="55">
        <f>_xll.EQNXTDZ($A$1,$B78,G$1,$B$1)</f>
        <v>274.69</v>
      </c>
      <c r="H78" s="55">
        <f>_xll.EQNXTDZ($A$1,$B78,H$1,$B$1)</f>
        <v>432.38</v>
      </c>
      <c r="I78" s="55">
        <f>_xll.EQNXTDZ($A$1,$B78,I$1,$B$1)</f>
        <v>1396.45</v>
      </c>
      <c r="J78" s="55">
        <f>_xll.EQNXTDZ($A$1,$B78,J$1,$B$1)</f>
        <v>1223.4000000000001</v>
      </c>
      <c r="K78" s="55">
        <f>_xll.EQNXTDZ($A$1,$B78,K$1,$B$1)</f>
        <v>2698.14</v>
      </c>
      <c r="L78" s="55">
        <f>_xll.EQNXTDZ($A$1,$B78,L$1,$B$1)</f>
        <v>4718.59</v>
      </c>
      <c r="M78" s="55">
        <f>_xll.EQNXTDZ($A$1,$B78,M$1,$B$1)</f>
        <v>4700.8500000000004</v>
      </c>
      <c r="N78" s="55">
        <f>_xll.EQNXTDZ($A$1,$B78,N$1,$B$1)</f>
        <v>5813.08</v>
      </c>
      <c r="O78" s="55">
        <f>_xll.EQNXTDZ($A$1,$B78,O$1,$B$1)</f>
        <v>6769.16</v>
      </c>
      <c r="P78" s="55">
        <f>_xll.EQNXTDZ($A$1,$B78,P$1,$B$1)</f>
        <v>14441.84</v>
      </c>
      <c r="Q78" s="55">
        <f>_xll.EQNXTDZ($A$1,$B78,Q$1,$B$1)</f>
        <v>18556.04</v>
      </c>
      <c r="R78" s="55">
        <f>_xll.EQNXTDZ($A$1,$B78,R$1,$B$1)</f>
        <v>6788</v>
      </c>
      <c r="S78" s="55">
        <f>_xll.EQNXTDZ($A$1,$B78,S$1,$B$1)</f>
        <v>4149</v>
      </c>
      <c r="T78" s="55">
        <f>_xll.EQNXTDZ($A$1,$B78,T$1,$B$1)</f>
        <v>7161</v>
      </c>
      <c r="U78" s="55">
        <f>_xll.EQNXTDZ($A$1,$B78,U$1,$B$1)</f>
        <v>12848</v>
      </c>
      <c r="V78" s="55">
        <f>_xll.EQNXTDZ($A$1,$B78,V$1,$B$1)</f>
        <v>9666</v>
      </c>
      <c r="W78" s="55">
        <f>_xll.EQNXTDZ($A$1,$B78,W$1,$B$1)</f>
        <v>9329</v>
      </c>
      <c r="X78" s="55">
        <f>_xll.EQNXTDZ($A$1,$B78,X$1,$B$1)</f>
        <v>18221</v>
      </c>
      <c r="Y78" s="55">
        <f>_xll.EQNXTDZ($A$1,$B78,Y$1,$B$1)</f>
        <v>11032</v>
      </c>
      <c r="Z78" s="55">
        <f>_xll.EQNXTDZ($A$1,$B78,Z$1,$B$1)</f>
        <v>13286</v>
      </c>
      <c r="AA78" s="55">
        <f>_xll.EQNXTDZ($A$1,$B78,AA$1,$B$1)</f>
        <v>15463</v>
      </c>
      <c r="AB78" s="55">
        <f>_xll.EQNXTDZ($A$1,$B78,AB$1,$B$1)</f>
        <v>12908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16.190000000000001</v>
      </c>
      <c r="H79" s="55">
        <f>_xll.EQNXTDZ($A$1,$B79,H$1,$B$1)</f>
        <v>15.75</v>
      </c>
      <c r="I79" s="55">
        <f>_xll.EQNXTDZ($A$1,$B79,I$1,$B$1)</f>
        <v>54.2</v>
      </c>
      <c r="J79" s="55">
        <f>_xll.EQNXTDZ($A$1,$B79,J$1,$B$1)</f>
        <v>60.08</v>
      </c>
      <c r="K79" s="55">
        <f>_xll.EQNXTDZ($A$1,$B79,K$1,$B$1)</f>
        <v>18.28</v>
      </c>
      <c r="L79" s="55">
        <f>_xll.EQNXTDZ($A$1,$B79,L$1,$B$1)</f>
        <v>116.41</v>
      </c>
      <c r="M79" s="55">
        <f>_xll.EQNXTDZ($A$1,$B79,M$1,$B$1)</f>
        <v>1014.45</v>
      </c>
      <c r="N79" s="55">
        <f>_xll.EQNXTDZ($A$1,$B79,N$1,$B$1)</f>
        <v>1425.37</v>
      </c>
      <c r="O79" s="55">
        <f>_xll.EQNXTDZ($A$1,$B79,O$1,$B$1)</f>
        <v>1939.53</v>
      </c>
      <c r="P79" s="55">
        <f>_xll.EQNXTDZ($A$1,$B79,P$1,$B$1)</f>
        <v>2210.08</v>
      </c>
      <c r="Q79" s="55">
        <f>_xll.EQNXTDZ($A$1,$B79,Q$1,$B$1)</f>
        <v>2214.33</v>
      </c>
      <c r="R79" s="55">
        <f>_xll.EQNXTDZ($A$1,$B79,R$1,$B$1)</f>
        <v>2273</v>
      </c>
      <c r="S79" s="55">
        <f>_xll.EQNXTDZ($A$1,$B79,S$1,$B$1)</f>
        <v>2898</v>
      </c>
      <c r="T79" s="55">
        <f>_xll.EQNXTDZ($A$1,$B79,T$1,$B$1)</f>
        <v>2355</v>
      </c>
      <c r="U79" s="55">
        <f>_xll.EQNXTDZ($A$1,$B79,U$1,$B$1)</f>
        <v>2952</v>
      </c>
      <c r="V79" s="55">
        <f>_xll.EQNXTDZ($A$1,$B79,V$1,$B$1)</f>
        <v>3696</v>
      </c>
      <c r="W79" s="55">
        <f>_xll.EQNXTDZ($A$1,$B79,W$1,$B$1)</f>
        <v>6974</v>
      </c>
      <c r="X79" s="55">
        <f>_xll.EQNXTDZ($A$1,$B79,X$1,$B$1)</f>
        <v>5595</v>
      </c>
      <c r="Y79" s="55">
        <f>_xll.EQNXTDZ($A$1,$B79,Y$1,$B$1)</f>
        <v>3883</v>
      </c>
      <c r="Z79" s="55">
        <f>_xll.EQNXTDZ($A$1,$B79,Z$1,$B$1)</f>
        <v>5031</v>
      </c>
      <c r="AA79" s="55">
        <f>_xll.EQNXTDZ($A$1,$B79,AA$1,$B$1)</f>
        <v>7173</v>
      </c>
      <c r="AB79" s="55">
        <f>_xll.EQNXTDZ($A$1,$B79,AB$1,$B$1)</f>
        <v>6898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33.49</v>
      </c>
      <c r="G80" s="55">
        <f>_xll.EQNXTDZ($A$1,$B80,G$1,$B$1)</f>
        <v>647.36</v>
      </c>
      <c r="H80" s="55">
        <f>_xll.EQNXTDZ($A$1,$B80,H$1,$B$1)</f>
        <v>912.83</v>
      </c>
      <c r="I80" s="55">
        <f>_xll.EQNXTDZ($A$1,$B80,I$1,$B$1)</f>
        <v>1252.8800000000001</v>
      </c>
      <c r="J80" s="55">
        <f>_xll.EQNXTDZ($A$1,$B80,J$1,$B$1)</f>
        <v>1974.02</v>
      </c>
      <c r="K80" s="55">
        <f>_xll.EQNXTDZ($A$1,$B80,K$1,$B$1)</f>
        <v>3143.44</v>
      </c>
      <c r="L80" s="55">
        <f>_xll.EQNXTDZ($A$1,$B80,L$1,$B$1)</f>
        <v>3879.54</v>
      </c>
      <c r="M80" s="55">
        <f>_xll.EQNXTDZ($A$1,$B80,M$1,$B$1)</f>
        <v>1070.48</v>
      </c>
      <c r="N80" s="55">
        <f>_xll.EQNXTDZ($A$1,$B80,N$1,$B$1)</f>
        <v>1261.6400000000001</v>
      </c>
      <c r="O80" s="55">
        <f>_xll.EQNXTDZ($A$1,$B80,O$1,$B$1)</f>
        <v>4502.97</v>
      </c>
      <c r="P80" s="55">
        <f>_xll.EQNXTDZ($A$1,$B80,P$1,$B$1)</f>
        <v>2836.08</v>
      </c>
      <c r="Q80" s="55">
        <f>_xll.EQNXTDZ($A$1,$B80,Q$1,$B$1)</f>
        <v>2268.94</v>
      </c>
      <c r="R80" s="55">
        <f>_xll.EQNXTDZ($A$1,$B80,R$1,$B$1)</f>
        <v>3592</v>
      </c>
      <c r="S80" s="55">
        <f>_xll.EQNXTDZ($A$1,$B80,S$1,$B$1)</f>
        <v>3787</v>
      </c>
      <c r="T80" s="55">
        <f>_xll.EQNXTDZ($A$1,$B80,T$1,$B$1)</f>
        <v>4346</v>
      </c>
      <c r="U80" s="55">
        <f>_xll.EQNXTDZ($A$1,$B80,U$1,$B$1)</f>
        <v>14727</v>
      </c>
      <c r="V80" s="55">
        <f>_xll.EQNXTDZ($A$1,$B80,V$1,$B$1)</f>
        <v>14466</v>
      </c>
      <c r="W80" s="55">
        <f>_xll.EQNXTDZ($A$1,$B80,W$1,$B$1)</f>
        <v>17147</v>
      </c>
      <c r="X80" s="55">
        <f>_xll.EQNXTDZ($A$1,$B80,X$1,$B$1)</f>
        <v>12402</v>
      </c>
      <c r="Y80" s="55">
        <f>_xll.EQNXTDZ($A$1,$B80,Y$1,$B$1)</f>
        <v>8476</v>
      </c>
      <c r="Z80" s="55">
        <f>_xll.EQNXTDZ($A$1,$B80,Z$1,$B$1)</f>
        <v>9581</v>
      </c>
      <c r="AA80" s="55">
        <f>_xll.EQNXTDZ($A$1,$B80,AA$1,$B$1)</f>
        <v>10619</v>
      </c>
      <c r="AB80" s="55">
        <f>_xll.EQNXTDZ($A$1,$B80,AB$1,$B$1)</f>
        <v>14386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404.62</v>
      </c>
      <c r="G82" s="55">
        <f>_xll.EQNXTDZ($A$1,$B82,G$1,$B$1)</f>
        <v>3663.55</v>
      </c>
      <c r="H82" s="55">
        <f>_xll.EQNXTDZ($A$1,$B82,H$1,$B$1)</f>
        <v>5851.24</v>
      </c>
      <c r="I82" s="55">
        <f>_xll.EQNXTDZ($A$1,$B82,I$1,$B$1)</f>
        <v>9064.8700000000008</v>
      </c>
      <c r="J82" s="55">
        <f>_xll.EQNXTDZ($A$1,$B82,J$1,$B$1)</f>
        <v>12621.77</v>
      </c>
      <c r="K82" s="55">
        <f>_xll.EQNXTDZ($A$1,$B82,K$1,$B$1)</f>
        <v>15096.29</v>
      </c>
      <c r="L82" s="55">
        <f>_xll.EQNXTDZ($A$1,$B82,L$1,$B$1)</f>
        <v>18248.32</v>
      </c>
      <c r="M82" s="55">
        <f>_xll.EQNXTDZ($A$1,$B82,M$1,$B$1)</f>
        <v>17036.41</v>
      </c>
      <c r="N82" s="55">
        <f>_xll.EQNXTDZ($A$1,$B82,N$1,$B$1)</f>
        <v>23061.74</v>
      </c>
      <c r="O82" s="55">
        <f>_xll.EQNXTDZ($A$1,$B82,O$1,$B$1)</f>
        <v>31398.46</v>
      </c>
      <c r="P82" s="55">
        <f>_xll.EQNXTDZ($A$1,$B82,P$1,$B$1)</f>
        <v>42897.69</v>
      </c>
      <c r="Q82" s="55">
        <f>_xll.EQNXTDZ($A$1,$B82,Q$1,$B$1)</f>
        <v>48813</v>
      </c>
      <c r="R82" s="55">
        <f>_xll.EQNXTDZ($A$1,$B82,R$1,$B$1)</f>
        <v>63213</v>
      </c>
      <c r="S82" s="55">
        <f>_xll.EQNXTDZ($A$1,$B82,S$1,$B$1)</f>
        <v>80316</v>
      </c>
      <c r="T82" s="55">
        <f>_xll.EQNXTDZ($A$1,$B82,T$1,$B$1)</f>
        <v>81224</v>
      </c>
      <c r="U82" s="55">
        <f>_xll.EQNXTDZ($A$1,$B82,U$1,$B$1)</f>
        <v>92131</v>
      </c>
      <c r="V82" s="55">
        <f>_xll.EQNXTDZ($A$1,$B82,V$1,$B$1)</f>
        <v>90237</v>
      </c>
      <c r="W82" s="55">
        <f>_xll.EQNXTDZ($A$1,$B82,W$1,$B$1)</f>
        <v>99280</v>
      </c>
      <c r="X82" s="55">
        <f>_xll.EQNXTDZ($A$1,$B82,X$1,$B$1)</f>
        <v>108310</v>
      </c>
      <c r="Y82" s="55">
        <f>_xll.EQNXTDZ($A$1,$B82,Y$1,$B$1)</f>
        <v>110270</v>
      </c>
      <c r="Z82" s="55">
        <f>_xll.EQNXTDZ($A$1,$B82,Z$1,$B$1)</f>
        <v>112984</v>
      </c>
      <c r="AA82" s="55">
        <f>_xll.EQNXTDZ($A$1,$B82,AA$1,$B$1)</f>
        <v>123011</v>
      </c>
      <c r="AB82" s="55">
        <f>_xll.EQNXTDZ($A$1,$B82,AB$1,$B$1)</f>
        <v>135705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8.4700000000000006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997.13</v>
      </c>
      <c r="G84" s="55">
        <f>_xll.EQNXTDZ($A$1,$B84,G$1,$B$1)</f>
        <v>5289.83</v>
      </c>
      <c r="H84" s="55">
        <f>_xll.EQNXTDZ($A$1,$B84,H$1,$B$1)</f>
        <v>8611.39</v>
      </c>
      <c r="I84" s="55">
        <f>_xll.EQNXTDZ($A$1,$B84,I$1,$B$1)</f>
        <v>13063.36</v>
      </c>
      <c r="J84" s="55">
        <f>_xll.EQNXTDZ($A$1,$B84,J$1,$B$1)</f>
        <v>17478.080000000002</v>
      </c>
      <c r="K84" s="55">
        <f>_xll.EQNXTDZ($A$1,$B84,K$1,$B$1)</f>
        <v>22577.3</v>
      </c>
      <c r="L84" s="55">
        <f>_xll.EQNXTDZ($A$1,$B84,L$1,$B$1)</f>
        <v>27226.36</v>
      </c>
      <c r="M84" s="55">
        <f>_xll.EQNXTDZ($A$1,$B84,M$1,$B$1)</f>
        <v>32520.86</v>
      </c>
      <c r="N84" s="55">
        <f>_xll.EQNXTDZ($A$1,$B84,N$1,$B$1)</f>
        <v>41074.449999999997</v>
      </c>
      <c r="O84" s="55">
        <f>_xll.EQNXTDZ($A$1,$B84,O$1,$B$1)</f>
        <v>51857.65</v>
      </c>
      <c r="P84" s="55">
        <f>_xll.EQNXTDZ($A$1,$B84,P$1,$B$1)</f>
        <v>66717.72</v>
      </c>
      <c r="Q84" s="55">
        <f>_xll.EQNXTDZ($A$1,$B84,Q$1,$B$1)</f>
        <v>73066.94</v>
      </c>
      <c r="R84" s="55">
        <f>_xll.EQNXTDZ($A$1,$B84,R$1,$B$1)</f>
        <v>86188</v>
      </c>
      <c r="S84" s="55">
        <f>_xll.EQNXTDZ($A$1,$B84,S$1,$B$1)</f>
        <v>100424</v>
      </c>
      <c r="T84" s="55">
        <f>_xll.EQNXTDZ($A$1,$B84,T$1,$B$1)</f>
        <v>102847</v>
      </c>
      <c r="U84" s="55">
        <f>_xll.EQNXTDZ($A$1,$B84,U$1,$B$1)</f>
        <v>112287</v>
      </c>
      <c r="V84" s="55">
        <f>_xll.EQNXTDZ($A$1,$B84,V$1,$B$1)</f>
        <v>118071</v>
      </c>
      <c r="W84" s="55">
        <f>_xll.EQNXTDZ($A$1,$B84,W$1,$B$1)</f>
        <v>126828</v>
      </c>
      <c r="X84" s="55">
        <f>_xll.EQNXTDZ($A$1,$B84,X$1,$B$1)</f>
        <v>137806</v>
      </c>
      <c r="Y84" s="55">
        <f>_xll.EQNXTDZ($A$1,$B84,Y$1,$B$1)</f>
        <v>140344</v>
      </c>
      <c r="Z84" s="55">
        <f>_xll.EQNXTDZ($A$1,$B84,Z$1,$B$1)</f>
        <v>143046</v>
      </c>
      <c r="AA84" s="55">
        <f>_xll.EQNXTDZ($A$1,$B84,AA$1,$B$1)</f>
        <v>156051</v>
      </c>
      <c r="AB84" s="55">
        <f>_xll.EQNXTDZ($A$1,$B84,AB$1,$B$1)</f>
        <v>177907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59.2</v>
      </c>
      <c r="G85" s="55">
        <f>_xll.EQNXTDZ($A$1,$B85,G$1,$B$1)</f>
        <v>229.92</v>
      </c>
      <c r="H85" s="55">
        <f>_xll.EQNXTDZ($A$1,$B85,H$1,$B$1)</f>
        <v>390.15</v>
      </c>
      <c r="I85" s="55">
        <f>_xll.EQNXTDZ($A$1,$B85,I$1,$B$1)</f>
        <v>2312.4699999999998</v>
      </c>
      <c r="J85" s="55">
        <f>_xll.EQNXTDZ($A$1,$B85,J$1,$B$1)</f>
        <v>2273.0100000000002</v>
      </c>
      <c r="K85" s="55">
        <f>_xll.EQNXTDZ($A$1,$B85,K$1,$B$1)</f>
        <v>2678.58</v>
      </c>
      <c r="L85" s="55">
        <f>_xll.EQNXTDZ($A$1,$B85,L$1,$B$1)</f>
        <v>2631.17</v>
      </c>
      <c r="M85" s="55">
        <f>_xll.EQNXTDZ($A$1,$B85,M$1,$B$1)</f>
        <v>1777.4</v>
      </c>
      <c r="N85" s="55">
        <f>_xll.EQNXTDZ($A$1,$B85,N$1,$B$1)</f>
        <v>2306.5700000000002</v>
      </c>
      <c r="O85" s="55">
        <f>_xll.EQNXTDZ($A$1,$B85,O$1,$B$1)</f>
        <v>3515.12</v>
      </c>
      <c r="P85" s="55">
        <f>_xll.EQNXTDZ($A$1,$B85,P$1,$B$1)</f>
        <v>4676.6899999999996</v>
      </c>
      <c r="Q85" s="55">
        <f>_xll.EQNXTDZ($A$1,$B85,Q$1,$B$1)</f>
        <v>4267.03</v>
      </c>
      <c r="R85" s="55">
        <f>_xll.EQNXTDZ($A$1,$B85,R$1,$B$1)</f>
        <v>15167.92</v>
      </c>
      <c r="S85" s="55">
        <f>_xll.EQNXTDZ($A$1,$B85,S$1,$B$1)</f>
        <v>6592</v>
      </c>
      <c r="T85" s="55">
        <f>_xll.EQNXTDZ($A$1,$B85,T$1,$B$1)</f>
        <v>3305</v>
      </c>
      <c r="U85" s="55">
        <f>_xll.EQNXTDZ($A$1,$B85,U$1,$B$1)</f>
        <v>577</v>
      </c>
      <c r="V85" s="55">
        <f>_xll.EQNXTDZ($A$1,$B85,V$1,$B$1)</f>
        <v>728</v>
      </c>
      <c r="W85" s="55">
        <f>_xll.EQNXTDZ($A$1,$B85,W$1,$B$1)</f>
        <v>750</v>
      </c>
      <c r="X85" s="55">
        <f>_xll.EQNXTDZ($A$1,$B85,X$1,$B$1)</f>
        <v>859</v>
      </c>
      <c r="Y85" s="55">
        <f>_xll.EQNXTDZ($A$1,$B85,Y$1,$B$1)</f>
        <v>2012</v>
      </c>
      <c r="Z85" s="55">
        <f>_xll.EQNXTDZ($A$1,$B85,Z$1,$B$1)</f>
        <v>1387</v>
      </c>
      <c r="AA85" s="55">
        <f>_xll.EQNXTDZ($A$1,$B85,AA$1,$B$1)</f>
        <v>1438</v>
      </c>
      <c r="AB85" s="55">
        <f>_xll.EQNXTDZ($A$1,$B85,AB$1,$B$1)</f>
        <v>1747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296.14999999999998</v>
      </c>
      <c r="G86" s="55">
        <f>_xll.EQNXTDZ($A$1,$B86,G$1,$B$1)</f>
        <v>478.89</v>
      </c>
      <c r="H86" s="55">
        <f>_xll.EQNXTDZ($A$1,$B86,H$1,$B$1)</f>
        <v>733.9</v>
      </c>
      <c r="I86" s="55">
        <f>_xll.EQNXTDZ($A$1,$B86,I$1,$B$1)</f>
        <v>1324.09</v>
      </c>
      <c r="J86" s="55">
        <f>_xll.EQNXTDZ($A$1,$B86,J$1,$B$1)</f>
        <v>1481.86</v>
      </c>
      <c r="K86" s="55">
        <f>_xll.EQNXTDZ($A$1,$B86,K$1,$B$1)</f>
        <v>178.92</v>
      </c>
      <c r="L86" s="55">
        <f>_xll.EQNXTDZ($A$1,$B86,L$1,$B$1)</f>
        <v>3364.57</v>
      </c>
      <c r="M86" s="55">
        <f>_xll.EQNXTDZ($A$1,$B86,M$1,$B$1)</f>
        <v>3369.02</v>
      </c>
      <c r="N86" s="55">
        <f>_xll.EQNXTDZ($A$1,$B86,N$1,$B$1)</f>
        <v>3676.65</v>
      </c>
      <c r="O86" s="55">
        <f>_xll.EQNXTDZ($A$1,$B86,O$1,$B$1)</f>
        <v>3693.59</v>
      </c>
      <c r="P86" s="55">
        <f>_xll.EQNXTDZ($A$1,$B86,P$1,$B$1)</f>
        <v>2377.4499999999998</v>
      </c>
      <c r="Q86" s="55">
        <f>_xll.EQNXTDZ($A$1,$B86,Q$1,$B$1)</f>
        <v>2168.61</v>
      </c>
      <c r="R86" s="55">
        <f>_xll.EQNXTDZ($A$1,$B86,R$1,$B$1)</f>
        <v>1677</v>
      </c>
      <c r="S86" s="55">
        <f>_xll.EQNXTDZ($A$1,$B86,S$1,$B$1)</f>
        <v>1597</v>
      </c>
      <c r="T86" s="55">
        <f>_xll.EQNXTDZ($A$1,$B86,T$1,$B$1)</f>
        <v>1745</v>
      </c>
      <c r="U86" s="55">
        <f>_xll.EQNXTDZ($A$1,$B86,U$1,$B$1)</f>
        <v>1725</v>
      </c>
      <c r="V86" s="55">
        <f>_xll.EQNXTDZ($A$1,$B86,V$1,$B$1)</f>
        <v>1725</v>
      </c>
      <c r="W86" s="55">
        <f>_xll.EQNXTDZ($A$1,$B86,W$1,$B$1)</f>
        <v>1803</v>
      </c>
      <c r="X86" s="55">
        <f>_xll.EQNXTDZ($A$1,$B86,X$1,$B$1)</f>
        <v>1787</v>
      </c>
      <c r="Y86" s="55">
        <f>_xll.EQNXTDZ($A$1,$B86,Y$1,$B$1)</f>
        <v>1858</v>
      </c>
      <c r="Z86" s="55">
        <f>_xll.EQNXTDZ($A$1,$B86,Z$1,$B$1)</f>
        <v>1832</v>
      </c>
      <c r="AA86" s="55">
        <f>_xll.EQNXTDZ($A$1,$B86,AA$1,$B$1)</f>
        <v>1860</v>
      </c>
      <c r="AB86" s="55">
        <f>_xll.EQNXTDZ($A$1,$B86,AB$1,$B$1)</f>
        <v>9193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1.25</v>
      </c>
      <c r="N88" s="55">
        <f>_xll.EQNXTDZ($A$1,$B88,N$1,$B$1)</f>
        <v>1.24</v>
      </c>
      <c r="O88" s="55">
        <f>_xll.EQNXTDZ($A$1,$B88,O$1,$B$1)</f>
        <v>1.24</v>
      </c>
      <c r="P88" s="55">
        <f>_xll.EQNXTDZ($A$1,$B88,P$1,$B$1)</f>
        <v>0.47</v>
      </c>
      <c r="Q88" s="55">
        <f>_xll.EQNXTDZ($A$1,$B88,Q$1,$B$1)</f>
        <v>0.47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4.28</v>
      </c>
      <c r="N90" s="55">
        <f>_xll.EQNXTDZ($A$1,$B90,N$1,$B$1)</f>
        <v>9.0500000000000007</v>
      </c>
      <c r="O90" s="55">
        <f>_xll.EQNXTDZ($A$1,$B90,O$1,$B$1)</f>
        <v>20.03</v>
      </c>
      <c r="P90" s="55">
        <f>_xll.EQNXTDZ($A$1,$B90,P$1,$B$1)</f>
        <v>42.05</v>
      </c>
      <c r="Q90" s="55">
        <f>_xll.EQNXTDZ($A$1,$B90,Q$1,$B$1)</f>
        <v>57.4</v>
      </c>
      <c r="R90" s="55">
        <f>_xll.EQNXTDZ($A$1,$B90,R$1,$B$1)</f>
        <v>49</v>
      </c>
      <c r="S90" s="55">
        <f>_xll.EQNXTDZ($A$1,$B90,S$1,$B$1)</f>
        <v>18</v>
      </c>
      <c r="T90" s="55">
        <f>_xll.EQNXTDZ($A$1,$B90,T$1,$B$1)</f>
        <v>12</v>
      </c>
      <c r="U90" s="55">
        <f>_xll.EQNXTDZ($A$1,$B90,U$1,$B$1)</f>
        <v>18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296.14999999999998</v>
      </c>
      <c r="G91" s="55">
        <f>_xll.EQNXTDZ($A$1,$B91,G$1,$B$1)</f>
        <v>478.89</v>
      </c>
      <c r="H91" s="55">
        <f>_xll.EQNXTDZ($A$1,$B91,H$1,$B$1)</f>
        <v>733.9</v>
      </c>
      <c r="I91" s="55">
        <f>_xll.EQNXTDZ($A$1,$B91,I$1,$B$1)</f>
        <v>1347.85</v>
      </c>
      <c r="J91" s="55">
        <f>_xll.EQNXTDZ($A$1,$B91,J$1,$B$1)</f>
        <v>1525.76</v>
      </c>
      <c r="K91" s="55">
        <f>_xll.EQNXTDZ($A$1,$B91,K$1,$B$1)</f>
        <v>3511.19</v>
      </c>
      <c r="L91" s="55">
        <f>_xll.EQNXTDZ($A$1,$B91,L$1,$B$1)</f>
        <v>3439.43</v>
      </c>
      <c r="M91" s="55">
        <f>_xll.EQNXTDZ($A$1,$B91,M$1,$B$1)</f>
        <v>3467.56</v>
      </c>
      <c r="N91" s="55">
        <f>_xll.EQNXTDZ($A$1,$B91,N$1,$B$1)</f>
        <v>3810.73</v>
      </c>
      <c r="O91" s="55">
        <f>_xll.EQNXTDZ($A$1,$B91,O$1,$B$1)</f>
        <v>3851.6</v>
      </c>
      <c r="P91" s="55">
        <f>_xll.EQNXTDZ($A$1,$B91,P$1,$B$1)</f>
        <v>2596.42</v>
      </c>
      <c r="Q91" s="55">
        <f>_xll.EQNXTDZ($A$1,$B91,Q$1,$B$1)</f>
        <v>2396.77</v>
      </c>
      <c r="R91" s="55">
        <f>_xll.EQNXTDZ($A$1,$B91,R$1,$B$1)</f>
        <v>1755</v>
      </c>
      <c r="S91" s="55">
        <f>_xll.EQNXTDZ($A$1,$B91,S$1,$B$1)</f>
        <v>1678</v>
      </c>
      <c r="T91" s="55">
        <f>_xll.EQNXTDZ($A$1,$B91,T$1,$B$1)</f>
        <v>1834</v>
      </c>
      <c r="U91" s="55">
        <f>_xll.EQNXTDZ($A$1,$B91,U$1,$B$1)</f>
        <v>1815</v>
      </c>
      <c r="V91" s="55">
        <f>_xll.EQNXTDZ($A$1,$B91,V$1,$B$1)</f>
        <v>1830</v>
      </c>
      <c r="W91" s="55">
        <f>_xll.EQNXTDZ($A$1,$B91,W$1,$B$1)</f>
        <v>1920</v>
      </c>
      <c r="X91" s="55">
        <f>_xll.EQNXTDZ($A$1,$B91,X$1,$B$1)</f>
        <v>1908</v>
      </c>
      <c r="Y91" s="55">
        <f>_xll.EQNXTDZ($A$1,$B91,Y$1,$B$1)</f>
        <v>1984</v>
      </c>
      <c r="Z91" s="55">
        <f>_xll.EQNXTDZ($A$1,$B91,Z$1,$B$1)</f>
        <v>1959</v>
      </c>
      <c r="AA91" s="55">
        <f>_xll.EQNXTDZ($A$1,$B91,AA$1,$B$1)</f>
        <v>1989</v>
      </c>
      <c r="AB91" s="55">
        <f>_xll.EQNXTDZ($A$1,$B91,AB$1,$B$1)</f>
        <v>9336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23.76</v>
      </c>
      <c r="J92" s="55">
        <f>_xll.EQNXTDZ($A$1,$B92,J$1,$B$1)</f>
        <v>43.9</v>
      </c>
      <c r="K92" s="55">
        <f>_xll.EQNXTDZ($A$1,$B92,K$1,$B$1)</f>
        <v>70.87</v>
      </c>
      <c r="L92" s="55">
        <f>_xll.EQNXTDZ($A$1,$B92,L$1,$B$1)</f>
        <v>74.86</v>
      </c>
      <c r="M92" s="55">
        <f>_xll.EQNXTDZ($A$1,$B92,M$1,$B$1)</f>
        <v>98.54</v>
      </c>
      <c r="N92" s="55">
        <f>_xll.EQNXTDZ($A$1,$B92,N$1,$B$1)</f>
        <v>134.08000000000001</v>
      </c>
      <c r="O92" s="55">
        <f>_xll.EQNXTDZ($A$1,$B92,O$1,$B$1)</f>
        <v>158.01</v>
      </c>
      <c r="P92" s="55">
        <f>_xll.EQNXTDZ($A$1,$B92,P$1,$B$1)</f>
        <v>218.97</v>
      </c>
      <c r="Q92" s="55">
        <f>_xll.EQNXTDZ($A$1,$B92,Q$1,$B$1)</f>
        <v>228.16</v>
      </c>
      <c r="R92" s="55">
        <f>_xll.EQNXTDZ($A$1,$B92,R$1,$B$1)</f>
        <v>78</v>
      </c>
      <c r="S92" s="55">
        <f>_xll.EQNXTDZ($A$1,$B92,S$1,$B$1)</f>
        <v>81</v>
      </c>
      <c r="T92" s="55">
        <f>_xll.EQNXTDZ($A$1,$B92,T$1,$B$1)</f>
        <v>89</v>
      </c>
      <c r="U92" s="55">
        <f>_xll.EQNXTDZ($A$1,$B92,U$1,$B$1)</f>
        <v>90</v>
      </c>
      <c r="V92" s="55">
        <f>_xll.EQNXTDZ($A$1,$B92,V$1,$B$1)</f>
        <v>105</v>
      </c>
      <c r="W92" s="55">
        <f>_xll.EQNXTDZ($A$1,$B92,W$1,$B$1)</f>
        <v>117</v>
      </c>
      <c r="X92" s="55">
        <f>_xll.EQNXTDZ($A$1,$B92,X$1,$B$1)</f>
        <v>121</v>
      </c>
      <c r="Y92" s="55">
        <f>_xll.EQNXTDZ($A$1,$B92,Y$1,$B$1)</f>
        <v>126</v>
      </c>
      <c r="Z92" s="55">
        <f>_xll.EQNXTDZ($A$1,$B92,Z$1,$B$1)</f>
        <v>127</v>
      </c>
      <c r="AA92" s="55">
        <f>_xll.EQNXTDZ($A$1,$B92,AA$1,$B$1)</f>
        <v>129</v>
      </c>
      <c r="AB92" s="55">
        <f>_xll.EQNXTDZ($A$1,$B92,AB$1,$B$1)</f>
        <v>143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13.22</v>
      </c>
      <c r="G93" s="55">
        <f>_xll.EQNXTDZ($A$1,$B93,G$1,$B$1)</f>
        <v>119.99</v>
      </c>
      <c r="H93" s="55">
        <f>_xll.EQNXTDZ($A$1,$B93,H$1,$B$1)</f>
        <v>304.39999999999998</v>
      </c>
      <c r="I93" s="55">
        <f>_xll.EQNXTDZ($A$1,$B93,I$1,$B$1)</f>
        <v>341.62</v>
      </c>
      <c r="J93" s="55">
        <f>_xll.EQNXTDZ($A$1,$B93,J$1,$B$1)</f>
        <v>148.91</v>
      </c>
      <c r="K93" s="55">
        <f>_xll.EQNXTDZ($A$1,$B93,K$1,$B$1)</f>
        <v>595.73</v>
      </c>
      <c r="L93" s="55">
        <f>_xll.EQNXTDZ($A$1,$B93,L$1,$B$1)</f>
        <v>707.83</v>
      </c>
      <c r="M93" s="55">
        <f>_xll.EQNXTDZ($A$1,$B93,M$1,$B$1)</f>
        <v>1070.68</v>
      </c>
      <c r="N93" s="55">
        <f>_xll.EQNXTDZ($A$1,$B93,N$1,$B$1)</f>
        <v>1654.89</v>
      </c>
      <c r="O93" s="55">
        <f>_xll.EQNXTDZ($A$1,$B93,O$1,$B$1)</f>
        <v>3020.6</v>
      </c>
      <c r="P93" s="55">
        <f>_xll.EQNXTDZ($A$1,$B93,P$1,$B$1)</f>
        <v>4198.38</v>
      </c>
      <c r="Q93" s="55">
        <f>_xll.EQNXTDZ($A$1,$B93,Q$1,$B$1)</f>
        <v>4266.6899999999996</v>
      </c>
      <c r="R93" s="55">
        <f>_xll.EQNXTDZ($A$1,$B93,R$1,$B$1)</f>
        <v>15167.92</v>
      </c>
      <c r="S93" s="55">
        <f>_xll.EQNXTDZ($A$1,$B93,S$1,$B$1)</f>
        <v>6592</v>
      </c>
      <c r="T93" s="55">
        <f>_xll.EQNXTDZ($A$1,$B93,T$1,$B$1)</f>
        <v>3305</v>
      </c>
      <c r="U93" s="55">
        <f>_xll.EQNXTDZ($A$1,$B93,U$1,$B$1)</f>
        <v>577</v>
      </c>
      <c r="V93" s="55">
        <f>_xll.EQNXTDZ($A$1,$B93,V$1,$B$1)</f>
        <v>728</v>
      </c>
      <c r="W93" s="55">
        <f>_xll.EQNXTDZ($A$1,$B93,W$1,$B$1)</f>
        <v>750</v>
      </c>
      <c r="X93" s="55">
        <f>_xll.EQNXTDZ($A$1,$B93,X$1,$B$1)</f>
        <v>859</v>
      </c>
      <c r="Y93" s="55">
        <f>_xll.EQNXTDZ($A$1,$B93,Y$1,$B$1)</f>
        <v>2012</v>
      </c>
      <c r="Z93" s="55">
        <f>_xll.EQNXTDZ($A$1,$B93,Z$1,$B$1)</f>
        <v>1387</v>
      </c>
      <c r="AA93" s="55">
        <f>_xll.EQNXTDZ($A$1,$B93,AA$1,$B$1)</f>
        <v>1438</v>
      </c>
      <c r="AB93" s="55">
        <f>_xll.EQNXTDZ($A$1,$B93,AB$1,$B$1)</f>
        <v>1747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45.47</v>
      </c>
      <c r="G95" s="55">
        <f>_xll.EQNXTDZ($A$1,$B95,G$1,$B$1)</f>
        <v>109.93</v>
      </c>
      <c r="H95" s="55">
        <f>_xll.EQNXTDZ($A$1,$B95,H$1,$B$1)</f>
        <v>42.21</v>
      </c>
      <c r="I95" s="55">
        <f>_xll.EQNXTDZ($A$1,$B95,I$1,$B$1)</f>
        <v>1970.85</v>
      </c>
      <c r="J95" s="55">
        <f>_xll.EQNXTDZ($A$1,$B95,J$1,$B$1)</f>
        <v>2121.14</v>
      </c>
      <c r="K95" s="55">
        <f>_xll.EQNXTDZ($A$1,$B95,K$1,$B$1)</f>
        <v>2073.9699999999998</v>
      </c>
      <c r="L95" s="55">
        <f>_xll.EQNXTDZ($A$1,$B95,L$1,$B$1)</f>
        <v>1923.34</v>
      </c>
      <c r="M95" s="55">
        <f>_xll.EQNXTDZ($A$1,$B95,M$1,$B$1)</f>
        <v>705.78</v>
      </c>
      <c r="N95" s="55">
        <f>_xll.EQNXTDZ($A$1,$B95,N$1,$B$1)</f>
        <v>651.58000000000004</v>
      </c>
      <c r="O95" s="55">
        <f>_xll.EQNXTDZ($A$1,$B95,O$1,$B$1)</f>
        <v>493.86</v>
      </c>
      <c r="P95" s="55">
        <f>_xll.EQNXTDZ($A$1,$B95,P$1,$B$1)</f>
        <v>477.75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0.51</v>
      </c>
      <c r="G98" s="55">
        <f>_xll.EQNXTDZ($A$1,$B98,G$1,$B$1)</f>
        <v>0</v>
      </c>
      <c r="H98" s="55">
        <f>_xll.EQNXTDZ($A$1,$B98,H$1,$B$1)</f>
        <v>43.54</v>
      </c>
      <c r="I98" s="55">
        <f>_xll.EQNXTDZ($A$1,$B98,I$1,$B$1)</f>
        <v>0</v>
      </c>
      <c r="J98" s="55">
        <f>_xll.EQNXTDZ($A$1,$B98,J$1,$B$1)</f>
        <v>2.96</v>
      </c>
      <c r="K98" s="55">
        <f>_xll.EQNXTDZ($A$1,$B98,K$1,$B$1)</f>
        <v>8.8800000000000008</v>
      </c>
      <c r="L98" s="55">
        <f>_xll.EQNXTDZ($A$1,$B98,L$1,$B$1)</f>
        <v>0</v>
      </c>
      <c r="M98" s="55">
        <f>_xll.EQNXTDZ($A$1,$B98,M$1,$B$1)</f>
        <v>0.94</v>
      </c>
      <c r="N98" s="55">
        <f>_xll.EQNXTDZ($A$1,$B98,N$1,$B$1)</f>
        <v>0.1</v>
      </c>
      <c r="O98" s="55">
        <f>_xll.EQNXTDZ($A$1,$B98,O$1,$B$1)</f>
        <v>0.66</v>
      </c>
      <c r="P98" s="55">
        <f>_xll.EQNXTDZ($A$1,$B98,P$1,$B$1)</f>
        <v>0.56000000000000005</v>
      </c>
      <c r="Q98" s="55">
        <f>_xll.EQNXTDZ($A$1,$B98,Q$1,$B$1)</f>
        <v>0.34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36.44</v>
      </c>
      <c r="G104" s="55">
        <f>_xll.EQNXTDZ($A$1,$B104,G$1,$B$1)</f>
        <v>48.01</v>
      </c>
      <c r="H104" s="55">
        <f>_xll.EQNXTDZ($A$1,$B104,H$1,$B$1)</f>
        <v>48.93</v>
      </c>
      <c r="I104" s="55">
        <f>_xll.EQNXTDZ($A$1,$B104,I$1,$B$1)</f>
        <v>97.86</v>
      </c>
      <c r="J104" s="55">
        <f>_xll.EQNXTDZ($A$1,$B104,J$1,$B$1)</f>
        <v>97.86</v>
      </c>
      <c r="K104" s="55">
        <f>_xll.EQNXTDZ($A$1,$B104,K$1,$B$1)</f>
        <v>97.86</v>
      </c>
      <c r="L104" s="55">
        <f>_xll.EQNXTDZ($A$1,$B104,L$1,$B$1)</f>
        <v>195.72</v>
      </c>
      <c r="M104" s="55">
        <f>_xll.EQNXTDZ($A$1,$B104,M$1,$B$1)</f>
        <v>195.72</v>
      </c>
      <c r="N104" s="55">
        <f>_xll.EQNXTDZ($A$1,$B104,N$1,$B$1)</f>
        <v>195.72</v>
      </c>
      <c r="O104" s="55">
        <f>_xll.EQNXTDZ($A$1,$B104,O$1,$B$1)</f>
        <v>195.72</v>
      </c>
      <c r="P104" s="55">
        <f>_xll.EQNXTDZ($A$1,$B104,P$1,$B$1)</f>
        <v>195.87</v>
      </c>
      <c r="Q104" s="55">
        <f>_xll.EQNXTDZ($A$1,$B104,Q$1,$B$1)</f>
        <v>195.87</v>
      </c>
      <c r="R104" s="55">
        <f>_xll.EQNXTDZ($A$1,$B104,R$1,$B$1)</f>
        <v>197</v>
      </c>
      <c r="S104" s="55">
        <f>_xll.EQNXTDZ($A$1,$B104,S$1,$B$1)</f>
        <v>197</v>
      </c>
      <c r="T104" s="55">
        <f>_xll.EQNXTDZ($A$1,$B104,T$1,$B$1)</f>
        <v>191</v>
      </c>
      <c r="U104" s="55">
        <f>_xll.EQNXTDZ($A$1,$B104,U$1,$B$1)</f>
        <v>375</v>
      </c>
      <c r="V104" s="55">
        <f>_xll.EQNXTDZ($A$1,$B104,V$1,$B$1)</f>
        <v>375</v>
      </c>
      <c r="W104" s="55">
        <f>_xll.EQNXTDZ($A$1,$B104,W$1,$B$1)</f>
        <v>370</v>
      </c>
      <c r="X104" s="55">
        <f>_xll.EQNXTDZ($A$1,$B104,X$1,$B$1)</f>
        <v>366</v>
      </c>
      <c r="Y104" s="55">
        <f>_xll.EQNXTDZ($A$1,$B104,Y$1,$B$1)</f>
        <v>366</v>
      </c>
      <c r="Z104" s="55">
        <f>_xll.EQNXTDZ($A$1,$B104,Z$1,$B$1)</f>
        <v>362</v>
      </c>
      <c r="AA104" s="55">
        <f>_xll.EQNXTDZ($A$1,$B104,AA$1,$B$1)</f>
        <v>362</v>
      </c>
      <c r="AB104" s="55">
        <f>_xll.EQNXTDZ($A$1,$B104,AB$1,$B$1)</f>
        <v>362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10</v>
      </c>
      <c r="G105" s="55">
        <f>_xll.EQNXTDZ($A$1,$B105,G$1,$B$1)</f>
        <v>1</v>
      </c>
      <c r="H105" s="55">
        <f>_xll.EQNXTDZ($A$1,$B105,H$1,$B$1)</f>
        <v>1</v>
      </c>
      <c r="I105" s="55">
        <f>_xll.EQNXTDZ($A$1,$B105,I$1,$B$1)</f>
        <v>1</v>
      </c>
      <c r="J105" s="55">
        <f>_xll.EQNXTDZ($A$1,$B105,J$1,$B$1)</f>
        <v>1</v>
      </c>
      <c r="K105" s="55">
        <f>_xll.EQNXTDZ($A$1,$B105,K$1,$B$1)</f>
        <v>1</v>
      </c>
      <c r="L105" s="55">
        <f>_xll.EQNXTDZ($A$1,$B105,L$1,$B$1)</f>
        <v>1</v>
      </c>
      <c r="M105" s="55">
        <f>_xll.EQNXTDZ($A$1,$B105,M$1,$B$1)</f>
        <v>1</v>
      </c>
      <c r="N105" s="55">
        <f>_xll.EQNXTDZ($A$1,$B105,N$1,$B$1)</f>
        <v>1</v>
      </c>
      <c r="O105" s="55">
        <f>_xll.EQNXTDZ($A$1,$B105,O$1,$B$1)</f>
        <v>1</v>
      </c>
      <c r="P105" s="55">
        <f>_xll.EQNXTDZ($A$1,$B105,P$1,$B$1)</f>
        <v>1</v>
      </c>
      <c r="Q105" s="55">
        <f>_xll.EQNXTDZ($A$1,$B105,Q$1,$B$1)</f>
        <v>1</v>
      </c>
      <c r="R105" s="55">
        <f>_xll.EQNXTDZ($A$1,$B105,R$1,$B$1)</f>
        <v>1</v>
      </c>
      <c r="S105" s="55">
        <f>_xll.EQNXTDZ($A$1,$B105,S$1,$B$1)</f>
        <v>1</v>
      </c>
      <c r="T105" s="55">
        <f>_xll.EQNXTDZ($A$1,$B105,T$1,$B$1)</f>
        <v>1</v>
      </c>
      <c r="U105" s="55">
        <f>_xll.EQNXTDZ($A$1,$B105,U$1,$B$1)</f>
        <v>1</v>
      </c>
      <c r="V105" s="55">
        <f>_xll.EQNXTDZ($A$1,$B105,V$1,$B$1)</f>
        <v>1</v>
      </c>
      <c r="W105" s="55">
        <f>_xll.EQNXTDZ($A$1,$B105,W$1,$B$1)</f>
        <v>1</v>
      </c>
      <c r="X105" s="55">
        <f>_xll.EQNXTDZ($A$1,$B105,X$1,$B$1)</f>
        <v>1</v>
      </c>
      <c r="Y105" s="55">
        <f>_xll.EQNXTDZ($A$1,$B105,Y$1,$B$1)</f>
        <v>1</v>
      </c>
      <c r="Z105" s="55">
        <f>_xll.EQNXTDZ($A$1,$B105,Z$1,$B$1)</f>
        <v>1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179.09375</v>
      </c>
      <c r="H106" s="55">
        <f>_xll.EQNXTDZ($A$1,$B106,H$1,$B$1)</f>
        <v>239.26875000000001</v>
      </c>
      <c r="I106" s="55">
        <f>_xll.EQNXTDZ($A$1,$B106,I$1,$B$1)</f>
        <v>307.8</v>
      </c>
      <c r="J106" s="55">
        <f>_xll.EQNXTDZ($A$1,$B106,J$1,$B$1)</f>
        <v>202.72499999999999</v>
      </c>
      <c r="K106" s="55">
        <f>_xll.EQNXTDZ($A$1,$B106,K$1,$B$1)</f>
        <v>135</v>
      </c>
      <c r="L106" s="55">
        <f>_xll.EQNXTDZ($A$1,$B106,L$1,$B$1)</f>
        <v>390.4</v>
      </c>
      <c r="M106" s="55">
        <f>_xll.EQNXTDZ($A$1,$B106,M$1,$B$1)</f>
        <v>591.25</v>
      </c>
      <c r="N106" s="55">
        <f>_xll.EQNXTDZ($A$1,$B106,N$1,$B$1)</f>
        <v>583.92499999999995</v>
      </c>
      <c r="O106" s="55">
        <f>_xll.EQNXTDZ($A$1,$B106,O$1,$B$1)</f>
        <v>785.9</v>
      </c>
      <c r="P106" s="55">
        <f>_xll.EQNXTDZ($A$1,$B106,P$1,$B$1)</f>
        <v>1064.125</v>
      </c>
      <c r="Q106" s="55">
        <f>_xll.EQNXTDZ($A$1,$B106,Q$1,$B$1)</f>
        <v>1273.5250000000001</v>
      </c>
      <c r="R106" s="55">
        <f>_xll.EQNXTDZ($A$1,$B106,R$1,$B$1)</f>
        <v>1258.0250000000001</v>
      </c>
      <c r="S106" s="55">
        <f>_xll.EQNXTDZ($A$1,$B106,S$1,$B$1)</f>
        <v>1215.55</v>
      </c>
      <c r="T106" s="55">
        <f>_xll.EQNXTDZ($A$1,$B106,T$1,$B$1)</f>
        <v>1424.65</v>
      </c>
      <c r="U106" s="55">
        <f>_xll.EQNXTDZ($A$1,$B106,U$1,$B$1)</f>
        <v>2000.4</v>
      </c>
      <c r="V106" s="55">
        <f>_xll.EQNXTDZ($A$1,$B106,V$1,$B$1)</f>
        <v>1823.05</v>
      </c>
      <c r="W106" s="55">
        <f>_xll.EQNXTDZ($A$1,$B106,W$1,$B$1)</f>
        <v>3177.6</v>
      </c>
      <c r="X106" s="55">
        <f>_xll.EQNXTDZ($A$1,$B106,X$1,$B$1)</f>
        <v>3738.8</v>
      </c>
      <c r="Y106" s="55">
        <f>_xll.EQNXTDZ($A$1,$B106,Y$1,$B$1)</f>
        <v>3205.8</v>
      </c>
      <c r="Z106" s="55">
        <f>_xll.EQNXTDZ($A$1,$B106,Z$1,$B$1)</f>
        <v>3883.55</v>
      </c>
      <c r="AA106" s="55">
        <f>_xll.EQNXTDZ($A$1,$B106,AA$1,$B$1)</f>
        <v>3604.45</v>
      </c>
      <c r="AB106" s="55">
        <f>_xll.EQNXTDZ($A$1,$B106,AB$1,$B$1)</f>
        <v>2359.0500000000002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184.375</v>
      </c>
      <c r="H107" s="55">
        <f>_xll.EQNXTDZ($A$1,$B107,H$1,$B$1)</f>
        <v>250.625</v>
      </c>
      <c r="I107" s="55">
        <f>_xll.EQNXTDZ($A$1,$B107,I$1,$B$1)</f>
        <v>349.75</v>
      </c>
      <c r="J107" s="55">
        <f>_xll.EQNXTDZ($A$1,$B107,J$1,$B$1)</f>
        <v>332.5</v>
      </c>
      <c r="K107" s="55">
        <f>_xll.EQNXTDZ($A$1,$B107,K$1,$B$1)</f>
        <v>263.5</v>
      </c>
      <c r="L107" s="55">
        <f>_xll.EQNXTDZ($A$1,$B107,L$1,$B$1)</f>
        <v>422</v>
      </c>
      <c r="M107" s="55">
        <f>_xll.EQNXTDZ($A$1,$B107,M$1,$B$1)</f>
        <v>610.5</v>
      </c>
      <c r="N107" s="55">
        <f>_xll.EQNXTDZ($A$1,$B107,N$1,$B$1)</f>
        <v>639.6</v>
      </c>
      <c r="O107" s="55">
        <f>_xll.EQNXTDZ($A$1,$B107,O$1,$B$1)</f>
        <v>799</v>
      </c>
      <c r="P107" s="55">
        <f>_xll.EQNXTDZ($A$1,$B107,P$1,$B$1)</f>
        <v>1192.0999999999999</v>
      </c>
      <c r="Q107" s="55">
        <f>_xll.EQNXTDZ($A$1,$B107,Q$1,$B$1)</f>
        <v>1417</v>
      </c>
      <c r="R107" s="55">
        <f>_xll.EQNXTDZ($A$1,$B107,R$1,$B$1)</f>
        <v>1384.5</v>
      </c>
      <c r="S107" s="55">
        <f>_xll.EQNXTDZ($A$1,$B107,S$1,$B$1)</f>
        <v>1370</v>
      </c>
      <c r="T107" s="55">
        <f>_xll.EQNXTDZ($A$1,$B107,T$1,$B$1)</f>
        <v>1627.4</v>
      </c>
      <c r="U107" s="55">
        <f>_xll.EQNXTDZ($A$1,$B107,U$1,$B$1)</f>
        <v>2273</v>
      </c>
      <c r="V107" s="55">
        <f>_xll.EQNXTDZ($A$1,$B107,V$1,$B$1)</f>
        <v>2296</v>
      </c>
      <c r="W107" s="55">
        <f>_xll.EQNXTDZ($A$1,$B107,W$1,$B$1)</f>
        <v>3345.25</v>
      </c>
      <c r="X107" s="55">
        <f>_xll.EQNXTDZ($A$1,$B107,X$1,$B$1)</f>
        <v>4045.5</v>
      </c>
      <c r="Y107" s="55">
        <f>_xll.EQNXTDZ($A$1,$B107,Y$1,$B$1)</f>
        <v>3835.5</v>
      </c>
      <c r="Z107" s="55">
        <f>_xll.EQNXTDZ($A$1,$B107,Z$1,$B$1)</f>
        <v>4254.45</v>
      </c>
      <c r="AA107" s="55">
        <f>_xll.EQNXTDZ($A$1,$B107,AA$1,$B$1)</f>
        <v>4585.8999999999996</v>
      </c>
      <c r="AB107" s="55">
        <f>_xll.EQNXTDZ($A$1,$B107,AB$1,$B$1)</f>
        <v>3630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120.29375</v>
      </c>
      <c r="H108" s="55">
        <f>_xll.EQNXTDZ($A$1,$B108,H$1,$B$1)</f>
        <v>137.625</v>
      </c>
      <c r="I108" s="55">
        <f>_xll.EQNXTDZ($A$1,$B108,I$1,$B$1)</f>
        <v>181.875</v>
      </c>
      <c r="J108" s="55">
        <f>_xll.EQNXTDZ($A$1,$B108,J$1,$B$1)</f>
        <v>182.5</v>
      </c>
      <c r="K108" s="55">
        <f>_xll.EQNXTDZ($A$1,$B108,K$1,$B$1)</f>
        <v>104.5</v>
      </c>
      <c r="L108" s="55">
        <f>_xll.EQNXTDZ($A$1,$B108,L$1,$B$1)</f>
        <v>126.3125</v>
      </c>
      <c r="M108" s="55">
        <f>_xll.EQNXTDZ($A$1,$B108,M$1,$B$1)</f>
        <v>346</v>
      </c>
      <c r="N108" s="55">
        <f>_xll.EQNXTDZ($A$1,$B108,N$1,$B$1)</f>
        <v>451.45</v>
      </c>
      <c r="O108" s="55">
        <f>_xll.EQNXTDZ($A$1,$B108,O$1,$B$1)</f>
        <v>523.27499999999998</v>
      </c>
      <c r="P108" s="55">
        <f>_xll.EQNXTDZ($A$1,$B108,P$1,$B$1)</f>
        <v>682</v>
      </c>
      <c r="Q108" s="55">
        <f>_xll.EQNXTDZ($A$1,$B108,Q$1,$B$1)</f>
        <v>1000.25</v>
      </c>
      <c r="R108" s="55">
        <f>_xll.EQNXTDZ($A$1,$B108,R$1,$B$1)</f>
        <v>1059.5</v>
      </c>
      <c r="S108" s="55">
        <f>_xll.EQNXTDZ($A$1,$B108,S$1,$B$1)</f>
        <v>1027.3499999999999</v>
      </c>
      <c r="T108" s="55">
        <f>_xll.EQNXTDZ($A$1,$B108,T$1,$B$1)</f>
        <v>1127.5</v>
      </c>
      <c r="U108" s="55">
        <f>_xll.EQNXTDZ($A$1,$B108,U$1,$B$1)</f>
        <v>1422.5</v>
      </c>
      <c r="V108" s="55">
        <f>_xll.EQNXTDZ($A$1,$B108,V$1,$B$1)</f>
        <v>1504.4</v>
      </c>
      <c r="W108" s="55">
        <f>_xll.EQNXTDZ($A$1,$B108,W$1,$B$1)</f>
        <v>1650</v>
      </c>
      <c r="X108" s="55">
        <f>_xll.EQNXTDZ($A$1,$B108,X$1,$B$1)</f>
        <v>3004.8</v>
      </c>
      <c r="Y108" s="55">
        <f>_xll.EQNXTDZ($A$1,$B108,Y$1,$B$1)</f>
        <v>2926</v>
      </c>
      <c r="Z108" s="55">
        <f>_xll.EQNXTDZ($A$1,$B108,Z$1,$B$1)</f>
        <v>3070.3</v>
      </c>
      <c r="AA108" s="55">
        <f>_xll.EQNXTDZ($A$1,$B108,AA$1,$B$1)</f>
        <v>3457.35</v>
      </c>
      <c r="AB108" s="55">
        <f>_xll.EQNXTDZ($A$1,$B108,AB$1,$B$1)</f>
        <v>2346.35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68786.327499999999</v>
      </c>
      <c r="H109" s="55">
        <f>_xll.EQNXTDZ($A$1,$B109,H$1,$B$1)</f>
        <v>93659.359500000006</v>
      </c>
      <c r="I109" s="55">
        <f>_xll.EQNXTDZ($A$1,$B109,I$1,$B$1)</f>
        <v>120485.232</v>
      </c>
      <c r="J109" s="55">
        <f>_xll.EQNXTDZ($A$1,$B109,J$1,$B$1)</f>
        <v>79354.673999999999</v>
      </c>
      <c r="K109" s="55">
        <f>_xll.EQNXTDZ($A$1,$B109,K$1,$B$1)</f>
        <v>52844.4</v>
      </c>
      <c r="L109" s="55">
        <f>_xll.EQNXTDZ($A$1,$B109,L$1,$B$1)</f>
        <v>152818.17600000001</v>
      </c>
      <c r="M109" s="55">
        <f>_xll.EQNXTDZ($A$1,$B109,M$1,$B$1)</f>
        <v>231438.9</v>
      </c>
      <c r="N109" s="55">
        <f>_xll.EQNXTDZ($A$1,$B109,N$1,$B$1)</f>
        <v>228571.60200000001</v>
      </c>
      <c r="O109" s="55">
        <f>_xll.EQNXTDZ($A$1,$B109,O$1,$B$1)</f>
        <v>307632.696</v>
      </c>
      <c r="P109" s="55">
        <f>_xll.EQNXTDZ($A$1,$B109,P$1,$B$1)</f>
        <v>416860.32750000001</v>
      </c>
      <c r="Q109" s="55">
        <f>_xll.EQNXTDZ($A$1,$B109,Q$1,$B$1)</f>
        <v>498890.68349999998</v>
      </c>
      <c r="R109" s="55">
        <f>_xll.EQNXTDZ($A$1,$B109,R$1,$B$1)</f>
        <v>495661.85</v>
      </c>
      <c r="S109" s="55">
        <f>_xll.EQNXTDZ($A$1,$B109,S$1,$B$1)</f>
        <v>478926.7</v>
      </c>
      <c r="T109" s="55">
        <f>_xll.EQNXTDZ($A$1,$B109,T$1,$B$1)</f>
        <v>544216.30000000005</v>
      </c>
      <c r="U109" s="55">
        <f>_xll.EQNXTDZ($A$1,$B109,U$1,$B$1)</f>
        <v>750150</v>
      </c>
      <c r="V109" s="55">
        <f>_xll.EQNXTDZ($A$1,$B109,V$1,$B$1)</f>
        <v>683643.75</v>
      </c>
      <c r="W109" s="55">
        <f>_xll.EQNXTDZ($A$1,$B109,W$1,$B$1)</f>
        <v>1175712</v>
      </c>
      <c r="X109" s="55">
        <f>_xll.EQNXTDZ($A$1,$B109,X$1,$B$1)</f>
        <v>1368400.8</v>
      </c>
      <c r="Y109" s="55">
        <f>_xll.EQNXTDZ($A$1,$B109,Y$1,$B$1)</f>
        <v>1173322.8</v>
      </c>
      <c r="Z109" s="55">
        <f>_xll.EQNXTDZ($A$1,$B109,Z$1,$B$1)</f>
        <v>1405845.1</v>
      </c>
      <c r="AA109" s="55">
        <f>_xll.EQNXTDZ($A$1,$B109,AA$1,$B$1)</f>
        <v>1304810.8999999999</v>
      </c>
      <c r="AB109" s="55">
        <f>_xll.EQNXTDZ($A$1,$B109,AB$1,$B$1)</f>
        <v>853976.1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1.2E-2</v>
      </c>
      <c r="G110" s="55">
        <f>_xll.EQNXTDZ($A$1,$B110,G$1,$B$1)</f>
        <v>1.4375</v>
      </c>
      <c r="H110" s="55">
        <f>_xll.EQNXTDZ($A$1,$B110,H$1,$B$1)</f>
        <v>1.6875</v>
      </c>
      <c r="I110" s="55">
        <f>_xll.EQNXTDZ($A$1,$B110,I$1,$B$1)</f>
        <v>2.875</v>
      </c>
      <c r="J110" s="55">
        <f>_xll.EQNXTDZ($A$1,$B110,J$1,$B$1)</f>
        <v>3.5</v>
      </c>
      <c r="K110" s="55">
        <f>_xll.EQNXTDZ($A$1,$B110,K$1,$B$1)</f>
        <v>3.5</v>
      </c>
      <c r="L110" s="55">
        <f>_xll.EQNXTDZ($A$1,$B110,L$1,$B$1)</f>
        <v>10</v>
      </c>
      <c r="M110" s="55">
        <f>_xll.EQNXTDZ($A$1,$B110,M$1,$B$1)</f>
        <v>7</v>
      </c>
      <c r="N110" s="55">
        <f>_xll.EQNXTDZ($A$1,$B110,N$1,$B$1)</f>
        <v>12.5</v>
      </c>
      <c r="O110" s="55">
        <f>_xll.EQNXTDZ($A$1,$B110,O$1,$B$1)</f>
        <v>11</v>
      </c>
      <c r="P110" s="55">
        <f>_xll.EQNXTDZ($A$1,$B110,P$1,$B$1)</f>
        <v>16</v>
      </c>
      <c r="Q110" s="55">
        <f>_xll.EQNXTDZ($A$1,$B110,Q$1,$B$1)</f>
        <v>39.5</v>
      </c>
      <c r="R110" s="55">
        <f>_xll.EQNXTDZ($A$1,$B110,R$1,$B$1)</f>
        <v>21.75</v>
      </c>
      <c r="S110" s="55">
        <f>_xll.EQNXTDZ($A$1,$B110,S$1,$B$1)</f>
        <v>23.5</v>
      </c>
      <c r="T110" s="55">
        <f>_xll.EQNXTDZ($A$1,$B110,T$1,$B$1)</f>
        <v>25</v>
      </c>
      <c r="U110" s="55">
        <f>_xll.EQNXTDZ($A$1,$B110,U$1,$B$1)</f>
        <v>30</v>
      </c>
      <c r="V110" s="55">
        <f>_xll.EQNXTDZ($A$1,$B110,V$1,$B$1)</f>
        <v>73</v>
      </c>
      <c r="W110" s="55">
        <f>_xll.EQNXTDZ($A$1,$B110,W$1,$B$1)</f>
        <v>38</v>
      </c>
      <c r="X110" s="55">
        <f>_xll.EQNXTDZ($A$1,$B110,X$1,$B$1)</f>
        <v>43</v>
      </c>
      <c r="Y110" s="55">
        <f>_xll.EQNXTDZ($A$1,$B110,Y$1,$B$1)</f>
        <v>115</v>
      </c>
      <c r="Z110" s="55">
        <f>_xll.EQNXTDZ($A$1,$B110,Z$1,$B$1)</f>
        <v>73</v>
      </c>
      <c r="AA110" s="55">
        <f>_xll.EQNXTDZ($A$1,$B110,AA$1,$B$1)</f>
        <v>126</v>
      </c>
      <c r="AB110" s="55">
        <f>_xll.EQNXTDZ($A$1,$B110,AB$1,$B$1)</f>
        <v>110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84.84</v>
      </c>
      <c r="H112" s="56">
        <f>_xll.EQNXTDZ($A$1,$B112,H$5)</f>
        <v>83.69</v>
      </c>
      <c r="I112" s="56">
        <f>_xll.EQNXTDZ($A$1,$B112,I$5)</f>
        <v>81.650000000000006</v>
      </c>
      <c r="J112" s="56">
        <f>_xll.EQNXTDZ($A$1,$B112,J$5)</f>
        <v>77.55</v>
      </c>
      <c r="K112" s="56">
        <f>_xll.EQNXTDZ($A$1,$B112,K$5)</f>
        <v>76.209999999999994</v>
      </c>
      <c r="L112" s="56">
        <f>_xll.EQNXTDZ($A$1,$B112,L$5)</f>
        <v>74.12</v>
      </c>
      <c r="M112" s="56">
        <f>_xll.EQNXTDZ($A$1,$B112,M$5)</f>
        <v>74.05</v>
      </c>
      <c r="N112" s="56">
        <f>_xll.EQNXTDZ($A$1,$B112,N$5)</f>
        <v>73.98</v>
      </c>
      <c r="O112" s="56">
        <f>_xll.EQNXTDZ($A$1,$B112,O$5)</f>
        <v>73.959999999999994</v>
      </c>
      <c r="P112" s="56">
        <f>_xll.EQNXTDZ($A$1,$B112,P$5)</f>
        <v>73.900000000000006</v>
      </c>
      <c r="Q112" s="56">
        <f>_xll.EQNXTDZ($A$1,$B112,Q$5)</f>
        <v>73.900000000000006</v>
      </c>
      <c r="R112" s="56">
        <f>_xll.EQNXTDZ($A$1,$B112,R$5)</f>
        <v>73.42</v>
      </c>
      <c r="S112" s="56">
        <f>_xll.EQNXTDZ($A$1,$B112,S$5)</f>
        <v>73.31</v>
      </c>
      <c r="T112" s="56">
        <f>_xll.EQNXTDZ($A$1,$B112,T$5)</f>
        <v>71.92</v>
      </c>
      <c r="U112" s="56">
        <f>_xll.EQNXTDZ($A$1,$B112,U$5)</f>
        <v>72.05</v>
      </c>
      <c r="V112" s="56">
        <f>_xll.EQNXTDZ($A$1,$B112,V$5)</f>
        <v>72.05</v>
      </c>
      <c r="W112" s="56">
        <f>_xll.EQNXTDZ($A$1,$B112,W$5)</f>
        <v>72.19</v>
      </c>
      <c r="X112" s="56">
        <f>_xll.EQNXTDZ($A$1,$B112,X$5)</f>
        <v>72.3</v>
      </c>
      <c r="Y112" s="56">
        <f>_xll.EQNXTDZ($A$1,$B112,Y$5)</f>
        <v>72.3</v>
      </c>
      <c r="Z112" s="56">
        <f>_xll.EQNXTDZ($A$1,$B112,Z$5)</f>
        <v>71.77</v>
      </c>
      <c r="AA112" s="56">
        <f>_xll.EQNXTDZ($A$1,$B112,AA$5)</f>
        <v>71.77</v>
      </c>
      <c r="AB112" s="56">
        <f>_xll.EQNXTDZ($A$1,$B112,AB$5)</f>
        <v>71.77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16.18</v>
      </c>
      <c r="L113" s="56">
        <f>_xll.EQNXTDZ($A$1,$B113,L$5)</f>
        <v>15.31</v>
      </c>
      <c r="M113" s="56">
        <f>_xll.EQNXTDZ($A$1,$B113,M$5)</f>
        <v>14.03</v>
      </c>
      <c r="N113" s="56">
        <f>_xll.EQNXTDZ($A$1,$B113,N$5)</f>
        <v>5.49</v>
      </c>
      <c r="O113" s="56">
        <f>_xll.EQNXTDZ($A$1,$B113,O$5)</f>
        <v>4.78</v>
      </c>
      <c r="P113" s="56">
        <f>_xll.EQNXTDZ($A$1,$B113,P$5)</f>
        <v>1.8</v>
      </c>
      <c r="Q113" s="56">
        <f>_xll.EQNXTDZ($A$1,$B113,Q$5)</f>
        <v>1.98</v>
      </c>
      <c r="R113" s="56">
        <f>_xll.EQNXTDZ($A$1,$B113,R$5)</f>
        <v>3.15</v>
      </c>
      <c r="S113" s="56">
        <f>_xll.EQNXTDZ($A$1,$B113,S$5)</f>
        <v>2.9</v>
      </c>
      <c r="T113" s="56">
        <f>_xll.EQNXTDZ($A$1,$B113,T$5)</f>
        <v>2.96</v>
      </c>
      <c r="U113" s="56">
        <f>_xll.EQNXTDZ($A$1,$B113,U$5)</f>
        <v>2.94</v>
      </c>
      <c r="V113" s="56">
        <f>_xll.EQNXTDZ($A$1,$B113,V$5)</f>
        <v>2.94</v>
      </c>
      <c r="W113" s="56">
        <f>_xll.EQNXTDZ($A$1,$B113,W$5)</f>
        <v>0.47</v>
      </c>
      <c r="X113" s="56">
        <f>_xll.EQNXTDZ($A$1,$B113,X$5)</f>
        <v>0.48</v>
      </c>
      <c r="Y113" s="56">
        <f>_xll.EQNXTDZ($A$1,$B113,Y$5)</f>
        <v>0.48</v>
      </c>
      <c r="Z113" s="56">
        <f>_xll.EQNXTDZ($A$1,$B113,Z$5)</f>
        <v>0.28000000000000003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132540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620</v>
      </c>
      <c r="D6" cm="1">
        <f t="array" ref="D6">_xll.EQNXTDZ($A$1,$B6,D$1)</f>
        <v>639.5</v>
      </c>
      <c r="E6" cm="1">
        <f t="array" ref="E6">_xll.EQNXTDZ($A$1,$B6,E$1)</f>
        <v>619.04999999999995</v>
      </c>
      <c r="F6" cm="1">
        <f t="array" ref="F6">_xll.EQNXTDZ($A$1,$B6,F$1)</f>
        <v>675</v>
      </c>
      <c r="G6" cm="1">
        <f t="array" ref="G6">_xll.EQNXTDZ($A$1,$B6,G$1)</f>
        <v>647.5</v>
      </c>
      <c r="H6" cm="1">
        <f t="array" ref="H6">_xll.EQNXTDZ($A$1,$B6,H$1)</f>
        <v>657.45</v>
      </c>
      <c r="I6" cm="1">
        <f t="array" ref="I6">_xll.EQNXTDZ($A$1,$B6,I$1)</f>
        <v>657.5</v>
      </c>
      <c r="J6" cm="1">
        <f t="array" ref="J6">_xll.EQNXTDZ($A$1,$B6,J$1)</f>
        <v>633.47500000000002</v>
      </c>
      <c r="K6" cm="1">
        <f t="array" ref="K6">_xll.EQNXTDZ($A$1,$B6,K$1)</f>
        <v>672</v>
      </c>
      <c r="L6" cm="1">
        <f t="array" ref="L6">_xll.EQNXTDZ($A$1,$B6,L$1)</f>
        <v>757.55</v>
      </c>
      <c r="M6" cm="1">
        <f t="array" ref="M6">_xll.EQNXTDZ($A$1,$B6,M$1)</f>
        <v>782.5</v>
      </c>
      <c r="N6" cm="1">
        <f t="array" ref="N6">_xll.EQNXTDZ($A$1,$B6,N$1)</f>
        <v>686.75</v>
      </c>
      <c r="O6" cm="1">
        <f t="array" ref="O6">_xll.EQNXTDZ($A$1,$B6,O$1)</f>
        <v>752</v>
      </c>
      <c r="P6" cm="1">
        <f t="array" ref="P6">_xll.EQNXTDZ($A$1,$B6,P$1)</f>
        <v>756</v>
      </c>
      <c r="Q6" cm="1">
        <f t="array" ref="Q6">_xll.EQNXTDZ($A$1,$B6,Q$1)</f>
        <v>905.02499999999998</v>
      </c>
      <c r="R6" cm="1">
        <f t="array" ref="R6">_xll.EQNXTDZ($A$1,$B6,R$1)</f>
        <v>1010</v>
      </c>
      <c r="S6" cm="1">
        <f t="array" ref="S6">_xll.EQNXTDZ($A$1,$B6,S$1)</f>
        <v>966</v>
      </c>
      <c r="T6" cm="1">
        <f t="array" ref="T6">_xll.EQNXTDZ($A$1,$B6,T$1)</f>
        <v>1055</v>
      </c>
      <c r="U6" cm="1">
        <f t="array" ref="U6">_xll.EQNXTDZ($A$1,$B6,U$1)</f>
        <v>997.5</v>
      </c>
      <c r="V6" cm="1">
        <f t="array" ref="V6">_xll.EQNXTDZ($A$1,$B6,V$1)</f>
        <v>1090.05</v>
      </c>
      <c r="W6" cm="1">
        <f t="array" ref="W6">_xll.EQNXTDZ($A$1,$B6,W$1)</f>
        <v>1111</v>
      </c>
      <c r="X6" cm="1">
        <f t="array" ref="X6">_xll.EQNXTDZ($A$1,$B6,X$1)</f>
        <v>1135.9000000000001</v>
      </c>
      <c r="Y6" cm="1">
        <f t="array" ref="Y6">_xll.EQNXTDZ($A$1,$B6,Y$1)</f>
        <v>1072.5</v>
      </c>
      <c r="Z6" cm="1">
        <f t="array" ref="Z6">_xll.EQNXTDZ($A$1,$B6,Z$1)</f>
        <v>1090.625</v>
      </c>
      <c r="AA6" cm="1">
        <f t="array" ref="AA6">_xll.EQNXTDZ($A$1,$B6,AA$1)</f>
        <v>1072</v>
      </c>
      <c r="AB6" cm="1">
        <f t="array" ref="AB6">_xll.EQNXTDZ($A$1,$B6,AB$1)</f>
        <v>1209.45</v>
      </c>
      <c r="AC6" cm="1">
        <f t="array" ref="AC6">_xll.EQNXTDZ($A$1,$B6,AC$1)</f>
        <v>1287.5</v>
      </c>
      <c r="AD6" cm="1">
        <f t="array" ref="AD6">_xll.EQNXTDZ($A$1,$B6,AD$1)</f>
        <v>1262.7</v>
      </c>
      <c r="AE6" cm="1">
        <f t="array" ref="AE6">_xll.EQNXTDZ($A$1,$B6,AE$1)</f>
        <v>1376</v>
      </c>
      <c r="AF6" cm="1">
        <f t="array" ref="AF6">_xll.EQNXTDZ($A$1,$B6,AF$1)</f>
        <v>1324.5</v>
      </c>
      <c r="AG6" cm="1">
        <f t="array" ref="AG6">_xll.EQNXTDZ($A$1,$B6,AG$1)</f>
        <v>1325.25</v>
      </c>
      <c r="AH6" cm="1">
        <f t="array" ref="AH6">_xll.EQNXTDZ($A$1,$B6,AH$1)</f>
        <v>1283.5</v>
      </c>
      <c r="AI6" cm="1">
        <f t="array" ref="AI6">_xll.EQNXTDZ($A$1,$B6,AI$1)</f>
        <v>1241</v>
      </c>
      <c r="AJ6" cm="1">
        <f t="array" ref="AJ6">_xll.EQNXTDZ($A$1,$B6,AJ$1)</f>
        <v>1339.85</v>
      </c>
      <c r="AK6" cm="1">
        <f t="array" ref="AK6">_xll.EQNXTDZ($A$1,$B6,AK$1)</f>
        <v>1279</v>
      </c>
      <c r="AL6" cm="1">
        <f t="array" ref="AL6">_xll.EQNXTDZ($A$1,$B6,AL$1)</f>
        <v>1245.5</v>
      </c>
      <c r="AM6" cm="1">
        <f t="array" ref="AM6">_xll.EQNXTDZ($A$1,$B6,AM$1)</f>
        <v>1304.7249999999999</v>
      </c>
      <c r="AN6" cm="1">
        <f t="array" ref="AN6">_xll.EQNXTDZ($A$1,$B6,AN$1)</f>
        <v>1281.95</v>
      </c>
      <c r="AO6" cm="1">
        <f t="array" ref="AO6">_xll.EQNXTDZ($A$1,$B6,AO$1)</f>
        <v>1251.7</v>
      </c>
      <c r="AP6" cm="1">
        <f t="array" ref="AP6">_xll.EQNXTDZ($A$1,$B6,AP$1)</f>
        <v>1278</v>
      </c>
      <c r="AQ6" cm="1">
        <f t="array" ref="AQ6">_xll.EQNXTDZ($A$1,$B6,AQ$1)</f>
        <v>1299.5</v>
      </c>
      <c r="AR6" cm="1">
        <f t="array" ref="AR6">_xll.EQNXTDZ($A$1,$B6,AR$1)</f>
        <v>1250</v>
      </c>
      <c r="AS6" cm="1">
        <f t="array" ref="AS6">_xll.EQNXTDZ($A$1,$B6,AS$1)</f>
        <v>1181.45</v>
      </c>
      <c r="AT6" cm="1">
        <f t="array" ref="AT6">_xll.EQNXTDZ($A$1,$B6,AT$1)</f>
        <v>1219.5</v>
      </c>
      <c r="AU6" cm="1">
        <f t="array" ref="AU6">_xll.EQNXTDZ($A$1,$B6,AU$1)</f>
        <v>1195.55</v>
      </c>
      <c r="AV6" cm="1">
        <f t="array" ref="AV6">_xll.EQNXTDZ($A$1,$B6,AV$1)</f>
        <v>1096.5</v>
      </c>
      <c r="AW6" cm="1">
        <f t="array" ref="AW6">_xll.EQNXTDZ($A$1,$B6,AW$1)</f>
        <v>1252.5</v>
      </c>
      <c r="AX6" cm="1">
        <f t="array" ref="AX6">_xll.EQNXTDZ($A$1,$B6,AX$1)</f>
        <v>1264.5</v>
      </c>
      <c r="AY6" cm="1">
        <f t="array" ref="AY6">_xll.EQNXTDZ($A$1,$B6,AY$1)</f>
        <v>1285.5999999999999</v>
      </c>
      <c r="AZ6" cm="1">
        <f t="array" ref="AZ6">_xll.EQNXTDZ($A$1,$B6,AZ$1)</f>
        <v>1281</v>
      </c>
      <c r="BA6" cm="1">
        <f t="array" ref="BA6">_xll.EQNXTDZ($A$1,$B6,BA$1)</f>
        <v>1316</v>
      </c>
      <c r="BB6" cm="1">
        <f t="array" ref="BB6">_xll.EQNXTDZ($A$1,$B6,BB$1)</f>
        <v>1262.45</v>
      </c>
      <c r="BC6" cm="1">
        <f t="array" ref="BC6">_xll.EQNXTDZ($A$1,$B6,BC$1)</f>
        <v>1225</v>
      </c>
      <c r="BD6" cm="1">
        <f t="array" ref="BD6">_xll.EQNXTDZ($A$1,$B6,BD$1)</f>
        <v>1199.8499999999999</v>
      </c>
      <c r="BE6" cm="1">
        <f t="array" ref="BE6">_xll.EQNXTDZ($A$1,$B6,BE$1)</f>
        <v>1138.5</v>
      </c>
      <c r="BF6" cm="1">
        <f t="array" ref="BF6">_xll.EQNXTDZ($A$1,$B6,BF$1)</f>
        <v>1183.3</v>
      </c>
      <c r="BG6" cm="1">
        <f t="array" ref="BG6">_xll.EQNXTDZ($A$1,$B6,BG$1)</f>
        <v>1110</v>
      </c>
      <c r="BH6" cm="1">
        <f t="array" ref="BH6">_xll.EQNXTDZ($A$1,$B6,BH$1)</f>
        <v>1239.95</v>
      </c>
      <c r="BI6" cm="1">
        <f t="array" ref="BI6">_xll.EQNXTDZ($A$1,$B6,BI$1)</f>
        <v>1217.5</v>
      </c>
      <c r="BJ6" cm="1">
        <f t="array" ref="BJ6">_xll.EQNXTDZ($A$1,$B6,BJ$1)</f>
        <v>1147</v>
      </c>
      <c r="BK6" cm="1">
        <f t="array" ref="BK6">_xll.EQNXTDZ($A$1,$B6,BK$1)</f>
        <v>1265</v>
      </c>
      <c r="BL6" cm="1">
        <f t="array" ref="BL6">_xll.EQNXTDZ($A$1,$B6,BL$1)</f>
        <v>1178.7</v>
      </c>
      <c r="BM6" cm="1">
        <f t="array" ref="BM6">_xll.EQNXTDZ($A$1,$B6,BM$1)</f>
        <v>1250</v>
      </c>
      <c r="BN6" cm="1">
        <f t="array" ref="BN6">_xll.EQNXTDZ($A$1,$B6,BN$1)</f>
        <v>1240</v>
      </c>
      <c r="BO6" cm="1">
        <f t="array" ref="BO6">_xll.EQNXTDZ($A$1,$B6,BO$1)</f>
        <v>1220</v>
      </c>
      <c r="BP6" cm="1">
        <f t="array" ref="BP6">_xll.EQNXTDZ($A$1,$B6,BP$1)</f>
        <v>1312</v>
      </c>
      <c r="BQ6" cm="1">
        <f t="array" ref="BQ6">_xll.EQNXTDZ($A$1,$B6,BQ$1)</f>
        <v>1317.5</v>
      </c>
      <c r="BR6" cm="1">
        <f t="array" ref="BR6">_xll.EQNXTDZ($A$1,$B6,BR$1)</f>
        <v>1341.15</v>
      </c>
      <c r="BS6" cm="1">
        <f t="array" ref="BS6">_xll.EQNXTDZ($A$1,$B6,BS$1)</f>
        <v>1562</v>
      </c>
      <c r="BT6" cm="1">
        <f t="array" ref="BT6">_xll.EQNXTDZ($A$1,$B6,BT$1)</f>
        <v>1524.5</v>
      </c>
      <c r="BU6" cm="1">
        <f t="array" ref="BU6">_xll.EQNXTDZ($A$1,$B6,BU$1)</f>
        <v>1420</v>
      </c>
      <c r="BV6" cm="1">
        <f t="array" ref="BV6">_xll.EQNXTDZ($A$1,$B6,BV$1)</f>
        <v>1765.25</v>
      </c>
      <c r="BW6" cm="1">
        <f t="array" ref="BW6">_xll.EQNXTDZ($A$1,$B6,BW$1)</f>
        <v>1754</v>
      </c>
      <c r="BX6" cm="1">
        <f t="array" ref="BX6">_xll.EQNXTDZ($A$1,$B6,BX$1)</f>
        <v>1852</v>
      </c>
      <c r="BY6" cm="1">
        <f t="array" ref="BY6">_xll.EQNXTDZ($A$1,$B6,BY$1)</f>
        <v>1949.95</v>
      </c>
      <c r="BZ6" cm="1">
        <f t="array" ref="BZ6">_xll.EQNXTDZ($A$1,$B6,BZ$1)</f>
        <v>2084.8000000000002</v>
      </c>
      <c r="CA6" cm="1">
        <f t="array" ref="CA6">_xll.EQNXTDZ($A$1,$B6,CA$1)</f>
        <v>2190.9</v>
      </c>
      <c r="CB6" cm="1">
        <f t="array" ref="CB6">_xll.EQNXTDZ($A$1,$B6,CB$1)</f>
        <v>1943.65</v>
      </c>
      <c r="CC6" cm="1">
        <f t="array" ref="CC6">_xll.EQNXTDZ($A$1,$B6,CC$1)</f>
        <v>1984</v>
      </c>
      <c r="CD6" cm="1">
        <f t="array" ref="CD6">_xll.EQNXTDZ($A$1,$B6,CD$1)</f>
        <v>1896</v>
      </c>
      <c r="CE6" cm="1">
        <f t="array" ref="CE6">_xll.EQNXTDZ($A$1,$B6,CE$1)</f>
        <v>2009.5</v>
      </c>
      <c r="CF6" cm="1">
        <f t="array" ref="CF6">_xll.EQNXTDZ($A$1,$B6,CF$1)</f>
        <v>1995.05</v>
      </c>
      <c r="CG6" cm="1">
        <f t="array" ref="CG6">_xll.EQNXTDZ($A$1,$B6,CG$1)</f>
        <v>2010</v>
      </c>
      <c r="CH6" cm="1">
        <f t="array" ref="CH6">_xll.EQNXTDZ($A$1,$B6,CH$1)</f>
        <v>2255</v>
      </c>
      <c r="CI6" cm="1">
        <f t="array" ref="CI6">_xll.EQNXTDZ($A$1,$B6,CI$1)</f>
        <v>2201</v>
      </c>
      <c r="CJ6" cm="1">
        <f t="array" ref="CJ6">_xll.EQNXTDZ($A$1,$B6,CJ$1)</f>
        <v>2235</v>
      </c>
      <c r="CK6" cm="1">
        <f t="array" ref="CK6">_xll.EQNXTDZ($A$1,$B6,CK$1)</f>
        <v>2200</v>
      </c>
      <c r="CL6" cm="1">
        <f t="array" ref="CL6">_xll.EQNXTDZ($A$1,$B6,CL$1)</f>
        <v>2270</v>
      </c>
      <c r="CM6" cm="1">
        <f t="array" ref="CM6">_xll.EQNXTDZ($A$1,$B6,CM$1)</f>
        <v>2095.9499999999998</v>
      </c>
      <c r="CN6" cm="1">
        <f t="array" ref="CN6">_xll.EQNXTDZ($A$1,$B6,CN$1)</f>
        <v>2264</v>
      </c>
      <c r="CO6" cm="1">
        <f t="array" ref="CO6">_xll.EQNXTDZ($A$1,$B6,CO$1)</f>
        <v>2060</v>
      </c>
      <c r="CP6" cm="1">
        <f t="array" ref="CP6">_xll.EQNXTDZ($A$1,$B6,CP$1)</f>
        <v>2168</v>
      </c>
      <c r="CQ6" cm="1">
        <f t="array" ref="CQ6">_xll.EQNXTDZ($A$1,$B6,CQ$1)</f>
        <v>2079.5</v>
      </c>
      <c r="CR6" cm="1">
        <f t="array" ref="CR6">_xll.EQNXTDZ($A$1,$B6,CR$1)</f>
        <v>2035</v>
      </c>
      <c r="CS6" cm="1">
        <f t="array" ref="CS6">_xll.EQNXTDZ($A$1,$B6,CS$1)</f>
        <v>1825.9</v>
      </c>
      <c r="CT6" cm="1">
        <f t="array" ref="CT6">_xll.EQNXTDZ($A$1,$B6,CT$1)</f>
        <v>1966</v>
      </c>
      <c r="CU6" cm="1">
        <f t="array" ref="CU6">_xll.EQNXTDZ($A$1,$B6,CU$1)</f>
        <v>1990</v>
      </c>
      <c r="CV6" cm="1">
        <f t="array" ref="CV6">_xll.EQNXTDZ($A$1,$B6,CV$1)</f>
        <v>2079.6999999999998</v>
      </c>
      <c r="CW6" cm="1">
        <f t="array" ref="CW6">_xll.EQNXTDZ($A$1,$B6,CW$1)</f>
        <v>2290.4499999999998</v>
      </c>
      <c r="CX6" cm="1">
        <f t="array" ref="CX6">_xll.EQNXTDZ($A$1,$B6,CX$1)</f>
        <v>2269</v>
      </c>
      <c r="CY6" cm="1">
        <f t="array" ref="CY6">_xll.EQNXTDZ($A$1,$B6,CY$1)</f>
        <v>2510</v>
      </c>
      <c r="CZ6" cm="1">
        <f t="array" ref="CZ6">_xll.EQNXTDZ($A$1,$B6,CZ$1)</f>
        <v>2660</v>
      </c>
      <c r="DA6" cm="1">
        <f t="array" ref="DA6">_xll.EQNXTDZ($A$1,$B6,DA$1)</f>
        <v>2679</v>
      </c>
      <c r="DB6" cm="1">
        <f t="array" ref="DB6">_xll.EQNXTDZ($A$1,$B6,DB$1)</f>
        <v>2880</v>
      </c>
      <c r="DC6" cm="1">
        <f t="array" ref="DC6">_xll.EQNXTDZ($A$1,$B6,DC$1)</f>
        <v>3100</v>
      </c>
      <c r="DD6" cm="1">
        <f t="array" ref="DD6">_xll.EQNXTDZ($A$1,$B6,DD$1)</f>
        <v>2926</v>
      </c>
      <c r="DE6" cm="1">
        <f t="array" ref="DE6">_xll.EQNXTDZ($A$1,$B6,DE$1)</f>
        <v>3191.1</v>
      </c>
      <c r="DF6" cm="1">
        <f t="array" ref="DF6">_xll.EQNXTDZ($A$1,$B6,DF$1)</f>
        <v>3024.9</v>
      </c>
      <c r="DG6" cm="1">
        <f t="array" ref="DG6">_xll.EQNXTDZ($A$1,$B6,DG$1)</f>
        <v>3168.6</v>
      </c>
      <c r="DH6" cm="1">
        <f t="array" ref="DH6">_xll.EQNXTDZ($A$1,$B6,DH$1)</f>
        <v>3358</v>
      </c>
      <c r="DI6" cm="1">
        <f t="array" ref="DI6">_xll.EQNXTDZ($A$1,$B6,DI$1)</f>
        <v>3180</v>
      </c>
      <c r="DJ6" cm="1">
        <f t="array" ref="DJ6">_xll.EQNXTDZ($A$1,$B6,DJ$1)</f>
        <v>3796</v>
      </c>
      <c r="DK6" cm="1">
        <f t="array" ref="DK6">_xll.EQNXTDZ($A$1,$B6,DK$1)</f>
        <v>3781.75</v>
      </c>
      <c r="DL6" cm="1">
        <f t="array" ref="DL6">_xll.EQNXTDZ($A$1,$B6,DL$1)</f>
        <v>3437.95</v>
      </c>
      <c r="DM6" cm="1">
        <f t="array" ref="DM6">_xll.EQNXTDZ($A$1,$B6,DM$1)</f>
        <v>3535</v>
      </c>
      <c r="DN6" cm="1">
        <f t="array" ref="DN6">_xll.EQNXTDZ($A$1,$B6,DN$1)</f>
        <v>3750</v>
      </c>
      <c r="DO6" cm="1">
        <f t="array" ref="DO6">_xll.EQNXTDZ($A$1,$B6,DO$1)</f>
        <v>3770</v>
      </c>
      <c r="DP6" cm="1">
        <f t="array" ref="DP6">_xll.EQNXTDZ($A$1,$B6,DP$1)</f>
        <v>3552.5</v>
      </c>
      <c r="DQ6" cm="1">
        <f t="array" ref="DQ6">_xll.EQNXTDZ($A$1,$B6,DQ$1)</f>
        <v>3748</v>
      </c>
      <c r="DR6" cm="1">
        <f t="array" ref="DR6">_xll.EQNXTDZ($A$1,$B6,DR$1)</f>
        <v>3519.9</v>
      </c>
      <c r="DS6" cm="1">
        <f t="array" ref="DS6">_xll.EQNXTDZ($A$1,$B6,DS$1)</f>
        <v>3388</v>
      </c>
      <c r="DT6" cm="1">
        <f t="array" ref="DT6">_xll.EQNXTDZ($A$1,$B6,DT$1)</f>
        <v>3260</v>
      </c>
      <c r="DU6" cm="1">
        <f t="array" ref="DU6">_xll.EQNXTDZ($A$1,$B6,DU$1)</f>
        <v>3327</v>
      </c>
      <c r="DV6" cm="1">
        <f t="array" ref="DV6">_xll.EQNXTDZ($A$1,$B6,DV$1)</f>
        <v>3190</v>
      </c>
      <c r="DW6" cm="1">
        <f t="array" ref="DW6">_xll.EQNXTDZ($A$1,$B6,DW$1)</f>
        <v>2995</v>
      </c>
      <c r="DX6" cm="1">
        <f t="array" ref="DX6">_xll.EQNXTDZ($A$1,$B6,DX$1)</f>
        <v>3214.5</v>
      </c>
      <c r="DY6" cm="1">
        <f t="array" ref="DY6">_xll.EQNXTDZ($A$1,$B6,DY$1)</f>
        <v>3425</v>
      </c>
      <c r="DZ6" cm="1">
        <f t="array" ref="DZ6">_xll.EQNXTDZ($A$1,$B6,DZ$1)</f>
        <v>3261</v>
      </c>
      <c r="EA6" cm="1">
        <f t="array" ref="EA6">_xll.EQNXTDZ($A$1,$B6,EA$1)</f>
        <v>3363</v>
      </c>
      <c r="EB6" cm="1">
        <f t="array" ref="EB6">_xll.EQNXTDZ($A$1,$B6,EB$1)</f>
        <v>3323</v>
      </c>
      <c r="EC6" cm="1">
        <f t="array" ref="EC6">_xll.EQNXTDZ($A$1,$B6,EC$1)</f>
        <v>3224.95</v>
      </c>
      <c r="ED6" cm="1">
        <f t="array" ref="ED6">_xll.EQNXTDZ($A$1,$B6,ED$1)</f>
        <v>3235</v>
      </c>
      <c r="EE6" cm="1">
        <f t="array" ref="EE6">_xll.EQNXTDZ($A$1,$B6,EE$1)</f>
        <v>3314</v>
      </c>
      <c r="EF6" cm="1">
        <f t="array" ref="EF6">_xll.EQNXTDZ($A$1,$B6,EF$1)</f>
        <v>3314.3</v>
      </c>
      <c r="EG6" cm="1">
        <f t="array" ref="EG6">_xll.EQNXTDZ($A$1,$B6,EG$1)</f>
        <v>3415</v>
      </c>
      <c r="EH6" cm="1">
        <f t="array" ref="EH6">_xll.EQNXTDZ($A$1,$B6,EH$1)</f>
        <v>3366</v>
      </c>
      <c r="EI6" cm="1">
        <f t="array" ref="EI6">_xll.EQNXTDZ($A$1,$B6,EI$1)</f>
        <v>3534.2</v>
      </c>
      <c r="EJ6" cm="1">
        <f t="array" ref="EJ6">_xll.EQNXTDZ($A$1,$B6,EJ$1)</f>
        <v>3355</v>
      </c>
      <c r="EK6" cm="1">
        <f t="array" ref="EK6">_xll.EQNXTDZ($A$1,$B6,EK$1)</f>
        <v>3500</v>
      </c>
      <c r="EL6" cm="1">
        <f t="array" ref="EL6">_xll.EQNXTDZ($A$1,$B6,EL$1)</f>
        <v>3790</v>
      </c>
      <c r="EM6" cm="1">
        <f t="array" ref="EM6">_xll.EQNXTDZ($A$1,$B6,EM$1)</f>
        <v>3820</v>
      </c>
      <c r="EN6" cm="1">
        <f t="array" ref="EN6">_xll.EQNXTDZ($A$1,$B6,EN$1)</f>
        <v>4107.2</v>
      </c>
      <c r="EO6" cm="1">
        <f t="array" ref="EO6">_xll.EQNXTDZ($A$1,$B6,EO$1)</f>
        <v>3897.7</v>
      </c>
      <c r="EP6" cm="1">
        <f t="array" ref="EP6">_xll.EQNXTDZ($A$1,$B6,EP$1)</f>
        <v>3778.05</v>
      </c>
      <c r="EQ6" cm="1">
        <f t="array" ref="EQ6">_xll.EQNXTDZ($A$1,$B6,EQ$1)</f>
        <v>3732.8</v>
      </c>
      <c r="ER6" cm="1">
        <f t="array" ref="ER6">_xll.EQNXTDZ($A$1,$B6,ER$1)</f>
        <v>3884</v>
      </c>
      <c r="ES6" cm="1">
        <f t="array" ref="ES6">_xll.EQNXTDZ($A$1,$B6,ES$1)</f>
        <v>4399.3999999999996</v>
      </c>
      <c r="ET6" cm="1">
        <f t="array" ref="ET6">_xll.EQNXTDZ($A$1,$B6,ET$1)</f>
        <v>4576</v>
      </c>
      <c r="EU6" cm="1">
        <f t="array" ref="EU6">_xll.EQNXTDZ($A$1,$B6,EU$1)</f>
        <v>4255.55</v>
      </c>
      <c r="EV6" cm="1">
        <f t="array" ref="EV6">_xll.EQNXTDZ($A$1,$B6,EV$1)</f>
        <v>3989.85</v>
      </c>
      <c r="EW6" cm="1">
        <f t="array" ref="EW6">_xll.EQNXTDZ($A$1,$B6,EW$1)</f>
        <v>4270</v>
      </c>
      <c r="EX6" cm="1">
        <f t="array" ref="EX6">_xll.EQNXTDZ($A$1,$B6,EX$1)</f>
        <v>4094.4</v>
      </c>
      <c r="EY6" cm="1">
        <f t="array" ref="EY6">_xll.EQNXTDZ($A$1,$B6,EY$1)</f>
        <v>4113</v>
      </c>
      <c r="EZ6" cm="1">
        <f t="array" ref="EZ6">_xll.EQNXTDZ($A$1,$B6,EZ$1)</f>
        <v>3485</v>
      </c>
      <c r="FA6" cm="1">
        <f t="array" ref="FA6">_xll.EQNXTDZ($A$1,$B6,FA$1)</f>
        <v>3572.7</v>
      </c>
      <c r="FB6" cm="1">
        <f t="array" ref="FB6">_xll.EQNXTDZ($A$1,$B6,FB$1)</f>
        <v>3472</v>
      </c>
      <c r="FC6" cm="1">
        <f t="array" ref="FC6">_xll.EQNXTDZ($A$1,$B6,FC$1)</f>
        <v>3450</v>
      </c>
      <c r="FD6" cm="1">
        <f t="array" ref="FD6">_xll.EQNXTDZ($A$1,$B6,FD$1)</f>
        <v>3455</v>
      </c>
      <c r="FE6" cm="1">
        <f t="array" ref="FE6">_xll.EQNXTDZ($A$1,$B6,FE$1)</f>
        <v>3029.9</v>
      </c>
      <c r="FF6" cm="1">
        <f t="array" ref="FF6">_xll.EQNXTDZ($A$1,$B6,FF$1)</f>
        <v>3090</v>
      </c>
      <c r="FG6" cm="1">
        <f t="array" ref="FG6">_xll.EQNXTDZ($A$1,$B6,FG$1)</f>
        <v>2891</v>
      </c>
      <c r="FH6" cm="1">
        <f t="array" ref="FH6">_xll.EQNXTDZ($A$1,$B6,FH$1)</f>
        <v>3046.9</v>
      </c>
      <c r="FI6" cm="1">
        <f t="array" ref="FI6">_xll.EQNXTDZ($A$1,$B6,FI$1)</f>
        <v>3137.9</v>
      </c>
      <c r="FJ6" cm="1">
        <f t="array" ref="FJ6">_xll.EQNXTDZ($A$1,$B6,FJ$1)</f>
        <v>3215</v>
      </c>
      <c r="FK6" cm="1">
        <f t="array" ref="FK6">_xll.EQNXTDZ($A$1,$B6,FK$1)</f>
        <v>3123.8</v>
      </c>
      <c r="FL6" cm="1">
        <f t="array" ref="FL6">_xll.EQNXTDZ($A$1,$B6,FL$1)</f>
        <v>2592</v>
      </c>
      <c r="FM6" cm="1">
        <f t="array" ref="FM6">_xll.EQNXTDZ($A$1,$B6,FM$1)</f>
        <v>2429</v>
      </c>
      <c r="FN6" cm="1">
        <f t="array" ref="FN6">_xll.EQNXTDZ($A$1,$B6,FN$1)</f>
        <v>2494</v>
      </c>
      <c r="FO6" cm="1">
        <f t="array" ref="FO6">_xll.EQNXTDZ($A$1,$B6,FO$1)</f>
        <v>2284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643.5</v>
      </c>
      <c r="D7" s="116" cm="1">
        <f t="array" ref="D7">_xll.EQNXTDZ($A$1,$B7,D$1)</f>
        <v>642</v>
      </c>
      <c r="E7" s="116" cm="1">
        <f t="array" ref="E7">_xll.EQNXTDZ($A$1,$B7,E$1)</f>
        <v>694.4</v>
      </c>
      <c r="F7" s="116" cm="1">
        <f t="array" ref="F7">_xll.EQNXTDZ($A$1,$B7,F$1)</f>
        <v>719.9</v>
      </c>
      <c r="G7" s="116" cm="1">
        <f t="array" ref="G7">_xll.EQNXTDZ($A$1,$B7,G$1)</f>
        <v>667.45</v>
      </c>
      <c r="H7" s="116" cm="1">
        <f t="array" ref="H7">_xll.EQNXTDZ($A$1,$B7,H$1)</f>
        <v>674</v>
      </c>
      <c r="I7" s="116" cm="1">
        <f t="array" ref="I7">_xll.EQNXTDZ($A$1,$B7,I$1)</f>
        <v>661</v>
      </c>
      <c r="J7" s="116" cm="1">
        <f t="array" ref="J7">_xll.EQNXTDZ($A$1,$B7,J$1)</f>
        <v>700</v>
      </c>
      <c r="K7" s="116" cm="1">
        <f t="array" ref="K7">_xll.EQNXTDZ($A$1,$B7,K$1)</f>
        <v>762.5</v>
      </c>
      <c r="L7" s="116" cm="1">
        <f t="array" ref="L7">_xll.EQNXTDZ($A$1,$B7,L$1)</f>
        <v>798.8</v>
      </c>
      <c r="M7" s="116" cm="1">
        <f t="array" ref="M7">_xll.EQNXTDZ($A$1,$B7,M$1)</f>
        <v>787.5</v>
      </c>
      <c r="N7" s="116" cm="1">
        <f t="array" ref="N7">_xll.EQNXTDZ($A$1,$B7,N$1)</f>
        <v>763.75</v>
      </c>
      <c r="O7" s="116" cm="1">
        <f t="array" ref="O7">_xll.EQNXTDZ($A$1,$B7,O$1)</f>
        <v>772.35</v>
      </c>
      <c r="P7" s="116" cm="1">
        <f t="array" ref="P7">_xll.EQNXTDZ($A$1,$B7,P$1)</f>
        <v>915.75</v>
      </c>
      <c r="Q7" s="116" cm="1">
        <f t="array" ref="Q7">_xll.EQNXTDZ($A$1,$B7,Q$1)</f>
        <v>1025</v>
      </c>
      <c r="R7" s="116" cm="1">
        <f t="array" ref="R7">_xll.EQNXTDZ($A$1,$B7,R$1)</f>
        <v>1039.4000000000001</v>
      </c>
      <c r="S7" s="116" cm="1">
        <f t="array" ref="S7">_xll.EQNXTDZ($A$1,$B7,S$1)</f>
        <v>1129.425</v>
      </c>
      <c r="T7" s="116" cm="1">
        <f t="array" ref="T7">_xll.EQNXTDZ($A$1,$B7,T$1)</f>
        <v>1074.075</v>
      </c>
      <c r="U7" s="116" cm="1">
        <f t="array" ref="U7">_xll.EQNXTDZ($A$1,$B7,U$1)</f>
        <v>1092.4749999999999</v>
      </c>
      <c r="V7" s="116" cm="1">
        <f t="array" ref="V7">_xll.EQNXTDZ($A$1,$B7,V$1)</f>
        <v>1192.4000000000001</v>
      </c>
      <c r="W7" s="116" cm="1">
        <f t="array" ref="W7">_xll.EQNXTDZ($A$1,$B7,W$1)</f>
        <v>1140</v>
      </c>
      <c r="X7" s="116" cm="1">
        <f t="array" ref="X7">_xll.EQNXTDZ($A$1,$B7,X$1)</f>
        <v>1149.5</v>
      </c>
      <c r="Y7" s="116" cm="1">
        <f t="array" ref="Y7">_xll.EQNXTDZ($A$1,$B7,Y$1)</f>
        <v>1132</v>
      </c>
      <c r="Z7" s="116" cm="1">
        <f t="array" ref="Z7">_xll.EQNXTDZ($A$1,$B7,Z$1)</f>
        <v>1126.7</v>
      </c>
      <c r="AA7" s="116" cm="1">
        <f t="array" ref="AA7">_xll.EQNXTDZ($A$1,$B7,AA$1)</f>
        <v>1217.5</v>
      </c>
      <c r="AB7" s="116" cm="1">
        <f t="array" ref="AB7">_xll.EQNXTDZ($A$1,$B7,AB$1)</f>
        <v>1307.175</v>
      </c>
      <c r="AC7" s="116" cm="1">
        <f t="array" ref="AC7">_xll.EQNXTDZ($A$1,$B7,AC$1)</f>
        <v>1293.9749999999999</v>
      </c>
      <c r="AD7" s="116" cm="1">
        <f t="array" ref="AD7">_xll.EQNXTDZ($A$1,$B7,AD$1)</f>
        <v>1391.2249999999999</v>
      </c>
      <c r="AE7" s="116" cm="1">
        <f t="array" ref="AE7">_xll.EQNXTDZ($A$1,$B7,AE$1)</f>
        <v>1419.85</v>
      </c>
      <c r="AF7" s="116" cm="1">
        <f t="array" ref="AF7">_xll.EQNXTDZ($A$1,$B7,AF$1)</f>
        <v>1345.95</v>
      </c>
      <c r="AG7" s="116" cm="1">
        <f t="array" ref="AG7">_xll.EQNXTDZ($A$1,$B7,AG$1)</f>
        <v>1355.4749999999999</v>
      </c>
      <c r="AH7" s="116" cm="1">
        <f t="array" ref="AH7">_xll.EQNXTDZ($A$1,$B7,AH$1)</f>
        <v>1299.95</v>
      </c>
      <c r="AI7" s="116" cm="1">
        <f t="array" ref="AI7">_xll.EQNXTDZ($A$1,$B7,AI$1)</f>
        <v>1365</v>
      </c>
      <c r="AJ7" s="116" cm="1">
        <f t="array" ref="AJ7">_xll.EQNXTDZ($A$1,$B7,AJ$1)</f>
        <v>1406.05</v>
      </c>
      <c r="AK7" s="116" cm="1">
        <f t="array" ref="AK7">_xll.EQNXTDZ($A$1,$B7,AK$1)</f>
        <v>1356.95</v>
      </c>
      <c r="AL7" s="116" cm="1">
        <f t="array" ref="AL7">_xll.EQNXTDZ($A$1,$B7,AL$1)</f>
        <v>1324.3</v>
      </c>
      <c r="AM7" s="116" cm="1">
        <f t="array" ref="AM7">_xll.EQNXTDZ($A$1,$B7,AM$1)</f>
        <v>1323.55</v>
      </c>
      <c r="AN7" s="116" cm="1">
        <f t="array" ref="AN7">_xll.EQNXTDZ($A$1,$B7,AN$1)</f>
        <v>1323.45</v>
      </c>
      <c r="AO7" s="116" cm="1">
        <f t="array" ref="AO7">_xll.EQNXTDZ($A$1,$B7,AO$1)</f>
        <v>1376.425</v>
      </c>
      <c r="AP7" s="116" cm="1">
        <f t="array" ref="AP7">_xll.EQNXTDZ($A$1,$B7,AP$1)</f>
        <v>1321.85</v>
      </c>
      <c r="AQ7" s="116" cm="1">
        <f t="array" ref="AQ7">_xll.EQNXTDZ($A$1,$B7,AQ$1)</f>
        <v>1385</v>
      </c>
      <c r="AR7" s="116" cm="1">
        <f t="array" ref="AR7">_xll.EQNXTDZ($A$1,$B7,AR$1)</f>
        <v>1273.9000000000001</v>
      </c>
      <c r="AS7" s="116" cm="1">
        <f t="array" ref="AS7">_xll.EQNXTDZ($A$1,$B7,AS$1)</f>
        <v>1233.2</v>
      </c>
      <c r="AT7" s="116" cm="1">
        <f t="array" ref="AT7">_xll.EQNXTDZ($A$1,$B7,AT$1)</f>
        <v>1219.5</v>
      </c>
      <c r="AU7" s="116" cm="1">
        <f t="array" ref="AU7">_xll.EQNXTDZ($A$1,$B7,AU$1)</f>
        <v>1220</v>
      </c>
      <c r="AV7" s="116" cm="1">
        <f t="array" ref="AV7">_xll.EQNXTDZ($A$1,$B7,AV$1)</f>
        <v>1275</v>
      </c>
      <c r="AW7" s="116" cm="1">
        <f t="array" ref="AW7">_xll.EQNXTDZ($A$1,$B7,AW$1)</f>
        <v>1276.75</v>
      </c>
      <c r="AX7" s="116" cm="1">
        <f t="array" ref="AX7">_xll.EQNXTDZ($A$1,$B7,AX$1)</f>
        <v>1323.5</v>
      </c>
      <c r="AY7" s="116" cm="1">
        <f t="array" ref="AY7">_xll.EQNXTDZ($A$1,$B7,AY$1)</f>
        <v>1338.85</v>
      </c>
      <c r="AZ7" s="116" cm="1">
        <f t="array" ref="AZ7">_xll.EQNXTDZ($A$1,$B7,AZ$1)</f>
        <v>1317.45</v>
      </c>
      <c r="BA7" s="116" cm="1">
        <f t="array" ref="BA7">_xll.EQNXTDZ($A$1,$B7,BA$1)</f>
        <v>1372.4</v>
      </c>
      <c r="BB7" s="116" cm="1">
        <f t="array" ref="BB7">_xll.EQNXTDZ($A$1,$B7,BB$1)</f>
        <v>1267.4749999999999</v>
      </c>
      <c r="BC7" s="116" cm="1">
        <f t="array" ref="BC7">_xll.EQNXTDZ($A$1,$B7,BC$1)</f>
        <v>1228.825</v>
      </c>
      <c r="BD7" s="116" cm="1">
        <f t="array" ref="BD7">_xll.EQNXTDZ($A$1,$B7,BD$1)</f>
        <v>1199.8499999999999</v>
      </c>
      <c r="BE7" s="116" cm="1">
        <f t="array" ref="BE7">_xll.EQNXTDZ($A$1,$B7,BE$1)</f>
        <v>1189.3</v>
      </c>
      <c r="BF7" s="116" cm="1">
        <f t="array" ref="BF7">_xll.EQNXTDZ($A$1,$B7,BF$1)</f>
        <v>1194.9749999999999</v>
      </c>
      <c r="BG7" s="116" cm="1">
        <f t="array" ref="BG7">_xll.EQNXTDZ($A$1,$B7,BG$1)</f>
        <v>1277.5</v>
      </c>
      <c r="BH7" s="116" cm="1">
        <f t="array" ref="BH7">_xll.EQNXTDZ($A$1,$B7,BH$1)</f>
        <v>1293.575</v>
      </c>
      <c r="BI7" s="116" cm="1">
        <f t="array" ref="BI7">_xll.EQNXTDZ($A$1,$B7,BI$1)</f>
        <v>1224.5</v>
      </c>
      <c r="BJ7" s="116" cm="1">
        <f t="array" ref="BJ7">_xll.EQNXTDZ($A$1,$B7,BJ$1)</f>
        <v>1318.7750000000001</v>
      </c>
      <c r="BK7" s="116" cm="1">
        <f t="array" ref="BK7">_xll.EQNXTDZ($A$1,$B7,BK$1)</f>
        <v>1354.4749999999999</v>
      </c>
      <c r="BL7" s="116" cm="1">
        <f t="array" ref="BL7">_xll.EQNXTDZ($A$1,$B7,BL$1)</f>
        <v>1292.4000000000001</v>
      </c>
      <c r="BM7" s="116" cm="1">
        <f t="array" ref="BM7">_xll.EQNXTDZ($A$1,$B7,BM$1)</f>
        <v>1274.95</v>
      </c>
      <c r="BN7" s="116" cm="1">
        <f t="array" ref="BN7">_xll.EQNXTDZ($A$1,$B7,BN$1)</f>
        <v>1270.5</v>
      </c>
      <c r="BO7" s="116" cm="1">
        <f t="array" ref="BO7">_xll.EQNXTDZ($A$1,$B7,BO$1)</f>
        <v>1320</v>
      </c>
      <c r="BP7" s="116" cm="1">
        <f t="array" ref="BP7">_xll.EQNXTDZ($A$1,$B7,BP$1)</f>
        <v>1388.7</v>
      </c>
      <c r="BQ7" s="116" cm="1">
        <f t="array" ref="BQ7">_xll.EQNXTDZ($A$1,$B7,BQ$1)</f>
        <v>1354.45</v>
      </c>
      <c r="BR7" s="116" cm="1">
        <f t="array" ref="BR7">_xll.EQNXTDZ($A$1,$B7,BR$1)</f>
        <v>1629.5250000000001</v>
      </c>
      <c r="BS7" s="116" cm="1">
        <f t="array" ref="BS7">_xll.EQNXTDZ($A$1,$B7,BS$1)</f>
        <v>1595</v>
      </c>
      <c r="BT7" s="116" cm="1">
        <f t="array" ref="BT7">_xll.EQNXTDZ($A$1,$B7,BT$1)</f>
        <v>1563.5</v>
      </c>
      <c r="BU7" s="116" cm="1">
        <f t="array" ref="BU7">_xll.EQNXTDZ($A$1,$B7,BU$1)</f>
        <v>1780</v>
      </c>
      <c r="BV7" s="116" cm="1">
        <f t="array" ref="BV7">_xll.EQNXTDZ($A$1,$B7,BV$1)</f>
        <v>1837.4</v>
      </c>
      <c r="BW7" s="116" cm="1">
        <f t="array" ref="BW7">_xll.EQNXTDZ($A$1,$B7,BW$1)</f>
        <v>1885.15</v>
      </c>
      <c r="BX7" s="116" cm="1">
        <f t="array" ref="BX7">_xll.EQNXTDZ($A$1,$B7,BX$1)</f>
        <v>2015</v>
      </c>
      <c r="BY7" s="116" cm="1">
        <f t="array" ref="BY7">_xll.EQNXTDZ($A$1,$B7,BY$1)</f>
        <v>2092</v>
      </c>
      <c r="BZ7" s="116" cm="1">
        <f t="array" ref="BZ7">_xll.EQNXTDZ($A$1,$B7,BZ$1)</f>
        <v>2211.9</v>
      </c>
      <c r="CA7" s="116" cm="1">
        <f t="array" ref="CA7">_xll.EQNXTDZ($A$1,$B7,CA$1)</f>
        <v>2275.9499999999998</v>
      </c>
      <c r="CB7" s="116" cm="1">
        <f t="array" ref="CB7">_xll.EQNXTDZ($A$1,$B7,CB$1)</f>
        <v>1997</v>
      </c>
      <c r="CC7" s="116" cm="1">
        <f t="array" ref="CC7">_xll.EQNXTDZ($A$1,$B7,CC$1)</f>
        <v>2029.7</v>
      </c>
      <c r="CD7" s="116" cm="1">
        <f t="array" ref="CD7">_xll.EQNXTDZ($A$1,$B7,CD$1)</f>
        <v>2019.75</v>
      </c>
      <c r="CE7" s="116" cm="1">
        <f t="array" ref="CE7">_xll.EQNXTDZ($A$1,$B7,CE$1)</f>
        <v>2097.9499999999998</v>
      </c>
      <c r="CF7" s="116" cm="1">
        <f t="array" ref="CF7">_xll.EQNXTDZ($A$1,$B7,CF$1)</f>
        <v>2068.9499999999998</v>
      </c>
      <c r="CG7" s="116" cm="1">
        <f t="array" ref="CG7">_xll.EQNXTDZ($A$1,$B7,CG$1)</f>
        <v>2266.9499999999998</v>
      </c>
      <c r="CH7" s="116" cm="1">
        <f t="array" ref="CH7">_xll.EQNXTDZ($A$1,$B7,CH$1)</f>
        <v>2259.4</v>
      </c>
      <c r="CI7" s="116" cm="1">
        <f t="array" ref="CI7">_xll.EQNXTDZ($A$1,$B7,CI$1)</f>
        <v>2292.5</v>
      </c>
      <c r="CJ7" s="116" cm="1">
        <f t="array" ref="CJ7">_xll.EQNXTDZ($A$1,$B7,CJ$1)</f>
        <v>2258.8000000000002</v>
      </c>
      <c r="CK7" s="116" cm="1">
        <f t="array" ref="CK7">_xll.EQNXTDZ($A$1,$B7,CK$1)</f>
        <v>2282</v>
      </c>
      <c r="CL7" s="116" cm="1">
        <f t="array" ref="CL7">_xll.EQNXTDZ($A$1,$B7,CL$1)</f>
        <v>2296.1999999999998</v>
      </c>
      <c r="CM7" s="116" cm="1">
        <f t="array" ref="CM7">_xll.EQNXTDZ($A$1,$B7,CM$1)</f>
        <v>2284.9499999999998</v>
      </c>
      <c r="CN7" s="116" cm="1">
        <f t="array" ref="CN7">_xll.EQNXTDZ($A$1,$B7,CN$1)</f>
        <v>2275</v>
      </c>
      <c r="CO7" s="116" cm="1">
        <f t="array" ref="CO7">_xll.EQNXTDZ($A$1,$B7,CO$1)</f>
        <v>2246.6999999999998</v>
      </c>
      <c r="CP7" s="116" cm="1">
        <f t="array" ref="CP7">_xll.EQNXTDZ($A$1,$B7,CP$1)</f>
        <v>2260</v>
      </c>
      <c r="CQ7" s="116" cm="1">
        <f t="array" ref="CQ7">_xll.EQNXTDZ($A$1,$B7,CQ$1)</f>
        <v>2230</v>
      </c>
      <c r="CR7" s="116" cm="1">
        <f t="array" ref="CR7">_xll.EQNXTDZ($A$1,$B7,CR$1)</f>
        <v>2147.75</v>
      </c>
      <c r="CS7" s="116" cm="1">
        <f t="array" ref="CS7">_xll.EQNXTDZ($A$1,$B7,CS$1)</f>
        <v>2032</v>
      </c>
      <c r="CT7" s="116" cm="1">
        <f t="array" ref="CT7">_xll.EQNXTDZ($A$1,$B7,CT$1)</f>
        <v>2032</v>
      </c>
      <c r="CU7" s="116" cm="1">
        <f t="array" ref="CU7">_xll.EQNXTDZ($A$1,$B7,CU$1)</f>
        <v>2132</v>
      </c>
      <c r="CV7" s="116" cm="1">
        <f t="array" ref="CV7">_xll.EQNXTDZ($A$1,$B7,CV$1)</f>
        <v>2358</v>
      </c>
      <c r="CW7" s="116" cm="1">
        <f t="array" ref="CW7">_xll.EQNXTDZ($A$1,$B7,CW$1)</f>
        <v>2328</v>
      </c>
      <c r="CX7" s="116" cm="1">
        <f t="array" ref="CX7">_xll.EQNXTDZ($A$1,$B7,CX$1)</f>
        <v>2555</v>
      </c>
      <c r="CY7" s="116" cm="1">
        <f t="array" ref="CY7">_xll.EQNXTDZ($A$1,$B7,CY$1)</f>
        <v>2885</v>
      </c>
      <c r="CZ7" s="116" cm="1">
        <f t="array" ref="CZ7">_xll.EQNXTDZ($A$1,$B7,CZ$1)</f>
        <v>2744</v>
      </c>
      <c r="DA7" s="116" cm="1">
        <f t="array" ref="DA7">_xll.EQNXTDZ($A$1,$B7,DA$1)</f>
        <v>2952</v>
      </c>
      <c r="DB7" s="116" cm="1">
        <f t="array" ref="DB7">_xll.EQNXTDZ($A$1,$B7,DB$1)</f>
        <v>3339.8</v>
      </c>
      <c r="DC7" s="116" cm="1">
        <f t="array" ref="DC7">_xll.EQNXTDZ($A$1,$B7,DC$1)</f>
        <v>3245.8</v>
      </c>
      <c r="DD7" s="116" cm="1">
        <f t="array" ref="DD7">_xll.EQNXTDZ($A$1,$B7,DD$1)</f>
        <v>3205</v>
      </c>
      <c r="DE7" s="116" cm="1">
        <f t="array" ref="DE7">_xll.EQNXTDZ($A$1,$B7,DE$1)</f>
        <v>3354.35</v>
      </c>
      <c r="DF7" s="116" cm="1">
        <f t="array" ref="DF7">_xll.EQNXTDZ($A$1,$B7,DF$1)</f>
        <v>3217.75</v>
      </c>
      <c r="DG7" s="116" cm="1">
        <f t="array" ref="DG7">_xll.EQNXTDZ($A$1,$B7,DG$1)</f>
        <v>3399.65</v>
      </c>
      <c r="DH7" s="116" cm="1">
        <f t="array" ref="DH7">_xll.EQNXTDZ($A$1,$B7,DH$1)</f>
        <v>3374</v>
      </c>
      <c r="DI7" s="116" cm="1">
        <f t="array" ref="DI7">_xll.EQNXTDZ($A$1,$B7,DI$1)</f>
        <v>3804.1</v>
      </c>
      <c r="DJ7" s="116" cm="1">
        <f t="array" ref="DJ7">_xll.EQNXTDZ($A$1,$B7,DJ$1)</f>
        <v>3981.75</v>
      </c>
      <c r="DK7" s="116" cm="1">
        <f t="array" ref="DK7">_xll.EQNXTDZ($A$1,$B7,DK$1)</f>
        <v>3989.9</v>
      </c>
      <c r="DL7" s="116" cm="1">
        <f t="array" ref="DL7">_xll.EQNXTDZ($A$1,$B7,DL$1)</f>
        <v>3575.55</v>
      </c>
      <c r="DM7" s="116" cm="1">
        <f t="array" ref="DM7">_xll.EQNXTDZ($A$1,$B7,DM$1)</f>
        <v>3760</v>
      </c>
      <c r="DN7" s="116" cm="1">
        <f t="array" ref="DN7">_xll.EQNXTDZ($A$1,$B7,DN$1)</f>
        <v>4043</v>
      </c>
      <c r="DO7" s="116" cm="1">
        <f t="array" ref="DO7">_xll.EQNXTDZ($A$1,$B7,DO$1)</f>
        <v>3882.5</v>
      </c>
      <c r="DP7" s="116" cm="1">
        <f t="array" ref="DP7">_xll.EQNXTDZ($A$1,$B7,DP$1)</f>
        <v>3779.5</v>
      </c>
      <c r="DQ7" s="116" cm="1">
        <f t="array" ref="DQ7">_xll.EQNXTDZ($A$1,$B7,DQ$1)</f>
        <v>3835.6</v>
      </c>
      <c r="DR7" s="116" cm="1">
        <f t="array" ref="DR7">_xll.EQNXTDZ($A$1,$B7,DR$1)</f>
        <v>3547.95</v>
      </c>
      <c r="DS7" s="116" cm="1">
        <f t="array" ref="DS7">_xll.EQNXTDZ($A$1,$B7,DS$1)</f>
        <v>3477.3</v>
      </c>
      <c r="DT7" s="116" cm="1">
        <f t="array" ref="DT7">_xll.EQNXTDZ($A$1,$B7,DT$1)</f>
        <v>3333</v>
      </c>
      <c r="DU7" s="116" cm="1">
        <f t="array" ref="DU7">_xll.EQNXTDZ($A$1,$B7,DU$1)</f>
        <v>3428.7</v>
      </c>
      <c r="DV7" s="116" cm="1">
        <f t="array" ref="DV7">_xll.EQNXTDZ($A$1,$B7,DV$1)</f>
        <v>3269.8</v>
      </c>
      <c r="DW7" s="116" cm="1">
        <f t="array" ref="DW7">_xll.EQNXTDZ($A$1,$B7,DW$1)</f>
        <v>3199</v>
      </c>
      <c r="DX7" s="116" cm="1">
        <f t="array" ref="DX7">_xll.EQNXTDZ($A$1,$B7,DX$1)</f>
        <v>3429</v>
      </c>
      <c r="DY7" s="116" cm="1">
        <f t="array" ref="DY7">_xll.EQNXTDZ($A$1,$B7,DY$1)</f>
        <v>3480</v>
      </c>
      <c r="DZ7" s="116" cm="1">
        <f t="array" ref="DZ7">_xll.EQNXTDZ($A$1,$B7,DZ$1)</f>
        <v>3458.45</v>
      </c>
      <c r="EA7" s="116" cm="1">
        <f t="array" ref="EA7">_xll.EQNXTDZ($A$1,$B7,EA$1)</f>
        <v>3575</v>
      </c>
      <c r="EB7" s="116" cm="1">
        <f t="array" ref="EB7">_xll.EQNXTDZ($A$1,$B7,EB$1)</f>
        <v>3404.95</v>
      </c>
      <c r="EC7" s="116" cm="1">
        <f t="array" ref="EC7">_xll.EQNXTDZ($A$1,$B7,EC$1)</f>
        <v>3272.95</v>
      </c>
      <c r="ED7" s="116" cm="1">
        <f t="array" ref="ED7">_xll.EQNXTDZ($A$1,$B7,ED$1)</f>
        <v>3372</v>
      </c>
      <c r="EE7" s="116" cm="1">
        <f t="array" ref="EE7">_xll.EQNXTDZ($A$1,$B7,EE$1)</f>
        <v>3340</v>
      </c>
      <c r="EF7" s="116" cm="1">
        <f t="array" ref="EF7">_xll.EQNXTDZ($A$1,$B7,EF$1)</f>
        <v>3549.9</v>
      </c>
      <c r="EG7" s="116" cm="1">
        <f t="array" ref="EG7">_xll.EQNXTDZ($A$1,$B7,EG$1)</f>
        <v>3489.95</v>
      </c>
      <c r="EH7" s="116" cm="1">
        <f t="array" ref="EH7">_xll.EQNXTDZ($A$1,$B7,EH$1)</f>
        <v>3633.75</v>
      </c>
      <c r="EI7" s="116" cm="1">
        <f t="array" ref="EI7">_xll.EQNXTDZ($A$1,$B7,EI$1)</f>
        <v>3679</v>
      </c>
      <c r="EJ7" s="116" cm="1">
        <f t="array" ref="EJ7">_xll.EQNXTDZ($A$1,$B7,EJ$1)</f>
        <v>3544</v>
      </c>
      <c r="EK7" s="116" cm="1">
        <f t="array" ref="EK7">_xll.EQNXTDZ($A$1,$B7,EK$1)</f>
        <v>3929</v>
      </c>
      <c r="EL7" s="116" cm="1">
        <f t="array" ref="EL7">_xll.EQNXTDZ($A$1,$B7,EL$1)</f>
        <v>3965</v>
      </c>
      <c r="EM7" s="116" cm="1">
        <f t="array" ref="EM7">_xll.EQNXTDZ($A$1,$B7,EM$1)</f>
        <v>4184.75</v>
      </c>
      <c r="EN7" s="116" cm="1">
        <f t="array" ref="EN7">_xll.EQNXTDZ($A$1,$B7,EN$1)</f>
        <v>4254.75</v>
      </c>
      <c r="EO7" s="116" cm="1">
        <f t="array" ref="EO7">_xll.EQNXTDZ($A$1,$B7,EO$1)</f>
        <v>4064.2</v>
      </c>
      <c r="EP7" s="116" cm="1">
        <f t="array" ref="EP7">_xll.EQNXTDZ($A$1,$B7,EP$1)</f>
        <v>3988</v>
      </c>
      <c r="EQ7" s="116" cm="1">
        <f t="array" ref="EQ7">_xll.EQNXTDZ($A$1,$B7,EQ$1)</f>
        <v>3960</v>
      </c>
      <c r="ER7" s="116" cm="1">
        <f t="array" ref="ER7">_xll.EQNXTDZ($A$1,$B7,ER$1)</f>
        <v>4431</v>
      </c>
      <c r="ES7" s="116" cm="1">
        <f t="array" ref="ES7">_xll.EQNXTDZ($A$1,$B7,ES$1)</f>
        <v>4592.25</v>
      </c>
      <c r="ET7" s="116" cm="1">
        <f t="array" ref="ET7">_xll.EQNXTDZ($A$1,$B7,ET$1)</f>
        <v>4588</v>
      </c>
      <c r="EU7" s="116" cm="1">
        <f t="array" ref="EU7">_xll.EQNXTDZ($A$1,$B7,EU$1)</f>
        <v>4298</v>
      </c>
      <c r="EV7" s="116" cm="1">
        <f t="array" ref="EV7">_xll.EQNXTDZ($A$1,$B7,EV$1)</f>
        <v>4377.3999999999996</v>
      </c>
      <c r="EW7" s="116" cm="1">
        <f t="array" ref="EW7">_xll.EQNXTDZ($A$1,$B7,EW$1)</f>
        <v>4494.8999999999996</v>
      </c>
      <c r="EX7" s="116" cm="1">
        <f t="array" ref="EX7">_xll.EQNXTDZ($A$1,$B7,EX$1)</f>
        <v>4322.95</v>
      </c>
      <c r="EY7" s="116" cm="1">
        <f t="array" ref="EY7">_xll.EQNXTDZ($A$1,$B7,EY$1)</f>
        <v>4150</v>
      </c>
      <c r="EZ7" s="116" cm="1">
        <f t="array" ref="EZ7">_xll.EQNXTDZ($A$1,$B7,EZ$1)</f>
        <v>3710</v>
      </c>
      <c r="FA7" s="116" cm="1">
        <f t="array" ref="FA7">_xll.EQNXTDZ($A$1,$B7,FA$1)</f>
        <v>3584</v>
      </c>
      <c r="FB7" s="116" cm="1">
        <f t="array" ref="FB7">_xll.EQNXTDZ($A$1,$B7,FB$1)</f>
        <v>3630.5</v>
      </c>
      <c r="FC7" s="116" cm="1">
        <f t="array" ref="FC7">_xll.EQNXTDZ($A$1,$B7,FC$1)</f>
        <v>3538</v>
      </c>
      <c r="FD7" s="116" cm="1">
        <f t="array" ref="FD7">_xll.EQNXTDZ($A$1,$B7,FD$1)</f>
        <v>3489.9</v>
      </c>
      <c r="FE7" s="116" cm="1">
        <f t="array" ref="FE7">_xll.EQNXTDZ($A$1,$B7,FE$1)</f>
        <v>3162</v>
      </c>
      <c r="FF7" s="116" cm="1">
        <f t="array" ref="FF7">_xll.EQNXTDZ($A$1,$B7,FF$1)</f>
        <v>3203</v>
      </c>
      <c r="FG7" s="116" cm="1">
        <f t="array" ref="FG7">_xll.EQNXTDZ($A$1,$B7,FG$1)</f>
        <v>3098</v>
      </c>
      <c r="FH7" s="116" cm="1">
        <f t="array" ref="FH7">_xll.EQNXTDZ($A$1,$B7,FH$1)</f>
        <v>3180</v>
      </c>
      <c r="FI7" s="116" cm="1">
        <f t="array" ref="FI7">_xll.EQNXTDZ($A$1,$B7,FI$1)</f>
        <v>3328.6</v>
      </c>
      <c r="FJ7" s="116" cm="1">
        <f t="array" ref="FJ7">_xll.EQNXTDZ($A$1,$B7,FJ$1)</f>
        <v>3300.6</v>
      </c>
      <c r="FK7" s="116" cm="1">
        <f t="array" ref="FK7">_xll.EQNXTDZ($A$1,$B7,FK$1)</f>
        <v>3350</v>
      </c>
      <c r="FL7" s="116" cm="1">
        <f t="array" ref="FL7">_xll.EQNXTDZ($A$1,$B7,FL$1)</f>
        <v>2635</v>
      </c>
      <c r="FM7" s="116" cm="1">
        <f t="array" ref="FM7">_xll.EQNXTDZ($A$1,$B7,FM$1)</f>
        <v>2614</v>
      </c>
      <c r="FN7" s="116" cm="1">
        <f t="array" ref="FN7">_xll.EQNXTDZ($A$1,$B7,FN$1)</f>
        <v>2498.3000000000002</v>
      </c>
      <c r="FO7" s="116" cm="1">
        <f t="array" ref="FO7">_xll.EQNXTDZ($A$1,$B7,FO$1)</f>
        <v>2457.4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719.9</v>
      </c>
      <c r="HQ7" s="116">
        <f>+MAX(G7:I7)</f>
        <v>674</v>
      </c>
      <c r="HR7" s="116">
        <f>+MAX(J7:L7)</f>
        <v>798.8</v>
      </c>
      <c r="HS7" s="116">
        <f>+MAX(M7:O7)</f>
        <v>787.5</v>
      </c>
      <c r="HT7" s="116">
        <f>+MAX(P7:R7)</f>
        <v>1039.4000000000001</v>
      </c>
      <c r="HU7" s="116">
        <f>+MAX(S7:U7)</f>
        <v>1129.425</v>
      </c>
      <c r="HV7" s="116">
        <f>+MAX(V7:X7)</f>
        <v>1192.4000000000001</v>
      </c>
      <c r="HW7" s="116">
        <f>+MAX(Y7:AA7)</f>
        <v>1217.5</v>
      </c>
      <c r="HX7" s="116">
        <f>+MAX(AB7:AD7)</f>
        <v>1391.2249999999999</v>
      </c>
      <c r="HY7" s="116">
        <f>+MAX(AE7:AG7)</f>
        <v>1419.85</v>
      </c>
      <c r="HZ7" s="116">
        <f>+MAX(AH7:AJ7)</f>
        <v>1406.05</v>
      </c>
      <c r="IA7" s="116">
        <f>+MAX(AK7:AM7)</f>
        <v>1356.95</v>
      </c>
      <c r="IB7" s="116">
        <f>+MAX(AN7:AP7)</f>
        <v>1376.425</v>
      </c>
      <c r="IC7" s="116">
        <f>+MAX(AQ7:AS7)</f>
        <v>1385</v>
      </c>
      <c r="ID7" s="116">
        <f>+MAX(AT7:AV7)</f>
        <v>1275</v>
      </c>
      <c r="IE7" s="116">
        <f>+MAX(AW7:AY7)</f>
        <v>1338.85</v>
      </c>
      <c r="IF7" s="116">
        <f>+MAX(AZ7:BB7)</f>
        <v>1372.4</v>
      </c>
      <c r="IG7" s="116">
        <f>+MAX(BC7:BE7)</f>
        <v>1228.825</v>
      </c>
      <c r="IH7" s="116">
        <f>+MAX(BF7:BH7)</f>
        <v>1293.575</v>
      </c>
      <c r="II7" s="116">
        <f>+MAX(BI7:BK7)</f>
        <v>1354.4749999999999</v>
      </c>
      <c r="IJ7" s="116">
        <f>+MAX(BL7:BN7)</f>
        <v>1292.4000000000001</v>
      </c>
      <c r="IK7" s="116">
        <f>+MAX(BO7:BQ7)</f>
        <v>1388.7</v>
      </c>
      <c r="IL7" s="116">
        <f>+MAX(BR7:BT7)</f>
        <v>1629.5250000000001</v>
      </c>
      <c r="IM7" s="116">
        <f>+MAX(BU7:BW7)</f>
        <v>1885.15</v>
      </c>
      <c r="IN7" s="116">
        <f>+MAX(BX7:BZ7)</f>
        <v>2211.9</v>
      </c>
      <c r="IO7" s="116">
        <f>+MAX(CA7:CC7)</f>
        <v>2275.9499999999998</v>
      </c>
      <c r="IP7" s="116">
        <f>+MAX(CD7:CF7)</f>
        <v>2097.9499999999998</v>
      </c>
      <c r="IQ7" s="116">
        <f>+MAX(CG7:CI7)</f>
        <v>2292.5</v>
      </c>
      <c r="IR7" s="116">
        <f>+MAX(CJ7:CL7)</f>
        <v>2296.1999999999998</v>
      </c>
      <c r="IS7" s="116">
        <f>+MAX(CM7:CO7)</f>
        <v>2284.9499999999998</v>
      </c>
      <c r="IT7" s="116">
        <f>+MAX(CP7:CR7)</f>
        <v>2260</v>
      </c>
      <c r="IU7" s="116">
        <f>+MAX(CS7:CU7)</f>
        <v>2132</v>
      </c>
      <c r="IV7" s="116">
        <f>+MAX(CV7:CX7)</f>
        <v>2555</v>
      </c>
      <c r="IW7" s="116">
        <f>+MAX(CY7:DA7)</f>
        <v>2952</v>
      </c>
      <c r="IX7" s="116">
        <f>+MAX(DB7:DD7)</f>
        <v>3339.8</v>
      </c>
      <c r="IY7" s="116">
        <f>+MAX(DE7:DG7)</f>
        <v>3399.65</v>
      </c>
      <c r="IZ7" s="116">
        <f>+MAX(DH7:DJ7)</f>
        <v>3981.75</v>
      </c>
      <c r="JA7" s="116">
        <f>+MAX(DK7:DM7)</f>
        <v>3989.9</v>
      </c>
      <c r="JB7" s="116">
        <f>+MAX(DN7:DP7)</f>
        <v>4043</v>
      </c>
      <c r="JC7" s="116">
        <f>+MAX(DQ7:DS7)</f>
        <v>3835.6</v>
      </c>
      <c r="JD7" s="116">
        <f>+MAX(DT7:DV7)</f>
        <v>3428.7</v>
      </c>
      <c r="JE7" s="116">
        <f>+MAX(DW7:DY7)</f>
        <v>3480</v>
      </c>
      <c r="JF7" s="116">
        <f>+MAX(DZ7:EB7)</f>
        <v>3575</v>
      </c>
      <c r="JG7" s="116">
        <f>+MAX(EC7:EE7)</f>
        <v>3372</v>
      </c>
      <c r="JH7" s="116">
        <f>+MAX(EF7:EH7)</f>
        <v>3633.75</v>
      </c>
      <c r="JI7" s="116">
        <f>+MAX(EI7:EK7)</f>
        <v>3929</v>
      </c>
      <c r="JJ7" s="116">
        <f>+MAX(EL7:EN7)</f>
        <v>4254.75</v>
      </c>
      <c r="JK7" s="116">
        <f>MAX(EO7:EQ7)</f>
        <v>4064.2</v>
      </c>
      <c r="JL7" s="116">
        <f>MAX(ER7:ET7)</f>
        <v>4592.25</v>
      </c>
      <c r="JM7" s="116">
        <f>MAX(EU7:EW7)</f>
        <v>4494.8999999999996</v>
      </c>
      <c r="JN7" s="116">
        <f>MAX(EX7:EZ7)</f>
        <v>4322.95</v>
      </c>
      <c r="JO7" s="116">
        <f>MAX(FA7:FC7)</f>
        <v>3630.5</v>
      </c>
      <c r="JP7" s="116">
        <f>MAX(FD7:FF7)</f>
        <v>3489.9</v>
      </c>
      <c r="JQ7" s="116">
        <f>MAX(FG7:FI7)</f>
        <v>3328.6</v>
      </c>
      <c r="JR7" s="116">
        <f>MAX(FJ7:FL7)</f>
        <v>3350</v>
      </c>
      <c r="JS7" s="116">
        <f>MAX(FM7:FO7)</f>
        <v>2614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598.1</v>
      </c>
      <c r="D8" s="116" cm="1">
        <f t="array" ref="D8">_xll.EQNXTDZ($A$1,$B8,D$1)</f>
        <v>587.6</v>
      </c>
      <c r="E8" s="116" cm="1">
        <f t="array" ref="E8">_xll.EQNXTDZ($A$1,$B8,E$1)</f>
        <v>609.04999999999995</v>
      </c>
      <c r="F8" s="116" cm="1">
        <f t="array" ref="F8">_xll.EQNXTDZ($A$1,$B8,F$1)</f>
        <v>630.54999999999995</v>
      </c>
      <c r="G8" s="116" cm="1">
        <f t="array" ref="G8">_xll.EQNXTDZ($A$1,$B8,G$1)</f>
        <v>527.5</v>
      </c>
      <c r="H8" s="116" cm="1">
        <f t="array" ref="H8">_xll.EQNXTDZ($A$1,$B8,H$1)</f>
        <v>628.02499999999998</v>
      </c>
      <c r="I8" s="116" cm="1">
        <f t="array" ref="I8">_xll.EQNXTDZ($A$1,$B8,I$1)</f>
        <v>598.5</v>
      </c>
      <c r="J8" s="116" cm="1">
        <f t="array" ref="J8">_xll.EQNXTDZ($A$1,$B8,J$1)</f>
        <v>627.65</v>
      </c>
      <c r="K8" s="116" cm="1">
        <f t="array" ref="K8">_xll.EQNXTDZ($A$1,$B8,K$1)</f>
        <v>671.07500000000005</v>
      </c>
      <c r="L8" s="116" cm="1">
        <f t="array" ref="L8">_xll.EQNXTDZ($A$1,$B8,L$1)</f>
        <v>745.5</v>
      </c>
      <c r="M8" s="116" cm="1">
        <f t="array" ref="M8">_xll.EQNXTDZ($A$1,$B8,M$1)</f>
        <v>682.5</v>
      </c>
      <c r="N8" s="116" cm="1">
        <f t="array" ref="N8">_xll.EQNXTDZ($A$1,$B8,N$1)</f>
        <v>686.75</v>
      </c>
      <c r="O8" s="116" cm="1">
        <f t="array" ref="O8">_xll.EQNXTDZ($A$1,$B8,O$1)</f>
        <v>690.35</v>
      </c>
      <c r="P8" s="116" cm="1">
        <f t="array" ref="P8">_xll.EQNXTDZ($A$1,$B8,P$1)</f>
        <v>732.5</v>
      </c>
      <c r="Q8" s="116" cm="1">
        <f t="array" ref="Q8">_xll.EQNXTDZ($A$1,$B8,Q$1)</f>
        <v>847.6</v>
      </c>
      <c r="R8" s="116" cm="1">
        <f t="array" ref="R8">_xll.EQNXTDZ($A$1,$B8,R$1)</f>
        <v>947.02499999999998</v>
      </c>
      <c r="S8" s="116" cm="1">
        <f t="array" ref="S8">_xll.EQNXTDZ($A$1,$B8,S$1)</f>
        <v>958.35</v>
      </c>
      <c r="T8" s="116" cm="1">
        <f t="array" ref="T8">_xll.EQNXTDZ($A$1,$B8,T$1)</f>
        <v>985</v>
      </c>
      <c r="U8" s="116" cm="1">
        <f t="array" ref="U8">_xll.EQNXTDZ($A$1,$B8,U$1)</f>
        <v>991.52499999999998</v>
      </c>
      <c r="V8" s="116" cm="1">
        <f t="array" ref="V8">_xll.EQNXTDZ($A$1,$B8,V$1)</f>
        <v>1073.625</v>
      </c>
      <c r="W8" s="116" cm="1">
        <f t="array" ref="W8">_xll.EQNXTDZ($A$1,$B8,W$1)</f>
        <v>1042.55</v>
      </c>
      <c r="X8" s="116" cm="1">
        <f t="array" ref="X8">_xll.EQNXTDZ($A$1,$B8,X$1)</f>
        <v>1005.7</v>
      </c>
      <c r="Y8" s="116" cm="1">
        <f t="array" ref="Y8">_xll.EQNXTDZ($A$1,$B8,Y$1)</f>
        <v>1050</v>
      </c>
      <c r="Z8" s="116" cm="1">
        <f t="array" ref="Z8">_xll.EQNXTDZ($A$1,$B8,Z$1)</f>
        <v>999.75</v>
      </c>
      <c r="AA8" s="116" cm="1">
        <f t="array" ref="AA8">_xll.EQNXTDZ($A$1,$B8,AA$1)</f>
        <v>1028</v>
      </c>
      <c r="AB8" s="116" cm="1">
        <f t="array" ref="AB8">_xll.EQNXTDZ($A$1,$B8,AB$1)</f>
        <v>1167.5</v>
      </c>
      <c r="AC8" s="116" cm="1">
        <f t="array" ref="AC8">_xll.EQNXTDZ($A$1,$B8,AC$1)</f>
        <v>1215</v>
      </c>
      <c r="AD8" s="116" cm="1">
        <f t="array" ref="AD8">_xll.EQNXTDZ($A$1,$B8,AD$1)</f>
        <v>1257.05</v>
      </c>
      <c r="AE8" s="116" cm="1">
        <f t="array" ref="AE8">_xll.EQNXTDZ($A$1,$B8,AE$1)</f>
        <v>1207.5</v>
      </c>
      <c r="AF8" s="116" cm="1">
        <f t="array" ref="AF8">_xll.EQNXTDZ($A$1,$B8,AF$1)</f>
        <v>1275.5</v>
      </c>
      <c r="AG8" s="116" cm="1">
        <f t="array" ref="AG8">_xll.EQNXTDZ($A$1,$B8,AG$1)</f>
        <v>1172.5</v>
      </c>
      <c r="AH8" s="116" cm="1">
        <f t="array" ref="AH8">_xll.EQNXTDZ($A$1,$B8,AH$1)</f>
        <v>1203.7249999999999</v>
      </c>
      <c r="AI8" s="116" cm="1">
        <f t="array" ref="AI8">_xll.EQNXTDZ($A$1,$B8,AI$1)</f>
        <v>1216.5</v>
      </c>
      <c r="AJ8" s="116" cm="1">
        <f t="array" ref="AJ8">_xll.EQNXTDZ($A$1,$B8,AJ$1)</f>
        <v>1250.5</v>
      </c>
      <c r="AK8" s="116" cm="1">
        <f t="array" ref="AK8">_xll.EQNXTDZ($A$1,$B8,AK$1)</f>
        <v>1200.5</v>
      </c>
      <c r="AL8" s="116" cm="1">
        <f t="array" ref="AL8">_xll.EQNXTDZ($A$1,$B8,AL$1)</f>
        <v>1226.8499999999999</v>
      </c>
      <c r="AM8" s="116" cm="1">
        <f t="array" ref="AM8">_xll.EQNXTDZ($A$1,$B8,AM$1)</f>
        <v>1238.4000000000001</v>
      </c>
      <c r="AN8" s="116" cm="1">
        <f t="array" ref="AN8">_xll.EQNXTDZ($A$1,$B8,AN$1)</f>
        <v>1227.5</v>
      </c>
      <c r="AO8" s="116" cm="1">
        <f t="array" ref="AO8">_xll.EQNXTDZ($A$1,$B8,AO$1)</f>
        <v>1243</v>
      </c>
      <c r="AP8" s="116" cm="1">
        <f t="array" ref="AP8">_xll.EQNXTDZ($A$1,$B8,AP$1)</f>
        <v>1245</v>
      </c>
      <c r="AQ8" s="116" cm="1">
        <f t="array" ref="AQ8">_xll.EQNXTDZ($A$1,$B8,AQ$1)</f>
        <v>1227.925</v>
      </c>
      <c r="AR8" s="116" cm="1">
        <f t="array" ref="AR8">_xll.EQNXTDZ($A$1,$B8,AR$1)</f>
        <v>1166.25</v>
      </c>
      <c r="AS8" s="116" cm="1">
        <f t="array" ref="AS8">_xll.EQNXTDZ($A$1,$B8,AS$1)</f>
        <v>1157.625</v>
      </c>
      <c r="AT8" s="116" cm="1">
        <f t="array" ref="AT8">_xll.EQNXTDZ($A$1,$B8,AT$1)</f>
        <v>1121.5</v>
      </c>
      <c r="AU8" s="116" cm="1">
        <f t="array" ref="AU8">_xll.EQNXTDZ($A$1,$B8,AU$1)</f>
        <v>1057.5</v>
      </c>
      <c r="AV8" s="116" cm="1">
        <f t="array" ref="AV8">_xll.EQNXTDZ($A$1,$B8,AV$1)</f>
        <v>1081</v>
      </c>
      <c r="AW8" s="116" cm="1">
        <f t="array" ref="AW8">_xll.EQNXTDZ($A$1,$B8,AW$1)</f>
        <v>1201.1500000000001</v>
      </c>
      <c r="AX8" s="116" cm="1">
        <f t="array" ref="AX8">_xll.EQNXTDZ($A$1,$B8,AX$1)</f>
        <v>1215.5</v>
      </c>
      <c r="AY8" s="116" cm="1">
        <f t="array" ref="AY8">_xll.EQNXTDZ($A$1,$B8,AY$1)</f>
        <v>1229.2</v>
      </c>
      <c r="AZ8" s="116" cm="1">
        <f t="array" ref="AZ8">_xll.EQNXTDZ($A$1,$B8,AZ$1)</f>
        <v>1201.75</v>
      </c>
      <c r="BA8" s="116" cm="1">
        <f t="array" ref="BA8">_xll.EQNXTDZ($A$1,$B8,BA$1)</f>
        <v>1233.375</v>
      </c>
      <c r="BB8" s="116" cm="1">
        <f t="array" ref="BB8">_xll.EQNXTDZ($A$1,$B8,BB$1)</f>
        <v>1142.375</v>
      </c>
      <c r="BC8" s="116" cm="1">
        <f t="array" ref="BC8">_xll.EQNXTDZ($A$1,$B8,BC$1)</f>
        <v>1145.5</v>
      </c>
      <c r="BD8" s="116" cm="1">
        <f t="array" ref="BD8">_xll.EQNXTDZ($A$1,$B8,BD$1)</f>
        <v>1025.95</v>
      </c>
      <c r="BE8" s="116" cm="1">
        <f t="array" ref="BE8">_xll.EQNXTDZ($A$1,$B8,BE$1)</f>
        <v>1072.825</v>
      </c>
      <c r="BF8" s="116" cm="1">
        <f t="array" ref="BF8">_xll.EQNXTDZ($A$1,$B8,BF$1)</f>
        <v>1100.0250000000001</v>
      </c>
      <c r="BG8" s="116" cm="1">
        <f t="array" ref="BG8">_xll.EQNXTDZ($A$1,$B8,BG$1)</f>
        <v>1076.5</v>
      </c>
      <c r="BH8" s="116" cm="1">
        <f t="array" ref="BH8">_xll.EQNXTDZ($A$1,$B8,BH$1)</f>
        <v>1203</v>
      </c>
      <c r="BI8" s="116" cm="1">
        <f t="array" ref="BI8">_xll.EQNXTDZ($A$1,$B8,BI$1)</f>
        <v>1126.4000000000001</v>
      </c>
      <c r="BJ8" s="116" cm="1">
        <f t="array" ref="BJ8">_xll.EQNXTDZ($A$1,$B8,BJ$1)</f>
        <v>1134.25</v>
      </c>
      <c r="BK8" s="116" cm="1">
        <f t="array" ref="BK8">_xll.EQNXTDZ($A$1,$B8,BK$1)</f>
        <v>1161.55</v>
      </c>
      <c r="BL8" s="116" cm="1">
        <f t="array" ref="BL8">_xll.EQNXTDZ($A$1,$B8,BL$1)</f>
        <v>1162.75</v>
      </c>
      <c r="BM8" s="116" cm="1">
        <f t="array" ref="BM8">_xll.EQNXTDZ($A$1,$B8,BM$1)</f>
        <v>1230.05</v>
      </c>
      <c r="BN8" s="116" cm="1">
        <f t="array" ref="BN8">_xll.EQNXTDZ($A$1,$B8,BN$1)</f>
        <v>1210.75</v>
      </c>
      <c r="BO8" s="116" cm="1">
        <f t="array" ref="BO8">_xll.EQNXTDZ($A$1,$B8,BO$1)</f>
        <v>1212.2</v>
      </c>
      <c r="BP8" s="116" cm="1">
        <f t="array" ref="BP8">_xll.EQNXTDZ($A$1,$B8,BP$1)</f>
        <v>1289.425</v>
      </c>
      <c r="BQ8" s="116" cm="1">
        <f t="array" ref="BQ8">_xll.EQNXTDZ($A$1,$B8,BQ$1)</f>
        <v>1247.175</v>
      </c>
      <c r="BR8" s="116" cm="1">
        <f t="array" ref="BR8">_xll.EQNXTDZ($A$1,$B8,BR$1)</f>
        <v>1310.0999999999999</v>
      </c>
      <c r="BS8" s="116" cm="1">
        <f t="array" ref="BS8">_xll.EQNXTDZ($A$1,$B8,BS$1)</f>
        <v>1446.25</v>
      </c>
      <c r="BT8" s="116" cm="1">
        <f t="array" ref="BT8">_xll.EQNXTDZ($A$1,$B8,BT$1)</f>
        <v>1390.7750000000001</v>
      </c>
      <c r="BU8" s="116" cm="1">
        <f t="array" ref="BU8">_xll.EQNXTDZ($A$1,$B8,BU$1)</f>
        <v>1420</v>
      </c>
      <c r="BV8" s="116" cm="1">
        <f t="array" ref="BV8">_xll.EQNXTDZ($A$1,$B8,BV$1)</f>
        <v>1698.35</v>
      </c>
      <c r="BW8" s="116" cm="1">
        <f t="array" ref="BW8">_xll.EQNXTDZ($A$1,$B8,BW$1)</f>
        <v>1711.15</v>
      </c>
      <c r="BX8" s="116" cm="1">
        <f t="array" ref="BX8">_xll.EQNXTDZ($A$1,$B8,BX$1)</f>
        <v>1841.1</v>
      </c>
      <c r="BY8" s="116" cm="1">
        <f t="array" ref="BY8">_xll.EQNXTDZ($A$1,$B8,BY$1)</f>
        <v>1945</v>
      </c>
      <c r="BZ8" s="116" cm="1">
        <f t="array" ref="BZ8">_xll.EQNXTDZ($A$1,$B8,BZ$1)</f>
        <v>2018.15</v>
      </c>
      <c r="CA8" s="116" cm="1">
        <f t="array" ref="CA8">_xll.EQNXTDZ($A$1,$B8,CA$1)</f>
        <v>1784.35</v>
      </c>
      <c r="CB8" s="116" cm="1">
        <f t="array" ref="CB8">_xll.EQNXTDZ($A$1,$B8,CB$1)</f>
        <v>1784.5</v>
      </c>
      <c r="CC8" s="116" cm="1">
        <f t="array" ref="CC8">_xll.EQNXTDZ($A$1,$B8,CC$1)</f>
        <v>1870.25</v>
      </c>
      <c r="CD8" s="116" cm="1">
        <f t="array" ref="CD8">_xll.EQNXTDZ($A$1,$B8,CD$1)</f>
        <v>1808</v>
      </c>
      <c r="CE8" s="116" cm="1">
        <f t="array" ref="CE8">_xll.EQNXTDZ($A$1,$B8,CE$1)</f>
        <v>1881.3</v>
      </c>
      <c r="CF8" s="116" cm="1">
        <f t="array" ref="CF8">_xll.EQNXTDZ($A$1,$B8,CF$1)</f>
        <v>1958.05</v>
      </c>
      <c r="CG8" s="116" cm="1">
        <f t="array" ref="CG8">_xll.EQNXTDZ($A$1,$B8,CG$1)</f>
        <v>2007</v>
      </c>
      <c r="CH8" s="116" cm="1">
        <f t="array" ref="CH8">_xll.EQNXTDZ($A$1,$B8,CH$1)</f>
        <v>2032.25</v>
      </c>
      <c r="CI8" s="116" cm="1">
        <f t="array" ref="CI8">_xll.EQNXTDZ($A$1,$B8,CI$1)</f>
        <v>2142.1</v>
      </c>
      <c r="CJ8" s="116" cm="1">
        <f t="array" ref="CJ8">_xll.EQNXTDZ($A$1,$B8,CJ$1)</f>
        <v>2060</v>
      </c>
      <c r="CK8" s="116" cm="1">
        <f t="array" ref="CK8">_xll.EQNXTDZ($A$1,$B8,CK$1)</f>
        <v>2143.25</v>
      </c>
      <c r="CL8" s="116" cm="1">
        <f t="array" ref="CL8">_xll.EQNXTDZ($A$1,$B8,CL$1)</f>
        <v>1975</v>
      </c>
      <c r="CM8" s="116" cm="1">
        <f t="array" ref="CM8">_xll.EQNXTDZ($A$1,$B8,CM$1)</f>
        <v>1925</v>
      </c>
      <c r="CN8" s="116" cm="1">
        <f t="array" ref="CN8">_xll.EQNXTDZ($A$1,$B8,CN$1)</f>
        <v>2035.05</v>
      </c>
      <c r="CO8" s="116" cm="1">
        <f t="array" ref="CO8">_xll.EQNXTDZ($A$1,$B8,CO$1)</f>
        <v>1984</v>
      </c>
      <c r="CP8" s="116" cm="1">
        <f t="array" ref="CP8">_xll.EQNXTDZ($A$1,$B8,CP$1)</f>
        <v>2071.6</v>
      </c>
      <c r="CQ8" s="116" cm="1">
        <f t="array" ref="CQ8">_xll.EQNXTDZ($A$1,$B8,CQ$1)</f>
        <v>1990</v>
      </c>
      <c r="CR8" s="116" cm="1">
        <f t="array" ref="CR8">_xll.EQNXTDZ($A$1,$B8,CR$1)</f>
        <v>1506.05</v>
      </c>
      <c r="CS8" s="116" cm="1">
        <f t="array" ref="CS8">_xll.EQNXTDZ($A$1,$B8,CS$1)</f>
        <v>1650</v>
      </c>
      <c r="CT8" s="116" cm="1">
        <f t="array" ref="CT8">_xll.EQNXTDZ($A$1,$B8,CT$1)</f>
        <v>1865.2</v>
      </c>
      <c r="CU8" s="116" cm="1">
        <f t="array" ref="CU8">_xll.EQNXTDZ($A$1,$B8,CU$1)</f>
        <v>1981.1</v>
      </c>
      <c r="CV8" s="116" cm="1">
        <f t="array" ref="CV8">_xll.EQNXTDZ($A$1,$B8,CV$1)</f>
        <v>2079.5</v>
      </c>
      <c r="CW8" s="116" cm="1">
        <f t="array" ref="CW8">_xll.EQNXTDZ($A$1,$B8,CW$1)</f>
        <v>2216.4499999999998</v>
      </c>
      <c r="CX8" s="116" cm="1">
        <f t="array" ref="CX8">_xll.EQNXTDZ($A$1,$B8,CX$1)</f>
        <v>2241.3000000000002</v>
      </c>
      <c r="CY8" s="116" cm="1">
        <f t="array" ref="CY8">_xll.EQNXTDZ($A$1,$B8,CY$1)</f>
        <v>2492.3000000000002</v>
      </c>
      <c r="CZ8" s="116" cm="1">
        <f t="array" ref="CZ8">_xll.EQNXTDZ($A$1,$B8,CZ$1)</f>
        <v>2600.0500000000002</v>
      </c>
      <c r="DA8" s="116" cm="1">
        <f t="array" ref="DA8">_xll.EQNXTDZ($A$1,$B8,DA$1)</f>
        <v>2624.45</v>
      </c>
      <c r="DB8" s="116" cm="1">
        <f t="array" ref="DB8">_xll.EQNXTDZ($A$1,$B8,DB$1)</f>
        <v>2879</v>
      </c>
      <c r="DC8" s="116" cm="1">
        <f t="array" ref="DC8">_xll.EQNXTDZ($A$1,$B8,DC$1)</f>
        <v>2880</v>
      </c>
      <c r="DD8" s="116" cm="1">
        <f t="array" ref="DD8">_xll.EQNXTDZ($A$1,$B8,DD$1)</f>
        <v>2901.8</v>
      </c>
      <c r="DE8" s="116" cm="1">
        <f t="array" ref="DE8">_xll.EQNXTDZ($A$1,$B8,DE$1)</f>
        <v>3020</v>
      </c>
      <c r="DF8" s="116" cm="1">
        <f t="array" ref="DF8">_xll.EQNXTDZ($A$1,$B8,DF$1)</f>
        <v>3004</v>
      </c>
      <c r="DG8" s="116" cm="1">
        <f t="array" ref="DG8">_xll.EQNXTDZ($A$1,$B8,DG$1)</f>
        <v>3115</v>
      </c>
      <c r="DH8" s="116" cm="1">
        <f t="array" ref="DH8">_xll.EQNXTDZ($A$1,$B8,DH$1)</f>
        <v>3132.4</v>
      </c>
      <c r="DI8" s="116" cm="1">
        <f t="array" ref="DI8">_xll.EQNXTDZ($A$1,$B8,DI$1)</f>
        <v>3167</v>
      </c>
      <c r="DJ8" s="116" cm="1">
        <f t="array" ref="DJ8">_xll.EQNXTDZ($A$1,$B8,DJ$1)</f>
        <v>3707</v>
      </c>
      <c r="DK8" s="116" cm="1">
        <f t="array" ref="DK8">_xll.EQNXTDZ($A$1,$B8,DK$1)</f>
        <v>3385.95</v>
      </c>
      <c r="DL8" s="116" cm="1">
        <f t="array" ref="DL8">_xll.EQNXTDZ($A$1,$B8,DL$1)</f>
        <v>3406.45</v>
      </c>
      <c r="DM8" s="116" cm="1">
        <f t="array" ref="DM8">_xll.EQNXTDZ($A$1,$B8,DM$1)</f>
        <v>3510.15</v>
      </c>
      <c r="DN8" s="116" cm="1">
        <f t="array" ref="DN8">_xll.EQNXTDZ($A$1,$B8,DN$1)</f>
        <v>3625.1</v>
      </c>
      <c r="DO8" s="116" cm="1">
        <f t="array" ref="DO8">_xll.EQNXTDZ($A$1,$B8,DO$1)</f>
        <v>3391.1</v>
      </c>
      <c r="DP8" s="116" cm="1">
        <f t="array" ref="DP8">_xll.EQNXTDZ($A$1,$B8,DP$1)</f>
        <v>3431.55</v>
      </c>
      <c r="DQ8" s="116" cm="1">
        <f t="array" ref="DQ8">_xll.EQNXTDZ($A$1,$B8,DQ$1)</f>
        <v>3439.15</v>
      </c>
      <c r="DR8" s="116" cm="1">
        <f t="array" ref="DR8">_xll.EQNXTDZ($A$1,$B8,DR$1)</f>
        <v>3154.05</v>
      </c>
      <c r="DS8" s="116" cm="1">
        <f t="array" ref="DS8">_xll.EQNXTDZ($A$1,$B8,DS$1)</f>
        <v>3023.85</v>
      </c>
      <c r="DT8" s="116" cm="1">
        <f t="array" ref="DT8">_xll.EQNXTDZ($A$1,$B8,DT$1)</f>
        <v>2953</v>
      </c>
      <c r="DU8" s="116" cm="1">
        <f t="array" ref="DU8">_xll.EQNXTDZ($A$1,$B8,DU$1)</f>
        <v>3081</v>
      </c>
      <c r="DV8" s="116" cm="1">
        <f t="array" ref="DV8">_xll.EQNXTDZ($A$1,$B8,DV$1)</f>
        <v>2926.1</v>
      </c>
      <c r="DW8" s="116" cm="1">
        <f t="array" ref="DW8">_xll.EQNXTDZ($A$1,$B8,DW$1)</f>
        <v>2974</v>
      </c>
      <c r="DX8" s="116" cm="1">
        <f t="array" ref="DX8">_xll.EQNXTDZ($A$1,$B8,DX$1)</f>
        <v>3166.15</v>
      </c>
      <c r="DY8" s="116" cm="1">
        <f t="array" ref="DY8">_xll.EQNXTDZ($A$1,$B8,DY$1)</f>
        <v>3163.65</v>
      </c>
      <c r="DZ8" s="116" cm="1">
        <f t="array" ref="DZ8">_xll.EQNXTDZ($A$1,$B8,DZ$1)</f>
        <v>3200</v>
      </c>
      <c r="EA8" s="116" cm="1">
        <f t="array" ref="EA8">_xll.EQNXTDZ($A$1,$B8,EA$1)</f>
        <v>3299.9</v>
      </c>
      <c r="EB8" s="116" cm="1">
        <f t="array" ref="EB8">_xll.EQNXTDZ($A$1,$B8,EB$1)</f>
        <v>3095.05</v>
      </c>
      <c r="EC8" s="116" cm="1">
        <f t="array" ref="EC8">_xll.EQNXTDZ($A$1,$B8,EC$1)</f>
        <v>3070.25</v>
      </c>
      <c r="ED8" s="116" cm="1">
        <f t="array" ref="ED8">_xll.EQNXTDZ($A$1,$B8,ED$1)</f>
        <v>3173.15</v>
      </c>
      <c r="EE8" s="116" cm="1">
        <f t="array" ref="EE8">_xll.EQNXTDZ($A$1,$B8,EE$1)</f>
        <v>3156</v>
      </c>
      <c r="EF8" s="116" cm="1">
        <f t="array" ref="EF8">_xll.EQNXTDZ($A$1,$B8,EF$1)</f>
        <v>3250.1</v>
      </c>
      <c r="EG8" s="116" cm="1">
        <f t="array" ref="EG8">_xll.EQNXTDZ($A$1,$B8,EG$1)</f>
        <v>3343.65</v>
      </c>
      <c r="EH8" s="116" cm="1">
        <f t="array" ref="EH8">_xll.EQNXTDZ($A$1,$B8,EH$1)</f>
        <v>3356.8</v>
      </c>
      <c r="EI8" s="116" cm="1">
        <f t="array" ref="EI8">_xll.EQNXTDZ($A$1,$B8,EI$1)</f>
        <v>3330</v>
      </c>
      <c r="EJ8" s="116" cm="1">
        <f t="array" ref="EJ8">_xll.EQNXTDZ($A$1,$B8,EJ$1)</f>
        <v>3311</v>
      </c>
      <c r="EK8" s="116" cm="1">
        <f t="array" ref="EK8">_xll.EQNXTDZ($A$1,$B8,EK$1)</f>
        <v>3490.05</v>
      </c>
      <c r="EL8" s="116" cm="1">
        <f t="array" ref="EL8">_xll.EQNXTDZ($A$1,$B8,EL$1)</f>
        <v>3651</v>
      </c>
      <c r="EM8" s="116" cm="1">
        <f t="array" ref="EM8">_xll.EQNXTDZ($A$1,$B8,EM$1)</f>
        <v>3805.05</v>
      </c>
      <c r="EN8" s="116" cm="1">
        <f t="array" ref="EN8">_xll.EQNXTDZ($A$1,$B8,EN$1)</f>
        <v>3829.4</v>
      </c>
      <c r="EO8" s="116" cm="1">
        <f t="array" ref="EO8">_xll.EQNXTDZ($A$1,$B8,EO$1)</f>
        <v>3800.9</v>
      </c>
      <c r="EP8" s="116" cm="1">
        <f t="array" ref="EP8">_xll.EQNXTDZ($A$1,$B8,EP$1)</f>
        <v>3653.75</v>
      </c>
      <c r="EQ8" s="116" cm="1">
        <f t="array" ref="EQ8">_xll.EQNXTDZ($A$1,$B8,EQ$1)</f>
        <v>3591.5</v>
      </c>
      <c r="ER8" s="116" cm="1">
        <f t="array" ref="ER8">_xll.EQNXTDZ($A$1,$B8,ER$1)</f>
        <v>3884</v>
      </c>
      <c r="ES8" s="116" cm="1">
        <f t="array" ref="ES8">_xll.EQNXTDZ($A$1,$B8,ES$1)</f>
        <v>4110.5</v>
      </c>
      <c r="ET8" s="116" cm="1">
        <f t="array" ref="ET8">_xll.EQNXTDZ($A$1,$B8,ET$1)</f>
        <v>4227.5</v>
      </c>
      <c r="EU8" s="116" cm="1">
        <f t="array" ref="EU8">_xll.EQNXTDZ($A$1,$B8,EU$1)</f>
        <v>3960</v>
      </c>
      <c r="EV8" s="116" cm="1">
        <f t="array" ref="EV8">_xll.EQNXTDZ($A$1,$B8,EV$1)</f>
        <v>3913.25</v>
      </c>
      <c r="EW8" s="116" cm="1">
        <f t="array" ref="EW8">_xll.EQNXTDZ($A$1,$B8,EW$1)</f>
        <v>4032.05</v>
      </c>
      <c r="EX8" s="116" cm="1">
        <f t="array" ref="EX8">_xll.EQNXTDZ($A$1,$B8,EX$1)</f>
        <v>4011.55</v>
      </c>
      <c r="EY8" s="116" cm="1">
        <f t="array" ref="EY8">_xll.EQNXTDZ($A$1,$B8,EY$1)</f>
        <v>3457</v>
      </c>
      <c r="EZ8" s="116" cm="1">
        <f t="array" ref="EZ8">_xll.EQNXTDZ($A$1,$B8,EZ$1)</f>
        <v>3462.75</v>
      </c>
      <c r="FA8" s="116" cm="1">
        <f t="array" ref="FA8">_xll.EQNXTDZ($A$1,$B8,FA$1)</f>
        <v>3056.05</v>
      </c>
      <c r="FB8" s="116" cm="1">
        <f t="array" ref="FB8">_xll.EQNXTDZ($A$1,$B8,FB$1)</f>
        <v>3398.1</v>
      </c>
      <c r="FC8" s="116" cm="1">
        <f t="array" ref="FC8">_xll.EQNXTDZ($A$1,$B8,FC$1)</f>
        <v>3358.7</v>
      </c>
      <c r="FD8" s="116" cm="1">
        <f t="array" ref="FD8">_xll.EQNXTDZ($A$1,$B8,FD$1)</f>
        <v>3015</v>
      </c>
      <c r="FE8" s="116" cm="1">
        <f t="array" ref="FE8">_xll.EQNXTDZ($A$1,$B8,FE$1)</f>
        <v>2991.6</v>
      </c>
      <c r="FF8" s="116" cm="1">
        <f t="array" ref="FF8">_xll.EQNXTDZ($A$1,$B8,FF$1)</f>
        <v>2885.1</v>
      </c>
      <c r="FG8" s="116" cm="1">
        <f t="array" ref="FG8">_xll.EQNXTDZ($A$1,$B8,FG$1)</f>
        <v>2866.6</v>
      </c>
      <c r="FH8" s="116" cm="1">
        <f t="array" ref="FH8">_xll.EQNXTDZ($A$1,$B8,FH$1)</f>
        <v>2960.5</v>
      </c>
      <c r="FI8" s="116" cm="1">
        <f t="array" ref="FI8">_xll.EQNXTDZ($A$1,$B8,FI$1)</f>
        <v>3120.4</v>
      </c>
      <c r="FJ8" s="116" cm="1">
        <f t="array" ref="FJ8">_xll.EQNXTDZ($A$1,$B8,FJ$1)</f>
        <v>3082</v>
      </c>
      <c r="FK8" s="116" cm="1">
        <f t="array" ref="FK8">_xll.EQNXTDZ($A$1,$B8,FK$1)</f>
        <v>2561.3000000000002</v>
      </c>
      <c r="FL8" s="116" cm="1">
        <f t="array" ref="FL8">_xll.EQNXTDZ($A$1,$B8,FL$1)</f>
        <v>2346.1999999999998</v>
      </c>
      <c r="FM8" s="116" cm="1">
        <f t="array" ref="FM8">_xll.EQNXTDZ($A$1,$B8,FM$1)</f>
        <v>2375.6999999999998</v>
      </c>
      <c r="FN8" s="116" cm="1">
        <f t="array" ref="FN8">_xll.EQNXTDZ($A$1,$B8,FN$1)</f>
        <v>2206.4</v>
      </c>
      <c r="FO8" s="116" cm="1">
        <f t="array" ref="FO8">_xll.EQNXTDZ($A$1,$B8,FO$1)</f>
        <v>2110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587.6</v>
      </c>
      <c r="HQ8" s="116">
        <f>+MIN(G8:I8)</f>
        <v>527.5</v>
      </c>
      <c r="HR8" s="116">
        <f>+MIN(J8:L8)</f>
        <v>627.65</v>
      </c>
      <c r="HS8" s="116">
        <f>+MIN(M8:O8)</f>
        <v>682.5</v>
      </c>
      <c r="HT8" s="116">
        <f>+MIN(P8:R8)</f>
        <v>732.5</v>
      </c>
      <c r="HU8" s="116">
        <f>+MIN(S8:U8)</f>
        <v>958.35</v>
      </c>
      <c r="HV8" s="116">
        <f>+MIN(V8:X8)</f>
        <v>1005.7</v>
      </c>
      <c r="HW8" s="116">
        <f>+MIN(Y8:AA8)</f>
        <v>999.75</v>
      </c>
      <c r="HX8" s="116">
        <f>+MIN(AB8:AD8)</f>
        <v>1167.5</v>
      </c>
      <c r="HY8" s="116">
        <f>+MIN(AE8:AG8)</f>
        <v>1172.5</v>
      </c>
      <c r="HZ8" s="116">
        <f>+MIN(AH8:AJ8)</f>
        <v>1203.7249999999999</v>
      </c>
      <c r="IA8" s="116">
        <f>+MIN(AK8:AM8)</f>
        <v>1200.5</v>
      </c>
      <c r="IB8" s="116">
        <f>+MIN(AN8:AP8)</f>
        <v>1227.5</v>
      </c>
      <c r="IC8" s="116">
        <f>+MIN(AQ8:AS8)</f>
        <v>1157.625</v>
      </c>
      <c r="ID8" s="116">
        <f>+MIN(AT8:AV8)</f>
        <v>1057.5</v>
      </c>
      <c r="IE8" s="116">
        <f>+MIN(AW8:AY8)</f>
        <v>1201.1500000000001</v>
      </c>
      <c r="IF8" s="116">
        <f>+MIN(AZ8:BB8)</f>
        <v>1142.375</v>
      </c>
      <c r="IG8" s="116">
        <f>+MIN(BC8:BE8)</f>
        <v>1025.95</v>
      </c>
      <c r="IH8" s="116">
        <f>+MIN(BF8:BH8)</f>
        <v>1076.5</v>
      </c>
      <c r="II8" s="116">
        <f>+MIN(BI8:BK8)</f>
        <v>1126.4000000000001</v>
      </c>
      <c r="IJ8" s="116">
        <f>+MIN(BL8:BN8)</f>
        <v>1162.75</v>
      </c>
      <c r="IK8" s="116">
        <f>+MIN(BO8:BQ8)</f>
        <v>1212.2</v>
      </c>
      <c r="IL8" s="116">
        <f>+MIN(BR8:BT8)</f>
        <v>1310.0999999999999</v>
      </c>
      <c r="IM8" s="116">
        <f>+MIN(BU8:BW8)</f>
        <v>1420</v>
      </c>
      <c r="IN8" s="116">
        <f>+MIN(BX8:BZ8)</f>
        <v>1841.1</v>
      </c>
      <c r="IO8" s="116">
        <f>+MIN(CA8:CC8)</f>
        <v>1784.35</v>
      </c>
      <c r="IP8" s="116">
        <f>+MIN(CD8:CF8)</f>
        <v>1808</v>
      </c>
      <c r="IQ8" s="116">
        <f>+MIN(CG8:CI8)</f>
        <v>2007</v>
      </c>
      <c r="IR8" s="116">
        <f>+MIN(CJ8:CL8)</f>
        <v>1975</v>
      </c>
      <c r="IS8" s="116">
        <f>+MIN(CM8:CO8)</f>
        <v>1925</v>
      </c>
      <c r="IT8" s="116">
        <f>+MIN(CP8:CR8)</f>
        <v>1506.05</v>
      </c>
      <c r="IU8" s="116">
        <f>+MIN(CS8:CU8)</f>
        <v>1650</v>
      </c>
      <c r="IV8" s="116">
        <f>+MIN(CV8:CX8)</f>
        <v>2079.5</v>
      </c>
      <c r="IW8" s="116">
        <f>+MIN(CY8:DA8)</f>
        <v>2492.3000000000002</v>
      </c>
      <c r="IX8" s="116">
        <f>+MIN(DB8:DD8)</f>
        <v>2879</v>
      </c>
      <c r="IY8" s="116">
        <f>+MIN(DE8:DG8)</f>
        <v>3004</v>
      </c>
      <c r="IZ8" s="116">
        <f>+MIN(DH8:DJ8)</f>
        <v>3132.4</v>
      </c>
      <c r="JA8" s="116">
        <f>+MIN(DK8:DM8)</f>
        <v>3385.95</v>
      </c>
      <c r="JB8" s="116">
        <f>+MIN(DN8:DP8)</f>
        <v>3391.1</v>
      </c>
      <c r="JC8" s="116">
        <f>+MIN(DQ8:DS8)</f>
        <v>3023.85</v>
      </c>
      <c r="JD8" s="116">
        <f>+MIN(DT8:DV8)</f>
        <v>2926.1</v>
      </c>
      <c r="JE8" s="116">
        <f>+MIN(DW8:DY8)</f>
        <v>2974</v>
      </c>
      <c r="JF8" s="116">
        <f>+MIN(DZ8:EB8)</f>
        <v>3095.05</v>
      </c>
      <c r="JG8" s="116">
        <f>+MIN(EC8:EE8)</f>
        <v>3070.25</v>
      </c>
      <c r="JH8" s="116">
        <f>+MIN(EF8:EH8)</f>
        <v>3250.1</v>
      </c>
      <c r="JI8" s="116">
        <f>+MIN(EI8:EK8)</f>
        <v>3311</v>
      </c>
      <c r="JJ8" s="116">
        <f>+MIN(EL8:EN8)</f>
        <v>3651</v>
      </c>
      <c r="JK8" s="116">
        <f>MIN(EO8:EQ8)</f>
        <v>3591.5</v>
      </c>
      <c r="JL8" s="116">
        <f>MIN(ER8:ET8)</f>
        <v>3884</v>
      </c>
      <c r="JM8" s="116">
        <f>MIN(EU8:EW8)</f>
        <v>3913.25</v>
      </c>
      <c r="JN8" s="116">
        <f>MIN(EX8:EZ8)</f>
        <v>3457</v>
      </c>
      <c r="JO8" s="116">
        <f>MIN(FA8:FC8)</f>
        <v>3056.05</v>
      </c>
      <c r="JP8" s="116">
        <f>MIN(FD8:FF8)</f>
        <v>2885.1</v>
      </c>
      <c r="JQ8" s="116">
        <f>MIN(FG8:FI8)</f>
        <v>2866.6</v>
      </c>
      <c r="JR8" s="116">
        <f>MIN(FJ8:FL8)</f>
        <v>2346.1999999999998</v>
      </c>
      <c r="JS8" s="116">
        <f>MIN(FM8:FO8)</f>
        <v>2110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638.72500000000002</v>
      </c>
      <c r="D9" s="116" cm="1">
        <f t="array" ref="D9">_xll.EQNXTDZ($A$1,$B9,D$1)</f>
        <v>621.82500000000005</v>
      </c>
      <c r="E9" s="116" cm="1">
        <f t="array" ref="E9">_xll.EQNXTDZ($A$1,$B9,E$1)</f>
        <v>671.875</v>
      </c>
      <c r="F9" s="116" cm="1">
        <f t="array" ref="F9">_xll.EQNXTDZ($A$1,$B9,F$1)</f>
        <v>647.95000000000005</v>
      </c>
      <c r="G9" s="116" cm="1">
        <f t="array" ref="G9">_xll.EQNXTDZ($A$1,$B9,G$1)</f>
        <v>657.75</v>
      </c>
      <c r="H9" s="116" cm="1">
        <f t="array" ref="H9">_xll.EQNXTDZ($A$1,$B9,H$1)</f>
        <v>657</v>
      </c>
      <c r="I9" s="116" cm="1">
        <f t="array" ref="I9">_xll.EQNXTDZ($A$1,$B9,I$1)</f>
        <v>627.92499999999995</v>
      </c>
      <c r="J9" s="116" cm="1">
        <f t="array" ref="J9">_xll.EQNXTDZ($A$1,$B9,J$1)</f>
        <v>672.07500000000005</v>
      </c>
      <c r="K9" s="116" cm="1">
        <f t="array" ref="K9">_xll.EQNXTDZ($A$1,$B9,K$1)</f>
        <v>758.5</v>
      </c>
      <c r="L9" s="116" cm="1">
        <f t="array" ref="L9">_xll.EQNXTDZ($A$1,$B9,L$1)</f>
        <v>787.875</v>
      </c>
      <c r="M9" s="116" cm="1">
        <f t="array" ref="M9">_xll.EQNXTDZ($A$1,$B9,M$1)</f>
        <v>689.2</v>
      </c>
      <c r="N9" s="116" cm="1">
        <f t="array" ref="N9">_xll.EQNXTDZ($A$1,$B9,N$1)</f>
        <v>749.22500000000002</v>
      </c>
      <c r="O9" s="116" cm="1">
        <f t="array" ref="O9">_xll.EQNXTDZ($A$1,$B9,O$1)</f>
        <v>759.07500000000005</v>
      </c>
      <c r="P9" s="116" cm="1">
        <f t="array" ref="P9">_xll.EQNXTDZ($A$1,$B9,P$1)</f>
        <v>907.75</v>
      </c>
      <c r="Q9" s="116" cm="1">
        <f t="array" ref="Q9">_xll.EQNXTDZ($A$1,$B9,Q$1)</f>
        <v>1016.6</v>
      </c>
      <c r="R9" s="116" cm="1">
        <f t="array" ref="R9">_xll.EQNXTDZ($A$1,$B9,R$1)</f>
        <v>963.9</v>
      </c>
      <c r="S9" s="116" cm="1">
        <f t="array" ref="S9">_xll.EQNXTDZ($A$1,$B9,S$1)</f>
        <v>1056.0250000000001</v>
      </c>
      <c r="T9" s="116" cm="1">
        <f t="array" ref="T9">_xll.EQNXTDZ($A$1,$B9,T$1)</f>
        <v>1002.175</v>
      </c>
      <c r="U9" s="116" cm="1">
        <f t="array" ref="U9">_xll.EQNXTDZ($A$1,$B9,U$1)</f>
        <v>1086.0250000000001</v>
      </c>
      <c r="V9" s="116" cm="1">
        <f t="array" ref="V9">_xll.EQNXTDZ($A$1,$B9,V$1)</f>
        <v>1120.5250000000001</v>
      </c>
      <c r="W9" s="116" cm="1">
        <f t="array" ref="W9">_xll.EQNXTDZ($A$1,$B9,W$1)</f>
        <v>1137.875</v>
      </c>
      <c r="X9" s="116" cm="1">
        <f t="array" ref="X9">_xll.EQNXTDZ($A$1,$B9,X$1)</f>
        <v>1066.575</v>
      </c>
      <c r="Y9" s="116" cm="1">
        <f t="array" ref="Y9">_xll.EQNXTDZ($A$1,$B9,Y$1)</f>
        <v>1094.5999999999999</v>
      </c>
      <c r="Z9" s="116" cm="1">
        <f t="array" ref="Z9">_xll.EQNXTDZ($A$1,$B9,Z$1)</f>
        <v>1070.675</v>
      </c>
      <c r="AA9" s="116" cm="1">
        <f t="array" ref="AA9">_xll.EQNXTDZ($A$1,$B9,AA$1)</f>
        <v>1212.7</v>
      </c>
      <c r="AB9" s="116" cm="1">
        <f t="array" ref="AB9">_xll.EQNXTDZ($A$1,$B9,AB$1)</f>
        <v>1290.0250000000001</v>
      </c>
      <c r="AC9" s="116" cm="1">
        <f t="array" ref="AC9">_xll.EQNXTDZ($A$1,$B9,AC$1)</f>
        <v>1261.175</v>
      </c>
      <c r="AD9" s="116" cm="1">
        <f t="array" ref="AD9">_xll.EQNXTDZ($A$1,$B9,AD$1)</f>
        <v>1368.3</v>
      </c>
      <c r="AE9" s="116" cm="1">
        <f t="array" ref="AE9">_xll.EQNXTDZ($A$1,$B9,AE$1)</f>
        <v>1303.925</v>
      </c>
      <c r="AF9" s="116" cm="1">
        <f t="array" ref="AF9">_xll.EQNXTDZ($A$1,$B9,AF$1)</f>
        <v>1321.5</v>
      </c>
      <c r="AG9" s="116" cm="1">
        <f t="array" ref="AG9">_xll.EQNXTDZ($A$1,$B9,AG$1)</f>
        <v>1279.125</v>
      </c>
      <c r="AH9" s="116" cm="1">
        <f t="array" ref="AH9">_xll.EQNXTDZ($A$1,$B9,AH$1)</f>
        <v>1241.0250000000001</v>
      </c>
      <c r="AI9" s="116" cm="1">
        <f t="array" ref="AI9">_xll.EQNXTDZ($A$1,$B9,AI$1)</f>
        <v>1337.625</v>
      </c>
      <c r="AJ9" s="116" cm="1">
        <f t="array" ref="AJ9">_xll.EQNXTDZ($A$1,$B9,AJ$1)</f>
        <v>1276.9749999999999</v>
      </c>
      <c r="AK9" s="116" cm="1">
        <f t="array" ref="AK9">_xll.EQNXTDZ($A$1,$B9,AK$1)</f>
        <v>1231.8499999999999</v>
      </c>
      <c r="AL9" s="116" cm="1">
        <f t="array" ref="AL9">_xll.EQNXTDZ($A$1,$B9,AL$1)</f>
        <v>1305.1500000000001</v>
      </c>
      <c r="AM9" s="116" cm="1">
        <f t="array" ref="AM9">_xll.EQNXTDZ($A$1,$B9,AM$1)</f>
        <v>1275.4749999999999</v>
      </c>
      <c r="AN9" s="116" cm="1">
        <f t="array" ref="AN9">_xll.EQNXTDZ($A$1,$B9,AN$1)</f>
        <v>1255.375</v>
      </c>
      <c r="AO9" s="116" cm="1">
        <f t="array" ref="AO9">_xll.EQNXTDZ($A$1,$B9,AO$1)</f>
        <v>1282.0250000000001</v>
      </c>
      <c r="AP9" s="116" cm="1">
        <f t="array" ref="AP9">_xll.EQNXTDZ($A$1,$B9,AP$1)</f>
        <v>1294.0250000000001</v>
      </c>
      <c r="AQ9" s="116" cm="1">
        <f t="array" ref="AQ9">_xll.EQNXTDZ($A$1,$B9,AQ$1)</f>
        <v>1247.5999999999999</v>
      </c>
      <c r="AR9" s="116" cm="1">
        <f t="array" ref="AR9">_xll.EQNXTDZ($A$1,$B9,AR$1)</f>
        <v>1182.3499999999999</v>
      </c>
      <c r="AS9" s="116" cm="1">
        <f t="array" ref="AS9">_xll.EQNXTDZ($A$1,$B9,AS$1)</f>
        <v>1218.425</v>
      </c>
      <c r="AT9" s="116" cm="1">
        <f t="array" ref="AT9">_xll.EQNXTDZ($A$1,$B9,AT$1)</f>
        <v>1195.6500000000001</v>
      </c>
      <c r="AU9" s="116" cm="1">
        <f t="array" ref="AU9">_xll.EQNXTDZ($A$1,$B9,AU$1)</f>
        <v>1088.4000000000001</v>
      </c>
      <c r="AV9" s="116" cm="1">
        <f t="array" ref="AV9">_xll.EQNXTDZ($A$1,$B9,AV$1)</f>
        <v>1260.1500000000001</v>
      </c>
      <c r="AW9" s="116" cm="1">
        <f t="array" ref="AW9">_xll.EQNXTDZ($A$1,$B9,AW$1)</f>
        <v>1267.75</v>
      </c>
      <c r="AX9" s="116" cm="1">
        <f t="array" ref="AX9">_xll.EQNXTDZ($A$1,$B9,AX$1)</f>
        <v>1284.7</v>
      </c>
      <c r="AY9" s="116" cm="1">
        <f t="array" ref="AY9">_xll.EQNXTDZ($A$1,$B9,AY$1)</f>
        <v>1276.55</v>
      </c>
      <c r="AZ9" s="116" cm="1">
        <f t="array" ref="AZ9">_xll.EQNXTDZ($A$1,$B9,AZ$1)</f>
        <v>1309.6500000000001</v>
      </c>
      <c r="BA9" s="116" cm="1">
        <f t="array" ref="BA9">_xll.EQNXTDZ($A$1,$B9,BA$1)</f>
        <v>1255.6500000000001</v>
      </c>
      <c r="BB9" s="116" cm="1">
        <f t="array" ref="BB9">_xll.EQNXTDZ($A$1,$B9,BB$1)</f>
        <v>1215.4000000000001</v>
      </c>
      <c r="BC9" s="116" cm="1">
        <f t="array" ref="BC9">_xll.EQNXTDZ($A$1,$B9,BC$1)</f>
        <v>1195.5250000000001</v>
      </c>
      <c r="BD9" s="116" cm="1">
        <f t="array" ref="BD9">_xll.EQNXTDZ($A$1,$B9,BD$1)</f>
        <v>1138.0250000000001</v>
      </c>
      <c r="BE9" s="116" cm="1">
        <f t="array" ref="BE9">_xll.EQNXTDZ($A$1,$B9,BE$1)</f>
        <v>1182.7750000000001</v>
      </c>
      <c r="BF9" s="116" cm="1">
        <f t="array" ref="BF9">_xll.EQNXTDZ($A$1,$B9,BF$1)</f>
        <v>1114.9000000000001</v>
      </c>
      <c r="BG9" s="116" cm="1">
        <f t="array" ref="BG9">_xll.EQNXTDZ($A$1,$B9,BG$1)</f>
        <v>1233.125</v>
      </c>
      <c r="BH9" s="116" cm="1">
        <f t="array" ref="BH9">_xll.EQNXTDZ($A$1,$B9,BH$1)</f>
        <v>1215.9000000000001</v>
      </c>
      <c r="BI9" s="116" cm="1">
        <f t="array" ref="BI9">_xll.EQNXTDZ($A$1,$B9,BI$1)</f>
        <v>1136.575</v>
      </c>
      <c r="BJ9" s="116" cm="1">
        <f t="array" ref="BJ9">_xll.EQNXTDZ($A$1,$B9,BJ$1)</f>
        <v>1273.3</v>
      </c>
      <c r="BK9" s="116" cm="1">
        <f t="array" ref="BK9">_xll.EQNXTDZ($A$1,$B9,BK$1)</f>
        <v>1181.175</v>
      </c>
      <c r="BL9" s="116" cm="1">
        <f t="array" ref="BL9">_xll.EQNXTDZ($A$1,$B9,BL$1)</f>
        <v>1245.9000000000001</v>
      </c>
      <c r="BM9" s="116" cm="1">
        <f t="array" ref="BM9">_xll.EQNXTDZ($A$1,$B9,BM$1)</f>
        <v>1248.175</v>
      </c>
      <c r="BN9" s="116" cm="1">
        <f t="array" ref="BN9">_xll.EQNXTDZ($A$1,$B9,BN$1)</f>
        <v>1217.9749999999999</v>
      </c>
      <c r="BO9" s="116" cm="1">
        <f t="array" ref="BO9">_xll.EQNXTDZ($A$1,$B9,BO$1)</f>
        <v>1312</v>
      </c>
      <c r="BP9" s="116" cm="1">
        <f t="array" ref="BP9">_xll.EQNXTDZ($A$1,$B9,BP$1)</f>
        <v>1318.5</v>
      </c>
      <c r="BQ9" s="116" cm="1">
        <f t="array" ref="BQ9">_xll.EQNXTDZ($A$1,$B9,BQ$1)</f>
        <v>1350.6</v>
      </c>
      <c r="BR9" s="116" cm="1">
        <f t="array" ref="BR9">_xll.EQNXTDZ($A$1,$B9,BR$1)</f>
        <v>1556.175</v>
      </c>
      <c r="BS9" s="116" cm="1">
        <f t="array" ref="BS9">_xll.EQNXTDZ($A$1,$B9,BS$1)</f>
        <v>1517.5250000000001</v>
      </c>
      <c r="BT9" s="116" cm="1">
        <f t="array" ref="BT9">_xll.EQNXTDZ($A$1,$B9,BT$1)</f>
        <v>1424.575</v>
      </c>
      <c r="BU9" s="116" cm="1">
        <f t="array" ref="BU9">_xll.EQNXTDZ($A$1,$B9,BU$1)</f>
        <v>1766.05</v>
      </c>
      <c r="BV9" s="116" cm="1">
        <f t="array" ref="BV9">_xll.EQNXTDZ($A$1,$B9,BV$1)</f>
        <v>1741.05</v>
      </c>
      <c r="BW9" s="116" cm="1">
        <f t="array" ref="BW9">_xll.EQNXTDZ($A$1,$B9,BW$1)</f>
        <v>1847.75</v>
      </c>
      <c r="BX9" s="116" cm="1">
        <f t="array" ref="BX9">_xll.EQNXTDZ($A$1,$B9,BX$1)</f>
        <v>1940.2</v>
      </c>
      <c r="BY9" s="116" cm="1">
        <f t="array" ref="BY9">_xll.EQNXTDZ($A$1,$B9,BY$1)</f>
        <v>2078.4</v>
      </c>
      <c r="BZ9" s="116" cm="1">
        <f t="array" ref="BZ9">_xll.EQNXTDZ($A$1,$B9,BZ$1)</f>
        <v>2183.6999999999998</v>
      </c>
      <c r="CA9" s="116" cm="1">
        <f t="array" ref="CA9">_xll.EQNXTDZ($A$1,$B9,CA$1)</f>
        <v>1938.15</v>
      </c>
      <c r="CB9" s="116" cm="1">
        <f t="array" ref="CB9">_xll.EQNXTDZ($A$1,$B9,CB$1)</f>
        <v>1968.25</v>
      </c>
      <c r="CC9" s="116" cm="1">
        <f t="array" ref="CC9">_xll.EQNXTDZ($A$1,$B9,CC$1)</f>
        <v>1893.05</v>
      </c>
      <c r="CD9" s="116" cm="1">
        <f t="array" ref="CD9">_xll.EQNXTDZ($A$1,$B9,CD$1)</f>
        <v>2014.1</v>
      </c>
      <c r="CE9" s="116" cm="1">
        <f t="array" ref="CE9">_xll.EQNXTDZ($A$1,$B9,CE$1)</f>
        <v>1983.45</v>
      </c>
      <c r="CF9" s="116" cm="1">
        <f t="array" ref="CF9">_xll.EQNXTDZ($A$1,$B9,CF$1)</f>
        <v>2001.65</v>
      </c>
      <c r="CG9" s="116" cm="1">
        <f t="array" ref="CG9">_xll.EQNXTDZ($A$1,$B9,CG$1)</f>
        <v>2260.35</v>
      </c>
      <c r="CH9" s="116" cm="1">
        <f t="array" ref="CH9">_xll.EQNXTDZ($A$1,$B9,CH$1)</f>
        <v>2196.5500000000002</v>
      </c>
      <c r="CI9" s="116" cm="1">
        <f t="array" ref="CI9">_xll.EQNXTDZ($A$1,$B9,CI$1)</f>
        <v>2227.1999999999998</v>
      </c>
      <c r="CJ9" s="116" cm="1">
        <f t="array" ref="CJ9">_xll.EQNXTDZ($A$1,$B9,CJ$1)</f>
        <v>2205.6999999999998</v>
      </c>
      <c r="CK9" s="116" cm="1">
        <f t="array" ref="CK9">_xll.EQNXTDZ($A$1,$B9,CK$1)</f>
        <v>2259.6</v>
      </c>
      <c r="CL9" s="116" cm="1">
        <f t="array" ref="CL9">_xll.EQNXTDZ($A$1,$B9,CL$1)</f>
        <v>2099.3000000000002</v>
      </c>
      <c r="CM9" s="116" cm="1">
        <f t="array" ref="CM9">_xll.EQNXTDZ($A$1,$B9,CM$1)</f>
        <v>2269.65</v>
      </c>
      <c r="CN9" s="116" cm="1">
        <f t="array" ref="CN9">_xll.EQNXTDZ($A$1,$B9,CN$1)</f>
        <v>2053.25</v>
      </c>
      <c r="CO9" s="116" cm="1">
        <f t="array" ref="CO9">_xll.EQNXTDZ($A$1,$B9,CO$1)</f>
        <v>2161.6999999999998</v>
      </c>
      <c r="CP9" s="116" cm="1">
        <f t="array" ref="CP9">_xll.EQNXTDZ($A$1,$B9,CP$1)</f>
        <v>2079.0500000000002</v>
      </c>
      <c r="CQ9" s="116" cm="1">
        <f t="array" ref="CQ9">_xll.EQNXTDZ($A$1,$B9,CQ$1)</f>
        <v>2000.15</v>
      </c>
      <c r="CR9" s="116" cm="1">
        <f t="array" ref="CR9">_xll.EQNXTDZ($A$1,$B9,CR$1)</f>
        <v>1826.1</v>
      </c>
      <c r="CS9" s="116" cm="1">
        <f t="array" ref="CS9">_xll.EQNXTDZ($A$1,$B9,CS$1)</f>
        <v>2014.45</v>
      </c>
      <c r="CT9" s="116" cm="1">
        <f t="array" ref="CT9">_xll.EQNXTDZ($A$1,$B9,CT$1)</f>
        <v>1972.35</v>
      </c>
      <c r="CU9" s="116" cm="1">
        <f t="array" ref="CU9">_xll.EQNXTDZ($A$1,$B9,CU$1)</f>
        <v>2082.15</v>
      </c>
      <c r="CV9" s="116" cm="1">
        <f t="array" ref="CV9">_xll.EQNXTDZ($A$1,$B9,CV$1)</f>
        <v>2281.4</v>
      </c>
      <c r="CW9" s="116" cm="1">
        <f t="array" ref="CW9">_xll.EQNXTDZ($A$1,$B9,CW$1)</f>
        <v>2257.25</v>
      </c>
      <c r="CX9" s="116" cm="1">
        <f t="array" ref="CX9">_xll.EQNXTDZ($A$1,$B9,CX$1)</f>
        <v>2492.3000000000002</v>
      </c>
      <c r="CY9" s="116" cm="1">
        <f t="array" ref="CY9">_xll.EQNXTDZ($A$1,$B9,CY$1)</f>
        <v>2664.85</v>
      </c>
      <c r="CZ9" s="116" cm="1">
        <f t="array" ref="CZ9">_xll.EQNXTDZ($A$1,$B9,CZ$1)</f>
        <v>2679.65</v>
      </c>
      <c r="DA9" s="116" cm="1">
        <f t="array" ref="DA9">_xll.EQNXTDZ($A$1,$B9,DA$1)</f>
        <v>2862.75</v>
      </c>
      <c r="DB9" s="116" cm="1">
        <f t="array" ref="DB9">_xll.EQNXTDZ($A$1,$B9,DB$1)</f>
        <v>3111.35</v>
      </c>
      <c r="DC9" s="116" cm="1">
        <f t="array" ref="DC9">_xll.EQNXTDZ($A$1,$B9,DC$1)</f>
        <v>2894.3</v>
      </c>
      <c r="DD9" s="116" cm="1">
        <f t="array" ref="DD9">_xll.EQNXTDZ($A$1,$B9,DD$1)</f>
        <v>3177.85</v>
      </c>
      <c r="DE9" s="116" cm="1">
        <f t="array" ref="DE9">_xll.EQNXTDZ($A$1,$B9,DE$1)</f>
        <v>3035.65</v>
      </c>
      <c r="DF9" s="116" cm="1">
        <f t="array" ref="DF9">_xll.EQNXTDZ($A$1,$B9,DF$1)</f>
        <v>3159.15</v>
      </c>
      <c r="DG9" s="116" cm="1">
        <f t="array" ref="DG9">_xll.EQNXTDZ($A$1,$B9,DG$1)</f>
        <v>3345.75</v>
      </c>
      <c r="DH9" s="116" cm="1">
        <f t="array" ref="DH9">_xll.EQNXTDZ($A$1,$B9,DH$1)</f>
        <v>3167.45</v>
      </c>
      <c r="DI9" s="116" cm="1">
        <f t="array" ref="DI9">_xll.EQNXTDZ($A$1,$B9,DI$1)</f>
        <v>3786.45</v>
      </c>
      <c r="DJ9" s="116" cm="1">
        <f t="array" ref="DJ9">_xll.EQNXTDZ($A$1,$B9,DJ$1)</f>
        <v>3775.55</v>
      </c>
      <c r="DK9" s="116" cm="1">
        <f t="array" ref="DK9">_xll.EQNXTDZ($A$1,$B9,DK$1)</f>
        <v>3397.75</v>
      </c>
      <c r="DL9" s="116" cm="1">
        <f t="array" ref="DL9">_xll.EQNXTDZ($A$1,$B9,DL$1)</f>
        <v>3529.15</v>
      </c>
      <c r="DM9" s="116" cm="1">
        <f t="array" ref="DM9">_xll.EQNXTDZ($A$1,$B9,DM$1)</f>
        <v>3738.35</v>
      </c>
      <c r="DN9" s="116" cm="1">
        <f t="array" ref="DN9">_xll.EQNXTDZ($A$1,$B9,DN$1)</f>
        <v>3736.25</v>
      </c>
      <c r="DO9" s="116" cm="1">
        <f t="array" ref="DO9">_xll.EQNXTDZ($A$1,$B9,DO$1)</f>
        <v>3554.2</v>
      </c>
      <c r="DP9" s="116" cm="1">
        <f t="array" ref="DP9">_xll.EQNXTDZ($A$1,$B9,DP$1)</f>
        <v>3739.95</v>
      </c>
      <c r="DQ9" s="116" cm="1">
        <f t="array" ref="DQ9">_xll.EQNXTDZ($A$1,$B9,DQ$1)</f>
        <v>3546.7</v>
      </c>
      <c r="DR9" s="116" cm="1">
        <f t="array" ref="DR9">_xll.EQNXTDZ($A$1,$B9,DR$1)</f>
        <v>3364.35</v>
      </c>
      <c r="DS9" s="116" cm="1">
        <f t="array" ref="DS9">_xll.EQNXTDZ($A$1,$B9,DS$1)</f>
        <v>3267.1</v>
      </c>
      <c r="DT9" s="116" cm="1">
        <f t="array" ref="DT9">_xll.EQNXTDZ($A$1,$B9,DT$1)</f>
        <v>3301.9</v>
      </c>
      <c r="DU9" s="116" cm="1">
        <f t="array" ref="DU9">_xll.EQNXTDZ($A$1,$B9,DU$1)</f>
        <v>3211.15</v>
      </c>
      <c r="DV9" s="116" cm="1">
        <f t="array" ref="DV9">_xll.EQNXTDZ($A$1,$B9,DV$1)</f>
        <v>3004.55</v>
      </c>
      <c r="DW9" s="116" cm="1">
        <f t="array" ref="DW9">_xll.EQNXTDZ($A$1,$B9,DW$1)</f>
        <v>3193.15</v>
      </c>
      <c r="DX9" s="116" cm="1">
        <f t="array" ref="DX9">_xll.EQNXTDZ($A$1,$B9,DX$1)</f>
        <v>3390.8</v>
      </c>
      <c r="DY9" s="116" cm="1">
        <f t="array" ref="DY9">_xll.EQNXTDZ($A$1,$B9,DY$1)</f>
        <v>3256.7</v>
      </c>
      <c r="DZ9" s="116" cm="1">
        <f t="array" ref="DZ9">_xll.EQNXTDZ($A$1,$B9,DZ$1)</f>
        <v>3358.7</v>
      </c>
      <c r="EA9" s="116" cm="1">
        <f t="array" ref="EA9">_xll.EQNXTDZ($A$1,$B9,EA$1)</f>
        <v>3312.85</v>
      </c>
      <c r="EB9" s="116" cm="1">
        <f t="array" ref="EB9">_xll.EQNXTDZ($A$1,$B9,EB$1)</f>
        <v>3205.9</v>
      </c>
      <c r="EC9" s="116" cm="1">
        <f t="array" ref="EC9">_xll.EQNXTDZ($A$1,$B9,EC$1)</f>
        <v>3219.25</v>
      </c>
      <c r="ED9" s="116" cm="1">
        <f t="array" ref="ED9">_xll.EQNXTDZ($A$1,$B9,ED$1)</f>
        <v>3289.5</v>
      </c>
      <c r="EE9" s="116" cm="1">
        <f t="array" ref="EE9">_xll.EQNXTDZ($A$1,$B9,EE$1)</f>
        <v>3302.25</v>
      </c>
      <c r="EF9" s="116" cm="1">
        <f t="array" ref="EF9">_xll.EQNXTDZ($A$1,$B9,EF$1)</f>
        <v>3421.45</v>
      </c>
      <c r="EG9" s="116" cm="1">
        <f t="array" ref="EG9">_xll.EQNXTDZ($A$1,$B9,EG$1)</f>
        <v>3356.8</v>
      </c>
      <c r="EH9" s="116" cm="1">
        <f t="array" ref="EH9">_xll.EQNXTDZ($A$1,$B9,EH$1)</f>
        <v>3528.6</v>
      </c>
      <c r="EI9" s="116" cm="1">
        <f t="array" ref="EI9">_xll.EQNXTDZ($A$1,$B9,EI$1)</f>
        <v>3368.75</v>
      </c>
      <c r="EJ9" s="116" cm="1">
        <f t="array" ref="EJ9">_xll.EQNXTDZ($A$1,$B9,EJ$1)</f>
        <v>3487.6</v>
      </c>
      <c r="EK9" s="116" cm="1">
        <f t="array" ref="EK9">_xll.EQNXTDZ($A$1,$B9,EK$1)</f>
        <v>3793.4</v>
      </c>
      <c r="EL9" s="116" cm="1">
        <f t="array" ref="EL9">_xll.EQNXTDZ($A$1,$B9,EL$1)</f>
        <v>3815.95</v>
      </c>
      <c r="EM9" s="116" cm="1">
        <f t="array" ref="EM9">_xll.EQNXTDZ($A$1,$B9,EM$1)</f>
        <v>4095.1</v>
      </c>
      <c r="EN9" s="116" cm="1">
        <f t="array" ref="EN9">_xll.EQNXTDZ($A$1,$B9,EN$1)</f>
        <v>3876.3</v>
      </c>
      <c r="EO9" s="116" cm="1">
        <f t="array" ref="EO9">_xll.EQNXTDZ($A$1,$B9,EO$1)</f>
        <v>3820.65</v>
      </c>
      <c r="EP9" s="116" cm="1">
        <f t="array" ref="EP9">_xll.EQNXTDZ($A$1,$B9,EP$1)</f>
        <v>3670.95</v>
      </c>
      <c r="EQ9" s="116" cm="1">
        <f t="array" ref="EQ9">_xll.EQNXTDZ($A$1,$B9,EQ$1)</f>
        <v>3904.15</v>
      </c>
      <c r="ER9" s="116" cm="1">
        <f t="array" ref="ER9">_xll.EQNXTDZ($A$1,$B9,ER$1)</f>
        <v>4385.3500000000004</v>
      </c>
      <c r="ES9" s="116" cm="1">
        <f t="array" ref="ES9">_xll.EQNXTDZ($A$1,$B9,ES$1)</f>
        <v>4553.75</v>
      </c>
      <c r="ET9" s="116" cm="1">
        <f t="array" ref="ET9">_xll.EQNXTDZ($A$1,$B9,ET$1)</f>
        <v>4268.5</v>
      </c>
      <c r="EU9" s="116" cm="1">
        <f t="array" ref="EU9">_xll.EQNXTDZ($A$1,$B9,EU$1)</f>
        <v>3968.45</v>
      </c>
      <c r="EV9" s="116" cm="1">
        <f t="array" ref="EV9">_xll.EQNXTDZ($A$1,$B9,EV$1)</f>
        <v>4270.8500000000004</v>
      </c>
      <c r="EW9" s="116" cm="1">
        <f t="array" ref="EW9">_xll.EQNXTDZ($A$1,$B9,EW$1)</f>
        <v>4094.8</v>
      </c>
      <c r="EX9" s="116" cm="1">
        <f t="array" ref="EX9">_xll.EQNXTDZ($A$1,$B9,EX$1)</f>
        <v>4112.3999999999996</v>
      </c>
      <c r="EY9" s="116" cm="1">
        <f t="array" ref="EY9">_xll.EQNXTDZ($A$1,$B9,EY$1)</f>
        <v>3483.25</v>
      </c>
      <c r="EZ9" s="116" cm="1">
        <f t="array" ref="EZ9">_xll.EQNXTDZ($A$1,$B9,EZ$1)</f>
        <v>3606.15</v>
      </c>
      <c r="FA9" s="116" cm="1">
        <f t="array" ref="FA9">_xll.EQNXTDZ($A$1,$B9,FA$1)</f>
        <v>3453.7</v>
      </c>
      <c r="FB9" s="116" cm="1">
        <f t="array" ref="FB9">_xll.EQNXTDZ($A$1,$B9,FB$1)</f>
        <v>3463.4</v>
      </c>
      <c r="FC9" s="116" cm="1">
        <f t="array" ref="FC9">_xll.EQNXTDZ($A$1,$B9,FC$1)</f>
        <v>3462</v>
      </c>
      <c r="FD9" s="116" cm="1">
        <f t="array" ref="FD9">_xll.EQNXTDZ($A$1,$B9,FD$1)</f>
        <v>3036.8</v>
      </c>
      <c r="FE9" s="116" cm="1">
        <f t="array" ref="FE9">_xll.EQNXTDZ($A$1,$B9,FE$1)</f>
        <v>3084.7</v>
      </c>
      <c r="FF9" s="116" cm="1">
        <f t="array" ref="FF9">_xll.EQNXTDZ($A$1,$B9,FF$1)</f>
        <v>2888.4</v>
      </c>
      <c r="FG9" s="116" cm="1">
        <f t="array" ref="FG9">_xll.EQNXTDZ($A$1,$B9,FG$1)</f>
        <v>3058</v>
      </c>
      <c r="FH9" s="116" cm="1">
        <f t="array" ref="FH9">_xll.EQNXTDZ($A$1,$B9,FH$1)</f>
        <v>3137.5</v>
      </c>
      <c r="FI9" s="116" cm="1">
        <f t="array" ref="FI9">_xll.EQNXTDZ($A$1,$B9,FI$1)</f>
        <v>3206.2</v>
      </c>
      <c r="FJ9" s="116" cm="1">
        <f t="array" ref="FJ9">_xll.EQNXTDZ($A$1,$B9,FJ$1)</f>
        <v>3123.9</v>
      </c>
      <c r="FK9" s="116" cm="1">
        <f t="array" ref="FK9">_xll.EQNXTDZ($A$1,$B9,FK$1)</f>
        <v>2637.4</v>
      </c>
      <c r="FL9" s="116" cm="1">
        <f t="array" ref="FL9">_xll.EQNXTDZ($A$1,$B9,FL$1)</f>
        <v>2358.9</v>
      </c>
      <c r="FM9" s="116" cm="1">
        <f t="array" ref="FM9">_xll.EQNXTDZ($A$1,$B9,FM$1)</f>
        <v>2473.9</v>
      </c>
      <c r="FN9" s="116" cm="1">
        <f t="array" ref="FN9">_xll.EQNXTDZ($A$1,$B9,FN$1)</f>
        <v>2258.9</v>
      </c>
      <c r="FO9" s="116" cm="1">
        <f t="array" ref="FO9">_xll.EQNXTDZ($A$1,$B9,FO$1)</f>
        <v>2199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647.95000000000005</v>
      </c>
      <c r="HQ9" s="116">
        <f>+I9</f>
        <v>627.92499999999995</v>
      </c>
      <c r="HR9" s="116">
        <f>+L9</f>
        <v>787.875</v>
      </c>
      <c r="HS9" s="116">
        <f>+O9</f>
        <v>759.07500000000005</v>
      </c>
      <c r="HT9" s="116">
        <f>+R9</f>
        <v>963.9</v>
      </c>
      <c r="HU9" s="116">
        <f>+U9</f>
        <v>1086.0250000000001</v>
      </c>
      <c r="HV9" s="116">
        <f>+X9</f>
        <v>1066.575</v>
      </c>
      <c r="HW9" s="116">
        <f>+AA9</f>
        <v>1212.7</v>
      </c>
      <c r="HX9" s="116">
        <f>+AD9</f>
        <v>1368.3</v>
      </c>
      <c r="HY9" s="116">
        <f>+AG9</f>
        <v>1279.125</v>
      </c>
      <c r="HZ9" s="116">
        <f>+AJ9</f>
        <v>1276.9749999999999</v>
      </c>
      <c r="IA9" s="116">
        <f>+AM9</f>
        <v>1275.4749999999999</v>
      </c>
      <c r="IB9" s="116">
        <f>+AP9</f>
        <v>1294.0250000000001</v>
      </c>
      <c r="IC9" s="116">
        <f>+AS9</f>
        <v>1218.425</v>
      </c>
      <c r="ID9" s="116">
        <f>+AV9</f>
        <v>1260.1500000000001</v>
      </c>
      <c r="IE9" s="116">
        <f>+AY9</f>
        <v>1276.55</v>
      </c>
      <c r="IF9" s="116">
        <f>+BB9</f>
        <v>1215.4000000000001</v>
      </c>
      <c r="IG9" s="116">
        <f>+BE9</f>
        <v>1182.7750000000001</v>
      </c>
      <c r="IH9" s="116">
        <f>+BH9</f>
        <v>1215.9000000000001</v>
      </c>
      <c r="II9" s="116">
        <f>+BK9</f>
        <v>1181.175</v>
      </c>
      <c r="IJ9" s="116">
        <f>+BN9</f>
        <v>1217.9749999999999</v>
      </c>
      <c r="IK9" s="116">
        <f>+BQ9</f>
        <v>1350.6</v>
      </c>
      <c r="IL9" s="116">
        <f>+BT9</f>
        <v>1424.575</v>
      </c>
      <c r="IM9" s="116">
        <f>+BW9</f>
        <v>1847.75</v>
      </c>
      <c r="IN9" s="116">
        <f>+BZ9</f>
        <v>2183.6999999999998</v>
      </c>
      <c r="IO9" s="116">
        <f>+CC9</f>
        <v>1893.05</v>
      </c>
      <c r="IP9" s="116">
        <f>+CF9</f>
        <v>2001.65</v>
      </c>
      <c r="IQ9" s="116">
        <f>+CI9</f>
        <v>2227.1999999999998</v>
      </c>
      <c r="IR9" s="116">
        <f>+CL9</f>
        <v>2099.3000000000002</v>
      </c>
      <c r="IS9" s="116">
        <f>+CO9</f>
        <v>2161.6999999999998</v>
      </c>
      <c r="IT9" s="116">
        <f>+CR9</f>
        <v>1826.1</v>
      </c>
      <c r="IU9" s="116">
        <f>+CU9</f>
        <v>2082.15</v>
      </c>
      <c r="IV9" s="116">
        <f>+CX9</f>
        <v>2492.3000000000002</v>
      </c>
      <c r="IW9" s="116">
        <f>+DA9</f>
        <v>2862.75</v>
      </c>
      <c r="IX9" s="116">
        <f>+DD9</f>
        <v>3177.85</v>
      </c>
      <c r="IY9" s="116">
        <f>+DG9</f>
        <v>3345.75</v>
      </c>
      <c r="IZ9" s="116">
        <f>+DJ9</f>
        <v>3775.55</v>
      </c>
      <c r="JA9" s="116">
        <f>+DM9</f>
        <v>3738.35</v>
      </c>
      <c r="JB9" s="116">
        <f>+DP9</f>
        <v>3739.95</v>
      </c>
      <c r="JC9" s="116">
        <f>+DS9</f>
        <v>3267.1</v>
      </c>
      <c r="JD9" s="116">
        <f>+DV9</f>
        <v>3004.55</v>
      </c>
      <c r="JE9" s="116">
        <f>+DY9</f>
        <v>3256.7</v>
      </c>
      <c r="JF9" s="116">
        <f>+EB9</f>
        <v>3205.9</v>
      </c>
      <c r="JG9" s="116">
        <f>+EE9</f>
        <v>3302.25</v>
      </c>
      <c r="JH9" s="116">
        <f>+EH9</f>
        <v>3528.6</v>
      </c>
      <c r="JI9" s="116">
        <f>+EK9</f>
        <v>3793.4</v>
      </c>
      <c r="JJ9" s="116">
        <f>+EN9</f>
        <v>3876.3</v>
      </c>
      <c r="JK9" s="116">
        <f>EQ9</f>
        <v>3904.15</v>
      </c>
      <c r="JL9" s="116">
        <f>ET9</f>
        <v>4268.5</v>
      </c>
      <c r="JM9" s="116">
        <f>EW9</f>
        <v>4094.8</v>
      </c>
      <c r="JN9" s="116">
        <f>EZ9</f>
        <v>3606.15</v>
      </c>
      <c r="JO9" s="116">
        <f>FC9</f>
        <v>3462</v>
      </c>
      <c r="JP9" s="116">
        <f>FF9</f>
        <v>2888.4</v>
      </c>
      <c r="JQ9" s="116">
        <f>FI9</f>
        <v>3206.2</v>
      </c>
      <c r="JR9" s="116">
        <f>FL9</f>
        <v>2358.9</v>
      </c>
      <c r="JS9" s="116">
        <f>FO9</f>
        <v>2199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617.5</v>
      </c>
      <c r="D13" cm="1">
        <f t="array" ref="D13">_xll.EQNXTDZ($A$1,$B13,D$1)</f>
        <v>639</v>
      </c>
      <c r="E13" cm="1">
        <f t="array" ref="E13">_xll.EQNXTDZ($A$1,$B13,E$1)</f>
        <v>620</v>
      </c>
      <c r="F13" cm="1">
        <f t="array" ref="F13">_xll.EQNXTDZ($A$1,$B13,F$1)</f>
        <v>673.65</v>
      </c>
      <c r="G13" cm="1">
        <f t="array" ref="G13">_xll.EQNXTDZ($A$1,$B13,G$1)</f>
        <v>649</v>
      </c>
      <c r="H13" cm="1">
        <f t="array" ref="H13">_xll.EQNXTDZ($A$1,$B13,H$1)</f>
        <v>657.5</v>
      </c>
      <c r="I13" cm="1">
        <f t="array" ref="I13">_xll.EQNXTDZ($A$1,$B13,I$1)</f>
        <v>657.5</v>
      </c>
      <c r="J13" cm="1">
        <f t="array" ref="J13">_xll.EQNXTDZ($A$1,$B13,J$1)</f>
        <v>634</v>
      </c>
      <c r="K13" cm="1">
        <f t="array" ref="K13">_xll.EQNXTDZ($A$1,$B13,K$1)</f>
        <v>670.97500000000002</v>
      </c>
      <c r="L13" cm="1">
        <f t="array" ref="L13">_xll.EQNXTDZ($A$1,$B13,L$1)</f>
        <v>756.1</v>
      </c>
      <c r="M13" cm="1">
        <f t="array" ref="M13">_xll.EQNXTDZ($A$1,$B13,M$1)</f>
        <v>779</v>
      </c>
      <c r="N13" cm="1">
        <f t="array" ref="N13">_xll.EQNXTDZ($A$1,$B13,N$1)</f>
        <v>687.5</v>
      </c>
      <c r="O13" cm="1">
        <f t="array" ref="O13">_xll.EQNXTDZ($A$1,$B13,O$1)</f>
        <v>750</v>
      </c>
      <c r="P13" cm="1">
        <f t="array" ref="P13">_xll.EQNXTDZ($A$1,$B13,P$1)</f>
        <v>754</v>
      </c>
      <c r="Q13" cm="1">
        <f t="array" ref="Q13">_xll.EQNXTDZ($A$1,$B13,Q$1)</f>
        <v>905</v>
      </c>
      <c r="R13" cm="1">
        <f t="array" ref="R13">_xll.EQNXTDZ($A$1,$B13,R$1)</f>
        <v>1009</v>
      </c>
      <c r="S13" cm="1">
        <f t="array" ref="S13">_xll.EQNXTDZ($A$1,$B13,S$1)</f>
        <v>963.5</v>
      </c>
      <c r="T13" cm="1">
        <f t="array" ref="T13">_xll.EQNXTDZ($A$1,$B13,T$1)</f>
        <v>1055</v>
      </c>
      <c r="U13" cm="1">
        <f t="array" ref="U13">_xll.EQNXTDZ($A$1,$B13,U$1)</f>
        <v>1000.5</v>
      </c>
      <c r="V13" cm="1">
        <f t="array" ref="V13">_xll.EQNXTDZ($A$1,$B13,V$1)</f>
        <v>1090</v>
      </c>
      <c r="W13" cm="1">
        <f t="array" ref="W13">_xll.EQNXTDZ($A$1,$B13,W$1)</f>
        <v>1113.5</v>
      </c>
      <c r="X13" cm="1">
        <f t="array" ref="X13">_xll.EQNXTDZ($A$1,$B13,X$1)</f>
        <v>1135</v>
      </c>
      <c r="Y13" cm="1">
        <f t="array" ref="Y13">_xll.EQNXTDZ($A$1,$B13,Y$1)</f>
        <v>1072.5</v>
      </c>
      <c r="Z13" cm="1">
        <f t="array" ref="Z13">_xll.EQNXTDZ($A$1,$B13,Z$1)</f>
        <v>1097</v>
      </c>
      <c r="AA13" cm="1">
        <f t="array" ref="AA13">_xll.EQNXTDZ($A$1,$B13,AA$1)</f>
        <v>1073.5</v>
      </c>
      <c r="AB13" cm="1">
        <f t="array" ref="AB13">_xll.EQNXTDZ($A$1,$B13,AB$1)</f>
        <v>1207.5</v>
      </c>
      <c r="AC13" cm="1">
        <f t="array" ref="AC13">_xll.EQNXTDZ($A$1,$B13,AC$1)</f>
        <v>1288.5</v>
      </c>
      <c r="AD13" cm="1">
        <f t="array" ref="AD13">_xll.EQNXTDZ($A$1,$B13,AD$1)</f>
        <v>1262.5</v>
      </c>
      <c r="AE13" cm="1">
        <f t="array" ref="AE13">_xll.EQNXTDZ($A$1,$B13,AE$1)</f>
        <v>1374.5</v>
      </c>
      <c r="AF13" cm="1">
        <f t="array" ref="AF13">_xll.EQNXTDZ($A$1,$B13,AF$1)</f>
        <v>1322.5</v>
      </c>
      <c r="AG13" cm="1">
        <f t="array" ref="AG13">_xll.EQNXTDZ($A$1,$B13,AG$1)</f>
        <v>1321.5</v>
      </c>
      <c r="AH13" cm="1">
        <f t="array" ref="AH13">_xll.EQNXTDZ($A$1,$B13,AH$1)</f>
        <v>1277.175</v>
      </c>
      <c r="AI13" cm="1">
        <f t="array" ref="AI13">_xll.EQNXTDZ($A$1,$B13,AI$1)</f>
        <v>1241.05</v>
      </c>
      <c r="AJ13" cm="1">
        <f t="array" ref="AJ13">_xll.EQNXTDZ($A$1,$B13,AJ$1)</f>
        <v>1337.55</v>
      </c>
      <c r="AK13" cm="1">
        <f t="array" ref="AK13">_xll.EQNXTDZ($A$1,$B13,AK$1)</f>
        <v>1282.5</v>
      </c>
      <c r="AL13" cm="1">
        <f t="array" ref="AL13">_xll.EQNXTDZ($A$1,$B13,AL$1)</f>
        <v>1241</v>
      </c>
      <c r="AM13" cm="1">
        <f t="array" ref="AM13">_xll.EQNXTDZ($A$1,$B13,AM$1)</f>
        <v>1305.125</v>
      </c>
      <c r="AN13" cm="1">
        <f t="array" ref="AN13">_xll.EQNXTDZ($A$1,$B13,AN$1)</f>
        <v>1282.5</v>
      </c>
      <c r="AO13" cm="1">
        <f t="array" ref="AO13">_xll.EQNXTDZ($A$1,$B13,AO$1)</f>
        <v>1254.95</v>
      </c>
      <c r="AP13" cm="1">
        <f t="array" ref="AP13">_xll.EQNXTDZ($A$1,$B13,AP$1)</f>
        <v>1283.5</v>
      </c>
      <c r="AQ13" cm="1">
        <f t="array" ref="AQ13">_xll.EQNXTDZ($A$1,$B13,AQ$1)</f>
        <v>1300</v>
      </c>
      <c r="AR13" cm="1">
        <f t="array" ref="AR13">_xll.EQNXTDZ($A$1,$B13,AR$1)</f>
        <v>1248.5</v>
      </c>
      <c r="AS13" cm="1">
        <f t="array" ref="AS13">_xll.EQNXTDZ($A$1,$B13,AS$1)</f>
        <v>1182.5</v>
      </c>
      <c r="AT13" cm="1">
        <f t="array" ref="AT13">_xll.EQNXTDZ($A$1,$B13,AT$1)</f>
        <v>1216.05</v>
      </c>
      <c r="AU13" cm="1">
        <f t="array" ref="AU13">_xll.EQNXTDZ($A$1,$B13,AU$1)</f>
        <v>1196</v>
      </c>
      <c r="AV13" cm="1">
        <f t="array" ref="AV13">_xll.EQNXTDZ($A$1,$B13,AV$1)</f>
        <v>1091.25</v>
      </c>
      <c r="AW13" cm="1">
        <f t="array" ref="AW13">_xll.EQNXTDZ($A$1,$B13,AW$1)</f>
        <v>1252.5250000000001</v>
      </c>
      <c r="AX13" cm="1">
        <f t="array" ref="AX13">_xll.EQNXTDZ($A$1,$B13,AX$1)</f>
        <v>1265.0250000000001</v>
      </c>
      <c r="AY13" cm="1">
        <f t="array" ref="AY13">_xll.EQNXTDZ($A$1,$B13,AY$1)</f>
        <v>1288.95</v>
      </c>
      <c r="AZ13" cm="1">
        <f t="array" ref="AZ13">_xll.EQNXTDZ($A$1,$B13,AZ$1)</f>
        <v>1276.55</v>
      </c>
      <c r="BA13" cm="1">
        <f t="array" ref="BA13">_xll.EQNXTDZ($A$1,$B13,BA$1)</f>
        <v>1310</v>
      </c>
      <c r="BB13" cm="1">
        <f t="array" ref="BB13">_xll.EQNXTDZ($A$1,$B13,BB$1)</f>
        <v>1264.5</v>
      </c>
      <c r="BC13" cm="1">
        <f t="array" ref="BC13">_xll.EQNXTDZ($A$1,$B13,BC$1)</f>
        <v>1220</v>
      </c>
      <c r="BD13" cm="1">
        <f t="array" ref="BD13">_xll.EQNXTDZ($A$1,$B13,BD$1)</f>
        <v>1197</v>
      </c>
      <c r="BE13" cm="1">
        <f t="array" ref="BE13">_xll.EQNXTDZ($A$1,$B13,BE$1)</f>
        <v>1145</v>
      </c>
      <c r="BF13" cm="1">
        <f t="array" ref="BF13">_xll.EQNXTDZ($A$1,$B13,BF$1)</f>
        <v>1182.5</v>
      </c>
      <c r="BG13" cm="1">
        <f t="array" ref="BG13">_xll.EQNXTDZ($A$1,$B13,BG$1)</f>
        <v>1112.175</v>
      </c>
      <c r="BH13" cm="1">
        <f t="array" ref="BH13">_xll.EQNXTDZ($A$1,$B13,BH$1)</f>
        <v>1242</v>
      </c>
      <c r="BI13" cm="1">
        <f t="array" ref="BI13">_xll.EQNXTDZ($A$1,$B13,BI$1)</f>
        <v>1217.5</v>
      </c>
      <c r="BJ13" cm="1">
        <f t="array" ref="BJ13">_xll.EQNXTDZ($A$1,$B13,BJ$1)</f>
        <v>1148.5</v>
      </c>
      <c r="BK13" cm="1">
        <f t="array" ref="BK13">_xll.EQNXTDZ($A$1,$B13,BK$1)</f>
        <v>1265</v>
      </c>
      <c r="BL13" cm="1">
        <f t="array" ref="BL13">_xll.EQNXTDZ($A$1,$B13,BL$1)</f>
        <v>1182</v>
      </c>
      <c r="BM13" cm="1">
        <f t="array" ref="BM13">_xll.EQNXTDZ($A$1,$B13,BM$1)</f>
        <v>1247.0250000000001</v>
      </c>
      <c r="BN13" cm="1">
        <f t="array" ref="BN13">_xll.EQNXTDZ($A$1,$B13,BN$1)</f>
        <v>1237.5</v>
      </c>
      <c r="BO13" cm="1">
        <f t="array" ref="BO13">_xll.EQNXTDZ($A$1,$B13,BO$1)</f>
        <v>1217.5</v>
      </c>
      <c r="BP13" cm="1">
        <f t="array" ref="BP13">_xll.EQNXTDZ($A$1,$B13,BP$1)</f>
        <v>1311</v>
      </c>
      <c r="BQ13" cm="1">
        <f t="array" ref="BQ13">_xll.EQNXTDZ($A$1,$B13,BQ$1)</f>
        <v>1318.5</v>
      </c>
      <c r="BR13" cm="1">
        <f t="array" ref="BR13">_xll.EQNXTDZ($A$1,$B13,BR$1)</f>
        <v>1344.9</v>
      </c>
      <c r="BS13" cm="1">
        <f t="array" ref="BS13">_xll.EQNXTDZ($A$1,$B13,BS$1)</f>
        <v>1560</v>
      </c>
      <c r="BT13" cm="1">
        <f t="array" ref="BT13">_xll.EQNXTDZ($A$1,$B13,BT$1)</f>
        <v>1520.5</v>
      </c>
      <c r="BU13" cm="1">
        <f t="array" ref="BU13">_xll.EQNXTDZ($A$1,$B13,BU$1)</f>
        <v>1422.5</v>
      </c>
      <c r="BV13" cm="1">
        <f t="array" ref="BV13">_xll.EQNXTDZ($A$1,$B13,BV$1)</f>
        <v>1766.5</v>
      </c>
      <c r="BW13" cm="1">
        <f t="array" ref="BW13">_xll.EQNXTDZ($A$1,$B13,BW$1)</f>
        <v>1758</v>
      </c>
      <c r="BX13" cm="1">
        <f t="array" ref="BX13">_xll.EQNXTDZ($A$1,$B13,BX$1)</f>
        <v>1829.95</v>
      </c>
      <c r="BY13" cm="1">
        <f t="array" ref="BY13">_xll.EQNXTDZ($A$1,$B13,BY$1)</f>
        <v>1951</v>
      </c>
      <c r="BZ13" cm="1">
        <f t="array" ref="BZ13">_xll.EQNXTDZ($A$1,$B13,BZ$1)</f>
        <v>2080.0500000000002</v>
      </c>
      <c r="CA13" cm="1">
        <f t="array" ref="CA13">_xll.EQNXTDZ($A$1,$B13,CA$1)</f>
        <v>2186</v>
      </c>
      <c r="CB13" cm="1">
        <f t="array" ref="CB13">_xll.EQNXTDZ($A$1,$B13,CB$1)</f>
        <v>1940.1</v>
      </c>
      <c r="CC13" cm="1">
        <f t="array" ref="CC13">_xll.EQNXTDZ($A$1,$B13,CC$1)</f>
        <v>1980.1</v>
      </c>
      <c r="CD13" cm="1">
        <f t="array" ref="CD13">_xll.EQNXTDZ($A$1,$B13,CD$1)</f>
        <v>1905</v>
      </c>
      <c r="CE13" cm="1">
        <f t="array" ref="CE13">_xll.EQNXTDZ($A$1,$B13,CE$1)</f>
        <v>2005</v>
      </c>
      <c r="CF13" cm="1">
        <f t="array" ref="CF13">_xll.EQNXTDZ($A$1,$B13,CF$1)</f>
        <v>1990</v>
      </c>
      <c r="CG13" cm="1">
        <f t="array" ref="CG13">_xll.EQNXTDZ($A$1,$B13,CG$1)</f>
        <v>2010</v>
      </c>
      <c r="CH13" cm="1">
        <f t="array" ref="CH13">_xll.EQNXTDZ($A$1,$B13,CH$1)</f>
        <v>2260</v>
      </c>
      <c r="CI13" cm="1">
        <f t="array" ref="CI13">_xll.EQNXTDZ($A$1,$B13,CI$1)</f>
        <v>2207.8000000000002</v>
      </c>
      <c r="CJ13" cm="1">
        <f t="array" ref="CJ13">_xll.EQNXTDZ($A$1,$B13,CJ$1)</f>
        <v>2239.65</v>
      </c>
      <c r="CK13" cm="1">
        <f t="array" ref="CK13">_xll.EQNXTDZ($A$1,$B13,CK$1)</f>
        <v>2206</v>
      </c>
      <c r="CL13" cm="1">
        <f t="array" ref="CL13">_xll.EQNXTDZ($A$1,$B13,CL$1)</f>
        <v>2259</v>
      </c>
      <c r="CM13" cm="1">
        <f t="array" ref="CM13">_xll.EQNXTDZ($A$1,$B13,CM$1)</f>
        <v>2099.5</v>
      </c>
      <c r="CN13" cm="1">
        <f t="array" ref="CN13">_xll.EQNXTDZ($A$1,$B13,CN$1)</f>
        <v>2270</v>
      </c>
      <c r="CO13" cm="1">
        <f t="array" ref="CO13">_xll.EQNXTDZ($A$1,$B13,CO$1)</f>
        <v>2060</v>
      </c>
      <c r="CP13" cm="1">
        <f t="array" ref="CP13">_xll.EQNXTDZ($A$1,$B13,CP$1)</f>
        <v>2170</v>
      </c>
      <c r="CQ13" cm="1">
        <f t="array" ref="CQ13">_xll.EQNXTDZ($A$1,$B13,CQ$1)</f>
        <v>2080</v>
      </c>
      <c r="CR13" cm="1">
        <f t="array" ref="CR13">_xll.EQNXTDZ($A$1,$B13,CR$1)</f>
        <v>2025.1</v>
      </c>
      <c r="CS13" cm="1">
        <f t="array" ref="CS13">_xll.EQNXTDZ($A$1,$B13,CS$1)</f>
        <v>1830</v>
      </c>
      <c r="CT13" cm="1">
        <f t="array" ref="CT13">_xll.EQNXTDZ($A$1,$B13,CT$1)</f>
        <v>1960</v>
      </c>
      <c r="CU13" cm="1">
        <f t="array" ref="CU13">_xll.EQNXTDZ($A$1,$B13,CU$1)</f>
        <v>1995</v>
      </c>
      <c r="CV13" cm="1">
        <f t="array" ref="CV13">_xll.EQNXTDZ($A$1,$B13,CV$1)</f>
        <v>2085.0500000000002</v>
      </c>
      <c r="CW13" cm="1">
        <f t="array" ref="CW13">_xll.EQNXTDZ($A$1,$B13,CW$1)</f>
        <v>2299</v>
      </c>
      <c r="CX13" cm="1">
        <f t="array" ref="CX13">_xll.EQNXTDZ($A$1,$B13,CX$1)</f>
        <v>2265</v>
      </c>
      <c r="CY13" cm="1">
        <f t="array" ref="CY13">_xll.EQNXTDZ($A$1,$B13,CY$1)</f>
        <v>2509.8000000000002</v>
      </c>
      <c r="CZ13" cm="1">
        <f t="array" ref="CZ13">_xll.EQNXTDZ($A$1,$B13,CZ$1)</f>
        <v>2665</v>
      </c>
      <c r="DA13" cm="1">
        <f t="array" ref="DA13">_xll.EQNXTDZ($A$1,$B13,DA$1)</f>
        <v>2680</v>
      </c>
      <c r="DB13" cm="1">
        <f t="array" ref="DB13">_xll.EQNXTDZ($A$1,$B13,DB$1)</f>
        <v>2879</v>
      </c>
      <c r="DC13" cm="1">
        <f t="array" ref="DC13">_xll.EQNXTDZ($A$1,$B13,DC$1)</f>
        <v>3104</v>
      </c>
      <c r="DD13" cm="1">
        <f t="array" ref="DD13">_xll.EQNXTDZ($A$1,$B13,DD$1)</f>
        <v>2930</v>
      </c>
      <c r="DE13" cm="1">
        <f t="array" ref="DE13">_xll.EQNXTDZ($A$1,$B13,DE$1)</f>
        <v>3190</v>
      </c>
      <c r="DF13" cm="1">
        <f t="array" ref="DF13">_xll.EQNXTDZ($A$1,$B13,DF$1)</f>
        <v>3034.7</v>
      </c>
      <c r="DG13" cm="1">
        <f t="array" ref="DG13">_xll.EQNXTDZ($A$1,$B13,DG$1)</f>
        <v>3170</v>
      </c>
      <c r="DH13" cm="1">
        <f t="array" ref="DH13">_xll.EQNXTDZ($A$1,$B13,DH$1)</f>
        <v>3359</v>
      </c>
      <c r="DI13" cm="1">
        <f t="array" ref="DI13">_xll.EQNXTDZ($A$1,$B13,DI$1)</f>
        <v>3173.55</v>
      </c>
      <c r="DJ13" cm="1">
        <f t="array" ref="DJ13">_xll.EQNXTDZ($A$1,$B13,DJ$1)</f>
        <v>3790</v>
      </c>
      <c r="DK13" cm="1">
        <f t="array" ref="DK13">_xll.EQNXTDZ($A$1,$B13,DK$1)</f>
        <v>3779</v>
      </c>
      <c r="DL13" cm="1">
        <f t="array" ref="DL13">_xll.EQNXTDZ($A$1,$B13,DL$1)</f>
        <v>3438</v>
      </c>
      <c r="DM13" cm="1">
        <f t="array" ref="DM13">_xll.EQNXTDZ($A$1,$B13,DM$1)</f>
        <v>3535.15</v>
      </c>
      <c r="DN13" cm="1">
        <f t="array" ref="DN13">_xll.EQNXTDZ($A$1,$B13,DN$1)</f>
        <v>3744</v>
      </c>
      <c r="DO13" cm="1">
        <f t="array" ref="DO13">_xll.EQNXTDZ($A$1,$B13,DO$1)</f>
        <v>3780</v>
      </c>
      <c r="DP13" cm="1">
        <f t="array" ref="DP13">_xll.EQNXTDZ($A$1,$B13,DP$1)</f>
        <v>3560.1</v>
      </c>
      <c r="DQ13" cm="1">
        <f t="array" ref="DQ13">_xll.EQNXTDZ($A$1,$B13,DQ$1)</f>
        <v>3746.15</v>
      </c>
      <c r="DR13" cm="1">
        <f t="array" ref="DR13">_xll.EQNXTDZ($A$1,$B13,DR$1)</f>
        <v>3513</v>
      </c>
      <c r="DS13" cm="1">
        <f t="array" ref="DS13">_xll.EQNXTDZ($A$1,$B13,DS$1)</f>
        <v>3385</v>
      </c>
      <c r="DT13" cm="1">
        <f t="array" ref="DT13">_xll.EQNXTDZ($A$1,$B13,DT$1)</f>
        <v>3262</v>
      </c>
      <c r="DU13" cm="1">
        <f t="array" ref="DU13">_xll.EQNXTDZ($A$1,$B13,DU$1)</f>
        <v>3327.05</v>
      </c>
      <c r="DV13" cm="1">
        <f t="array" ref="DV13">_xll.EQNXTDZ($A$1,$B13,DV$1)</f>
        <v>3189.6</v>
      </c>
      <c r="DW13" cm="1">
        <f t="array" ref="DW13">_xll.EQNXTDZ($A$1,$B13,DW$1)</f>
        <v>3004.6</v>
      </c>
      <c r="DX13" cm="1">
        <f t="array" ref="DX13">_xll.EQNXTDZ($A$1,$B13,DX$1)</f>
        <v>3209</v>
      </c>
      <c r="DY13" cm="1">
        <f t="array" ref="DY13">_xll.EQNXTDZ($A$1,$B13,DY$1)</f>
        <v>3421</v>
      </c>
      <c r="DZ13" cm="1">
        <f t="array" ref="DZ13">_xll.EQNXTDZ($A$1,$B13,DZ$1)</f>
        <v>3265</v>
      </c>
      <c r="EA13" cm="1">
        <f t="array" ref="EA13">_xll.EQNXTDZ($A$1,$B13,EA$1)</f>
        <v>3380</v>
      </c>
      <c r="EB13" cm="1">
        <f t="array" ref="EB13">_xll.EQNXTDZ($A$1,$B13,EB$1)</f>
        <v>3326.5</v>
      </c>
      <c r="EC13" cm="1">
        <f t="array" ref="EC13">_xll.EQNXTDZ($A$1,$B13,EC$1)</f>
        <v>3225</v>
      </c>
      <c r="ED13" cm="1">
        <f t="array" ref="ED13">_xll.EQNXTDZ($A$1,$B13,ED$1)</f>
        <v>3217</v>
      </c>
      <c r="EE13" cm="1">
        <f t="array" ref="EE13">_xll.EQNXTDZ($A$1,$B13,EE$1)</f>
        <v>3310</v>
      </c>
      <c r="EF13" cm="1">
        <f t="array" ref="EF13">_xll.EQNXTDZ($A$1,$B13,EF$1)</f>
        <v>3306.7</v>
      </c>
      <c r="EG13" cm="1">
        <f t="array" ref="EG13">_xll.EQNXTDZ($A$1,$B13,EG$1)</f>
        <v>3408.15</v>
      </c>
      <c r="EH13" cm="1">
        <f t="array" ref="EH13">_xll.EQNXTDZ($A$1,$B13,EH$1)</f>
        <v>3359.05</v>
      </c>
      <c r="EI13" cm="1">
        <f t="array" ref="EI13">_xll.EQNXTDZ($A$1,$B13,EI$1)</f>
        <v>3531.05</v>
      </c>
      <c r="EJ13" cm="1">
        <f t="array" ref="EJ13">_xll.EQNXTDZ($A$1,$B13,EJ$1)</f>
        <v>3354.75</v>
      </c>
      <c r="EK13" cm="1">
        <f t="array" ref="EK13">_xll.EQNXTDZ($A$1,$B13,EK$1)</f>
        <v>3495.1</v>
      </c>
      <c r="EL13" cm="1">
        <f t="array" ref="EL13">_xll.EQNXTDZ($A$1,$B13,EL$1)</f>
        <v>3792</v>
      </c>
      <c r="EM13" cm="1">
        <f t="array" ref="EM13">_xll.EQNXTDZ($A$1,$B13,EM$1)</f>
        <v>3816.2</v>
      </c>
      <c r="EN13" cm="1">
        <f t="array" ref="EN13">_xll.EQNXTDZ($A$1,$B13,EN$1)</f>
        <v>4095.4</v>
      </c>
      <c r="EO13" cm="1">
        <f t="array" ref="EO13">_xll.EQNXTDZ($A$1,$B13,EO$1)</f>
        <v>3900</v>
      </c>
      <c r="EP13" cm="1">
        <f t="array" ref="EP13">_xll.EQNXTDZ($A$1,$B13,EP$1)</f>
        <v>3800</v>
      </c>
      <c r="EQ13" cm="1">
        <f t="array" ref="EQ13">_xll.EQNXTDZ($A$1,$B13,EQ$1)</f>
        <v>3774.9</v>
      </c>
      <c r="ER13" cm="1">
        <f t="array" ref="ER13">_xll.EQNXTDZ($A$1,$B13,ER$1)</f>
        <v>3904</v>
      </c>
      <c r="ES13" cm="1">
        <f t="array" ref="ES13">_xll.EQNXTDZ($A$1,$B13,ES$1)</f>
        <v>4399.75</v>
      </c>
      <c r="ET13" cm="1">
        <f t="array" ref="ET13">_xll.EQNXTDZ($A$1,$B13,ET$1)</f>
        <v>4584.8500000000004</v>
      </c>
      <c r="EU13" cm="1">
        <f t="array" ref="EU13">_xll.EQNXTDZ($A$1,$B13,EU$1)</f>
        <v>4255</v>
      </c>
      <c r="EV13" cm="1">
        <f t="array" ref="EV13">_xll.EQNXTDZ($A$1,$B13,EV$1)</f>
        <v>3992.95</v>
      </c>
      <c r="EW13" cm="1">
        <f t="array" ref="EW13">_xll.EQNXTDZ($A$1,$B13,EW$1)</f>
        <v>4264.95</v>
      </c>
      <c r="EX13" cm="1">
        <f t="array" ref="EX13">_xll.EQNXTDZ($A$1,$B13,EX$1)</f>
        <v>4100</v>
      </c>
      <c r="EY13" cm="1">
        <f t="array" ref="EY13">_xll.EQNXTDZ($A$1,$B13,EY$1)</f>
        <v>4100.05</v>
      </c>
      <c r="EZ13" cm="1">
        <f t="array" ref="EZ13">_xll.EQNXTDZ($A$1,$B13,EZ$1)</f>
        <v>3499.85</v>
      </c>
      <c r="FA13" cm="1">
        <f t="array" ref="FA13">_xll.EQNXTDZ($A$1,$B13,FA$1)</f>
        <v>3588.95</v>
      </c>
      <c r="FB13" cm="1">
        <f t="array" ref="FB13">_xll.EQNXTDZ($A$1,$B13,FB$1)</f>
        <v>3474.5</v>
      </c>
      <c r="FC13" cm="1">
        <f t="array" ref="FC13">_xll.EQNXTDZ($A$1,$B13,FC$1)</f>
        <v>3462.7</v>
      </c>
      <c r="FD13" cm="1">
        <f t="array" ref="FD13">_xll.EQNXTDZ($A$1,$B13,FD$1)</f>
        <v>3460.95</v>
      </c>
      <c r="FE13" cm="1">
        <f t="array" ref="FE13">_xll.EQNXTDZ($A$1,$B13,FE$1)</f>
        <v>3021.45</v>
      </c>
      <c r="FF13" cm="1">
        <f t="array" ref="FF13">_xll.EQNXTDZ($A$1,$B13,FF$1)</f>
        <v>3096.6</v>
      </c>
      <c r="FG13" cm="1">
        <f t="array" ref="FG13">_xll.EQNXTDZ($A$1,$B13,FG$1)</f>
        <v>2889</v>
      </c>
      <c r="FH13" cm="1">
        <f t="array" ref="FH13">_xll.EQNXTDZ($A$1,$B13,FH$1)</f>
        <v>3055.75</v>
      </c>
      <c r="FI13" cm="1">
        <f t="array" ref="FI13">_xll.EQNXTDZ($A$1,$B13,FI$1)</f>
        <v>3135</v>
      </c>
      <c r="FJ13" cm="1">
        <f t="array" ref="FJ13">_xll.EQNXTDZ($A$1,$B13,FJ$1)</f>
        <v>3206.05</v>
      </c>
      <c r="FK13" cm="1">
        <f t="array" ref="FK13">_xll.EQNXTDZ($A$1,$B13,FK$1)</f>
        <v>3110.65</v>
      </c>
      <c r="FL13" cm="1">
        <f t="array" ref="FL13">_xll.EQNXTDZ($A$1,$B13,FL$1)</f>
        <v>2551.5500000000002</v>
      </c>
      <c r="FM13" cm="1">
        <f t="array" ref="FM13">_xll.EQNXTDZ($A$1,$B13,FM$1)</f>
        <v>2417.1</v>
      </c>
      <c r="FN13" cm="1">
        <f t="array" ref="FN13">_xll.EQNXTDZ($A$1,$B13,FN$1)</f>
        <v>2499.9499999999998</v>
      </c>
      <c r="FO13" cm="1">
        <f t="array" ref="FO13">_xll.EQNXTDZ($A$1,$B13,FO$1)</f>
        <v>2286.85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643.5</v>
      </c>
      <c r="D14" s="116" cm="1">
        <f t="array" ref="D14">_xll.EQNXTDZ($A$1,$B14,D$1)</f>
        <v>642.5</v>
      </c>
      <c r="E14" s="116" cm="1">
        <f t="array" ref="E14">_xll.EQNXTDZ($A$1,$B14,E$1)</f>
        <v>689.25</v>
      </c>
      <c r="F14" s="116" cm="1">
        <f t="array" ref="F14">_xll.EQNXTDZ($A$1,$B14,F$1)</f>
        <v>719</v>
      </c>
      <c r="G14" s="116" cm="1">
        <f t="array" ref="G14">_xll.EQNXTDZ($A$1,$B14,G$1)</f>
        <v>667.45</v>
      </c>
      <c r="H14" s="116" cm="1">
        <f t="array" ref="H14">_xll.EQNXTDZ($A$1,$B14,H$1)</f>
        <v>674</v>
      </c>
      <c r="I14" s="116" cm="1">
        <f t="array" ref="I14">_xll.EQNXTDZ($A$1,$B14,I$1)</f>
        <v>661</v>
      </c>
      <c r="J14" s="116" cm="1">
        <f t="array" ref="J14">_xll.EQNXTDZ($A$1,$B14,J$1)</f>
        <v>700</v>
      </c>
      <c r="K14" s="116" cm="1">
        <f t="array" ref="K14">_xll.EQNXTDZ($A$1,$B14,K$1)</f>
        <v>760</v>
      </c>
      <c r="L14" s="116" cm="1">
        <f t="array" ref="L14">_xll.EQNXTDZ($A$1,$B14,L$1)</f>
        <v>799</v>
      </c>
      <c r="M14" s="116" cm="1">
        <f t="array" ref="M14">_xll.EQNXTDZ($A$1,$B14,M$1)</f>
        <v>787.5</v>
      </c>
      <c r="N14" s="116" cm="1">
        <f t="array" ref="N14">_xll.EQNXTDZ($A$1,$B14,N$1)</f>
        <v>764.05</v>
      </c>
      <c r="O14" s="116" cm="1">
        <f t="array" ref="O14">_xll.EQNXTDZ($A$1,$B14,O$1)</f>
        <v>772.375</v>
      </c>
      <c r="P14" s="116" cm="1">
        <f t="array" ref="P14">_xll.EQNXTDZ($A$1,$B14,P$1)</f>
        <v>915.05</v>
      </c>
      <c r="Q14" s="116" cm="1">
        <f t="array" ref="Q14">_xll.EQNXTDZ($A$1,$B14,Q$1)</f>
        <v>1020</v>
      </c>
      <c r="R14" s="116" cm="1">
        <f t="array" ref="R14">_xll.EQNXTDZ($A$1,$B14,R$1)</f>
        <v>1037.925</v>
      </c>
      <c r="S14" s="116" cm="1">
        <f t="array" ref="S14">_xll.EQNXTDZ($A$1,$B14,S$1)</f>
        <v>1129.0250000000001</v>
      </c>
      <c r="T14" s="116" cm="1">
        <f t="array" ref="T14">_xll.EQNXTDZ($A$1,$B14,T$1)</f>
        <v>1074</v>
      </c>
      <c r="U14" s="116" cm="1">
        <f t="array" ref="U14">_xll.EQNXTDZ($A$1,$B14,U$1)</f>
        <v>1091.6500000000001</v>
      </c>
      <c r="V14" s="116" cm="1">
        <f t="array" ref="V14">_xll.EQNXTDZ($A$1,$B14,V$1)</f>
        <v>1192.0999999999999</v>
      </c>
      <c r="W14" s="116" cm="1">
        <f t="array" ref="W14">_xll.EQNXTDZ($A$1,$B14,W$1)</f>
        <v>1138.5</v>
      </c>
      <c r="X14" s="116" cm="1">
        <f t="array" ref="X14">_xll.EQNXTDZ($A$1,$B14,X$1)</f>
        <v>1148.45</v>
      </c>
      <c r="Y14" s="116" cm="1">
        <f t="array" ref="Y14">_xll.EQNXTDZ($A$1,$B14,Y$1)</f>
        <v>1135</v>
      </c>
      <c r="Z14" s="116" cm="1">
        <f t="array" ref="Z14">_xll.EQNXTDZ($A$1,$B14,Z$1)</f>
        <v>1126.825</v>
      </c>
      <c r="AA14" s="116" cm="1">
        <f t="array" ref="AA14">_xll.EQNXTDZ($A$1,$B14,AA$1)</f>
        <v>1213.5</v>
      </c>
      <c r="AB14" s="116" cm="1">
        <f t="array" ref="AB14">_xll.EQNXTDZ($A$1,$B14,AB$1)</f>
        <v>1306.675</v>
      </c>
      <c r="AC14" s="116" cm="1">
        <f t="array" ref="AC14">_xll.EQNXTDZ($A$1,$B14,AC$1)</f>
        <v>1294</v>
      </c>
      <c r="AD14" s="116" cm="1">
        <f t="array" ref="AD14">_xll.EQNXTDZ($A$1,$B14,AD$1)</f>
        <v>1390</v>
      </c>
      <c r="AE14" s="116" cm="1">
        <f t="array" ref="AE14">_xll.EQNXTDZ($A$1,$B14,AE$1)</f>
        <v>1417</v>
      </c>
      <c r="AF14" s="116" cm="1">
        <f t="array" ref="AF14">_xll.EQNXTDZ($A$1,$B14,AF$1)</f>
        <v>1344</v>
      </c>
      <c r="AG14" s="116" cm="1">
        <f t="array" ref="AG14">_xll.EQNXTDZ($A$1,$B14,AG$1)</f>
        <v>1354.5</v>
      </c>
      <c r="AH14" s="116" cm="1">
        <f t="array" ref="AH14">_xll.EQNXTDZ($A$1,$B14,AH$1)</f>
        <v>1299.5250000000001</v>
      </c>
      <c r="AI14" s="116" cm="1">
        <f t="array" ref="AI14">_xll.EQNXTDZ($A$1,$B14,AI$1)</f>
        <v>1363.5</v>
      </c>
      <c r="AJ14" s="116" cm="1">
        <f t="array" ref="AJ14">_xll.EQNXTDZ($A$1,$B14,AJ$1)</f>
        <v>1405</v>
      </c>
      <c r="AK14" s="116" cm="1">
        <f t="array" ref="AK14">_xll.EQNXTDZ($A$1,$B14,AK$1)</f>
        <v>1356</v>
      </c>
      <c r="AL14" s="116" cm="1">
        <f t="array" ref="AL14">_xll.EQNXTDZ($A$1,$B14,AL$1)</f>
        <v>1323.4749999999999</v>
      </c>
      <c r="AM14" s="116" cm="1">
        <f t="array" ref="AM14">_xll.EQNXTDZ($A$1,$B14,AM$1)</f>
        <v>1322.425</v>
      </c>
      <c r="AN14" s="116" cm="1">
        <f t="array" ref="AN14">_xll.EQNXTDZ($A$1,$B14,AN$1)</f>
        <v>1323.325</v>
      </c>
      <c r="AO14" s="116" cm="1">
        <f t="array" ref="AO14">_xll.EQNXTDZ($A$1,$B14,AO$1)</f>
        <v>1375.4749999999999</v>
      </c>
      <c r="AP14" s="116" cm="1">
        <f t="array" ref="AP14">_xll.EQNXTDZ($A$1,$B14,AP$1)</f>
        <v>1320.9</v>
      </c>
      <c r="AQ14" s="116" cm="1">
        <f t="array" ref="AQ14">_xll.EQNXTDZ($A$1,$B14,AQ$1)</f>
        <v>1384.5</v>
      </c>
      <c r="AR14" s="116" cm="1">
        <f t="array" ref="AR14">_xll.EQNXTDZ($A$1,$B14,AR$1)</f>
        <v>1275.5</v>
      </c>
      <c r="AS14" s="116" cm="1">
        <f t="array" ref="AS14">_xll.EQNXTDZ($A$1,$B14,AS$1)</f>
        <v>1232.25</v>
      </c>
      <c r="AT14" s="116" cm="1">
        <f t="array" ref="AT14">_xll.EQNXTDZ($A$1,$B14,AT$1)</f>
        <v>1218.175</v>
      </c>
      <c r="AU14" s="116" cm="1">
        <f t="array" ref="AU14">_xll.EQNXTDZ($A$1,$B14,AU$1)</f>
        <v>1219.9749999999999</v>
      </c>
      <c r="AV14" s="116" cm="1">
        <f t="array" ref="AV14">_xll.EQNXTDZ($A$1,$B14,AV$1)</f>
        <v>1267</v>
      </c>
      <c r="AW14" s="116" cm="1">
        <f t="array" ref="AW14">_xll.EQNXTDZ($A$1,$B14,AW$1)</f>
        <v>1276.575</v>
      </c>
      <c r="AX14" s="116" cm="1">
        <f t="array" ref="AX14">_xll.EQNXTDZ($A$1,$B14,AX$1)</f>
        <v>1322.7249999999999</v>
      </c>
      <c r="AY14" s="116" cm="1">
        <f t="array" ref="AY14">_xll.EQNXTDZ($A$1,$B14,AY$1)</f>
        <v>1337.7249999999999</v>
      </c>
      <c r="AZ14" s="116" cm="1">
        <f t="array" ref="AZ14">_xll.EQNXTDZ($A$1,$B14,AZ$1)</f>
        <v>1316</v>
      </c>
      <c r="BA14" s="116" cm="1">
        <f t="array" ref="BA14">_xll.EQNXTDZ($A$1,$B14,BA$1)</f>
        <v>1370</v>
      </c>
      <c r="BB14" s="116" cm="1">
        <f t="array" ref="BB14">_xll.EQNXTDZ($A$1,$B14,BB$1)</f>
        <v>1272</v>
      </c>
      <c r="BC14" s="116" cm="1">
        <f t="array" ref="BC14">_xll.EQNXTDZ($A$1,$B14,BC$1)</f>
        <v>1227.5</v>
      </c>
      <c r="BD14" s="116" cm="1">
        <f t="array" ref="BD14">_xll.EQNXTDZ($A$1,$B14,BD$1)</f>
        <v>1197.3</v>
      </c>
      <c r="BE14" s="116" cm="1">
        <f t="array" ref="BE14">_xll.EQNXTDZ($A$1,$B14,BE$1)</f>
        <v>1187.95</v>
      </c>
      <c r="BF14" s="116" cm="1">
        <f t="array" ref="BF14">_xll.EQNXTDZ($A$1,$B14,BF$1)</f>
        <v>1193.5</v>
      </c>
      <c r="BG14" s="116" cm="1">
        <f t="array" ref="BG14">_xll.EQNXTDZ($A$1,$B14,BG$1)</f>
        <v>1277.5</v>
      </c>
      <c r="BH14" s="116" cm="1">
        <f t="array" ref="BH14">_xll.EQNXTDZ($A$1,$B14,BH$1)</f>
        <v>1292</v>
      </c>
      <c r="BI14" s="116" cm="1">
        <f t="array" ref="BI14">_xll.EQNXTDZ($A$1,$B14,BI$1)</f>
        <v>1224</v>
      </c>
      <c r="BJ14" s="116" cm="1">
        <f t="array" ref="BJ14">_xll.EQNXTDZ($A$1,$B14,BJ$1)</f>
        <v>1318</v>
      </c>
      <c r="BK14" s="116" cm="1">
        <f t="array" ref="BK14">_xll.EQNXTDZ($A$1,$B14,BK$1)</f>
        <v>1353.7</v>
      </c>
      <c r="BL14" s="116" cm="1">
        <f t="array" ref="BL14">_xll.EQNXTDZ($A$1,$B14,BL$1)</f>
        <v>1291.8499999999999</v>
      </c>
      <c r="BM14" s="116" cm="1">
        <f t="array" ref="BM14">_xll.EQNXTDZ($A$1,$B14,BM$1)</f>
        <v>1273.5</v>
      </c>
      <c r="BN14" s="116" cm="1">
        <f t="array" ref="BN14">_xll.EQNXTDZ($A$1,$B14,BN$1)</f>
        <v>1269.8499999999999</v>
      </c>
      <c r="BO14" s="116" cm="1">
        <f t="array" ref="BO14">_xll.EQNXTDZ($A$1,$B14,BO$1)</f>
        <v>1317.45</v>
      </c>
      <c r="BP14" s="116" cm="1">
        <f t="array" ref="BP14">_xll.EQNXTDZ($A$1,$B14,BP$1)</f>
        <v>1387</v>
      </c>
      <c r="BQ14" s="116" cm="1">
        <f t="array" ref="BQ14">_xll.EQNXTDZ($A$1,$B14,BQ$1)</f>
        <v>1355.85</v>
      </c>
      <c r="BR14" s="116" cm="1">
        <f t="array" ref="BR14">_xll.EQNXTDZ($A$1,$B14,BR$1)</f>
        <v>1627.4</v>
      </c>
      <c r="BS14" s="116" cm="1">
        <f t="array" ref="BS14">_xll.EQNXTDZ($A$1,$B14,BS$1)</f>
        <v>1595</v>
      </c>
      <c r="BT14" s="116" cm="1">
        <f t="array" ref="BT14">_xll.EQNXTDZ($A$1,$B14,BT$1)</f>
        <v>1566.5</v>
      </c>
      <c r="BU14" s="116" cm="1">
        <f t="array" ref="BU14">_xll.EQNXTDZ($A$1,$B14,BU$1)</f>
        <v>1780</v>
      </c>
      <c r="BV14" s="116" cm="1">
        <f t="array" ref="BV14">_xll.EQNXTDZ($A$1,$B14,BV$1)</f>
        <v>1837</v>
      </c>
      <c r="BW14" s="116" cm="1">
        <f t="array" ref="BW14">_xll.EQNXTDZ($A$1,$B14,BW$1)</f>
        <v>1886.2</v>
      </c>
      <c r="BX14" s="116" cm="1">
        <f t="array" ref="BX14">_xll.EQNXTDZ($A$1,$B14,BX$1)</f>
        <v>2012</v>
      </c>
      <c r="BY14" s="116" cm="1">
        <f t="array" ref="BY14">_xll.EQNXTDZ($A$1,$B14,BY$1)</f>
        <v>2090.5</v>
      </c>
      <c r="BZ14" s="116" cm="1">
        <f t="array" ref="BZ14">_xll.EQNXTDZ($A$1,$B14,BZ$1)</f>
        <v>2214.15</v>
      </c>
      <c r="CA14" s="116" cm="1">
        <f t="array" ref="CA14">_xll.EQNXTDZ($A$1,$B14,CA$1)</f>
        <v>2273</v>
      </c>
      <c r="CB14" s="116" cm="1">
        <f t="array" ref="CB14">_xll.EQNXTDZ($A$1,$B14,CB$1)</f>
        <v>2000</v>
      </c>
      <c r="CC14" s="116" cm="1">
        <f t="array" ref="CC14">_xll.EQNXTDZ($A$1,$B14,CC$1)</f>
        <v>2028.4</v>
      </c>
      <c r="CD14" s="116" cm="1">
        <f t="array" ref="CD14">_xll.EQNXTDZ($A$1,$B14,CD$1)</f>
        <v>2019.5</v>
      </c>
      <c r="CE14" s="116" cm="1">
        <f t="array" ref="CE14">_xll.EQNXTDZ($A$1,$B14,CE$1)</f>
        <v>2097.8000000000002</v>
      </c>
      <c r="CF14" s="116" cm="1">
        <f t="array" ref="CF14">_xll.EQNXTDZ($A$1,$B14,CF$1)</f>
        <v>2069</v>
      </c>
      <c r="CG14" s="116" cm="1">
        <f t="array" ref="CG14">_xll.EQNXTDZ($A$1,$B14,CG$1)</f>
        <v>2265</v>
      </c>
      <c r="CH14" s="116" cm="1">
        <f t="array" ref="CH14">_xll.EQNXTDZ($A$1,$B14,CH$1)</f>
        <v>2260</v>
      </c>
      <c r="CI14" s="116" cm="1">
        <f t="array" ref="CI14">_xll.EQNXTDZ($A$1,$B14,CI$1)</f>
        <v>2290.65</v>
      </c>
      <c r="CJ14" s="116" cm="1">
        <f t="array" ref="CJ14">_xll.EQNXTDZ($A$1,$B14,CJ$1)</f>
        <v>2259.9</v>
      </c>
      <c r="CK14" s="116" cm="1">
        <f t="array" ref="CK14">_xll.EQNXTDZ($A$1,$B14,CK$1)</f>
        <v>2280.85</v>
      </c>
      <c r="CL14" s="116" cm="1">
        <f t="array" ref="CL14">_xll.EQNXTDZ($A$1,$B14,CL$1)</f>
        <v>2296</v>
      </c>
      <c r="CM14" s="116" cm="1">
        <f t="array" ref="CM14">_xll.EQNXTDZ($A$1,$B14,CM$1)</f>
        <v>2285.5</v>
      </c>
      <c r="CN14" s="116" cm="1">
        <f t="array" ref="CN14">_xll.EQNXTDZ($A$1,$B14,CN$1)</f>
        <v>2274.1999999999998</v>
      </c>
      <c r="CO14" s="116" cm="1">
        <f t="array" ref="CO14">_xll.EQNXTDZ($A$1,$B14,CO$1)</f>
        <v>2246.15</v>
      </c>
      <c r="CP14" s="116" cm="1">
        <f t="array" ref="CP14">_xll.EQNXTDZ($A$1,$B14,CP$1)</f>
        <v>2259.9499999999998</v>
      </c>
      <c r="CQ14" s="116" cm="1">
        <f t="array" ref="CQ14">_xll.EQNXTDZ($A$1,$B14,CQ$1)</f>
        <v>2228.85</v>
      </c>
      <c r="CR14" s="116" cm="1">
        <f t="array" ref="CR14">_xll.EQNXTDZ($A$1,$B14,CR$1)</f>
        <v>2147</v>
      </c>
      <c r="CS14" s="116" cm="1">
        <f t="array" ref="CS14">_xll.EQNXTDZ($A$1,$B14,CS$1)</f>
        <v>2030</v>
      </c>
      <c r="CT14" s="116" cm="1">
        <f t="array" ref="CT14">_xll.EQNXTDZ($A$1,$B14,CT$1)</f>
        <v>2030</v>
      </c>
      <c r="CU14" s="116" cm="1">
        <f t="array" ref="CU14">_xll.EQNXTDZ($A$1,$B14,CU$1)</f>
        <v>2132.0500000000002</v>
      </c>
      <c r="CV14" s="116" cm="1">
        <f t="array" ref="CV14">_xll.EQNXTDZ($A$1,$B14,CV$1)</f>
        <v>2357.15</v>
      </c>
      <c r="CW14" s="116" cm="1">
        <f t="array" ref="CW14">_xll.EQNXTDZ($A$1,$B14,CW$1)</f>
        <v>2327</v>
      </c>
      <c r="CX14" s="116" cm="1">
        <f t="array" ref="CX14">_xll.EQNXTDZ($A$1,$B14,CX$1)</f>
        <v>2554</v>
      </c>
      <c r="CY14" s="116" cm="1">
        <f t="array" ref="CY14">_xll.EQNXTDZ($A$1,$B14,CY$1)</f>
        <v>2885</v>
      </c>
      <c r="CZ14" s="116" cm="1">
        <f t="array" ref="CZ14">_xll.EQNXTDZ($A$1,$B14,CZ$1)</f>
        <v>2743.8</v>
      </c>
      <c r="DA14" s="116" cm="1">
        <f t="array" ref="DA14">_xll.EQNXTDZ($A$1,$B14,DA$1)</f>
        <v>2951.9</v>
      </c>
      <c r="DB14" s="116" cm="1">
        <f t="array" ref="DB14">_xll.EQNXTDZ($A$1,$B14,DB$1)</f>
        <v>3345.25</v>
      </c>
      <c r="DC14" s="116" cm="1">
        <f t="array" ref="DC14">_xll.EQNXTDZ($A$1,$B14,DC$1)</f>
        <v>3245.8</v>
      </c>
      <c r="DD14" s="116" cm="1">
        <f t="array" ref="DD14">_xll.EQNXTDZ($A$1,$B14,DD$1)</f>
        <v>3205</v>
      </c>
      <c r="DE14" s="116" cm="1">
        <f t="array" ref="DE14">_xll.EQNXTDZ($A$1,$B14,DE$1)</f>
        <v>3358.8</v>
      </c>
      <c r="DF14" s="116" cm="1">
        <f t="array" ref="DF14">_xll.EQNXTDZ($A$1,$B14,DF$1)</f>
        <v>3218</v>
      </c>
      <c r="DG14" s="116" cm="1">
        <f t="array" ref="DG14">_xll.EQNXTDZ($A$1,$B14,DG$1)</f>
        <v>3399</v>
      </c>
      <c r="DH14" s="116" cm="1">
        <f t="array" ref="DH14">_xll.EQNXTDZ($A$1,$B14,DH$1)</f>
        <v>3373.9</v>
      </c>
      <c r="DI14" s="116" cm="1">
        <f t="array" ref="DI14">_xll.EQNXTDZ($A$1,$B14,DI$1)</f>
        <v>3802.95</v>
      </c>
      <c r="DJ14" s="116" cm="1">
        <f t="array" ref="DJ14">_xll.EQNXTDZ($A$1,$B14,DJ$1)</f>
        <v>3981.55</v>
      </c>
      <c r="DK14" s="116" cm="1">
        <f t="array" ref="DK14">_xll.EQNXTDZ($A$1,$B14,DK$1)</f>
        <v>3990</v>
      </c>
      <c r="DL14" s="116" cm="1">
        <f t="array" ref="DL14">_xll.EQNXTDZ($A$1,$B14,DL$1)</f>
        <v>3575</v>
      </c>
      <c r="DM14" s="116" cm="1">
        <f t="array" ref="DM14">_xll.EQNXTDZ($A$1,$B14,DM$1)</f>
        <v>3759.8</v>
      </c>
      <c r="DN14" s="116" cm="1">
        <f t="array" ref="DN14">_xll.EQNXTDZ($A$1,$B14,DN$1)</f>
        <v>4045.5</v>
      </c>
      <c r="DO14" s="116" cm="1">
        <f t="array" ref="DO14">_xll.EQNXTDZ($A$1,$B14,DO$1)</f>
        <v>3882.95</v>
      </c>
      <c r="DP14" s="116" cm="1">
        <f t="array" ref="DP14">_xll.EQNXTDZ($A$1,$B14,DP$1)</f>
        <v>3778.05</v>
      </c>
      <c r="DQ14" s="116" cm="1">
        <f t="array" ref="DQ14">_xll.EQNXTDZ($A$1,$B14,DQ$1)</f>
        <v>3835.5</v>
      </c>
      <c r="DR14" s="116" cm="1">
        <f t="array" ref="DR14">_xll.EQNXTDZ($A$1,$B14,DR$1)</f>
        <v>3548.4</v>
      </c>
      <c r="DS14" s="116" cm="1">
        <f t="array" ref="DS14">_xll.EQNXTDZ($A$1,$B14,DS$1)</f>
        <v>3477.5</v>
      </c>
      <c r="DT14" s="116" cm="1">
        <f t="array" ref="DT14">_xll.EQNXTDZ($A$1,$B14,DT$1)</f>
        <v>3332.45</v>
      </c>
      <c r="DU14" s="116" cm="1">
        <f t="array" ref="DU14">_xll.EQNXTDZ($A$1,$B14,DU$1)</f>
        <v>3428</v>
      </c>
      <c r="DV14" s="116" cm="1">
        <f t="array" ref="DV14">_xll.EQNXTDZ($A$1,$B14,DV$1)</f>
        <v>3268.7</v>
      </c>
      <c r="DW14" s="116" cm="1">
        <f t="array" ref="DW14">_xll.EQNXTDZ($A$1,$B14,DW$1)</f>
        <v>3199.3</v>
      </c>
      <c r="DX14" s="116" cm="1">
        <f t="array" ref="DX14">_xll.EQNXTDZ($A$1,$B14,DX$1)</f>
        <v>3428</v>
      </c>
      <c r="DY14" s="116" cm="1">
        <f t="array" ref="DY14">_xll.EQNXTDZ($A$1,$B14,DY$1)</f>
        <v>3479.65</v>
      </c>
      <c r="DZ14" s="116" cm="1">
        <f t="array" ref="DZ14">_xll.EQNXTDZ($A$1,$B14,DZ$1)</f>
        <v>3457.95</v>
      </c>
      <c r="EA14" s="116" cm="1">
        <f t="array" ref="EA14">_xll.EQNXTDZ($A$1,$B14,EA$1)</f>
        <v>3575</v>
      </c>
      <c r="EB14" s="116" cm="1">
        <f t="array" ref="EB14">_xll.EQNXTDZ($A$1,$B14,EB$1)</f>
        <v>3404</v>
      </c>
      <c r="EC14" s="116" cm="1">
        <f t="array" ref="EC14">_xll.EQNXTDZ($A$1,$B14,EC$1)</f>
        <v>3275</v>
      </c>
      <c r="ED14" s="116" cm="1">
        <f t="array" ref="ED14">_xll.EQNXTDZ($A$1,$B14,ED$1)</f>
        <v>3372.95</v>
      </c>
      <c r="EE14" s="116" cm="1">
        <f t="array" ref="EE14">_xll.EQNXTDZ($A$1,$B14,EE$1)</f>
        <v>3339.8</v>
      </c>
      <c r="EF14" s="116" cm="1">
        <f t="array" ref="EF14">_xll.EQNXTDZ($A$1,$B14,EF$1)</f>
        <v>3549</v>
      </c>
      <c r="EG14" s="116" cm="1">
        <f t="array" ref="EG14">_xll.EQNXTDZ($A$1,$B14,EG$1)</f>
        <v>3487.75</v>
      </c>
      <c r="EH14" s="116" cm="1">
        <f t="array" ref="EH14">_xll.EQNXTDZ($A$1,$B14,EH$1)</f>
        <v>3633.05</v>
      </c>
      <c r="EI14" s="116" cm="1">
        <f t="array" ref="EI14">_xll.EQNXTDZ($A$1,$B14,EI$1)</f>
        <v>3680</v>
      </c>
      <c r="EJ14" s="116" cm="1">
        <f t="array" ref="EJ14">_xll.EQNXTDZ($A$1,$B14,EJ$1)</f>
        <v>3543.4</v>
      </c>
      <c r="EK14" s="116" cm="1">
        <f t="array" ref="EK14">_xll.EQNXTDZ($A$1,$B14,EK$1)</f>
        <v>3928.95</v>
      </c>
      <c r="EL14" s="116" cm="1">
        <f t="array" ref="EL14">_xll.EQNXTDZ($A$1,$B14,EL$1)</f>
        <v>3965</v>
      </c>
      <c r="EM14" s="116" cm="1">
        <f t="array" ref="EM14">_xll.EQNXTDZ($A$1,$B14,EM$1)</f>
        <v>4184.55</v>
      </c>
      <c r="EN14" s="116" cm="1">
        <f t="array" ref="EN14">_xll.EQNXTDZ($A$1,$B14,EN$1)</f>
        <v>4254.45</v>
      </c>
      <c r="EO14" s="116" cm="1">
        <f t="array" ref="EO14">_xll.EQNXTDZ($A$1,$B14,EO$1)</f>
        <v>4063</v>
      </c>
      <c r="EP14" s="116" cm="1">
        <f t="array" ref="EP14">_xll.EQNXTDZ($A$1,$B14,EP$1)</f>
        <v>3988.3</v>
      </c>
      <c r="EQ14" s="116" cm="1">
        <f t="array" ref="EQ14">_xll.EQNXTDZ($A$1,$B14,EQ$1)</f>
        <v>3959.95</v>
      </c>
      <c r="ER14" s="116" cm="1">
        <f t="array" ref="ER14">_xll.EQNXTDZ($A$1,$B14,ER$1)</f>
        <v>4431.25</v>
      </c>
      <c r="ES14" s="116" cm="1">
        <f t="array" ref="ES14">_xll.EQNXTDZ($A$1,$B14,ES$1)</f>
        <v>4580</v>
      </c>
      <c r="ET14" s="116" cm="1">
        <f t="array" ref="ET14">_xll.EQNXTDZ($A$1,$B14,ET$1)</f>
        <v>4585.8999999999996</v>
      </c>
      <c r="EU14" s="116" cm="1">
        <f t="array" ref="EU14">_xll.EQNXTDZ($A$1,$B14,EU$1)</f>
        <v>4299</v>
      </c>
      <c r="EV14" s="116" cm="1">
        <f t="array" ref="EV14">_xll.EQNXTDZ($A$1,$B14,EV$1)</f>
        <v>4377</v>
      </c>
      <c r="EW14" s="116" cm="1">
        <f t="array" ref="EW14">_xll.EQNXTDZ($A$1,$B14,EW$1)</f>
        <v>4494</v>
      </c>
      <c r="EX14" s="116" cm="1">
        <f t="array" ref="EX14">_xll.EQNXTDZ($A$1,$B14,EX$1)</f>
        <v>4321.6499999999996</v>
      </c>
      <c r="EY14" s="116" cm="1">
        <f t="array" ref="EY14">_xll.EQNXTDZ($A$1,$B14,EY$1)</f>
        <v>4161</v>
      </c>
      <c r="EZ14" s="116" cm="1">
        <f t="array" ref="EZ14">_xll.EQNXTDZ($A$1,$B14,EZ$1)</f>
        <v>3708.9</v>
      </c>
      <c r="FA14" s="116" cm="1">
        <f t="array" ref="FA14">_xll.EQNXTDZ($A$1,$B14,FA$1)</f>
        <v>3588.95</v>
      </c>
      <c r="FB14" s="116" cm="1">
        <f t="array" ref="FB14">_xll.EQNXTDZ($A$1,$B14,FB$1)</f>
        <v>3630</v>
      </c>
      <c r="FC14" s="116" cm="1">
        <f t="array" ref="FC14">_xll.EQNXTDZ($A$1,$B14,FC$1)</f>
        <v>3539.45</v>
      </c>
      <c r="FD14" s="116" cm="1">
        <f t="array" ref="FD14">_xll.EQNXTDZ($A$1,$B14,FD$1)</f>
        <v>3489.85</v>
      </c>
      <c r="FE14" s="116" cm="1">
        <f t="array" ref="FE14">_xll.EQNXTDZ($A$1,$B14,FE$1)</f>
        <v>3163.4</v>
      </c>
      <c r="FF14" s="116" cm="1">
        <f t="array" ref="FF14">_xll.EQNXTDZ($A$1,$B14,FF$1)</f>
        <v>3202.95</v>
      </c>
      <c r="FG14" s="116" cm="1">
        <f t="array" ref="FG14">_xll.EQNXTDZ($A$1,$B14,FG$1)</f>
        <v>3097.95</v>
      </c>
      <c r="FH14" s="116" cm="1">
        <f t="array" ref="FH14">_xll.EQNXTDZ($A$1,$B14,FH$1)</f>
        <v>3179</v>
      </c>
      <c r="FI14" s="116" cm="1">
        <f t="array" ref="FI14">_xll.EQNXTDZ($A$1,$B14,FI$1)</f>
        <v>3328.2</v>
      </c>
      <c r="FJ14" s="116" cm="1">
        <f t="array" ref="FJ14">_xll.EQNXTDZ($A$1,$B14,FJ$1)</f>
        <v>3300</v>
      </c>
      <c r="FK14" s="116" cm="1">
        <f t="array" ref="FK14">_xll.EQNXTDZ($A$1,$B14,FK$1)</f>
        <v>3336.7</v>
      </c>
      <c r="FL14" s="116" cm="1">
        <f t="array" ref="FL14">_xll.EQNXTDZ($A$1,$B14,FL$1)</f>
        <v>2634.8</v>
      </c>
      <c r="FM14" s="116" cm="1">
        <f t="array" ref="FM14">_xll.EQNXTDZ($A$1,$B14,FM$1)</f>
        <v>2613.9499999999998</v>
      </c>
      <c r="FN14" s="116" cm="1">
        <f t="array" ref="FN14">_xll.EQNXTDZ($A$1,$B14,FN$1)</f>
        <v>2499.9499999999998</v>
      </c>
      <c r="FO14" s="116" cm="1">
        <f t="array" ref="FO14">_xll.EQNXTDZ($A$1,$B14,FO$1)</f>
        <v>2457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719</v>
      </c>
      <c r="HQ14" s="116">
        <f>+MAX(G14:I14)</f>
        <v>674</v>
      </c>
      <c r="HR14" s="116">
        <f>+MAX(J14:L14)</f>
        <v>799</v>
      </c>
      <c r="HS14" s="116">
        <f>+MAX(M14:O14)</f>
        <v>787.5</v>
      </c>
      <c r="HT14" s="116">
        <f>+MAX(P14:R14)</f>
        <v>1037.925</v>
      </c>
      <c r="HU14" s="116">
        <f>+MAX(S14:U14)</f>
        <v>1129.0250000000001</v>
      </c>
      <c r="HV14" s="116">
        <f>+MAX(V14:X14)</f>
        <v>1192.0999999999999</v>
      </c>
      <c r="HW14" s="116">
        <f>+MAX(Y14:AA14)</f>
        <v>1213.5</v>
      </c>
      <c r="HX14" s="116">
        <f>+MAX(AB14:AD14)</f>
        <v>1390</v>
      </c>
      <c r="HY14" s="116">
        <f>+MAX(AE14:AG14)</f>
        <v>1417</v>
      </c>
      <c r="HZ14" s="116">
        <f>+MAX(AH14:AJ14)</f>
        <v>1405</v>
      </c>
      <c r="IA14" s="116">
        <f>+MAX(AK14:AM14)</f>
        <v>1356</v>
      </c>
      <c r="IB14" s="116">
        <f>+MAX(AN14:AP14)</f>
        <v>1375.4749999999999</v>
      </c>
      <c r="IC14" s="116">
        <f>+MAX(AQ14:AS14)</f>
        <v>1384.5</v>
      </c>
      <c r="ID14" s="116">
        <f>+MAX(AT14:AV14)</f>
        <v>1267</v>
      </c>
      <c r="IE14" s="116">
        <f>+MAX(AW14:AY14)</f>
        <v>1337.7249999999999</v>
      </c>
      <c r="IF14" s="116">
        <f>+MAX(AZ14:BB14)</f>
        <v>1370</v>
      </c>
      <c r="IG14" s="116">
        <f>+MAX(BC14:BE14)</f>
        <v>1227.5</v>
      </c>
      <c r="IH14" s="116">
        <f>+MAX(BF14:BH14)</f>
        <v>1292</v>
      </c>
      <c r="II14" s="116">
        <f>+MAX(BI14:BK14)</f>
        <v>1353.7</v>
      </c>
      <c r="IJ14" s="116">
        <f>+MAX(BL14:BN14)</f>
        <v>1291.8499999999999</v>
      </c>
      <c r="IK14" s="116">
        <f>+MAX(BO14:BQ14)</f>
        <v>1387</v>
      </c>
      <c r="IL14" s="116">
        <f>+MAX(BR14:BT14)</f>
        <v>1627.4</v>
      </c>
      <c r="IM14" s="116">
        <f>+MAX(BU14:BW14)</f>
        <v>1886.2</v>
      </c>
      <c r="IN14" s="116">
        <f>+MAX(BX14:BZ14)</f>
        <v>2214.15</v>
      </c>
      <c r="IO14" s="116">
        <f>+MAX(CA14:CC14)</f>
        <v>2273</v>
      </c>
      <c r="IP14" s="116">
        <f>+MAX(CD14:CF14)</f>
        <v>2097.8000000000002</v>
      </c>
      <c r="IQ14" s="116">
        <f>+MAX(CG14:CI14)</f>
        <v>2290.65</v>
      </c>
      <c r="IR14" s="116">
        <f>+MAX(CJ14:CL14)</f>
        <v>2296</v>
      </c>
      <c r="IS14" s="116">
        <f>+MAX(CM14:CO14)</f>
        <v>2285.5</v>
      </c>
      <c r="IT14" s="116">
        <f>+MAX(CP14:CR14)</f>
        <v>2259.9499999999998</v>
      </c>
      <c r="IU14" s="116">
        <f>+MAX(CS14:CU14)</f>
        <v>2132.0500000000002</v>
      </c>
      <c r="IV14" s="116">
        <f>+MAX(CV14:CX14)</f>
        <v>2554</v>
      </c>
      <c r="IW14" s="116">
        <f>+MAX(CY14:DA14)</f>
        <v>2951.9</v>
      </c>
      <c r="IX14" s="116">
        <f>+MAX(DB14:DD14)</f>
        <v>3345.25</v>
      </c>
      <c r="IY14" s="116">
        <f>+MAX(DE14:DG14)</f>
        <v>3399</v>
      </c>
      <c r="IZ14" s="116">
        <f>+MAX(DH14:DJ14)</f>
        <v>3981.55</v>
      </c>
      <c r="JA14" s="116">
        <f>+MAX(DK14:DM14)</f>
        <v>3990</v>
      </c>
      <c r="JB14" s="116">
        <f>+MAX(DN14:DP14)</f>
        <v>4045.5</v>
      </c>
      <c r="JC14" s="116">
        <f>+MAX(DQ14:DS14)</f>
        <v>3835.5</v>
      </c>
      <c r="JD14" s="116">
        <f>+MAX(DT14:DV14)</f>
        <v>3428</v>
      </c>
      <c r="JE14" s="116">
        <f>+MAX(DW14:DY14)</f>
        <v>3479.65</v>
      </c>
      <c r="JF14" s="116">
        <f>+MAX(DZ14:EB14)</f>
        <v>3575</v>
      </c>
      <c r="JG14" s="116">
        <f>+MAX(EC14:EE14)</f>
        <v>3372.95</v>
      </c>
      <c r="JH14" s="116">
        <f>+MAX(EF14:EH14)</f>
        <v>3633.05</v>
      </c>
      <c r="JI14" s="116">
        <f>+MAX(EI14:EK14)</f>
        <v>3928.95</v>
      </c>
      <c r="JJ14" s="116">
        <f>+MAX(EL14:EN14)</f>
        <v>4254.45</v>
      </c>
      <c r="JK14" s="116">
        <f>MAX(EO14:EQ14)</f>
        <v>4063</v>
      </c>
      <c r="JL14" s="116">
        <f>MAX(ER14:ET14)</f>
        <v>4585.8999999999996</v>
      </c>
      <c r="JM14" s="116">
        <f>MAX(EU14:EW14)</f>
        <v>4494</v>
      </c>
      <c r="JN14" s="116">
        <f>MAX(EX14:EZ14)</f>
        <v>4321.6499999999996</v>
      </c>
      <c r="JO14" s="116">
        <f>MAX(FA14:FC14)</f>
        <v>3630</v>
      </c>
      <c r="JP14" s="116">
        <f>MAX(FD14:FF14)</f>
        <v>3489.85</v>
      </c>
      <c r="JQ14" s="116">
        <f>MAX(FG14:FI14)</f>
        <v>3328.2</v>
      </c>
      <c r="JR14" s="116">
        <f>MAX(FJ14:FL14)</f>
        <v>3336.7</v>
      </c>
      <c r="JS14" s="116">
        <f>MAX(FM14:FO14)</f>
        <v>2613.9499999999998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595</v>
      </c>
      <c r="D15" s="116" cm="1">
        <f t="array" ref="D15">_xll.EQNXTDZ($A$1,$B15,D$1)</f>
        <v>587.75</v>
      </c>
      <c r="E15" s="116" cm="1">
        <f t="array" ref="E15">_xll.EQNXTDZ($A$1,$B15,E$1)</f>
        <v>609.04999999999995</v>
      </c>
      <c r="F15" s="116" cm="1">
        <f t="array" ref="F15">_xll.EQNXTDZ($A$1,$B15,F$1)</f>
        <v>630.54999999999995</v>
      </c>
      <c r="G15" s="116" cm="1">
        <f t="array" ref="G15">_xll.EQNXTDZ($A$1,$B15,G$1)</f>
        <v>634.97500000000002</v>
      </c>
      <c r="H15" s="116" cm="1">
        <f t="array" ref="H15">_xll.EQNXTDZ($A$1,$B15,H$1)</f>
        <v>628.57500000000005</v>
      </c>
      <c r="I15" s="116" cm="1">
        <f t="array" ref="I15">_xll.EQNXTDZ($A$1,$B15,I$1)</f>
        <v>598.79999999999995</v>
      </c>
      <c r="J15" s="116" cm="1">
        <f t="array" ref="J15">_xll.EQNXTDZ($A$1,$B15,J$1)</f>
        <v>627.5</v>
      </c>
      <c r="K15" s="116" cm="1">
        <f t="array" ref="K15">_xll.EQNXTDZ($A$1,$B15,K$1)</f>
        <v>670.5</v>
      </c>
      <c r="L15" s="116" cm="1">
        <f t="array" ref="L15">_xll.EQNXTDZ($A$1,$B15,L$1)</f>
        <v>745.125</v>
      </c>
      <c r="M15" s="116" cm="1">
        <f t="array" ref="M15">_xll.EQNXTDZ($A$1,$B15,M$1)</f>
        <v>682</v>
      </c>
      <c r="N15" s="116" cm="1">
        <f t="array" ref="N15">_xll.EQNXTDZ($A$1,$B15,N$1)</f>
        <v>687</v>
      </c>
      <c r="O15" s="116" cm="1">
        <f t="array" ref="O15">_xll.EQNXTDZ($A$1,$B15,O$1)</f>
        <v>691.05</v>
      </c>
      <c r="P15" s="116" cm="1">
        <f t="array" ref="P15">_xll.EQNXTDZ($A$1,$B15,P$1)</f>
        <v>732.625</v>
      </c>
      <c r="Q15" s="116" cm="1">
        <f t="array" ref="Q15">_xll.EQNXTDZ($A$1,$B15,Q$1)</f>
        <v>845.5</v>
      </c>
      <c r="R15" s="116" cm="1">
        <f t="array" ref="R15">_xll.EQNXTDZ($A$1,$B15,R$1)</f>
        <v>947.55</v>
      </c>
      <c r="S15" s="116" cm="1">
        <f t="array" ref="S15">_xll.EQNXTDZ($A$1,$B15,S$1)</f>
        <v>955.55</v>
      </c>
      <c r="T15" s="116" cm="1">
        <f t="array" ref="T15">_xll.EQNXTDZ($A$1,$B15,T$1)</f>
        <v>985.05</v>
      </c>
      <c r="U15" s="116" cm="1">
        <f t="array" ref="U15">_xll.EQNXTDZ($A$1,$B15,U$1)</f>
        <v>980</v>
      </c>
      <c r="V15" s="116" cm="1">
        <f t="array" ref="V15">_xll.EQNXTDZ($A$1,$B15,V$1)</f>
        <v>1075</v>
      </c>
      <c r="W15" s="116" cm="1">
        <f t="array" ref="W15">_xll.EQNXTDZ($A$1,$B15,W$1)</f>
        <v>1044</v>
      </c>
      <c r="X15" s="116" cm="1">
        <f t="array" ref="X15">_xll.EQNXTDZ($A$1,$B15,X$1)</f>
        <v>1007.35</v>
      </c>
      <c r="Y15" s="116" cm="1">
        <f t="array" ref="Y15">_xll.EQNXTDZ($A$1,$B15,Y$1)</f>
        <v>1050.575</v>
      </c>
      <c r="Z15" s="116" cm="1">
        <f t="array" ref="Z15">_xll.EQNXTDZ($A$1,$B15,Z$1)</f>
        <v>1000.25</v>
      </c>
      <c r="AA15" s="116" cm="1">
        <f t="array" ref="AA15">_xll.EQNXTDZ($A$1,$B15,AA$1)</f>
        <v>1031.25</v>
      </c>
      <c r="AB15" s="116" cm="1">
        <f t="array" ref="AB15">_xll.EQNXTDZ($A$1,$B15,AB$1)</f>
        <v>1168</v>
      </c>
      <c r="AC15" s="116" cm="1">
        <f t="array" ref="AC15">_xll.EQNXTDZ($A$1,$B15,AC$1)</f>
        <v>1212.9749999999999</v>
      </c>
      <c r="AD15" s="116" cm="1">
        <f t="array" ref="AD15">_xll.EQNXTDZ($A$1,$B15,AD$1)</f>
        <v>1257.5</v>
      </c>
      <c r="AE15" s="116" cm="1">
        <f t="array" ref="AE15">_xll.EQNXTDZ($A$1,$B15,AE$1)</f>
        <v>1207.825</v>
      </c>
      <c r="AF15" s="116" cm="1">
        <f t="array" ref="AF15">_xll.EQNXTDZ($A$1,$B15,AF$1)</f>
        <v>1275.5</v>
      </c>
      <c r="AG15" s="116" cm="1">
        <f t="array" ref="AG15">_xll.EQNXTDZ($A$1,$B15,AG$1)</f>
        <v>1174.125</v>
      </c>
      <c r="AH15" s="116" cm="1">
        <f t="array" ref="AH15">_xll.EQNXTDZ($A$1,$B15,AH$1)</f>
        <v>1203.7</v>
      </c>
      <c r="AI15" s="116" cm="1">
        <f t="array" ref="AI15">_xll.EQNXTDZ($A$1,$B15,AI$1)</f>
        <v>1218</v>
      </c>
      <c r="AJ15" s="116" cm="1">
        <f t="array" ref="AJ15">_xll.EQNXTDZ($A$1,$B15,AJ$1)</f>
        <v>1250.825</v>
      </c>
      <c r="AK15" s="116" cm="1">
        <f t="array" ref="AK15">_xll.EQNXTDZ($A$1,$B15,AK$1)</f>
        <v>1201</v>
      </c>
      <c r="AL15" s="116" cm="1">
        <f t="array" ref="AL15">_xll.EQNXTDZ($A$1,$B15,AL$1)</f>
        <v>1228.3</v>
      </c>
      <c r="AM15" s="116" cm="1">
        <f t="array" ref="AM15">_xll.EQNXTDZ($A$1,$B15,AM$1)</f>
        <v>1238.5</v>
      </c>
      <c r="AN15" s="116" cm="1">
        <f t="array" ref="AN15">_xll.EQNXTDZ($A$1,$B15,AN$1)</f>
        <v>1227.5</v>
      </c>
      <c r="AO15" s="116" cm="1">
        <f t="array" ref="AO15">_xll.EQNXTDZ($A$1,$B15,AO$1)</f>
        <v>1242.9000000000001</v>
      </c>
      <c r="AP15" s="116" cm="1">
        <f t="array" ref="AP15">_xll.EQNXTDZ($A$1,$B15,AP$1)</f>
        <v>1246.95</v>
      </c>
      <c r="AQ15" s="116" cm="1">
        <f t="array" ref="AQ15">_xll.EQNXTDZ($A$1,$B15,AQ$1)</f>
        <v>1229</v>
      </c>
      <c r="AR15" s="116" cm="1">
        <f t="array" ref="AR15">_xll.EQNXTDZ($A$1,$B15,AR$1)</f>
        <v>1166.5</v>
      </c>
      <c r="AS15" s="116" cm="1">
        <f t="array" ref="AS15">_xll.EQNXTDZ($A$1,$B15,AS$1)</f>
        <v>1158.325</v>
      </c>
      <c r="AT15" s="116" cm="1">
        <f t="array" ref="AT15">_xll.EQNXTDZ($A$1,$B15,AT$1)</f>
        <v>1121.875</v>
      </c>
      <c r="AU15" s="116" cm="1">
        <f t="array" ref="AU15">_xll.EQNXTDZ($A$1,$B15,AU$1)</f>
        <v>1059.5</v>
      </c>
      <c r="AV15" s="116" cm="1">
        <f t="array" ref="AV15">_xll.EQNXTDZ($A$1,$B15,AV$1)</f>
        <v>1081.75</v>
      </c>
      <c r="AW15" s="116" cm="1">
        <f t="array" ref="AW15">_xll.EQNXTDZ($A$1,$B15,AW$1)</f>
        <v>1202.4749999999999</v>
      </c>
      <c r="AX15" s="116" cm="1">
        <f t="array" ref="AX15">_xll.EQNXTDZ($A$1,$B15,AX$1)</f>
        <v>1216</v>
      </c>
      <c r="AY15" s="116" cm="1">
        <f t="array" ref="AY15">_xll.EQNXTDZ($A$1,$B15,AY$1)</f>
        <v>1227.5</v>
      </c>
      <c r="AZ15" s="116" cm="1">
        <f t="array" ref="AZ15">_xll.EQNXTDZ($A$1,$B15,AZ$1)</f>
        <v>1202.25</v>
      </c>
      <c r="BA15" s="116" cm="1">
        <f t="array" ref="BA15">_xll.EQNXTDZ($A$1,$B15,BA$1)</f>
        <v>1235.575</v>
      </c>
      <c r="BB15" s="116" cm="1">
        <f t="array" ref="BB15">_xll.EQNXTDZ($A$1,$B15,BB$1)</f>
        <v>1143.5</v>
      </c>
      <c r="BC15" s="116" cm="1">
        <f t="array" ref="BC15">_xll.EQNXTDZ($A$1,$B15,BC$1)</f>
        <v>1149.425</v>
      </c>
      <c r="BD15" s="116" cm="1">
        <f t="array" ref="BD15">_xll.EQNXTDZ($A$1,$B15,BD$1)</f>
        <v>1027.3499999999999</v>
      </c>
      <c r="BE15" s="116" cm="1">
        <f t="array" ref="BE15">_xll.EQNXTDZ($A$1,$B15,BE$1)</f>
        <v>1075.5</v>
      </c>
      <c r="BF15" s="116" cm="1">
        <f t="array" ref="BF15">_xll.EQNXTDZ($A$1,$B15,BF$1)</f>
        <v>1103.2750000000001</v>
      </c>
      <c r="BG15" s="116" cm="1">
        <f t="array" ref="BG15">_xll.EQNXTDZ($A$1,$B15,BG$1)</f>
        <v>1077.1500000000001</v>
      </c>
      <c r="BH15" s="116" cm="1">
        <f t="array" ref="BH15">_xll.EQNXTDZ($A$1,$B15,BH$1)</f>
        <v>1203.5</v>
      </c>
      <c r="BI15" s="116" cm="1">
        <f t="array" ref="BI15">_xll.EQNXTDZ($A$1,$B15,BI$1)</f>
        <v>1127.5</v>
      </c>
      <c r="BJ15" s="116" cm="1">
        <f t="array" ref="BJ15">_xll.EQNXTDZ($A$1,$B15,BJ$1)</f>
        <v>1135.7249999999999</v>
      </c>
      <c r="BK15" s="116" cm="1">
        <f t="array" ref="BK15">_xll.EQNXTDZ($A$1,$B15,BK$1)</f>
        <v>1162.5</v>
      </c>
      <c r="BL15" s="116" cm="1">
        <f t="array" ref="BL15">_xll.EQNXTDZ($A$1,$B15,BL$1)</f>
        <v>1162.5</v>
      </c>
      <c r="BM15" s="116" cm="1">
        <f t="array" ref="BM15">_xll.EQNXTDZ($A$1,$B15,BM$1)</f>
        <v>1229</v>
      </c>
      <c r="BN15" s="116" cm="1">
        <f t="array" ref="BN15">_xll.EQNXTDZ($A$1,$B15,BN$1)</f>
        <v>1210.325</v>
      </c>
      <c r="BO15" s="116" cm="1">
        <f t="array" ref="BO15">_xll.EQNXTDZ($A$1,$B15,BO$1)</f>
        <v>1212.5</v>
      </c>
      <c r="BP15" s="116" cm="1">
        <f t="array" ref="BP15">_xll.EQNXTDZ($A$1,$B15,BP$1)</f>
        <v>1290.55</v>
      </c>
      <c r="BQ15" s="116" cm="1">
        <f t="array" ref="BQ15">_xll.EQNXTDZ($A$1,$B15,BQ$1)</f>
        <v>1248.45</v>
      </c>
      <c r="BR15" s="116" cm="1">
        <f t="array" ref="BR15">_xll.EQNXTDZ($A$1,$B15,BR$1)</f>
        <v>1311.35</v>
      </c>
      <c r="BS15" s="116" cm="1">
        <f t="array" ref="BS15">_xll.EQNXTDZ($A$1,$B15,BS$1)</f>
        <v>1447.125</v>
      </c>
      <c r="BT15" s="116" cm="1">
        <f t="array" ref="BT15">_xll.EQNXTDZ($A$1,$B15,BT$1)</f>
        <v>1391.15</v>
      </c>
      <c r="BU15" s="116" cm="1">
        <f t="array" ref="BU15">_xll.EQNXTDZ($A$1,$B15,BU$1)</f>
        <v>1422.5</v>
      </c>
      <c r="BV15" s="116" cm="1">
        <f t="array" ref="BV15">_xll.EQNXTDZ($A$1,$B15,BV$1)</f>
        <v>1699.425</v>
      </c>
      <c r="BW15" s="116" cm="1">
        <f t="array" ref="BW15">_xll.EQNXTDZ($A$1,$B15,BW$1)</f>
        <v>1712.9</v>
      </c>
      <c r="BX15" s="116" cm="1">
        <f t="array" ref="BX15">_xll.EQNXTDZ($A$1,$B15,BX$1)</f>
        <v>1829.95</v>
      </c>
      <c r="BY15" s="116" cm="1">
        <f t="array" ref="BY15">_xll.EQNXTDZ($A$1,$B15,BY$1)</f>
        <v>1941</v>
      </c>
      <c r="BZ15" s="116" cm="1">
        <f t="array" ref="BZ15">_xll.EQNXTDZ($A$1,$B15,BZ$1)</f>
        <v>2018.85</v>
      </c>
      <c r="CA15" s="116" cm="1">
        <f t="array" ref="CA15">_xll.EQNXTDZ($A$1,$B15,CA$1)</f>
        <v>1784</v>
      </c>
      <c r="CB15" s="116" cm="1">
        <f t="array" ref="CB15">_xll.EQNXTDZ($A$1,$B15,CB$1)</f>
        <v>1787</v>
      </c>
      <c r="CC15" s="116" cm="1">
        <f t="array" ref="CC15">_xll.EQNXTDZ($A$1,$B15,CC$1)</f>
        <v>1872</v>
      </c>
      <c r="CD15" s="116" cm="1">
        <f t="array" ref="CD15">_xll.EQNXTDZ($A$1,$B15,CD$1)</f>
        <v>1809.55</v>
      </c>
      <c r="CE15" s="116" cm="1">
        <f t="array" ref="CE15">_xll.EQNXTDZ($A$1,$B15,CE$1)</f>
        <v>1882</v>
      </c>
      <c r="CF15" s="116" cm="1">
        <f t="array" ref="CF15">_xll.EQNXTDZ($A$1,$B15,CF$1)</f>
        <v>1959</v>
      </c>
      <c r="CG15" s="116" cm="1">
        <f t="array" ref="CG15">_xll.EQNXTDZ($A$1,$B15,CG$1)</f>
        <v>2006</v>
      </c>
      <c r="CH15" s="116" cm="1">
        <f t="array" ref="CH15">_xll.EQNXTDZ($A$1,$B15,CH$1)</f>
        <v>2034</v>
      </c>
      <c r="CI15" s="116" cm="1">
        <f t="array" ref="CI15">_xll.EQNXTDZ($A$1,$B15,CI$1)</f>
        <v>2145.1999999999998</v>
      </c>
      <c r="CJ15" s="116" cm="1">
        <f t="array" ref="CJ15">_xll.EQNXTDZ($A$1,$B15,CJ$1)</f>
        <v>2060</v>
      </c>
      <c r="CK15" s="116" cm="1">
        <f t="array" ref="CK15">_xll.EQNXTDZ($A$1,$B15,CK$1)</f>
        <v>2145.9</v>
      </c>
      <c r="CL15" s="116" cm="1">
        <f t="array" ref="CL15">_xll.EQNXTDZ($A$1,$B15,CL$1)</f>
        <v>1975</v>
      </c>
      <c r="CM15" s="116" cm="1">
        <f t="array" ref="CM15">_xll.EQNXTDZ($A$1,$B15,CM$1)</f>
        <v>1929</v>
      </c>
      <c r="CN15" s="116" cm="1">
        <f t="array" ref="CN15">_xll.EQNXTDZ($A$1,$B15,CN$1)</f>
        <v>2036</v>
      </c>
      <c r="CO15" s="116" cm="1">
        <f t="array" ref="CO15">_xll.EQNXTDZ($A$1,$B15,CO$1)</f>
        <v>1983.85</v>
      </c>
      <c r="CP15" s="116" cm="1">
        <f t="array" ref="CP15">_xll.EQNXTDZ($A$1,$B15,CP$1)</f>
        <v>2072.4</v>
      </c>
      <c r="CQ15" s="116" cm="1">
        <f t="array" ref="CQ15">_xll.EQNXTDZ($A$1,$B15,CQ$1)</f>
        <v>1990.4</v>
      </c>
      <c r="CR15" s="116" cm="1">
        <f t="array" ref="CR15">_xll.EQNXTDZ($A$1,$B15,CR$1)</f>
        <v>1504.4</v>
      </c>
      <c r="CS15" s="116" cm="1">
        <f t="array" ref="CS15">_xll.EQNXTDZ($A$1,$B15,CS$1)</f>
        <v>1650</v>
      </c>
      <c r="CT15" s="116" cm="1">
        <f t="array" ref="CT15">_xll.EQNXTDZ($A$1,$B15,CT$1)</f>
        <v>1867</v>
      </c>
      <c r="CU15" s="116" cm="1">
        <f t="array" ref="CU15">_xll.EQNXTDZ($A$1,$B15,CU$1)</f>
        <v>1982</v>
      </c>
      <c r="CV15" s="116" cm="1">
        <f t="array" ref="CV15">_xll.EQNXTDZ($A$1,$B15,CV$1)</f>
        <v>2081.5500000000002</v>
      </c>
      <c r="CW15" s="116" cm="1">
        <f t="array" ref="CW15">_xll.EQNXTDZ($A$1,$B15,CW$1)</f>
        <v>2217.0500000000002</v>
      </c>
      <c r="CX15" s="116" cm="1">
        <f t="array" ref="CX15">_xll.EQNXTDZ($A$1,$B15,CX$1)</f>
        <v>2241.5</v>
      </c>
      <c r="CY15" s="116" cm="1">
        <f t="array" ref="CY15">_xll.EQNXTDZ($A$1,$B15,CY$1)</f>
        <v>2492</v>
      </c>
      <c r="CZ15" s="116" cm="1">
        <f t="array" ref="CZ15">_xll.EQNXTDZ($A$1,$B15,CZ$1)</f>
        <v>2600</v>
      </c>
      <c r="DA15" s="116" cm="1">
        <f t="array" ref="DA15">_xll.EQNXTDZ($A$1,$B15,DA$1)</f>
        <v>2625.1</v>
      </c>
      <c r="DB15" s="116" cm="1">
        <f t="array" ref="DB15">_xll.EQNXTDZ($A$1,$B15,DB$1)</f>
        <v>2877.3</v>
      </c>
      <c r="DC15" s="116" cm="1">
        <f t="array" ref="DC15">_xll.EQNXTDZ($A$1,$B15,DC$1)</f>
        <v>2701</v>
      </c>
      <c r="DD15" s="116" cm="1">
        <f t="array" ref="DD15">_xll.EQNXTDZ($A$1,$B15,DD$1)</f>
        <v>2900</v>
      </c>
      <c r="DE15" s="116" cm="1">
        <f t="array" ref="DE15">_xll.EQNXTDZ($A$1,$B15,DE$1)</f>
        <v>3021</v>
      </c>
      <c r="DF15" s="116" cm="1">
        <f t="array" ref="DF15">_xll.EQNXTDZ($A$1,$B15,DF$1)</f>
        <v>3004.8</v>
      </c>
      <c r="DG15" s="116" cm="1">
        <f t="array" ref="DG15">_xll.EQNXTDZ($A$1,$B15,DG$1)</f>
        <v>3116.15</v>
      </c>
      <c r="DH15" s="116" cm="1">
        <f t="array" ref="DH15">_xll.EQNXTDZ($A$1,$B15,DH$1)</f>
        <v>3133.2</v>
      </c>
      <c r="DI15" s="116" cm="1">
        <f t="array" ref="DI15">_xll.EQNXTDZ($A$1,$B15,DI$1)</f>
        <v>3166.05</v>
      </c>
      <c r="DJ15" s="116" cm="1">
        <f t="array" ref="DJ15">_xll.EQNXTDZ($A$1,$B15,DJ$1)</f>
        <v>3706</v>
      </c>
      <c r="DK15" s="116" cm="1">
        <f t="array" ref="DK15">_xll.EQNXTDZ($A$1,$B15,DK$1)</f>
        <v>3386</v>
      </c>
      <c r="DL15" s="116" cm="1">
        <f t="array" ref="DL15">_xll.EQNXTDZ($A$1,$B15,DL$1)</f>
        <v>3407.55</v>
      </c>
      <c r="DM15" s="116" cm="1">
        <f t="array" ref="DM15">_xll.EQNXTDZ($A$1,$B15,DM$1)</f>
        <v>3509.85</v>
      </c>
      <c r="DN15" s="116" cm="1">
        <f t="array" ref="DN15">_xll.EQNXTDZ($A$1,$B15,DN$1)</f>
        <v>3626.25</v>
      </c>
      <c r="DO15" s="116" cm="1">
        <f t="array" ref="DO15">_xll.EQNXTDZ($A$1,$B15,DO$1)</f>
        <v>3392.05</v>
      </c>
      <c r="DP15" s="116" cm="1">
        <f t="array" ref="DP15">_xll.EQNXTDZ($A$1,$B15,DP$1)</f>
        <v>3351</v>
      </c>
      <c r="DQ15" s="116" cm="1">
        <f t="array" ref="DQ15">_xll.EQNXTDZ($A$1,$B15,DQ$1)</f>
        <v>3440</v>
      </c>
      <c r="DR15" s="116" cm="1">
        <f t="array" ref="DR15">_xll.EQNXTDZ($A$1,$B15,DR$1)</f>
        <v>3155</v>
      </c>
      <c r="DS15" s="116" cm="1">
        <f t="array" ref="DS15">_xll.EQNXTDZ($A$1,$B15,DS$1)</f>
        <v>3023.35</v>
      </c>
      <c r="DT15" s="116" cm="1">
        <f t="array" ref="DT15">_xll.EQNXTDZ($A$1,$B15,DT$1)</f>
        <v>2953</v>
      </c>
      <c r="DU15" s="116" cm="1">
        <f t="array" ref="DU15">_xll.EQNXTDZ($A$1,$B15,DU$1)</f>
        <v>3081.3</v>
      </c>
      <c r="DV15" s="116" cm="1">
        <f t="array" ref="DV15">_xll.EQNXTDZ($A$1,$B15,DV$1)</f>
        <v>2926</v>
      </c>
      <c r="DW15" s="116" cm="1">
        <f t="array" ref="DW15">_xll.EQNXTDZ($A$1,$B15,DW$1)</f>
        <v>2973.85</v>
      </c>
      <c r="DX15" s="116" cm="1">
        <f t="array" ref="DX15">_xll.EQNXTDZ($A$1,$B15,DX$1)</f>
        <v>3168</v>
      </c>
      <c r="DY15" s="116" cm="1">
        <f t="array" ref="DY15">_xll.EQNXTDZ($A$1,$B15,DY$1)</f>
        <v>3164</v>
      </c>
      <c r="DZ15" s="116" cm="1">
        <f t="array" ref="DZ15">_xll.EQNXTDZ($A$1,$B15,DZ$1)</f>
        <v>3200</v>
      </c>
      <c r="EA15" s="116" cm="1">
        <f t="array" ref="EA15">_xll.EQNXTDZ($A$1,$B15,EA$1)</f>
        <v>3300.05</v>
      </c>
      <c r="EB15" s="116" cm="1">
        <f t="array" ref="EB15">_xll.EQNXTDZ($A$1,$B15,EB$1)</f>
        <v>3096.1</v>
      </c>
      <c r="EC15" s="116" cm="1">
        <f t="array" ref="EC15">_xll.EQNXTDZ($A$1,$B15,EC$1)</f>
        <v>3070.3</v>
      </c>
      <c r="ED15" s="116" cm="1">
        <f t="array" ref="ED15">_xll.EQNXTDZ($A$1,$B15,ED$1)</f>
        <v>3174.05</v>
      </c>
      <c r="EE15" s="116" cm="1">
        <f t="array" ref="EE15">_xll.EQNXTDZ($A$1,$B15,EE$1)</f>
        <v>3156.2</v>
      </c>
      <c r="EF15" s="116" cm="1">
        <f t="array" ref="EF15">_xll.EQNXTDZ($A$1,$B15,EF$1)</f>
        <v>3250</v>
      </c>
      <c r="EG15" s="116" cm="1">
        <f t="array" ref="EG15">_xll.EQNXTDZ($A$1,$B15,EG$1)</f>
        <v>3345</v>
      </c>
      <c r="EH15" s="116" cm="1">
        <f t="array" ref="EH15">_xll.EQNXTDZ($A$1,$B15,EH$1)</f>
        <v>3357.05</v>
      </c>
      <c r="EI15" s="116" cm="1">
        <f t="array" ref="EI15">_xll.EQNXTDZ($A$1,$B15,EI$1)</f>
        <v>3330.4</v>
      </c>
      <c r="EJ15" s="116" cm="1">
        <f t="array" ref="EJ15">_xll.EQNXTDZ($A$1,$B15,EJ$1)</f>
        <v>3313</v>
      </c>
      <c r="EK15" s="116" cm="1">
        <f t="array" ref="EK15">_xll.EQNXTDZ($A$1,$B15,EK$1)</f>
        <v>3490</v>
      </c>
      <c r="EL15" s="116" cm="1">
        <f t="array" ref="EL15">_xll.EQNXTDZ($A$1,$B15,EL$1)</f>
        <v>3651.55</v>
      </c>
      <c r="EM15" s="116" cm="1">
        <f t="array" ref="EM15">_xll.EQNXTDZ($A$1,$B15,EM$1)</f>
        <v>3805</v>
      </c>
      <c r="EN15" s="116" cm="1">
        <f t="array" ref="EN15">_xll.EQNXTDZ($A$1,$B15,EN$1)</f>
        <v>3828.55</v>
      </c>
      <c r="EO15" s="116" cm="1">
        <f t="array" ref="EO15">_xll.EQNXTDZ($A$1,$B15,EO$1)</f>
        <v>3801</v>
      </c>
      <c r="EP15" s="116" cm="1">
        <f t="array" ref="EP15">_xll.EQNXTDZ($A$1,$B15,EP$1)</f>
        <v>3655</v>
      </c>
      <c r="EQ15" s="116" cm="1">
        <f t="array" ref="EQ15">_xll.EQNXTDZ($A$1,$B15,EQ$1)</f>
        <v>3593.3</v>
      </c>
      <c r="ER15" s="116" cm="1">
        <f t="array" ref="ER15">_xll.EQNXTDZ($A$1,$B15,ER$1)</f>
        <v>3886.05</v>
      </c>
      <c r="ES15" s="116" cm="1">
        <f t="array" ref="ES15">_xll.EQNXTDZ($A$1,$B15,ES$1)</f>
        <v>4110.8</v>
      </c>
      <c r="ET15" s="116" cm="1">
        <f t="array" ref="ET15">_xll.EQNXTDZ($A$1,$B15,ET$1)</f>
        <v>4226.6000000000004</v>
      </c>
      <c r="EU15" s="116" cm="1">
        <f t="array" ref="EU15">_xll.EQNXTDZ($A$1,$B15,EU$1)</f>
        <v>3959</v>
      </c>
      <c r="EV15" s="116" cm="1">
        <f t="array" ref="EV15">_xll.EQNXTDZ($A$1,$B15,EV$1)</f>
        <v>3915</v>
      </c>
      <c r="EW15" s="116" cm="1">
        <f t="array" ref="EW15">_xll.EQNXTDZ($A$1,$B15,EW$1)</f>
        <v>4034</v>
      </c>
      <c r="EX15" s="116" cm="1">
        <f t="array" ref="EX15">_xll.EQNXTDZ($A$1,$B15,EX$1)</f>
        <v>4011.25</v>
      </c>
      <c r="EY15" s="116" cm="1">
        <f t="array" ref="EY15">_xll.EQNXTDZ($A$1,$B15,EY$1)</f>
        <v>3457.35</v>
      </c>
      <c r="EZ15" s="116" cm="1">
        <f t="array" ref="EZ15">_xll.EQNXTDZ($A$1,$B15,EZ$1)</f>
        <v>3463.05</v>
      </c>
      <c r="FA15" s="116" cm="1">
        <f t="array" ref="FA15">_xll.EQNXTDZ($A$1,$B15,FA$1)</f>
        <v>3060.25</v>
      </c>
      <c r="FB15" s="116" cm="1">
        <f t="array" ref="FB15">_xll.EQNXTDZ($A$1,$B15,FB$1)</f>
        <v>3380</v>
      </c>
      <c r="FC15" s="116" cm="1">
        <f t="array" ref="FC15">_xll.EQNXTDZ($A$1,$B15,FC$1)</f>
        <v>3358</v>
      </c>
      <c r="FD15" s="116" cm="1">
        <f t="array" ref="FD15">_xll.EQNXTDZ($A$1,$B15,FD$1)</f>
        <v>3015.05</v>
      </c>
      <c r="FE15" s="116" cm="1">
        <f t="array" ref="FE15">_xll.EQNXTDZ($A$1,$B15,FE$1)</f>
        <v>2992.05</v>
      </c>
      <c r="FF15" s="116" cm="1">
        <f t="array" ref="FF15">_xll.EQNXTDZ($A$1,$B15,FF$1)</f>
        <v>2886</v>
      </c>
      <c r="FG15" s="116" cm="1">
        <f t="array" ref="FG15">_xll.EQNXTDZ($A$1,$B15,FG$1)</f>
        <v>2867.55</v>
      </c>
      <c r="FH15" s="116" cm="1">
        <f t="array" ref="FH15">_xll.EQNXTDZ($A$1,$B15,FH$1)</f>
        <v>2960</v>
      </c>
      <c r="FI15" s="116" cm="1">
        <f t="array" ref="FI15">_xll.EQNXTDZ($A$1,$B15,FI$1)</f>
        <v>3121.05</v>
      </c>
      <c r="FJ15" s="116" cm="1">
        <f t="array" ref="FJ15">_xll.EQNXTDZ($A$1,$B15,FJ$1)</f>
        <v>3082</v>
      </c>
      <c r="FK15" s="116" cm="1">
        <f t="array" ref="FK15">_xll.EQNXTDZ($A$1,$B15,FK$1)</f>
        <v>2561.9499999999998</v>
      </c>
      <c r="FL15" s="116" cm="1">
        <f t="array" ref="FL15">_xll.EQNXTDZ($A$1,$B15,FL$1)</f>
        <v>2346.35</v>
      </c>
      <c r="FM15" s="116" cm="1">
        <f t="array" ref="FM15">_xll.EQNXTDZ($A$1,$B15,FM$1)</f>
        <v>2377.1999999999998</v>
      </c>
      <c r="FN15" s="116" cm="1">
        <f t="array" ref="FN15">_xll.EQNXTDZ($A$1,$B15,FN$1)</f>
        <v>2210</v>
      </c>
      <c r="FO15" s="116" cm="1">
        <f t="array" ref="FO15">_xll.EQNXTDZ($A$1,$B15,FO$1)</f>
        <v>2110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587.75</v>
      </c>
      <c r="HQ15" s="116">
        <f>+MIN(G15:I15)</f>
        <v>598.79999999999995</v>
      </c>
      <c r="HR15" s="116">
        <f>+MIN(J15:L15)</f>
        <v>627.5</v>
      </c>
      <c r="HS15" s="116">
        <f>+MIN(M15:O15)</f>
        <v>682</v>
      </c>
      <c r="HT15" s="116">
        <f>+MIN(P15:R15)</f>
        <v>732.625</v>
      </c>
      <c r="HU15" s="116">
        <f>+MIN(S15:U15)</f>
        <v>955.55</v>
      </c>
      <c r="HV15" s="116">
        <f>+MIN(V15:X15)</f>
        <v>1007.35</v>
      </c>
      <c r="HW15" s="116">
        <f>+MIN(Y15:AA15)</f>
        <v>1000.25</v>
      </c>
      <c r="HX15" s="116">
        <f>+MIN(AB15:AD15)</f>
        <v>1168</v>
      </c>
      <c r="HY15" s="116">
        <f>+MIN(AE15:AG15)</f>
        <v>1174.125</v>
      </c>
      <c r="HZ15" s="116">
        <f>+MIN(AH15:AJ15)</f>
        <v>1203.7</v>
      </c>
      <c r="IA15" s="116">
        <f>+MIN(AK15:AM15)</f>
        <v>1201</v>
      </c>
      <c r="IB15" s="116">
        <f>+MIN(AN15:AP15)</f>
        <v>1227.5</v>
      </c>
      <c r="IC15" s="116">
        <f>+MIN(AQ15:AS15)</f>
        <v>1158.325</v>
      </c>
      <c r="ID15" s="116">
        <f>+MIN(AT15:AV15)</f>
        <v>1059.5</v>
      </c>
      <c r="IE15" s="116">
        <f>+MIN(AW15:AY15)</f>
        <v>1202.4749999999999</v>
      </c>
      <c r="IF15" s="116">
        <f>+MIN(AZ15:BB15)</f>
        <v>1143.5</v>
      </c>
      <c r="IG15" s="116">
        <f>+MIN(BC15:BE15)</f>
        <v>1027.3499999999999</v>
      </c>
      <c r="IH15" s="116">
        <f>+MIN(BF15:BH15)</f>
        <v>1077.1500000000001</v>
      </c>
      <c r="II15" s="116">
        <f>+MIN(BI15:BK15)</f>
        <v>1127.5</v>
      </c>
      <c r="IJ15" s="116">
        <f>+MIN(BL15:BN15)</f>
        <v>1162.5</v>
      </c>
      <c r="IK15" s="116">
        <f>+MIN(BO15:BQ15)</f>
        <v>1212.5</v>
      </c>
      <c r="IL15" s="116">
        <f>+MIN(BR15:BT15)</f>
        <v>1311.35</v>
      </c>
      <c r="IM15" s="116">
        <f>+MIN(BU15:BW15)</f>
        <v>1422.5</v>
      </c>
      <c r="IN15" s="116">
        <f>+MIN(BX15:BZ15)</f>
        <v>1829.95</v>
      </c>
      <c r="IO15" s="116">
        <f>+MIN(CA15:CC15)</f>
        <v>1784</v>
      </c>
      <c r="IP15" s="116">
        <f>+MIN(CD15:CF15)</f>
        <v>1809.55</v>
      </c>
      <c r="IQ15" s="116">
        <f>+MIN(CG15:CI15)</f>
        <v>2006</v>
      </c>
      <c r="IR15" s="116">
        <f>+MIN(CJ15:CL15)</f>
        <v>1975</v>
      </c>
      <c r="IS15" s="116">
        <f>+MIN(CM15:CO15)</f>
        <v>1929</v>
      </c>
      <c r="IT15" s="116">
        <f>+MIN(CP15:CR15)</f>
        <v>1504.4</v>
      </c>
      <c r="IU15" s="116">
        <f>+MIN(CS15:CU15)</f>
        <v>1650</v>
      </c>
      <c r="IV15" s="116">
        <f>+MIN(CV15:CX15)</f>
        <v>2081.5500000000002</v>
      </c>
      <c r="IW15" s="116">
        <f>+MIN(CY15:DA15)</f>
        <v>2492</v>
      </c>
      <c r="IX15" s="116">
        <f>+MIN(DB15:DD15)</f>
        <v>2701</v>
      </c>
      <c r="IY15" s="116">
        <f>+MIN(DE15:DG15)</f>
        <v>3004.8</v>
      </c>
      <c r="IZ15" s="116">
        <f>+MIN(DH15:DJ15)</f>
        <v>3133.2</v>
      </c>
      <c r="JA15" s="116">
        <f>+MIN(DK15:DM15)</f>
        <v>3386</v>
      </c>
      <c r="JB15" s="116">
        <f>+MIN(DN15:DP15)</f>
        <v>3351</v>
      </c>
      <c r="JC15" s="116">
        <f>+MIN(DQ15:DS15)</f>
        <v>3023.35</v>
      </c>
      <c r="JD15" s="116">
        <f>+MIN(DT15:DV15)</f>
        <v>2926</v>
      </c>
      <c r="JE15" s="116">
        <f>+MIN(DW15:DY15)</f>
        <v>2973.85</v>
      </c>
      <c r="JF15" s="116">
        <f>+MIN(DZ15:EB15)</f>
        <v>3096.1</v>
      </c>
      <c r="JG15" s="116">
        <f>+MIN(EC15:EE15)</f>
        <v>3070.3</v>
      </c>
      <c r="JH15" s="116">
        <f>+MIN(EF15:EH15)</f>
        <v>3250</v>
      </c>
      <c r="JI15" s="116">
        <f>+MIN(EI15:EK15)</f>
        <v>3313</v>
      </c>
      <c r="JJ15" s="116">
        <f>+MIN(EL15:EN15)</f>
        <v>3651.55</v>
      </c>
      <c r="JK15" s="116">
        <f>MIN(EO15:EQ15)</f>
        <v>3593.3</v>
      </c>
      <c r="JL15" s="116">
        <f>MIN(ER15:ET15)</f>
        <v>3886.05</v>
      </c>
      <c r="JM15" s="116">
        <f>MIN(EU15:EW15)</f>
        <v>3915</v>
      </c>
      <c r="JN15" s="116">
        <f>MIN(EX15:EZ15)</f>
        <v>3457.35</v>
      </c>
      <c r="JO15" s="116">
        <f>MIN(FA15:FC15)</f>
        <v>3060.25</v>
      </c>
      <c r="JP15" s="116">
        <f>MIN(FD15:FF15)</f>
        <v>2886</v>
      </c>
      <c r="JQ15" s="116">
        <f>MIN(FG15:FI15)</f>
        <v>2867.55</v>
      </c>
      <c r="JR15" s="116">
        <f>MIN(FJ15:FL15)</f>
        <v>2346.35</v>
      </c>
      <c r="JS15" s="116">
        <f>MIN(FM15:FO15)</f>
        <v>2110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638.77499999999998</v>
      </c>
      <c r="D16" s="116" cm="1">
        <f t="array" ref="D16">_xll.EQNXTDZ($A$1,$B16,D$1)</f>
        <v>620.32500000000005</v>
      </c>
      <c r="E16" s="116" cm="1">
        <f t="array" ref="E16">_xll.EQNXTDZ($A$1,$B16,E$1)</f>
        <v>673.65</v>
      </c>
      <c r="F16" s="116" cm="1">
        <f t="array" ref="F16">_xll.EQNXTDZ($A$1,$B16,F$1)</f>
        <v>647</v>
      </c>
      <c r="G16" s="116" cm="1">
        <f t="array" ref="G16">_xll.EQNXTDZ($A$1,$B16,G$1)</f>
        <v>656.7</v>
      </c>
      <c r="H16" s="116" cm="1">
        <f t="array" ref="H16">_xll.EQNXTDZ($A$1,$B16,H$1)</f>
        <v>656.42499999999995</v>
      </c>
      <c r="I16" s="116" cm="1">
        <f t="array" ref="I16">_xll.EQNXTDZ($A$1,$B16,I$1)</f>
        <v>629.27499999999998</v>
      </c>
      <c r="J16" s="116" cm="1">
        <f t="array" ref="J16">_xll.EQNXTDZ($A$1,$B16,J$1)</f>
        <v>671.375</v>
      </c>
      <c r="K16" s="116" cm="1">
        <f t="array" ref="K16">_xll.EQNXTDZ($A$1,$B16,K$1)</f>
        <v>757.375</v>
      </c>
      <c r="L16" s="116" cm="1">
        <f t="array" ref="L16">_xll.EQNXTDZ($A$1,$B16,L$1)</f>
        <v>785.9</v>
      </c>
      <c r="M16" s="116" cm="1">
        <f t="array" ref="M16">_xll.EQNXTDZ($A$1,$B16,M$1)</f>
        <v>688.125</v>
      </c>
      <c r="N16" s="116" cm="1">
        <f t="array" ref="N16">_xll.EQNXTDZ($A$1,$B16,N$1)</f>
        <v>749.8</v>
      </c>
      <c r="O16" s="116" cm="1">
        <f t="array" ref="O16">_xll.EQNXTDZ($A$1,$B16,O$1)</f>
        <v>759.2</v>
      </c>
      <c r="P16" s="116" cm="1">
        <f t="array" ref="P16">_xll.EQNXTDZ($A$1,$B16,P$1)</f>
        <v>907.55</v>
      </c>
      <c r="Q16" s="116" cm="1">
        <f t="array" ref="Q16">_xll.EQNXTDZ($A$1,$B16,Q$1)</f>
        <v>1011.575</v>
      </c>
      <c r="R16" s="116" cm="1">
        <f t="array" ref="R16">_xll.EQNXTDZ($A$1,$B16,R$1)</f>
        <v>963.35</v>
      </c>
      <c r="S16" s="116" cm="1">
        <f t="array" ref="S16">_xll.EQNXTDZ($A$1,$B16,S$1)</f>
        <v>1054.125</v>
      </c>
      <c r="T16" s="116" cm="1">
        <f t="array" ref="T16">_xll.EQNXTDZ($A$1,$B16,T$1)</f>
        <v>1002.3</v>
      </c>
      <c r="U16" s="116" cm="1">
        <f t="array" ref="U16">_xll.EQNXTDZ($A$1,$B16,U$1)</f>
        <v>1085.4749999999999</v>
      </c>
      <c r="V16" s="116" cm="1">
        <f t="array" ref="V16">_xll.EQNXTDZ($A$1,$B16,V$1)</f>
        <v>1118.0999999999999</v>
      </c>
      <c r="W16" s="116" cm="1">
        <f t="array" ref="W16">_xll.EQNXTDZ($A$1,$B16,W$1)</f>
        <v>1136.4000000000001</v>
      </c>
      <c r="X16" s="116" cm="1">
        <f t="array" ref="X16">_xll.EQNXTDZ($A$1,$B16,X$1)</f>
        <v>1064.125</v>
      </c>
      <c r="Y16" s="116" cm="1">
        <f t="array" ref="Y16">_xll.EQNXTDZ($A$1,$B16,Y$1)</f>
        <v>1094.7</v>
      </c>
      <c r="Z16" s="116" cm="1">
        <f t="array" ref="Z16">_xll.EQNXTDZ($A$1,$B16,Z$1)</f>
        <v>1072.0999999999999</v>
      </c>
      <c r="AA16" s="116" cm="1">
        <f t="array" ref="AA16">_xll.EQNXTDZ($A$1,$B16,AA$1)</f>
        <v>1209.7249999999999</v>
      </c>
      <c r="AB16" s="116" cm="1">
        <f t="array" ref="AB16">_xll.EQNXTDZ($A$1,$B16,AB$1)</f>
        <v>1288.6500000000001</v>
      </c>
      <c r="AC16" s="116" cm="1">
        <f t="array" ref="AC16">_xll.EQNXTDZ($A$1,$B16,AC$1)</f>
        <v>1262.3</v>
      </c>
      <c r="AD16" s="116" cm="1">
        <f t="array" ref="AD16">_xll.EQNXTDZ($A$1,$B16,AD$1)</f>
        <v>1369.1</v>
      </c>
      <c r="AE16" s="116" cm="1">
        <f t="array" ref="AE16">_xll.EQNXTDZ($A$1,$B16,AE$1)</f>
        <v>1302.2750000000001</v>
      </c>
      <c r="AF16" s="116" cm="1">
        <f t="array" ref="AF16">_xll.EQNXTDZ($A$1,$B16,AF$1)</f>
        <v>1321.55</v>
      </c>
      <c r="AG16" s="116" cm="1">
        <f t="array" ref="AG16">_xll.EQNXTDZ($A$1,$B16,AG$1)</f>
        <v>1277.3499999999999</v>
      </c>
      <c r="AH16" s="116" cm="1">
        <f t="array" ref="AH16">_xll.EQNXTDZ($A$1,$B16,AH$1)</f>
        <v>1240.5</v>
      </c>
      <c r="AI16" s="116" cm="1">
        <f t="array" ref="AI16">_xll.EQNXTDZ($A$1,$B16,AI$1)</f>
        <v>1337.65</v>
      </c>
      <c r="AJ16" s="116" cm="1">
        <f t="array" ref="AJ16">_xll.EQNXTDZ($A$1,$B16,AJ$1)</f>
        <v>1273.5250000000001</v>
      </c>
      <c r="AK16" s="116" cm="1">
        <f t="array" ref="AK16">_xll.EQNXTDZ($A$1,$B16,AK$1)</f>
        <v>1233.325</v>
      </c>
      <c r="AL16" s="116" cm="1">
        <f t="array" ref="AL16">_xll.EQNXTDZ($A$1,$B16,AL$1)</f>
        <v>1305.3</v>
      </c>
      <c r="AM16" s="116" cm="1">
        <f t="array" ref="AM16">_xll.EQNXTDZ($A$1,$B16,AM$1)</f>
        <v>1276.0999999999999</v>
      </c>
      <c r="AN16" s="116" cm="1">
        <f t="array" ref="AN16">_xll.EQNXTDZ($A$1,$B16,AN$1)</f>
        <v>1255</v>
      </c>
      <c r="AO16" s="116" cm="1">
        <f t="array" ref="AO16">_xll.EQNXTDZ($A$1,$B16,AO$1)</f>
        <v>1282.625</v>
      </c>
      <c r="AP16" s="116" cm="1">
        <f t="array" ref="AP16">_xll.EQNXTDZ($A$1,$B16,AP$1)</f>
        <v>1293.8499999999999</v>
      </c>
      <c r="AQ16" s="116" cm="1">
        <f t="array" ref="AQ16">_xll.EQNXTDZ($A$1,$B16,AQ$1)</f>
        <v>1248.6500000000001</v>
      </c>
      <c r="AR16" s="116" cm="1">
        <f t="array" ref="AR16">_xll.EQNXTDZ($A$1,$B16,AR$1)</f>
        <v>1182.625</v>
      </c>
      <c r="AS16" s="116" cm="1">
        <f t="array" ref="AS16">_xll.EQNXTDZ($A$1,$B16,AS$1)</f>
        <v>1219.5999999999999</v>
      </c>
      <c r="AT16" s="116" cm="1">
        <f t="array" ref="AT16">_xll.EQNXTDZ($A$1,$B16,AT$1)</f>
        <v>1195.5999999999999</v>
      </c>
      <c r="AU16" s="116" cm="1">
        <f t="array" ref="AU16">_xll.EQNXTDZ($A$1,$B16,AU$1)</f>
        <v>1090.95</v>
      </c>
      <c r="AV16" s="116" cm="1">
        <f t="array" ref="AV16">_xll.EQNXTDZ($A$1,$B16,AV$1)</f>
        <v>1258.0250000000001</v>
      </c>
      <c r="AW16" s="116" cm="1">
        <f t="array" ref="AW16">_xll.EQNXTDZ($A$1,$B16,AW$1)</f>
        <v>1265.0250000000001</v>
      </c>
      <c r="AX16" s="116" cm="1">
        <f t="array" ref="AX16">_xll.EQNXTDZ($A$1,$B16,AX$1)</f>
        <v>1287.55</v>
      </c>
      <c r="AY16" s="116" cm="1">
        <f t="array" ref="AY16">_xll.EQNXTDZ($A$1,$B16,AY$1)</f>
        <v>1275.4000000000001</v>
      </c>
      <c r="AZ16" s="116" cm="1">
        <f t="array" ref="AZ16">_xll.EQNXTDZ($A$1,$B16,AZ$1)</f>
        <v>1309.2750000000001</v>
      </c>
      <c r="BA16" s="116" cm="1">
        <f t="array" ref="BA16">_xll.EQNXTDZ($A$1,$B16,BA$1)</f>
        <v>1256.2750000000001</v>
      </c>
      <c r="BB16" s="116" cm="1">
        <f t="array" ref="BB16">_xll.EQNXTDZ($A$1,$B16,BB$1)</f>
        <v>1213.5999999999999</v>
      </c>
      <c r="BC16" s="116" cm="1">
        <f t="array" ref="BC16">_xll.EQNXTDZ($A$1,$B16,BC$1)</f>
        <v>1197.3</v>
      </c>
      <c r="BD16" s="116" cm="1">
        <f t="array" ref="BD16">_xll.EQNXTDZ($A$1,$B16,BD$1)</f>
        <v>1138.375</v>
      </c>
      <c r="BE16" s="116" cm="1">
        <f t="array" ref="BE16">_xll.EQNXTDZ($A$1,$B16,BE$1)</f>
        <v>1180.9749999999999</v>
      </c>
      <c r="BF16" s="116" cm="1">
        <f t="array" ref="BF16">_xll.EQNXTDZ($A$1,$B16,BF$1)</f>
        <v>1114.95</v>
      </c>
      <c r="BG16" s="116" cm="1">
        <f t="array" ref="BG16">_xll.EQNXTDZ($A$1,$B16,BG$1)</f>
        <v>1233.25</v>
      </c>
      <c r="BH16" s="116" cm="1">
        <f t="array" ref="BH16">_xll.EQNXTDZ($A$1,$B16,BH$1)</f>
        <v>1215.55</v>
      </c>
      <c r="BI16" s="116" cm="1">
        <f t="array" ref="BI16">_xll.EQNXTDZ($A$1,$B16,BI$1)</f>
        <v>1136.05</v>
      </c>
      <c r="BJ16" s="116" cm="1">
        <f t="array" ref="BJ16">_xll.EQNXTDZ($A$1,$B16,BJ$1)</f>
        <v>1272.175</v>
      </c>
      <c r="BK16" s="116" cm="1">
        <f t="array" ref="BK16">_xll.EQNXTDZ($A$1,$B16,BK$1)</f>
        <v>1182.175</v>
      </c>
      <c r="BL16" s="116" cm="1">
        <f t="array" ref="BL16">_xll.EQNXTDZ($A$1,$B16,BL$1)</f>
        <v>1247.0250000000001</v>
      </c>
      <c r="BM16" s="116" cm="1">
        <f t="array" ref="BM16">_xll.EQNXTDZ($A$1,$B16,BM$1)</f>
        <v>1248.375</v>
      </c>
      <c r="BN16" s="116" cm="1">
        <f t="array" ref="BN16">_xll.EQNXTDZ($A$1,$B16,BN$1)</f>
        <v>1218.5</v>
      </c>
      <c r="BO16" s="116" cm="1">
        <f t="array" ref="BO16">_xll.EQNXTDZ($A$1,$B16,BO$1)</f>
        <v>1308.1500000000001</v>
      </c>
      <c r="BP16" s="116" cm="1">
        <f t="array" ref="BP16">_xll.EQNXTDZ($A$1,$B16,BP$1)</f>
        <v>1317.125</v>
      </c>
      <c r="BQ16" s="116" cm="1">
        <f t="array" ref="BQ16">_xll.EQNXTDZ($A$1,$B16,BQ$1)</f>
        <v>1350.2</v>
      </c>
      <c r="BR16" s="116" cm="1">
        <f t="array" ref="BR16">_xll.EQNXTDZ($A$1,$B16,BR$1)</f>
        <v>1555.875</v>
      </c>
      <c r="BS16" s="116" cm="1">
        <f t="array" ref="BS16">_xll.EQNXTDZ($A$1,$B16,BS$1)</f>
        <v>1519.125</v>
      </c>
      <c r="BT16" s="116" cm="1">
        <f t="array" ref="BT16">_xll.EQNXTDZ($A$1,$B16,BT$1)</f>
        <v>1424.65</v>
      </c>
      <c r="BU16" s="116" cm="1">
        <f t="array" ref="BU16">_xll.EQNXTDZ($A$1,$B16,BU$1)</f>
        <v>1765.7</v>
      </c>
      <c r="BV16" s="116" cm="1">
        <f t="array" ref="BV16">_xll.EQNXTDZ($A$1,$B16,BV$1)</f>
        <v>1744.8</v>
      </c>
      <c r="BW16" s="116" cm="1">
        <f t="array" ref="BW16">_xll.EQNXTDZ($A$1,$B16,BW$1)</f>
        <v>1847.2</v>
      </c>
      <c r="BX16" s="116" cm="1">
        <f t="array" ref="BX16">_xll.EQNXTDZ($A$1,$B16,BX$1)</f>
        <v>1941.25</v>
      </c>
      <c r="BY16" s="116" cm="1">
        <f t="array" ref="BY16">_xll.EQNXTDZ($A$1,$B16,BY$1)</f>
        <v>2078.1999999999998</v>
      </c>
      <c r="BZ16" s="116" cm="1">
        <f t="array" ref="BZ16">_xll.EQNXTDZ($A$1,$B16,BZ$1)</f>
        <v>2184.5</v>
      </c>
      <c r="CA16" s="116" cm="1">
        <f t="array" ref="CA16">_xll.EQNXTDZ($A$1,$B16,CA$1)</f>
        <v>1937.6</v>
      </c>
      <c r="CB16" s="116" cm="1">
        <f t="array" ref="CB16">_xll.EQNXTDZ($A$1,$B16,CB$1)</f>
        <v>1970.6</v>
      </c>
      <c r="CC16" s="116" cm="1">
        <f t="array" ref="CC16">_xll.EQNXTDZ($A$1,$B16,CC$1)</f>
        <v>1893.55</v>
      </c>
      <c r="CD16" s="116" cm="1">
        <f t="array" ref="CD16">_xll.EQNXTDZ($A$1,$B16,CD$1)</f>
        <v>2014.6</v>
      </c>
      <c r="CE16" s="116" cm="1">
        <f t="array" ref="CE16">_xll.EQNXTDZ($A$1,$B16,CE$1)</f>
        <v>1984.25</v>
      </c>
      <c r="CF16" s="116" cm="1">
        <f t="array" ref="CF16">_xll.EQNXTDZ($A$1,$B16,CF$1)</f>
        <v>2000.4</v>
      </c>
      <c r="CG16" s="116" cm="1">
        <f t="array" ref="CG16">_xll.EQNXTDZ($A$1,$B16,CG$1)</f>
        <v>2254.9499999999998</v>
      </c>
      <c r="CH16" s="116" cm="1">
        <f t="array" ref="CH16">_xll.EQNXTDZ($A$1,$B16,CH$1)</f>
        <v>2196.85</v>
      </c>
      <c r="CI16" s="116" cm="1">
        <f t="array" ref="CI16">_xll.EQNXTDZ($A$1,$B16,CI$1)</f>
        <v>2227.25</v>
      </c>
      <c r="CJ16" s="116" cm="1">
        <f t="array" ref="CJ16">_xll.EQNXTDZ($A$1,$B16,CJ$1)</f>
        <v>2205.4</v>
      </c>
      <c r="CK16" s="116" cm="1">
        <f t="array" ref="CK16">_xll.EQNXTDZ($A$1,$B16,CK$1)</f>
        <v>2258.0500000000002</v>
      </c>
      <c r="CL16" s="116" cm="1">
        <f t="array" ref="CL16">_xll.EQNXTDZ($A$1,$B16,CL$1)</f>
        <v>2099.1999999999998</v>
      </c>
      <c r="CM16" s="116" cm="1">
        <f t="array" ref="CM16">_xll.EQNXTDZ($A$1,$B16,CM$1)</f>
        <v>2270.1999999999998</v>
      </c>
      <c r="CN16" s="116" cm="1">
        <f t="array" ref="CN16">_xll.EQNXTDZ($A$1,$B16,CN$1)</f>
        <v>2052.6999999999998</v>
      </c>
      <c r="CO16" s="116" cm="1">
        <f t="array" ref="CO16">_xll.EQNXTDZ($A$1,$B16,CO$1)</f>
        <v>2161.3000000000002</v>
      </c>
      <c r="CP16" s="116" cm="1">
        <f t="array" ref="CP16">_xll.EQNXTDZ($A$1,$B16,CP$1)</f>
        <v>2079.3000000000002</v>
      </c>
      <c r="CQ16" s="116" cm="1">
        <f t="array" ref="CQ16">_xll.EQNXTDZ($A$1,$B16,CQ$1)</f>
        <v>2000.95</v>
      </c>
      <c r="CR16" s="116" cm="1">
        <f t="array" ref="CR16">_xll.EQNXTDZ($A$1,$B16,CR$1)</f>
        <v>1823.05</v>
      </c>
      <c r="CS16" s="116" cm="1">
        <f t="array" ref="CS16">_xll.EQNXTDZ($A$1,$B16,CS$1)</f>
        <v>2014.85</v>
      </c>
      <c r="CT16" s="116" cm="1">
        <f t="array" ref="CT16">_xll.EQNXTDZ($A$1,$B16,CT$1)</f>
        <v>1971.55</v>
      </c>
      <c r="CU16" s="116" cm="1">
        <f t="array" ref="CU16">_xll.EQNXTDZ($A$1,$B16,CU$1)</f>
        <v>2082.1999999999998</v>
      </c>
      <c r="CV16" s="116" cm="1">
        <f t="array" ref="CV16">_xll.EQNXTDZ($A$1,$B16,CV$1)</f>
        <v>2282.4499999999998</v>
      </c>
      <c r="CW16" s="116" cm="1">
        <f t="array" ref="CW16">_xll.EQNXTDZ($A$1,$B16,CW$1)</f>
        <v>2256.35</v>
      </c>
      <c r="CX16" s="116" cm="1">
        <f t="array" ref="CX16">_xll.EQNXTDZ($A$1,$B16,CX$1)</f>
        <v>2491.5</v>
      </c>
      <c r="CY16" s="116" cm="1">
        <f t="array" ref="CY16">_xll.EQNXTDZ($A$1,$B16,CY$1)</f>
        <v>2664.85</v>
      </c>
      <c r="CZ16" s="116" cm="1">
        <f t="array" ref="CZ16">_xll.EQNXTDZ($A$1,$B16,CZ$1)</f>
        <v>2679.15</v>
      </c>
      <c r="DA16" s="116" cm="1">
        <f t="array" ref="DA16">_xll.EQNXTDZ($A$1,$B16,DA$1)</f>
        <v>2870.2</v>
      </c>
      <c r="DB16" s="116" cm="1">
        <f t="array" ref="DB16">_xll.EQNXTDZ($A$1,$B16,DB$1)</f>
        <v>3112.9</v>
      </c>
      <c r="DC16" s="116" cm="1">
        <f t="array" ref="DC16">_xll.EQNXTDZ($A$1,$B16,DC$1)</f>
        <v>2896.05</v>
      </c>
      <c r="DD16" s="116" cm="1">
        <f t="array" ref="DD16">_xll.EQNXTDZ($A$1,$B16,DD$1)</f>
        <v>3177.6</v>
      </c>
      <c r="DE16" s="116" cm="1">
        <f t="array" ref="DE16">_xll.EQNXTDZ($A$1,$B16,DE$1)</f>
        <v>3038.4</v>
      </c>
      <c r="DF16" s="116" cm="1">
        <f t="array" ref="DF16">_xll.EQNXTDZ($A$1,$B16,DF$1)</f>
        <v>3158.95</v>
      </c>
      <c r="DG16" s="116" cm="1">
        <f t="array" ref="DG16">_xll.EQNXTDZ($A$1,$B16,DG$1)</f>
        <v>3345.25</v>
      </c>
      <c r="DH16" s="116" cm="1">
        <f t="array" ref="DH16">_xll.EQNXTDZ($A$1,$B16,DH$1)</f>
        <v>3167.5</v>
      </c>
      <c r="DI16" s="116" cm="1">
        <f t="array" ref="DI16">_xll.EQNXTDZ($A$1,$B16,DI$1)</f>
        <v>3786.55</v>
      </c>
      <c r="DJ16" s="116" cm="1">
        <f t="array" ref="DJ16">_xll.EQNXTDZ($A$1,$B16,DJ$1)</f>
        <v>3774.5</v>
      </c>
      <c r="DK16" s="116" cm="1">
        <f t="array" ref="DK16">_xll.EQNXTDZ($A$1,$B16,DK$1)</f>
        <v>3398.8</v>
      </c>
      <c r="DL16" s="116" cm="1">
        <f t="array" ref="DL16">_xll.EQNXTDZ($A$1,$B16,DL$1)</f>
        <v>3532</v>
      </c>
      <c r="DM16" s="116" cm="1">
        <f t="array" ref="DM16">_xll.EQNXTDZ($A$1,$B16,DM$1)</f>
        <v>3736.85</v>
      </c>
      <c r="DN16" s="116" cm="1">
        <f t="array" ref="DN16">_xll.EQNXTDZ($A$1,$B16,DN$1)</f>
        <v>3737.9</v>
      </c>
      <c r="DO16" s="116" cm="1">
        <f t="array" ref="DO16">_xll.EQNXTDZ($A$1,$B16,DO$1)</f>
        <v>3554.55</v>
      </c>
      <c r="DP16" s="116" cm="1">
        <f t="array" ref="DP16">_xll.EQNXTDZ($A$1,$B16,DP$1)</f>
        <v>3738.8</v>
      </c>
      <c r="DQ16" s="116" cm="1">
        <f t="array" ref="DQ16">_xll.EQNXTDZ($A$1,$B16,DQ$1)</f>
        <v>3550.1</v>
      </c>
      <c r="DR16" s="116" cm="1">
        <f t="array" ref="DR16">_xll.EQNXTDZ($A$1,$B16,DR$1)</f>
        <v>3364.8</v>
      </c>
      <c r="DS16" s="116" cm="1">
        <f t="array" ref="DS16">_xll.EQNXTDZ($A$1,$B16,DS$1)</f>
        <v>3265.25</v>
      </c>
      <c r="DT16" s="116" cm="1">
        <f t="array" ref="DT16">_xll.EQNXTDZ($A$1,$B16,DT$1)</f>
        <v>3300.8</v>
      </c>
      <c r="DU16" s="116" cm="1">
        <f t="array" ref="DU16">_xll.EQNXTDZ($A$1,$B16,DU$1)</f>
        <v>3211.6</v>
      </c>
      <c r="DV16" s="116" cm="1">
        <f t="array" ref="DV16">_xll.EQNXTDZ($A$1,$B16,DV$1)</f>
        <v>3004.6</v>
      </c>
      <c r="DW16" s="116" cm="1">
        <f t="array" ref="DW16">_xll.EQNXTDZ($A$1,$B16,DW$1)</f>
        <v>3193.05</v>
      </c>
      <c r="DX16" s="116" cm="1">
        <f t="array" ref="DX16">_xll.EQNXTDZ($A$1,$B16,DX$1)</f>
        <v>3392.4</v>
      </c>
      <c r="DY16" s="116" cm="1">
        <f t="array" ref="DY16">_xll.EQNXTDZ($A$1,$B16,DY$1)</f>
        <v>3259.25</v>
      </c>
      <c r="DZ16" s="116" cm="1">
        <f t="array" ref="DZ16">_xll.EQNXTDZ($A$1,$B16,DZ$1)</f>
        <v>3357.45</v>
      </c>
      <c r="EA16" s="116" cm="1">
        <f t="array" ref="EA16">_xll.EQNXTDZ($A$1,$B16,EA$1)</f>
        <v>3314.15</v>
      </c>
      <c r="EB16" s="116" cm="1">
        <f t="array" ref="EB16">_xll.EQNXTDZ($A$1,$B16,EB$1)</f>
        <v>3205.8</v>
      </c>
      <c r="EC16" s="116" cm="1">
        <f t="array" ref="EC16">_xll.EQNXTDZ($A$1,$B16,EC$1)</f>
        <v>3216</v>
      </c>
      <c r="ED16" s="116" cm="1">
        <f t="array" ref="ED16">_xll.EQNXTDZ($A$1,$B16,ED$1)</f>
        <v>3291</v>
      </c>
      <c r="EE16" s="116" cm="1">
        <f t="array" ref="EE16">_xll.EQNXTDZ($A$1,$B16,EE$1)</f>
        <v>3300.5</v>
      </c>
      <c r="EF16" s="116" cm="1">
        <f t="array" ref="EF16">_xll.EQNXTDZ($A$1,$B16,EF$1)</f>
        <v>3421.1</v>
      </c>
      <c r="EG16" s="116" cm="1">
        <f t="array" ref="EG16">_xll.EQNXTDZ($A$1,$B16,EG$1)</f>
        <v>3357.05</v>
      </c>
      <c r="EH16" s="116" cm="1">
        <f t="array" ref="EH16">_xll.EQNXTDZ($A$1,$B16,EH$1)</f>
        <v>3530.75</v>
      </c>
      <c r="EI16" s="116" cm="1">
        <f t="array" ref="EI16">_xll.EQNXTDZ($A$1,$B16,EI$1)</f>
        <v>3368.2</v>
      </c>
      <c r="EJ16" s="116" cm="1">
        <f t="array" ref="EJ16">_xll.EQNXTDZ($A$1,$B16,EJ$1)</f>
        <v>3493.4</v>
      </c>
      <c r="EK16" s="116" cm="1">
        <f t="array" ref="EK16">_xll.EQNXTDZ($A$1,$B16,EK$1)</f>
        <v>3794.95</v>
      </c>
      <c r="EL16" s="116" cm="1">
        <f t="array" ref="EL16">_xll.EQNXTDZ($A$1,$B16,EL$1)</f>
        <v>3814.75</v>
      </c>
      <c r="EM16" s="116" cm="1">
        <f t="array" ref="EM16">_xll.EQNXTDZ($A$1,$B16,EM$1)</f>
        <v>4092.15</v>
      </c>
      <c r="EN16" s="116" cm="1">
        <f t="array" ref="EN16">_xll.EQNXTDZ($A$1,$B16,EN$1)</f>
        <v>3883.55</v>
      </c>
      <c r="EO16" s="116" cm="1">
        <f t="array" ref="EO16">_xll.EQNXTDZ($A$1,$B16,EO$1)</f>
        <v>3822.6</v>
      </c>
      <c r="EP16" s="116" cm="1">
        <f t="array" ref="EP16">_xll.EQNXTDZ($A$1,$B16,EP$1)</f>
        <v>3669.5</v>
      </c>
      <c r="EQ16" s="116" cm="1">
        <f t="array" ref="EQ16">_xll.EQNXTDZ($A$1,$B16,EQ$1)</f>
        <v>3904.95</v>
      </c>
      <c r="ER16" s="116" cm="1">
        <f t="array" ref="ER16">_xll.EQNXTDZ($A$1,$B16,ER$1)</f>
        <v>4384.6499999999996</v>
      </c>
      <c r="ES16" s="116" cm="1">
        <f t="array" ref="ES16">_xll.EQNXTDZ($A$1,$B16,ES$1)</f>
        <v>4551.8500000000004</v>
      </c>
      <c r="ET16" s="116" cm="1">
        <f t="array" ref="ET16">_xll.EQNXTDZ($A$1,$B16,ET$1)</f>
        <v>4268.3999999999996</v>
      </c>
      <c r="EU16" s="116" cm="1">
        <f t="array" ref="EU16">_xll.EQNXTDZ($A$1,$B16,EU$1)</f>
        <v>3971.25</v>
      </c>
      <c r="EV16" s="116" cm="1">
        <f t="array" ref="EV16">_xll.EQNXTDZ($A$1,$B16,EV$1)</f>
        <v>4273.55</v>
      </c>
      <c r="EW16" s="116" cm="1">
        <f t="array" ref="EW16">_xll.EQNXTDZ($A$1,$B16,EW$1)</f>
        <v>4097.2</v>
      </c>
      <c r="EX16" s="116" cm="1">
        <f t="array" ref="EX16">_xll.EQNXTDZ($A$1,$B16,EX$1)</f>
        <v>4109</v>
      </c>
      <c r="EY16" s="116" cm="1">
        <f t="array" ref="EY16">_xll.EQNXTDZ($A$1,$B16,EY$1)</f>
        <v>3483.9</v>
      </c>
      <c r="EZ16" s="116" cm="1">
        <f t="array" ref="EZ16">_xll.EQNXTDZ($A$1,$B16,EZ$1)</f>
        <v>3604.45</v>
      </c>
      <c r="FA16" s="116" cm="1">
        <f t="array" ref="FA16">_xll.EQNXTDZ($A$1,$B16,FA$1)</f>
        <v>3429.65</v>
      </c>
      <c r="FB16" s="116" cm="1">
        <f t="array" ref="FB16">_xll.EQNXTDZ($A$1,$B16,FB$1)</f>
        <v>3464.5</v>
      </c>
      <c r="FC16" s="116" cm="1">
        <f t="array" ref="FC16">_xll.EQNXTDZ($A$1,$B16,FC$1)</f>
        <v>3461.05</v>
      </c>
      <c r="FD16" s="116" cm="1">
        <f t="array" ref="FD16">_xll.EQNXTDZ($A$1,$B16,FD$1)</f>
        <v>3037.35</v>
      </c>
      <c r="FE16" s="116" cm="1">
        <f t="array" ref="FE16">_xll.EQNXTDZ($A$1,$B16,FE$1)</f>
        <v>3084.4</v>
      </c>
      <c r="FF16" s="116" cm="1">
        <f t="array" ref="FF16">_xll.EQNXTDZ($A$1,$B16,FF$1)</f>
        <v>2889</v>
      </c>
      <c r="FG16" s="116" cm="1">
        <f t="array" ref="FG16">_xll.EQNXTDZ($A$1,$B16,FG$1)</f>
        <v>3057.8</v>
      </c>
      <c r="FH16" s="116" cm="1">
        <f t="array" ref="FH16">_xll.EQNXTDZ($A$1,$B16,FH$1)</f>
        <v>3139.65</v>
      </c>
      <c r="FI16" s="116" cm="1">
        <f t="array" ref="FI16">_xll.EQNXTDZ($A$1,$B16,FI$1)</f>
        <v>3205.75</v>
      </c>
      <c r="FJ16" s="116" cm="1">
        <f t="array" ref="FJ16">_xll.EQNXTDZ($A$1,$B16,FJ$1)</f>
        <v>3125.05</v>
      </c>
      <c r="FK16" s="116" cm="1">
        <f t="array" ref="FK16">_xll.EQNXTDZ($A$1,$B16,FK$1)</f>
        <v>2636.4</v>
      </c>
      <c r="FL16" s="116" cm="1">
        <f t="array" ref="FL16">_xll.EQNXTDZ($A$1,$B16,FL$1)</f>
        <v>2359.0500000000002</v>
      </c>
      <c r="FM16" s="116" cm="1">
        <f t="array" ref="FM16">_xll.EQNXTDZ($A$1,$B16,FM$1)</f>
        <v>2473.5</v>
      </c>
      <c r="FN16" s="116" cm="1">
        <f t="array" ref="FN16">_xll.EQNXTDZ($A$1,$B16,FN$1)</f>
        <v>2253.9</v>
      </c>
      <c r="FO16" s="116" cm="1">
        <f t="array" ref="FO16">_xll.EQNXTDZ($A$1,$B16,FO$1)</f>
        <v>2198.85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647</v>
      </c>
      <c r="HQ16" s="116">
        <f>+I16</f>
        <v>629.27499999999998</v>
      </c>
      <c r="HR16" s="116">
        <f>+L16</f>
        <v>785.9</v>
      </c>
      <c r="HS16" s="116">
        <f>+O16</f>
        <v>759.2</v>
      </c>
      <c r="HT16" s="116">
        <f>+R16</f>
        <v>963.35</v>
      </c>
      <c r="HU16" s="116">
        <f>+U16</f>
        <v>1085.4749999999999</v>
      </c>
      <c r="HV16" s="116">
        <f>+X16</f>
        <v>1064.125</v>
      </c>
      <c r="HW16" s="116">
        <f>+AA16</f>
        <v>1209.7249999999999</v>
      </c>
      <c r="HX16" s="116">
        <f>+AD16</f>
        <v>1369.1</v>
      </c>
      <c r="HY16" s="116">
        <f>+AG16</f>
        <v>1277.3499999999999</v>
      </c>
      <c r="HZ16" s="116">
        <f>+AJ16</f>
        <v>1273.5250000000001</v>
      </c>
      <c r="IA16" s="116">
        <f>+AM16</f>
        <v>1276.0999999999999</v>
      </c>
      <c r="IB16" s="116">
        <f>+AP16</f>
        <v>1293.8499999999999</v>
      </c>
      <c r="IC16" s="116">
        <f>+AS16</f>
        <v>1219.5999999999999</v>
      </c>
      <c r="ID16" s="116">
        <f>+AV16</f>
        <v>1258.0250000000001</v>
      </c>
      <c r="IE16" s="116">
        <f>+AY16</f>
        <v>1275.4000000000001</v>
      </c>
      <c r="IF16" s="116">
        <f>+BB16</f>
        <v>1213.5999999999999</v>
      </c>
      <c r="IG16" s="116">
        <f>+BE16</f>
        <v>1180.9749999999999</v>
      </c>
      <c r="IH16" s="116">
        <f>+BH16</f>
        <v>1215.55</v>
      </c>
      <c r="II16" s="116">
        <f>+BK16</f>
        <v>1182.175</v>
      </c>
      <c r="IJ16" s="116">
        <f>+BN16</f>
        <v>1218.5</v>
      </c>
      <c r="IK16" s="116">
        <f>+BQ16</f>
        <v>1350.2</v>
      </c>
      <c r="IL16" s="116">
        <f>+BT16</f>
        <v>1424.65</v>
      </c>
      <c r="IM16" s="116">
        <f>+BW16</f>
        <v>1847.2</v>
      </c>
      <c r="IN16" s="116">
        <f>+BZ16</f>
        <v>2184.5</v>
      </c>
      <c r="IO16" s="116">
        <f>+CC16</f>
        <v>1893.55</v>
      </c>
      <c r="IP16" s="116">
        <f>+CF16</f>
        <v>2000.4</v>
      </c>
      <c r="IQ16" s="116">
        <f>+CI16</f>
        <v>2227.25</v>
      </c>
      <c r="IR16" s="116">
        <f>+CL16</f>
        <v>2099.1999999999998</v>
      </c>
      <c r="IS16" s="116">
        <f>+CO16</f>
        <v>2161.3000000000002</v>
      </c>
      <c r="IT16" s="116">
        <f>+CR16</f>
        <v>1823.05</v>
      </c>
      <c r="IU16" s="116">
        <f>+CU16</f>
        <v>2082.1999999999998</v>
      </c>
      <c r="IV16" s="116">
        <f>+CX16</f>
        <v>2491.5</v>
      </c>
      <c r="IW16" s="116">
        <f>+DA16</f>
        <v>2870.2</v>
      </c>
      <c r="IX16" s="116">
        <f>+DD16</f>
        <v>3177.6</v>
      </c>
      <c r="IY16" s="116">
        <f>+DG16</f>
        <v>3345.25</v>
      </c>
      <c r="IZ16" s="116">
        <f>+DJ16</f>
        <v>3774.5</v>
      </c>
      <c r="JA16" s="116">
        <f>+DM16</f>
        <v>3736.85</v>
      </c>
      <c r="JB16" s="116">
        <f>+DP16</f>
        <v>3738.8</v>
      </c>
      <c r="JC16" s="116">
        <f>+DS16</f>
        <v>3265.25</v>
      </c>
      <c r="JD16" s="116">
        <f>+DV16</f>
        <v>3004.6</v>
      </c>
      <c r="JE16" s="116">
        <f>+DY16</f>
        <v>3259.25</v>
      </c>
      <c r="JF16" s="116">
        <f>+EB16</f>
        <v>3205.8</v>
      </c>
      <c r="JG16" s="116">
        <f>+EE16</f>
        <v>3300.5</v>
      </c>
      <c r="JH16" s="116">
        <f>+EH16</f>
        <v>3530.75</v>
      </c>
      <c r="JI16" s="116">
        <f>+EK16</f>
        <v>3794.95</v>
      </c>
      <c r="JJ16" s="116">
        <f>+EN16</f>
        <v>3883.55</v>
      </c>
      <c r="JK16" s="116">
        <f>EQ16</f>
        <v>3904.95</v>
      </c>
      <c r="JL16" s="116">
        <f>ET16</f>
        <v>4268.3999999999996</v>
      </c>
      <c r="JM16" s="116">
        <f>EW16</f>
        <v>4097.2</v>
      </c>
      <c r="JN16" s="116">
        <f>EZ16</f>
        <v>3604.45</v>
      </c>
      <c r="JO16" s="116">
        <f>FC16</f>
        <v>3461.05</v>
      </c>
      <c r="JP16" s="116">
        <f>FF16</f>
        <v>2889</v>
      </c>
      <c r="JQ16" s="116">
        <f>FI16</f>
        <v>3205.75</v>
      </c>
      <c r="JR16" s="116">
        <f>FL16</f>
        <v>2359.0500000000002</v>
      </c>
      <c r="JS16" s="116">
        <f>FO16</f>
        <v>2198.85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719</v>
      </c>
      <c r="HQ19" s="116">
        <f t="shared" ref="HQ19:JI21" si="1">+IF(HQ14=0,HQ7,HQ14)</f>
        <v>674</v>
      </c>
      <c r="HR19" s="116">
        <f t="shared" si="1"/>
        <v>799</v>
      </c>
      <c r="HS19" s="116">
        <f t="shared" si="1"/>
        <v>787.5</v>
      </c>
      <c r="HT19" s="116">
        <f t="shared" si="1"/>
        <v>1037.925</v>
      </c>
      <c r="HU19" s="116">
        <f t="shared" si="1"/>
        <v>1129.0250000000001</v>
      </c>
      <c r="HV19" s="116">
        <f t="shared" si="1"/>
        <v>1192.0999999999999</v>
      </c>
      <c r="HW19" s="116">
        <f t="shared" si="1"/>
        <v>1213.5</v>
      </c>
      <c r="HX19" s="116">
        <f t="shared" si="1"/>
        <v>1390</v>
      </c>
      <c r="HY19" s="116">
        <f t="shared" si="1"/>
        <v>1417</v>
      </c>
      <c r="HZ19" s="116">
        <f t="shared" si="1"/>
        <v>1405</v>
      </c>
      <c r="IA19" s="116">
        <f t="shared" si="1"/>
        <v>1356</v>
      </c>
      <c r="IB19" s="116">
        <f t="shared" si="1"/>
        <v>1375.4749999999999</v>
      </c>
      <c r="IC19" s="116">
        <f t="shared" si="1"/>
        <v>1384.5</v>
      </c>
      <c r="ID19" s="116">
        <f t="shared" si="1"/>
        <v>1267</v>
      </c>
      <c r="IE19" s="116">
        <f t="shared" si="1"/>
        <v>1337.7249999999999</v>
      </c>
      <c r="IF19" s="116">
        <f t="shared" si="1"/>
        <v>1370</v>
      </c>
      <c r="IG19" s="116">
        <f t="shared" si="1"/>
        <v>1227.5</v>
      </c>
      <c r="IH19" s="116">
        <f t="shared" si="1"/>
        <v>1292</v>
      </c>
      <c r="II19" s="116">
        <f t="shared" si="1"/>
        <v>1353.7</v>
      </c>
      <c r="IJ19" s="116">
        <f t="shared" si="1"/>
        <v>1291.8499999999999</v>
      </c>
      <c r="IK19" s="116">
        <f t="shared" si="1"/>
        <v>1387</v>
      </c>
      <c r="IL19" s="116">
        <f t="shared" si="1"/>
        <v>1627.4</v>
      </c>
      <c r="IM19" s="116">
        <f t="shared" si="1"/>
        <v>1886.2</v>
      </c>
      <c r="IN19" s="116">
        <f t="shared" si="1"/>
        <v>2214.15</v>
      </c>
      <c r="IO19" s="116">
        <f t="shared" si="1"/>
        <v>2273</v>
      </c>
      <c r="IP19" s="116">
        <f t="shared" si="1"/>
        <v>2097.8000000000002</v>
      </c>
      <c r="IQ19" s="116">
        <f t="shared" si="1"/>
        <v>2290.65</v>
      </c>
      <c r="IR19" s="116">
        <f t="shared" si="1"/>
        <v>2296</v>
      </c>
      <c r="IS19" s="116">
        <f t="shared" si="1"/>
        <v>2285.5</v>
      </c>
      <c r="IT19" s="116">
        <f t="shared" si="1"/>
        <v>2259.9499999999998</v>
      </c>
      <c r="IU19" s="116">
        <f t="shared" si="1"/>
        <v>2132.0500000000002</v>
      </c>
      <c r="IV19" s="116">
        <f t="shared" si="1"/>
        <v>2554</v>
      </c>
      <c r="IW19" s="116">
        <f t="shared" si="1"/>
        <v>2951.9</v>
      </c>
      <c r="IX19" s="116">
        <f t="shared" si="1"/>
        <v>3345.25</v>
      </c>
      <c r="IY19" s="116">
        <f t="shared" si="1"/>
        <v>3399</v>
      </c>
      <c r="IZ19" s="116">
        <f t="shared" si="1"/>
        <v>3981.55</v>
      </c>
      <c r="JA19" s="116">
        <f t="shared" si="1"/>
        <v>3990</v>
      </c>
      <c r="JB19" s="116">
        <f t="shared" si="1"/>
        <v>4045.5</v>
      </c>
      <c r="JC19" s="116">
        <f t="shared" si="1"/>
        <v>3835.5</v>
      </c>
      <c r="JD19" s="116">
        <f t="shared" si="1"/>
        <v>3428</v>
      </c>
      <c r="JE19" s="116">
        <f t="shared" si="1"/>
        <v>3479.65</v>
      </c>
      <c r="JF19" s="116">
        <f t="shared" si="1"/>
        <v>3575</v>
      </c>
      <c r="JG19" s="116">
        <f t="shared" si="1"/>
        <v>3372.95</v>
      </c>
      <c r="JH19" s="116">
        <f t="shared" si="1"/>
        <v>3633.05</v>
      </c>
      <c r="JI19" s="116">
        <f t="shared" si="1"/>
        <v>3928.95</v>
      </c>
      <c r="JJ19" s="116">
        <f t="shared" ref="JJ19:JJ21" si="2">+IF(JJ14=0,JJ7,JJ14)</f>
        <v>4254.45</v>
      </c>
      <c r="JK19" s="116">
        <f t="shared" ref="JK19" si="3">+IF(JK14=0,JK7,JK14)</f>
        <v>4063</v>
      </c>
      <c r="JL19" s="116">
        <f t="shared" ref="JL19:JM19" si="4">+IF(JL14=0,JL7,JL14)</f>
        <v>4585.8999999999996</v>
      </c>
      <c r="JM19" s="116">
        <f t="shared" si="4"/>
        <v>4494</v>
      </c>
      <c r="JN19" s="116">
        <f t="shared" ref="JN19:JO19" si="5">+IF(JN14=0,JN7,JN14)</f>
        <v>4321.6499999999996</v>
      </c>
      <c r="JO19" s="116">
        <f t="shared" si="5"/>
        <v>3630</v>
      </c>
      <c r="JP19" s="116">
        <f t="shared" ref="JP19" si="6">+IF(JP14=0,JP7,JP14)</f>
        <v>3489.85</v>
      </c>
      <c r="JQ19" s="116">
        <f t="shared" ref="JQ19:KH19" si="7">+IF(JQ14=0,JQ7,JQ14)</f>
        <v>3328.2</v>
      </c>
      <c r="JR19" s="116">
        <f t="shared" si="7"/>
        <v>3336.7</v>
      </c>
      <c r="JS19" s="116">
        <f t="shared" si="7"/>
        <v>2613.9499999999998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587.75</v>
      </c>
      <c r="HQ20" s="116">
        <f t="shared" si="8"/>
        <v>598.79999999999995</v>
      </c>
      <c r="HR20" s="116">
        <f t="shared" si="8"/>
        <v>627.5</v>
      </c>
      <c r="HS20" s="116">
        <f t="shared" si="8"/>
        <v>682</v>
      </c>
      <c r="HT20" s="116">
        <f t="shared" si="8"/>
        <v>732.625</v>
      </c>
      <c r="HU20" s="116">
        <f t="shared" si="8"/>
        <v>955.55</v>
      </c>
      <c r="HV20" s="116">
        <f t="shared" si="8"/>
        <v>1007.35</v>
      </c>
      <c r="HW20" s="116">
        <f t="shared" si="8"/>
        <v>1000.25</v>
      </c>
      <c r="HX20" s="116">
        <f t="shared" si="8"/>
        <v>1168</v>
      </c>
      <c r="HY20" s="116">
        <f t="shared" si="8"/>
        <v>1174.125</v>
      </c>
      <c r="HZ20" s="116">
        <f t="shared" si="8"/>
        <v>1203.7</v>
      </c>
      <c r="IA20" s="116">
        <f t="shared" si="8"/>
        <v>1201</v>
      </c>
      <c r="IB20" s="116">
        <f t="shared" si="8"/>
        <v>1227.5</v>
      </c>
      <c r="IC20" s="116">
        <f t="shared" si="8"/>
        <v>1158.325</v>
      </c>
      <c r="ID20" s="116">
        <f t="shared" si="8"/>
        <v>1059.5</v>
      </c>
      <c r="IE20" s="116">
        <f t="shared" si="8"/>
        <v>1202.4749999999999</v>
      </c>
      <c r="IF20" s="116">
        <f t="shared" si="1"/>
        <v>1143.5</v>
      </c>
      <c r="IG20" s="116">
        <f t="shared" si="1"/>
        <v>1027.3499999999999</v>
      </c>
      <c r="IH20" s="116">
        <f t="shared" si="1"/>
        <v>1077.1500000000001</v>
      </c>
      <c r="II20" s="116">
        <f t="shared" si="1"/>
        <v>1127.5</v>
      </c>
      <c r="IJ20" s="116">
        <f t="shared" si="1"/>
        <v>1162.5</v>
      </c>
      <c r="IK20" s="116">
        <f t="shared" si="1"/>
        <v>1212.5</v>
      </c>
      <c r="IL20" s="116">
        <f t="shared" si="1"/>
        <v>1311.35</v>
      </c>
      <c r="IM20" s="116">
        <f t="shared" si="1"/>
        <v>1422.5</v>
      </c>
      <c r="IN20" s="116">
        <f t="shared" si="1"/>
        <v>1829.95</v>
      </c>
      <c r="IO20" s="116">
        <f t="shared" si="1"/>
        <v>1784</v>
      </c>
      <c r="IP20" s="116">
        <f t="shared" si="1"/>
        <v>1809.55</v>
      </c>
      <c r="IQ20" s="116">
        <f t="shared" si="1"/>
        <v>2006</v>
      </c>
      <c r="IR20" s="116">
        <f t="shared" si="1"/>
        <v>1975</v>
      </c>
      <c r="IS20" s="116">
        <f t="shared" si="1"/>
        <v>1929</v>
      </c>
      <c r="IT20" s="116">
        <f t="shared" si="1"/>
        <v>1504.4</v>
      </c>
      <c r="IU20" s="116">
        <f t="shared" si="1"/>
        <v>1650</v>
      </c>
      <c r="IV20" s="116">
        <f t="shared" si="1"/>
        <v>2081.5500000000002</v>
      </c>
      <c r="IW20" s="116">
        <f t="shared" si="1"/>
        <v>2492</v>
      </c>
      <c r="IX20" s="116">
        <f t="shared" si="1"/>
        <v>2701</v>
      </c>
      <c r="IY20" s="116">
        <f t="shared" si="1"/>
        <v>3004.8</v>
      </c>
      <c r="IZ20" s="116">
        <f t="shared" si="1"/>
        <v>3133.2</v>
      </c>
      <c r="JA20" s="116">
        <f t="shared" si="1"/>
        <v>3386</v>
      </c>
      <c r="JB20" s="116">
        <f t="shared" si="1"/>
        <v>3351</v>
      </c>
      <c r="JC20" s="116">
        <f t="shared" si="1"/>
        <v>3023.35</v>
      </c>
      <c r="JD20" s="116">
        <f t="shared" si="1"/>
        <v>2926</v>
      </c>
      <c r="JE20" s="116">
        <f t="shared" si="1"/>
        <v>2973.85</v>
      </c>
      <c r="JF20" s="116">
        <f t="shared" si="1"/>
        <v>3096.1</v>
      </c>
      <c r="JG20" s="116">
        <f t="shared" si="1"/>
        <v>3070.3</v>
      </c>
      <c r="JH20" s="116">
        <f t="shared" si="1"/>
        <v>3250</v>
      </c>
      <c r="JI20" s="116">
        <f t="shared" si="1"/>
        <v>3313</v>
      </c>
      <c r="JJ20" s="116">
        <f t="shared" si="2"/>
        <v>3651.55</v>
      </c>
      <c r="JK20" s="116">
        <f t="shared" ref="JK20" si="9">+IF(JK15=0,JK8,JK15)</f>
        <v>3593.3</v>
      </c>
      <c r="JL20" s="116">
        <f t="shared" ref="JL20:JM20" si="10">+IF(JL15=0,JL8,JL15)</f>
        <v>3886.05</v>
      </c>
      <c r="JM20" s="116">
        <f t="shared" si="10"/>
        <v>3915</v>
      </c>
      <c r="JN20" s="116">
        <f t="shared" ref="JN20:JO20" si="11">+IF(JN15=0,JN8,JN15)</f>
        <v>3457.35</v>
      </c>
      <c r="JO20" s="116">
        <f t="shared" si="11"/>
        <v>3060.25</v>
      </c>
      <c r="JP20" s="116">
        <f t="shared" ref="JP20" si="12">+IF(JP15=0,JP8,JP15)</f>
        <v>2886</v>
      </c>
      <c r="JQ20" s="116">
        <f t="shared" ref="JQ20:KH20" si="13">+IF(JQ15=0,JQ8,JQ15)</f>
        <v>2867.55</v>
      </c>
      <c r="JR20" s="116">
        <f t="shared" si="13"/>
        <v>2346.35</v>
      </c>
      <c r="JS20" s="116">
        <f t="shared" si="13"/>
        <v>2110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647</v>
      </c>
      <c r="HQ21" s="116">
        <f t="shared" si="1"/>
        <v>629.27499999999998</v>
      </c>
      <c r="HR21" s="116">
        <f t="shared" si="1"/>
        <v>785.9</v>
      </c>
      <c r="HS21" s="116">
        <f t="shared" si="1"/>
        <v>759.2</v>
      </c>
      <c r="HT21" s="116">
        <f t="shared" si="1"/>
        <v>963.35</v>
      </c>
      <c r="HU21" s="116">
        <f t="shared" si="1"/>
        <v>1085.4749999999999</v>
      </c>
      <c r="HV21" s="116">
        <f t="shared" si="1"/>
        <v>1064.125</v>
      </c>
      <c r="HW21" s="116">
        <f t="shared" si="1"/>
        <v>1209.7249999999999</v>
      </c>
      <c r="HX21" s="116">
        <f t="shared" si="1"/>
        <v>1369.1</v>
      </c>
      <c r="HY21" s="116">
        <f t="shared" si="1"/>
        <v>1277.3499999999999</v>
      </c>
      <c r="HZ21" s="116">
        <f t="shared" si="1"/>
        <v>1273.5250000000001</v>
      </c>
      <c r="IA21" s="116">
        <f t="shared" si="1"/>
        <v>1276.0999999999999</v>
      </c>
      <c r="IB21" s="116">
        <f t="shared" si="1"/>
        <v>1293.8499999999999</v>
      </c>
      <c r="IC21" s="116">
        <f t="shared" si="1"/>
        <v>1219.5999999999999</v>
      </c>
      <c r="ID21" s="116">
        <f t="shared" si="1"/>
        <v>1258.0250000000001</v>
      </c>
      <c r="IE21" s="116">
        <f t="shared" si="1"/>
        <v>1275.4000000000001</v>
      </c>
      <c r="IF21" s="116">
        <f t="shared" si="1"/>
        <v>1213.5999999999999</v>
      </c>
      <c r="IG21" s="116">
        <f t="shared" si="1"/>
        <v>1180.9749999999999</v>
      </c>
      <c r="IH21" s="116">
        <f t="shared" si="1"/>
        <v>1215.55</v>
      </c>
      <c r="II21" s="116">
        <f t="shared" si="1"/>
        <v>1182.175</v>
      </c>
      <c r="IJ21" s="116">
        <f t="shared" si="1"/>
        <v>1218.5</v>
      </c>
      <c r="IK21" s="116">
        <f t="shared" si="1"/>
        <v>1350.2</v>
      </c>
      <c r="IL21" s="116">
        <f t="shared" si="1"/>
        <v>1424.65</v>
      </c>
      <c r="IM21" s="116">
        <f t="shared" si="1"/>
        <v>1847.2</v>
      </c>
      <c r="IN21" s="116">
        <f t="shared" si="1"/>
        <v>2184.5</v>
      </c>
      <c r="IO21" s="116">
        <f t="shared" si="1"/>
        <v>1893.55</v>
      </c>
      <c r="IP21" s="116">
        <f t="shared" si="1"/>
        <v>2000.4</v>
      </c>
      <c r="IQ21" s="116">
        <f t="shared" si="1"/>
        <v>2227.25</v>
      </c>
      <c r="IR21" s="116">
        <f t="shared" si="1"/>
        <v>2099.1999999999998</v>
      </c>
      <c r="IS21" s="116">
        <f t="shared" si="1"/>
        <v>2161.3000000000002</v>
      </c>
      <c r="IT21" s="116">
        <f t="shared" si="1"/>
        <v>1823.05</v>
      </c>
      <c r="IU21" s="116">
        <f t="shared" si="1"/>
        <v>2082.1999999999998</v>
      </c>
      <c r="IV21" s="116">
        <f t="shared" si="1"/>
        <v>2491.5</v>
      </c>
      <c r="IW21" s="116">
        <f t="shared" si="1"/>
        <v>2870.2</v>
      </c>
      <c r="IX21" s="116">
        <f t="shared" si="1"/>
        <v>3177.6</v>
      </c>
      <c r="IY21" s="116">
        <f t="shared" si="1"/>
        <v>3345.25</v>
      </c>
      <c r="IZ21" s="116">
        <f t="shared" si="1"/>
        <v>3774.5</v>
      </c>
      <c r="JA21" s="116">
        <f t="shared" si="1"/>
        <v>3736.85</v>
      </c>
      <c r="JB21" s="116">
        <f t="shared" si="1"/>
        <v>3738.8</v>
      </c>
      <c r="JC21" s="116">
        <f t="shared" si="1"/>
        <v>3265.25</v>
      </c>
      <c r="JD21" s="116">
        <f t="shared" si="1"/>
        <v>3004.6</v>
      </c>
      <c r="JE21" s="116">
        <f t="shared" si="1"/>
        <v>3259.25</v>
      </c>
      <c r="JF21" s="116">
        <f t="shared" si="1"/>
        <v>3205.8</v>
      </c>
      <c r="JG21" s="116">
        <f t="shared" si="1"/>
        <v>3300.5</v>
      </c>
      <c r="JH21" s="116">
        <f t="shared" si="1"/>
        <v>3530.75</v>
      </c>
      <c r="JI21" s="116">
        <f t="shared" si="1"/>
        <v>3794.95</v>
      </c>
      <c r="JJ21" s="116">
        <f t="shared" si="2"/>
        <v>3883.55</v>
      </c>
      <c r="JK21" s="116">
        <f t="shared" ref="JK21" si="14">+IF(JK16=0,JK9,JK16)</f>
        <v>3904.95</v>
      </c>
      <c r="JL21" s="116">
        <f t="shared" ref="JL21:JM21" si="15">+IF(JL16=0,JL9,JL16)</f>
        <v>4268.3999999999996</v>
      </c>
      <c r="JM21" s="116">
        <f t="shared" si="15"/>
        <v>4097.2</v>
      </c>
      <c r="JN21" s="116">
        <f t="shared" ref="JN21:JO21" si="16">+IF(JN16=0,JN9,JN16)</f>
        <v>3604.45</v>
      </c>
      <c r="JO21" s="116">
        <f t="shared" si="16"/>
        <v>3461.05</v>
      </c>
      <c r="JP21" s="116">
        <f t="shared" ref="JP21" si="17">+IF(JP16=0,JP9,JP16)</f>
        <v>2889</v>
      </c>
      <c r="JQ21" s="116">
        <f t="shared" ref="JQ21:KH21" si="18">+IF(JQ16=0,JQ9,JQ16)</f>
        <v>3205.75</v>
      </c>
      <c r="JR21" s="116">
        <f t="shared" si="18"/>
        <v>2359.0500000000002</v>
      </c>
      <c r="JS21" s="116">
        <f t="shared" si="18"/>
        <v>2198.85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132540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1957220996</v>
      </c>
      <c r="D6" cm="1">
        <f t="array" ref="D6">_xll.EQNXTDZ($A$1,$B6,D$1)</f>
        <v>1957220996</v>
      </c>
      <c r="E6" cm="1">
        <f t="array" ref="E6">_xll.EQNXTDZ($A$1,$B6,E$1)</f>
        <v>1957220996</v>
      </c>
      <c r="F6" cm="1">
        <f t="array" ref="F6">_xll.EQNXTDZ($A$1,$B6,F$1)</f>
        <v>1957220996</v>
      </c>
      <c r="G6" cm="1">
        <f t="array" ref="G6">_xll.EQNXTDZ($A$1,$B6,G$1)</f>
        <v>1957220996</v>
      </c>
      <c r="H6" cm="1">
        <f t="array" ref="H6">_xll.EQNXTDZ($A$1,$B6,H$1)</f>
        <v>1957220996</v>
      </c>
      <c r="I6" cm="1">
        <f t="array" ref="I6">_xll.EQNXTDZ($A$1,$B6,I$1)</f>
        <v>1958727979</v>
      </c>
      <c r="J6" cm="1">
        <f t="array" ref="J6">_xll.EQNXTDZ($A$1,$B6,J$1)</f>
        <v>1958727979</v>
      </c>
      <c r="K6" cm="1">
        <f t="array" ref="K6">_xll.EQNXTDZ($A$1,$B6,K$1)</f>
        <v>1958727979</v>
      </c>
      <c r="L6" cm="1">
        <f t="array" ref="L6">_xll.EQNXTDZ($A$1,$B6,L$1)</f>
        <v>1958727979</v>
      </c>
      <c r="M6" cm="1">
        <f t="array" ref="M6">_xll.EQNXTDZ($A$1,$B6,M$1)</f>
        <v>1958727979</v>
      </c>
      <c r="N6" cm="1">
        <f t="array" ref="N6">_xll.EQNXTDZ($A$1,$B6,N$1)</f>
        <v>1958727979</v>
      </c>
      <c r="O6" cm="1">
        <f t="array" ref="O6">_xll.EQNXTDZ($A$1,$B6,O$1)</f>
        <v>1958727979</v>
      </c>
      <c r="P6" cm="1">
        <f t="array" ref="P6">_xll.EQNXTDZ($A$1,$B6,P$1)</f>
        <v>1958727979</v>
      </c>
      <c r="Q6" cm="1">
        <f t="array" ref="Q6">_xll.EQNXTDZ($A$1,$B6,Q$1)</f>
        <v>1970427941</v>
      </c>
      <c r="R6" cm="1">
        <f t="array" ref="R6">_xll.EQNXTDZ($A$1,$B6,R$1)</f>
        <v>1970427941</v>
      </c>
      <c r="S6" cm="1">
        <f t="array" ref="S6">_xll.EQNXTDZ($A$1,$B6,S$1)</f>
        <v>1970427941</v>
      </c>
      <c r="T6" cm="1">
        <f t="array" ref="T6">_xll.EQNXTDZ($A$1,$B6,T$1)</f>
        <v>1970427941</v>
      </c>
      <c r="U6" cm="1">
        <f t="array" ref="U6">_xll.EQNXTDZ($A$1,$B6,U$1)</f>
        <v>1970427941</v>
      </c>
      <c r="V6" cm="1">
        <f t="array" ref="V6">_xll.EQNXTDZ($A$1,$B6,V$1)</f>
        <v>1970427941</v>
      </c>
      <c r="W6" cm="1">
        <f t="array" ref="W6">_xll.EQNXTDZ($A$1,$B6,W$1)</f>
        <v>1914287591</v>
      </c>
      <c r="X6" cm="1">
        <f t="array" ref="X6">_xll.EQNXTDZ($A$1,$B6,X$1)</f>
        <v>1914287591</v>
      </c>
      <c r="Y6" cm="1">
        <f t="array" ref="Y6">_xll.EQNXTDZ($A$1,$B6,Y$1)</f>
        <v>1914287591</v>
      </c>
      <c r="Z6" cm="1">
        <f t="array" ref="Z6">_xll.EQNXTDZ($A$1,$B6,Z$1)</f>
        <v>1914287591</v>
      </c>
      <c r="AA6" cm="1">
        <f t="array" ref="AA6">_xll.EQNXTDZ($A$1,$B6,AA$1)</f>
        <v>3828575182</v>
      </c>
      <c r="AB6" cm="1">
        <f t="array" ref="AB6">_xll.EQNXTDZ($A$1,$B6,AB$1)</f>
        <v>3752384706</v>
      </c>
      <c r="AC6" cm="1">
        <f t="array" ref="AC6">_xll.EQNXTDZ($A$1,$B6,AC$1)</f>
        <v>3752384706</v>
      </c>
      <c r="AD6" cm="1">
        <f t="array" ref="AD6">_xll.EQNXTDZ($A$1,$B6,AD$1)</f>
        <v>3752384706</v>
      </c>
      <c r="AE6" cm="1">
        <f t="array" ref="AE6">_xll.EQNXTDZ($A$1,$B6,AE$1)</f>
        <v>3752384706</v>
      </c>
      <c r="AF6" cm="1">
        <f t="array" ref="AF6">_xll.EQNXTDZ($A$1,$B6,AF$1)</f>
        <v>3752384706</v>
      </c>
      <c r="AG6" cm="1">
        <f t="array" ref="AG6">_xll.EQNXTDZ($A$1,$B6,AG$1)</f>
        <v>3752384706</v>
      </c>
      <c r="AH6" cm="1">
        <f t="array" ref="AH6">_xll.EQNXTDZ($A$1,$B6,AH$1)</f>
        <v>3752384706</v>
      </c>
      <c r="AI6" cm="1">
        <f t="array" ref="AI6">_xll.EQNXTDZ($A$1,$B6,AI$1)</f>
        <v>3752384706</v>
      </c>
      <c r="AJ6" cm="1">
        <f t="array" ref="AJ6">_xll.EQNXTDZ($A$1,$B6,AJ$1)</f>
        <v>3752384706</v>
      </c>
      <c r="AK6" cm="1">
        <f t="array" ref="AK6">_xll.EQNXTDZ($A$1,$B6,AK$1)</f>
        <v>3752384706</v>
      </c>
      <c r="AL6" cm="1">
        <f t="array" ref="AL6">_xll.EQNXTDZ($A$1,$B6,AL$1)</f>
        <v>3699051373</v>
      </c>
      <c r="AM6" cm="1">
        <f t="array" ref="AM6">_xll.EQNXTDZ($A$1,$B6,AM$1)</f>
        <v>3699051373</v>
      </c>
      <c r="AN6" cm="1">
        <f t="array" ref="AN6">_xll.EQNXTDZ($A$1,$B6,AN$1)</f>
        <v>3699051373</v>
      </c>
      <c r="AO6" cm="1">
        <f t="array" ref="AO6">_xll.EQNXTDZ($A$1,$B6,AO$1)</f>
        <v>3699051373</v>
      </c>
      <c r="AP6" cm="1">
        <f t="array" ref="AP6">_xll.EQNXTDZ($A$1,$B6,AP$1)</f>
        <v>3659051373</v>
      </c>
      <c r="AQ6" cm="1">
        <f t="array" ref="AQ6">_xll.EQNXTDZ($A$1,$B6,AQ$1)</f>
        <v>3659051373</v>
      </c>
      <c r="AR6" cm="1">
        <f t="array" ref="AR6">_xll.EQNXTDZ($A$1,$B6,AR$1)</f>
        <v>3659051373</v>
      </c>
      <c r="AS6" cm="1">
        <f t="array" ref="AS6">_xll.EQNXTDZ($A$1,$B6,AS$1)</f>
        <v>3659051373</v>
      </c>
      <c r="AT6" cm="1">
        <f t="array" ref="AT6">_xll.EQNXTDZ($A$1,$B6,AT$1)</f>
        <v>3659051373</v>
      </c>
      <c r="AU6" cm="1">
        <f t="array" ref="AU6">_xll.EQNXTDZ($A$1,$B6,AU$1)</f>
        <v>3659051373</v>
      </c>
      <c r="AV6" cm="1">
        <f t="array" ref="AV6">_xll.EQNXTDZ($A$1,$B6,AV$1)</f>
        <v>3659051373</v>
      </c>
      <c r="AW6" cm="1">
        <f t="array" ref="AW6">_xll.EQNXTDZ($A$1,$B6,AW$1)</f>
        <v>3618087518</v>
      </c>
      <c r="AX6" cm="1">
        <f t="array" ref="AX6">_xll.EQNXTDZ($A$1,$B6,AX$1)</f>
        <v>3618087518</v>
      </c>
      <c r="AY6" cm="1">
        <f t="array" ref="AY6">_xll.EQNXTDZ($A$1,$B6,AY$1)</f>
        <v>3618087518</v>
      </c>
    </row>
    <row r="7" spans="1:51" x14ac:dyDescent="0.25">
      <c r="B7" t="s">
        <v>429</v>
      </c>
      <c r="C7" s="100">
        <f>+C6/10^7</f>
        <v>195.72209960000001</v>
      </c>
      <c r="D7" s="100">
        <f t="shared" ref="D7:X7" si="0">+D6/10^7</f>
        <v>195.72209960000001</v>
      </c>
      <c r="E7" s="100">
        <f t="shared" si="0"/>
        <v>195.72209960000001</v>
      </c>
      <c r="F7" s="100">
        <f t="shared" si="0"/>
        <v>195.72209960000001</v>
      </c>
      <c r="G7" s="100">
        <f t="shared" si="0"/>
        <v>195.72209960000001</v>
      </c>
      <c r="H7" s="100">
        <f t="shared" si="0"/>
        <v>195.72209960000001</v>
      </c>
      <c r="I7" s="100">
        <f t="shared" si="0"/>
        <v>195.87279789999999</v>
      </c>
      <c r="J7" s="100">
        <f t="shared" si="0"/>
        <v>195.87279789999999</v>
      </c>
      <c r="K7" s="100">
        <f t="shared" si="0"/>
        <v>195.87279789999999</v>
      </c>
      <c r="L7" s="100">
        <f t="shared" si="0"/>
        <v>195.87279789999999</v>
      </c>
      <c r="M7" s="100">
        <f t="shared" si="0"/>
        <v>195.87279789999999</v>
      </c>
      <c r="N7" s="100">
        <f t="shared" si="0"/>
        <v>195.87279789999999</v>
      </c>
      <c r="O7" s="100">
        <f t="shared" si="0"/>
        <v>195.87279789999999</v>
      </c>
      <c r="P7" s="100">
        <f t="shared" si="0"/>
        <v>195.87279789999999</v>
      </c>
      <c r="Q7" s="100">
        <f t="shared" si="0"/>
        <v>197.04279410000001</v>
      </c>
      <c r="R7" s="100">
        <f t="shared" si="0"/>
        <v>197.04279410000001</v>
      </c>
      <c r="S7" s="100">
        <f t="shared" si="0"/>
        <v>197.04279410000001</v>
      </c>
      <c r="T7" s="100">
        <f t="shared" si="0"/>
        <v>197.04279410000001</v>
      </c>
      <c r="U7" s="100">
        <f t="shared" si="0"/>
        <v>197.04279410000001</v>
      </c>
      <c r="V7" s="100">
        <f t="shared" si="0"/>
        <v>197.04279410000001</v>
      </c>
      <c r="W7" s="100">
        <f t="shared" si="0"/>
        <v>191.42875910000001</v>
      </c>
      <c r="X7" s="100">
        <f t="shared" si="0"/>
        <v>191.42875910000001</v>
      </c>
      <c r="Y7" s="100">
        <f t="shared" ref="Y7:AS7" si="1">+Y6/10^7</f>
        <v>191.42875910000001</v>
      </c>
      <c r="Z7" s="100">
        <f t="shared" si="1"/>
        <v>191.42875910000001</v>
      </c>
      <c r="AA7" s="100">
        <f t="shared" si="1"/>
        <v>382.85751820000002</v>
      </c>
      <c r="AB7" s="100">
        <f t="shared" si="1"/>
        <v>375.23847060000003</v>
      </c>
      <c r="AC7" s="100">
        <f t="shared" si="1"/>
        <v>375.23847060000003</v>
      </c>
      <c r="AD7" s="100">
        <f t="shared" si="1"/>
        <v>375.23847060000003</v>
      </c>
      <c r="AE7" s="100">
        <f t="shared" si="1"/>
        <v>375.23847060000003</v>
      </c>
      <c r="AF7" s="100">
        <f t="shared" si="1"/>
        <v>375.23847060000003</v>
      </c>
      <c r="AG7" s="100">
        <f t="shared" si="1"/>
        <v>375.23847060000003</v>
      </c>
      <c r="AH7" s="100">
        <f t="shared" si="1"/>
        <v>375.23847060000003</v>
      </c>
      <c r="AI7" s="100">
        <f t="shared" si="1"/>
        <v>375.23847060000003</v>
      </c>
      <c r="AJ7" s="100">
        <f t="shared" si="1"/>
        <v>375.23847060000003</v>
      </c>
      <c r="AK7" s="100">
        <f t="shared" si="1"/>
        <v>375.23847060000003</v>
      </c>
      <c r="AL7" s="100">
        <f t="shared" si="1"/>
        <v>369.90513729999998</v>
      </c>
      <c r="AM7" s="100">
        <f t="shared" si="1"/>
        <v>369.90513729999998</v>
      </c>
      <c r="AN7" s="100">
        <f t="shared" si="1"/>
        <v>369.90513729999998</v>
      </c>
      <c r="AO7" s="100">
        <f t="shared" si="1"/>
        <v>369.90513729999998</v>
      </c>
      <c r="AP7" s="100">
        <f t="shared" si="1"/>
        <v>365.90513729999998</v>
      </c>
      <c r="AQ7" s="100">
        <f t="shared" si="1"/>
        <v>365.90513729999998</v>
      </c>
      <c r="AR7" s="100">
        <f t="shared" si="1"/>
        <v>365.90513729999998</v>
      </c>
      <c r="AS7" s="100">
        <f t="shared" si="1"/>
        <v>365.90513729999998</v>
      </c>
      <c r="AT7" s="100">
        <f t="shared" ref="AT7:AX7" si="2">+AT6/10^7</f>
        <v>365.90513729999998</v>
      </c>
      <c r="AU7" s="100">
        <f t="shared" si="2"/>
        <v>365.90513729999998</v>
      </c>
      <c r="AV7" s="100">
        <f t="shared" si="2"/>
        <v>365.90513729999998</v>
      </c>
      <c r="AW7" s="100">
        <f t="shared" si="2"/>
        <v>361.80875179999998</v>
      </c>
      <c r="AX7" s="100">
        <f t="shared" si="2"/>
        <v>361.80875179999998</v>
      </c>
      <c r="AY7" s="100">
        <f t="shared" ref="AY7" si="3">+AY6/10^7</f>
        <v>361.80875179999998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132540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531</v>
      </c>
      <c r="L2" s="170" t="s">
        <v>531</v>
      </c>
    </row>
    <row r="3" spans="1:18" x14ac:dyDescent="0.25">
      <c r="A3" s="171" t="s">
        <v>515</v>
      </c>
      <c r="B3" s="172" t="s">
        <v>516</v>
      </c>
      <c r="C3" s="172" t="s">
        <v>517</v>
      </c>
      <c r="D3" s="172" t="s">
        <v>518</v>
      </c>
      <c r="E3" s="172" t="s">
        <v>519</v>
      </c>
      <c r="F3" s="172" t="s">
        <v>520</v>
      </c>
      <c r="G3" s="172" t="s">
        <v>521</v>
      </c>
      <c r="H3" s="172"/>
      <c r="I3" s="172"/>
      <c r="J3" s="172"/>
      <c r="K3" s="172"/>
      <c r="L3" s="171" t="s">
        <v>515</v>
      </c>
      <c r="M3" s="173" t="s">
        <v>517</v>
      </c>
      <c r="N3" s="173" t="s">
        <v>516</v>
      </c>
      <c r="O3" s="173" t="s">
        <v>518</v>
      </c>
      <c r="P3" s="173" t="s">
        <v>519</v>
      </c>
      <c r="Q3" s="173" t="s">
        <v>520</v>
      </c>
      <c r="R3" s="172" t="s">
        <v>521</v>
      </c>
    </row>
    <row r="4" spans="1:18" x14ac:dyDescent="0.25">
      <c r="A4" s="170">
        <v>42005</v>
      </c>
      <c r="B4" s="116">
        <v>1281.75</v>
      </c>
      <c r="C4" s="116">
        <v>1274.0999999999999</v>
      </c>
      <c r="D4" s="116">
        <v>1271</v>
      </c>
      <c r="E4" s="116">
        <v>1277.175</v>
      </c>
      <c r="F4" s="116">
        <v>2548.1999999999998</v>
      </c>
      <c r="G4">
        <v>17636</v>
      </c>
      <c r="H4" s="116"/>
      <c r="I4" s="116"/>
      <c r="L4" s="170">
        <v>42005</v>
      </c>
      <c r="M4" s="116">
        <v>1272.7750000000001</v>
      </c>
      <c r="N4" s="116">
        <v>1283.5</v>
      </c>
      <c r="O4" s="116">
        <v>1270.5</v>
      </c>
      <c r="P4" s="116">
        <v>1283.5</v>
      </c>
      <c r="Q4" s="116">
        <v>2545.5500000000002</v>
      </c>
      <c r="R4">
        <v>183415</v>
      </c>
    </row>
    <row r="5" spans="1:18" x14ac:dyDescent="0.25">
      <c r="A5" s="170">
        <v>42006</v>
      </c>
      <c r="B5" s="116">
        <v>1294.5</v>
      </c>
      <c r="C5" s="116">
        <v>1285.425</v>
      </c>
      <c r="D5" s="116">
        <v>1273.625</v>
      </c>
      <c r="E5" s="116">
        <v>1273.625</v>
      </c>
      <c r="F5" s="116">
        <v>2570.85</v>
      </c>
      <c r="G5">
        <v>88562</v>
      </c>
      <c r="H5" s="116"/>
      <c r="I5" s="116"/>
      <c r="L5" s="170">
        <v>42006</v>
      </c>
      <c r="M5" s="116">
        <v>1289.7249999999999</v>
      </c>
      <c r="N5" s="116">
        <v>1295.4749999999999</v>
      </c>
      <c r="O5" s="116">
        <v>1275.3</v>
      </c>
      <c r="P5" s="116">
        <v>1275.5</v>
      </c>
      <c r="Q5" s="116">
        <v>2579.4499999999998</v>
      </c>
      <c r="R5">
        <v>462870</v>
      </c>
    </row>
    <row r="6" spans="1:18" x14ac:dyDescent="0.25">
      <c r="A6" s="170">
        <v>42009</v>
      </c>
      <c r="B6" s="116">
        <v>1299.5250000000001</v>
      </c>
      <c r="C6" s="116">
        <v>1268.95</v>
      </c>
      <c r="D6" s="116">
        <v>1263.5</v>
      </c>
      <c r="E6" s="116">
        <v>1296.5</v>
      </c>
      <c r="F6" s="116">
        <v>2537.9</v>
      </c>
      <c r="G6">
        <v>65179</v>
      </c>
      <c r="H6" s="116"/>
      <c r="I6" s="116"/>
      <c r="L6" s="170">
        <v>42009</v>
      </c>
      <c r="M6" s="116">
        <v>1270.125</v>
      </c>
      <c r="N6" s="116">
        <v>1299.95</v>
      </c>
      <c r="O6" s="116">
        <v>1262.325</v>
      </c>
      <c r="P6" s="116">
        <v>1290.5</v>
      </c>
      <c r="Q6" s="116">
        <v>2540.25</v>
      </c>
      <c r="R6">
        <v>877121</v>
      </c>
    </row>
    <row r="7" spans="1:18" x14ac:dyDescent="0.25">
      <c r="A7" s="170">
        <v>42010</v>
      </c>
      <c r="B7" s="116">
        <v>1263.5</v>
      </c>
      <c r="C7" s="116">
        <v>1223.2750000000001</v>
      </c>
      <c r="D7" s="116">
        <v>1220.0250000000001</v>
      </c>
      <c r="E7" s="116">
        <v>1263.5</v>
      </c>
      <c r="F7" s="116">
        <v>2446.5500000000002</v>
      </c>
      <c r="G7">
        <v>88267</v>
      </c>
      <c r="H7" s="116"/>
      <c r="I7" s="116"/>
      <c r="L7" s="170">
        <v>42010</v>
      </c>
      <c r="M7" s="116">
        <v>1223.3</v>
      </c>
      <c r="N7" s="116">
        <v>1264.55</v>
      </c>
      <c r="O7" s="116">
        <v>1220</v>
      </c>
      <c r="P7" s="116">
        <v>1264.55</v>
      </c>
      <c r="Q7" s="116">
        <v>2446.6</v>
      </c>
      <c r="R7">
        <v>1211892</v>
      </c>
    </row>
    <row r="8" spans="1:18" x14ac:dyDescent="0.25">
      <c r="A8" s="170">
        <v>42011</v>
      </c>
      <c r="B8" s="116">
        <v>1239.5</v>
      </c>
      <c r="C8" s="116">
        <v>1208.4000000000001</v>
      </c>
      <c r="D8" s="116">
        <v>1203.7</v>
      </c>
      <c r="E8" s="116">
        <v>1230.25</v>
      </c>
      <c r="F8" s="116">
        <v>2416.8000000000002</v>
      </c>
      <c r="G8">
        <v>140502</v>
      </c>
      <c r="H8" s="116"/>
      <c r="I8" s="116"/>
      <c r="L8" s="170">
        <v>42011</v>
      </c>
      <c r="M8" s="116">
        <v>1208.8499999999999</v>
      </c>
      <c r="N8" s="116">
        <v>1239.575</v>
      </c>
      <c r="O8" s="116">
        <v>1203.7249999999999</v>
      </c>
      <c r="P8" s="116">
        <v>1235</v>
      </c>
      <c r="Q8" s="116">
        <v>2417.6999999999998</v>
      </c>
      <c r="R8">
        <v>1318166</v>
      </c>
    </row>
    <row r="9" spans="1:18" x14ac:dyDescent="0.25">
      <c r="A9" s="170">
        <v>42012</v>
      </c>
      <c r="B9" s="116">
        <v>1225</v>
      </c>
      <c r="C9" s="116">
        <v>1221.925</v>
      </c>
      <c r="D9" s="116">
        <v>1211.5250000000001</v>
      </c>
      <c r="E9" s="116">
        <v>1222.5</v>
      </c>
      <c r="F9" s="116">
        <v>2443.85</v>
      </c>
      <c r="G9">
        <v>52622</v>
      </c>
      <c r="H9" s="116"/>
      <c r="I9" s="116"/>
      <c r="L9" s="170">
        <v>42012</v>
      </c>
      <c r="M9" s="116">
        <v>1221.9000000000001</v>
      </c>
      <c r="N9" s="116">
        <v>1224.5</v>
      </c>
      <c r="O9" s="116">
        <v>1210.2750000000001</v>
      </c>
      <c r="P9" s="116">
        <v>1221.2</v>
      </c>
      <c r="Q9" s="116">
        <v>2443.8000000000002</v>
      </c>
      <c r="R9">
        <v>782704</v>
      </c>
    </row>
    <row r="10" spans="1:18" x14ac:dyDescent="0.25">
      <c r="A10" s="170">
        <v>42013</v>
      </c>
      <c r="B10" s="116">
        <v>1259</v>
      </c>
      <c r="C10" s="116">
        <v>1256.0999999999999</v>
      </c>
      <c r="D10" s="116">
        <v>1225</v>
      </c>
      <c r="E10" s="116">
        <v>1225</v>
      </c>
      <c r="F10" s="116">
        <v>2512.1999999999998</v>
      </c>
      <c r="G10">
        <v>96356</v>
      </c>
      <c r="H10" s="116"/>
      <c r="I10" s="116"/>
      <c r="L10" s="170">
        <v>42013</v>
      </c>
      <c r="M10" s="116">
        <v>1256.1500000000001</v>
      </c>
      <c r="N10" s="116">
        <v>1259.95</v>
      </c>
      <c r="O10" s="116">
        <v>1225</v>
      </c>
      <c r="P10" s="116">
        <v>1227.5</v>
      </c>
      <c r="Q10" s="116">
        <v>2512.3000000000002</v>
      </c>
      <c r="R10">
        <v>1598821</v>
      </c>
    </row>
    <row r="11" spans="1:18" x14ac:dyDescent="0.25">
      <c r="A11" s="170">
        <v>42016</v>
      </c>
      <c r="B11" s="116">
        <v>1264.5</v>
      </c>
      <c r="C11" s="116">
        <v>1256.0250000000001</v>
      </c>
      <c r="D11" s="116">
        <v>1240.425</v>
      </c>
      <c r="E11" s="116">
        <v>1260</v>
      </c>
      <c r="F11" s="116">
        <v>2512.0500000000002</v>
      </c>
      <c r="G11">
        <v>64593</v>
      </c>
      <c r="H11" s="116"/>
      <c r="I11" s="116"/>
      <c r="L11" s="170">
        <v>42016</v>
      </c>
      <c r="M11" s="116">
        <v>1254.8499999999999</v>
      </c>
      <c r="N11" s="116">
        <v>1264</v>
      </c>
      <c r="O11" s="116">
        <v>1240.125</v>
      </c>
      <c r="P11" s="116">
        <v>1258.5</v>
      </c>
      <c r="Q11" s="116">
        <v>2509.6999999999998</v>
      </c>
      <c r="R11">
        <v>798003</v>
      </c>
    </row>
    <row r="12" spans="1:18" x14ac:dyDescent="0.25">
      <c r="A12" s="170">
        <v>42017</v>
      </c>
      <c r="B12" s="116">
        <v>1265</v>
      </c>
      <c r="C12" s="116">
        <v>1249.1500000000001</v>
      </c>
      <c r="D12" s="116">
        <v>1240.125</v>
      </c>
      <c r="E12" s="116">
        <v>1257.6500000000001</v>
      </c>
      <c r="F12" s="116">
        <v>2498.3000000000002</v>
      </c>
      <c r="G12">
        <v>47401</v>
      </c>
      <c r="H12" s="116"/>
      <c r="I12" s="116"/>
      <c r="L12" s="170">
        <v>42017</v>
      </c>
      <c r="M12" s="116">
        <v>1248.95</v>
      </c>
      <c r="N12" s="116">
        <v>1265.2</v>
      </c>
      <c r="O12" s="116">
        <v>1240.05</v>
      </c>
      <c r="P12" s="116">
        <v>1260</v>
      </c>
      <c r="Q12" s="116">
        <v>2497.9</v>
      </c>
      <c r="R12">
        <v>734216</v>
      </c>
    </row>
    <row r="13" spans="1:18" x14ac:dyDescent="0.25">
      <c r="A13" s="170">
        <v>42018</v>
      </c>
      <c r="B13" s="116">
        <v>1265.4000000000001</v>
      </c>
      <c r="C13" s="116">
        <v>1259.075</v>
      </c>
      <c r="D13" s="116">
        <v>1251.5</v>
      </c>
      <c r="E13" s="116">
        <v>1251.7750000000001</v>
      </c>
      <c r="F13" s="116">
        <v>2518.15</v>
      </c>
      <c r="G13">
        <v>41125</v>
      </c>
      <c r="H13" s="116"/>
      <c r="I13" s="116"/>
      <c r="L13" s="170">
        <v>42018</v>
      </c>
      <c r="M13" s="116">
        <v>1260.9749999999999</v>
      </c>
      <c r="N13" s="116">
        <v>1265.9000000000001</v>
      </c>
      <c r="O13" s="116">
        <v>1250.25</v>
      </c>
      <c r="P13" s="116">
        <v>1258</v>
      </c>
      <c r="Q13" s="116">
        <v>2521.9499999999998</v>
      </c>
      <c r="R13">
        <v>893548</v>
      </c>
    </row>
    <row r="14" spans="1:18" x14ac:dyDescent="0.25">
      <c r="A14" s="170">
        <v>42019</v>
      </c>
      <c r="B14" s="116">
        <v>1291.75</v>
      </c>
      <c r="C14" s="116">
        <v>1272.5</v>
      </c>
      <c r="D14" s="116">
        <v>1260.9749999999999</v>
      </c>
      <c r="E14" s="116">
        <v>1260.9749999999999</v>
      </c>
      <c r="F14" s="116">
        <v>2545</v>
      </c>
      <c r="G14">
        <v>948639</v>
      </c>
      <c r="H14" s="116"/>
      <c r="I14" s="116"/>
      <c r="L14" s="170">
        <v>42019</v>
      </c>
      <c r="M14" s="116">
        <v>1269.55</v>
      </c>
      <c r="N14" s="116">
        <v>1290.875</v>
      </c>
      <c r="O14" s="116">
        <v>1261.625</v>
      </c>
      <c r="P14" s="116">
        <v>1266.5</v>
      </c>
      <c r="Q14" s="116">
        <v>2539.1</v>
      </c>
      <c r="R14">
        <v>2504960</v>
      </c>
    </row>
    <row r="15" spans="1:18" x14ac:dyDescent="0.25">
      <c r="A15" s="170">
        <v>42020</v>
      </c>
      <c r="B15" s="116">
        <v>1272.5</v>
      </c>
      <c r="C15" s="116">
        <v>1265.95</v>
      </c>
      <c r="D15" s="116">
        <v>1242</v>
      </c>
      <c r="E15" s="116">
        <v>1270</v>
      </c>
      <c r="F15" s="116">
        <v>2531.9</v>
      </c>
      <c r="G15">
        <v>183736</v>
      </c>
      <c r="H15" s="116"/>
      <c r="I15" s="116"/>
      <c r="L15" s="170">
        <v>42020</v>
      </c>
      <c r="M15" s="116">
        <v>1266.075</v>
      </c>
      <c r="N15" s="116">
        <v>1272.5</v>
      </c>
      <c r="O15" s="116">
        <v>1242.1500000000001</v>
      </c>
      <c r="P15" s="116">
        <v>1271.8499999999999</v>
      </c>
      <c r="Q15" s="116">
        <v>2532.15</v>
      </c>
      <c r="R15">
        <v>2646915</v>
      </c>
    </row>
    <row r="16" spans="1:18" x14ac:dyDescent="0.25">
      <c r="A16" s="170">
        <v>42023</v>
      </c>
      <c r="B16" s="116">
        <v>1276.3499999999999</v>
      </c>
      <c r="C16" s="116">
        <v>1254.875</v>
      </c>
      <c r="D16" s="116">
        <v>1251.45</v>
      </c>
      <c r="E16" s="116">
        <v>1265.95</v>
      </c>
      <c r="F16" s="116">
        <v>2509.75</v>
      </c>
      <c r="G16">
        <v>46951</v>
      </c>
      <c r="H16" s="116"/>
      <c r="I16" s="116"/>
      <c r="L16" s="170">
        <v>42023</v>
      </c>
      <c r="M16" s="116">
        <v>1255.5</v>
      </c>
      <c r="N16" s="116">
        <v>1275.5</v>
      </c>
      <c r="O16" s="116">
        <v>1251.5</v>
      </c>
      <c r="P16" s="116">
        <v>1268</v>
      </c>
      <c r="Q16" s="116">
        <v>2511</v>
      </c>
      <c r="R16">
        <v>567537</v>
      </c>
    </row>
    <row r="17" spans="1:18" x14ac:dyDescent="0.25">
      <c r="A17" s="170">
        <v>42024</v>
      </c>
      <c r="B17" s="116">
        <v>1264.825</v>
      </c>
      <c r="C17" s="116">
        <v>1249.7750000000001</v>
      </c>
      <c r="D17" s="116">
        <v>1241.625</v>
      </c>
      <c r="E17" s="116">
        <v>1263.45</v>
      </c>
      <c r="F17" s="116">
        <v>2499.5500000000002</v>
      </c>
      <c r="G17">
        <v>90102</v>
      </c>
      <c r="H17" s="116"/>
      <c r="I17" s="116"/>
      <c r="L17" s="170">
        <v>42024</v>
      </c>
      <c r="M17" s="116">
        <v>1250.2249999999999</v>
      </c>
      <c r="N17" s="116">
        <v>1265</v>
      </c>
      <c r="O17" s="116">
        <v>1241.625</v>
      </c>
      <c r="P17" s="116">
        <v>1260</v>
      </c>
      <c r="Q17" s="116">
        <v>2500.4499999999998</v>
      </c>
      <c r="R17">
        <v>1029283</v>
      </c>
    </row>
    <row r="18" spans="1:18" x14ac:dyDescent="0.25">
      <c r="A18" s="170">
        <v>42025</v>
      </c>
      <c r="B18" s="116">
        <v>1259.5</v>
      </c>
      <c r="C18" s="116">
        <v>1255.675</v>
      </c>
      <c r="D18" s="116">
        <v>1245.05</v>
      </c>
      <c r="E18" s="116">
        <v>1258</v>
      </c>
      <c r="F18" s="116">
        <v>2511.35</v>
      </c>
      <c r="G18">
        <v>60262</v>
      </c>
      <c r="H18" s="116"/>
      <c r="I18" s="116"/>
      <c r="L18" s="170">
        <v>42025</v>
      </c>
      <c r="M18" s="116">
        <v>1256.9000000000001</v>
      </c>
      <c r="N18" s="116">
        <v>1261</v>
      </c>
      <c r="O18" s="116">
        <v>1244.125</v>
      </c>
      <c r="P18" s="116">
        <v>1261</v>
      </c>
      <c r="Q18" s="116">
        <v>2513.8000000000002</v>
      </c>
      <c r="R18">
        <v>1155240</v>
      </c>
    </row>
    <row r="19" spans="1:18" x14ac:dyDescent="0.25">
      <c r="A19" s="170">
        <v>42026</v>
      </c>
      <c r="B19" s="116">
        <v>1260.4000000000001</v>
      </c>
      <c r="C19" s="116">
        <v>1256.375</v>
      </c>
      <c r="D19" s="116">
        <v>1247.5</v>
      </c>
      <c r="E19" s="116">
        <v>1255.95</v>
      </c>
      <c r="F19" s="116">
        <v>2512.75</v>
      </c>
      <c r="G19">
        <v>54978</v>
      </c>
      <c r="H19" s="116"/>
      <c r="I19" s="116"/>
      <c r="L19" s="170">
        <v>42026</v>
      </c>
      <c r="M19" s="116">
        <v>1256.7750000000001</v>
      </c>
      <c r="N19" s="116">
        <v>1260.625</v>
      </c>
      <c r="O19" s="116">
        <v>1247.75</v>
      </c>
      <c r="P19" s="116">
        <v>1258.25</v>
      </c>
      <c r="Q19" s="116">
        <v>2513.5500000000002</v>
      </c>
      <c r="R19">
        <v>1056607</v>
      </c>
    </row>
    <row r="20" spans="1:18" x14ac:dyDescent="0.25">
      <c r="A20" s="170">
        <v>42027</v>
      </c>
      <c r="B20" s="116">
        <v>1265</v>
      </c>
      <c r="C20" s="116">
        <v>1250.8499999999999</v>
      </c>
      <c r="D20" s="116">
        <v>1247.55</v>
      </c>
      <c r="E20" s="116">
        <v>1252.5</v>
      </c>
      <c r="F20" s="116">
        <v>2501.6999999999998</v>
      </c>
      <c r="G20">
        <v>57902</v>
      </c>
      <c r="H20" s="116"/>
      <c r="I20" s="116"/>
      <c r="L20" s="170">
        <v>42027</v>
      </c>
      <c r="M20" s="116">
        <v>1251.8</v>
      </c>
      <c r="N20" s="116">
        <v>1266.0250000000001</v>
      </c>
      <c r="O20" s="116">
        <v>1248.05</v>
      </c>
      <c r="P20" s="116">
        <v>1257</v>
      </c>
      <c r="Q20" s="116">
        <v>2503.6</v>
      </c>
      <c r="R20">
        <v>1575190</v>
      </c>
    </row>
    <row r="21" spans="1:18" x14ac:dyDescent="0.25">
      <c r="A21" s="170">
        <v>42031</v>
      </c>
      <c r="B21" s="116">
        <v>1259.95</v>
      </c>
      <c r="C21" s="116">
        <v>1251.4000000000001</v>
      </c>
      <c r="D21" s="116">
        <v>1245.05</v>
      </c>
      <c r="E21" s="116">
        <v>1259.95</v>
      </c>
      <c r="F21" s="116">
        <v>2502.8000000000002</v>
      </c>
      <c r="G21">
        <v>52192</v>
      </c>
      <c r="H21" s="116"/>
      <c r="I21" s="116"/>
      <c r="L21" s="170">
        <v>42031</v>
      </c>
      <c r="M21" s="116">
        <v>1251.0250000000001</v>
      </c>
      <c r="N21" s="116">
        <v>1257.5</v>
      </c>
      <c r="O21" s="116">
        <v>1244.7750000000001</v>
      </c>
      <c r="P21" s="116">
        <v>1256.175</v>
      </c>
      <c r="Q21" s="116">
        <v>2502.0500000000002</v>
      </c>
      <c r="R21">
        <v>1369368</v>
      </c>
    </row>
    <row r="22" spans="1:18" x14ac:dyDescent="0.25">
      <c r="A22" s="170">
        <v>42032</v>
      </c>
      <c r="B22" s="116">
        <v>1271.5250000000001</v>
      </c>
      <c r="C22" s="116">
        <v>1267.3499999999999</v>
      </c>
      <c r="D22" s="116">
        <v>1250.675</v>
      </c>
      <c r="E22" s="116">
        <v>1251.5</v>
      </c>
      <c r="F22" s="116">
        <v>2534.6999999999998</v>
      </c>
      <c r="G22">
        <v>85871</v>
      </c>
      <c r="H22" s="116"/>
      <c r="I22" s="116"/>
      <c r="L22" s="170">
        <v>42032</v>
      </c>
      <c r="M22" s="116">
        <v>1269.8</v>
      </c>
      <c r="N22" s="116">
        <v>1272.45</v>
      </c>
      <c r="O22" s="116">
        <v>1251.45</v>
      </c>
      <c r="P22" s="116">
        <v>1251.5</v>
      </c>
      <c r="Q22" s="116">
        <v>2539.6</v>
      </c>
      <c r="R22">
        <v>1560990</v>
      </c>
    </row>
    <row r="23" spans="1:18" x14ac:dyDescent="0.25">
      <c r="A23" s="170">
        <v>42033</v>
      </c>
      <c r="B23" s="116">
        <v>1279.2</v>
      </c>
      <c r="C23" s="116">
        <v>1270.675</v>
      </c>
      <c r="D23" s="116">
        <v>1256.05</v>
      </c>
      <c r="E23" s="116">
        <v>1267.5</v>
      </c>
      <c r="F23" s="116">
        <v>2541.35</v>
      </c>
      <c r="G23">
        <v>52837</v>
      </c>
      <c r="H23" s="116"/>
      <c r="I23" s="116"/>
      <c r="L23" s="170">
        <v>42033</v>
      </c>
      <c r="M23" s="116">
        <v>1272.325</v>
      </c>
      <c r="N23" s="116">
        <v>1284.3499999999999</v>
      </c>
      <c r="O23" s="116">
        <v>1256.45</v>
      </c>
      <c r="P23" s="116">
        <v>1269</v>
      </c>
      <c r="Q23" s="116">
        <v>2544.65</v>
      </c>
      <c r="R23">
        <v>1867196</v>
      </c>
    </row>
    <row r="24" spans="1:18" x14ac:dyDescent="0.25">
      <c r="A24" s="170">
        <v>42034</v>
      </c>
      <c r="B24" s="116">
        <v>1287.4749999999999</v>
      </c>
      <c r="C24" s="116">
        <v>1240.5</v>
      </c>
      <c r="D24" s="116">
        <v>1235.075</v>
      </c>
      <c r="E24" s="116">
        <v>1272.5</v>
      </c>
      <c r="F24" s="116">
        <v>2481</v>
      </c>
      <c r="G24">
        <v>150774</v>
      </c>
      <c r="H24" s="116"/>
      <c r="I24" s="116"/>
      <c r="L24" s="170">
        <v>42034</v>
      </c>
      <c r="M24" s="116">
        <v>1241.0250000000001</v>
      </c>
      <c r="N24" s="116">
        <v>1287.5</v>
      </c>
      <c r="O24" s="116">
        <v>1235</v>
      </c>
      <c r="P24" s="116">
        <v>1280.3499999999999</v>
      </c>
      <c r="Q24" s="116">
        <v>2482.0500000000002</v>
      </c>
      <c r="R24">
        <v>2908701</v>
      </c>
    </row>
    <row r="25" spans="1:18" x14ac:dyDescent="0.25">
      <c r="A25" s="170">
        <v>42037</v>
      </c>
      <c r="B25" s="116">
        <v>1260</v>
      </c>
      <c r="C25" s="116">
        <v>1256.4000000000001</v>
      </c>
      <c r="D25" s="116">
        <v>1232.25</v>
      </c>
      <c r="E25" s="116">
        <v>1241.05</v>
      </c>
      <c r="F25" s="116">
        <v>2512.8000000000002</v>
      </c>
      <c r="G25">
        <v>50846</v>
      </c>
      <c r="H25" s="116"/>
      <c r="I25" s="116"/>
      <c r="L25" s="170">
        <v>42037</v>
      </c>
      <c r="M25" s="116">
        <v>1257.0999999999999</v>
      </c>
      <c r="N25" s="116">
        <v>1260.7249999999999</v>
      </c>
      <c r="O25" s="116">
        <v>1231.0250000000001</v>
      </c>
      <c r="P25" s="116">
        <v>1241</v>
      </c>
      <c r="Q25" s="116">
        <v>2514.1999999999998</v>
      </c>
      <c r="R25">
        <v>1590901</v>
      </c>
    </row>
    <row r="26" spans="1:18" x14ac:dyDescent="0.25">
      <c r="A26" s="170">
        <v>42038</v>
      </c>
      <c r="B26" s="116">
        <v>1280</v>
      </c>
      <c r="C26" s="116">
        <v>1277.4000000000001</v>
      </c>
      <c r="D26" s="116">
        <v>1250.5</v>
      </c>
      <c r="E26" s="116">
        <v>1250.5</v>
      </c>
      <c r="F26" s="116">
        <v>2554.8000000000002</v>
      </c>
      <c r="G26">
        <v>91105</v>
      </c>
      <c r="H26" s="116"/>
      <c r="I26" s="116"/>
      <c r="L26" s="170">
        <v>42038</v>
      </c>
      <c r="M26" s="116">
        <v>1279.125</v>
      </c>
      <c r="N26" s="116">
        <v>1282.5</v>
      </c>
      <c r="O26" s="116">
        <v>1253.55</v>
      </c>
      <c r="P26" s="116">
        <v>1255.825</v>
      </c>
      <c r="Q26" s="116">
        <v>2558.25</v>
      </c>
      <c r="R26">
        <v>1172527</v>
      </c>
    </row>
    <row r="27" spans="1:18" x14ac:dyDescent="0.25">
      <c r="A27" s="170">
        <v>42039</v>
      </c>
      <c r="B27" s="116">
        <v>1284.825</v>
      </c>
      <c r="C27" s="116">
        <v>1257</v>
      </c>
      <c r="D27" s="116">
        <v>1251.7249999999999</v>
      </c>
      <c r="E27" s="116">
        <v>1282.5</v>
      </c>
      <c r="F27" s="116">
        <v>2514</v>
      </c>
      <c r="G27">
        <v>48219</v>
      </c>
      <c r="H27" s="116"/>
      <c r="I27" s="116"/>
      <c r="L27" s="170">
        <v>42039</v>
      </c>
      <c r="M27" s="116">
        <v>1257.1500000000001</v>
      </c>
      <c r="N27" s="116">
        <v>1285.8499999999999</v>
      </c>
      <c r="O27" s="116">
        <v>1251.05</v>
      </c>
      <c r="P27" s="116">
        <v>1284</v>
      </c>
      <c r="Q27" s="116">
        <v>2514.3000000000002</v>
      </c>
      <c r="R27">
        <v>1122709</v>
      </c>
    </row>
    <row r="28" spans="1:18" x14ac:dyDescent="0.25">
      <c r="A28" s="170">
        <v>42040</v>
      </c>
      <c r="B28" s="116">
        <v>1295</v>
      </c>
      <c r="C28" s="116">
        <v>1275.95</v>
      </c>
      <c r="D28" s="116">
        <v>1257.5</v>
      </c>
      <c r="E28" s="116">
        <v>1257.5</v>
      </c>
      <c r="F28" s="116">
        <v>2551.9</v>
      </c>
      <c r="G28">
        <v>231486</v>
      </c>
      <c r="H28" s="116"/>
      <c r="I28" s="116"/>
      <c r="L28" s="170">
        <v>42040</v>
      </c>
      <c r="M28" s="116">
        <v>1276.2</v>
      </c>
      <c r="N28" s="116">
        <v>1295.8499999999999</v>
      </c>
      <c r="O28" s="116">
        <v>1259.5</v>
      </c>
      <c r="P28" s="116">
        <v>1260</v>
      </c>
      <c r="Q28" s="116">
        <v>2552.4</v>
      </c>
      <c r="R28">
        <v>2265084</v>
      </c>
    </row>
    <row r="29" spans="1:18" x14ac:dyDescent="0.25">
      <c r="A29" s="170">
        <v>42041</v>
      </c>
      <c r="B29" s="116">
        <v>1296</v>
      </c>
      <c r="C29" s="116">
        <v>1288</v>
      </c>
      <c r="D29" s="116">
        <v>1275.95</v>
      </c>
      <c r="E29" s="116">
        <v>1276</v>
      </c>
      <c r="F29" s="116">
        <v>2576</v>
      </c>
      <c r="G29">
        <v>70492</v>
      </c>
      <c r="H29" s="116"/>
      <c r="I29" s="116"/>
      <c r="L29" s="170">
        <v>42041</v>
      </c>
      <c r="M29" s="116">
        <v>1287.875</v>
      </c>
      <c r="N29" s="116">
        <v>1297.4000000000001</v>
      </c>
      <c r="O29" s="116">
        <v>1275.425</v>
      </c>
      <c r="P29" s="116">
        <v>1276.5</v>
      </c>
      <c r="Q29" s="116">
        <v>2575.75</v>
      </c>
      <c r="R29">
        <v>1068208</v>
      </c>
    </row>
    <row r="30" spans="1:18" x14ac:dyDescent="0.25">
      <c r="A30" s="170">
        <v>42044</v>
      </c>
      <c r="B30" s="116">
        <v>1287.5</v>
      </c>
      <c r="C30" s="116">
        <v>1257.575</v>
      </c>
      <c r="D30" s="116">
        <v>1250.5</v>
      </c>
      <c r="E30" s="116">
        <v>1287.5</v>
      </c>
      <c r="F30" s="116">
        <v>2515.15</v>
      </c>
      <c r="G30">
        <v>57090</v>
      </c>
      <c r="H30" s="116"/>
      <c r="I30" s="116"/>
      <c r="L30" s="170">
        <v>42044</v>
      </c>
      <c r="M30" s="116">
        <v>1256.45</v>
      </c>
      <c r="N30" s="116">
        <v>1284.55</v>
      </c>
      <c r="O30" s="116">
        <v>1250</v>
      </c>
      <c r="P30" s="116">
        <v>1280.75</v>
      </c>
      <c r="Q30" s="116">
        <v>2512.9</v>
      </c>
      <c r="R30">
        <v>1038216</v>
      </c>
    </row>
    <row r="31" spans="1:18" x14ac:dyDescent="0.25">
      <c r="A31" s="170">
        <v>42045</v>
      </c>
      <c r="B31" s="116">
        <v>1262.0999999999999</v>
      </c>
      <c r="C31" s="116">
        <v>1221.4749999999999</v>
      </c>
      <c r="D31" s="116">
        <v>1218</v>
      </c>
      <c r="E31" s="116">
        <v>1252.5</v>
      </c>
      <c r="F31" s="116">
        <v>2442.9499999999998</v>
      </c>
      <c r="G31">
        <v>151841</v>
      </c>
      <c r="H31" s="116"/>
      <c r="I31" s="116"/>
      <c r="L31" s="170">
        <v>42045</v>
      </c>
      <c r="M31" s="116">
        <v>1220.575</v>
      </c>
      <c r="N31" s="116">
        <v>1263.125</v>
      </c>
      <c r="O31" s="116">
        <v>1216.5</v>
      </c>
      <c r="P31" s="116">
        <v>1255</v>
      </c>
      <c r="Q31" s="116">
        <v>2441.15</v>
      </c>
      <c r="R31">
        <v>1899527</v>
      </c>
    </row>
    <row r="32" spans="1:18" x14ac:dyDescent="0.25">
      <c r="A32" s="170">
        <v>42046</v>
      </c>
      <c r="B32" s="116">
        <v>1243.8</v>
      </c>
      <c r="C32" s="116">
        <v>1230.075</v>
      </c>
      <c r="D32" s="116">
        <v>1224</v>
      </c>
      <c r="E32" s="116">
        <v>1230</v>
      </c>
      <c r="F32" s="116">
        <v>2460.15</v>
      </c>
      <c r="G32">
        <v>55775</v>
      </c>
      <c r="H32" s="116"/>
      <c r="I32" s="116"/>
      <c r="L32" s="170">
        <v>42046</v>
      </c>
      <c r="M32" s="116">
        <v>1229.95</v>
      </c>
      <c r="N32" s="116">
        <v>1243.625</v>
      </c>
      <c r="O32" s="116">
        <v>1223.625</v>
      </c>
      <c r="P32" s="116">
        <v>1227.5250000000001</v>
      </c>
      <c r="Q32" s="116">
        <v>2459.9</v>
      </c>
      <c r="R32">
        <v>1468761</v>
      </c>
    </row>
    <row r="33" spans="1:18" x14ac:dyDescent="0.25">
      <c r="A33" s="170">
        <v>42047</v>
      </c>
      <c r="B33" s="116">
        <v>1239.5</v>
      </c>
      <c r="C33" s="116">
        <v>1231.4000000000001</v>
      </c>
      <c r="D33" s="116">
        <v>1224</v>
      </c>
      <c r="E33" s="116">
        <v>1239.5</v>
      </c>
      <c r="F33" s="116">
        <v>2462.8000000000002</v>
      </c>
      <c r="G33">
        <v>43555</v>
      </c>
      <c r="H33" s="116"/>
      <c r="I33" s="116"/>
      <c r="L33" s="170">
        <v>42047</v>
      </c>
      <c r="M33" s="116">
        <v>1231.075</v>
      </c>
      <c r="N33" s="116">
        <v>1239.9000000000001</v>
      </c>
      <c r="O33" s="116">
        <v>1223.5</v>
      </c>
      <c r="P33" s="116">
        <v>1239.9000000000001</v>
      </c>
      <c r="Q33" s="116">
        <v>2462.15</v>
      </c>
      <c r="R33">
        <v>1553990</v>
      </c>
    </row>
    <row r="34" spans="1:18" x14ac:dyDescent="0.25">
      <c r="A34" s="170">
        <v>42048</v>
      </c>
      <c r="B34" s="116">
        <v>1273.375</v>
      </c>
      <c r="C34" s="116">
        <v>1269.325</v>
      </c>
      <c r="D34" s="116">
        <v>1230.875</v>
      </c>
      <c r="E34" s="116">
        <v>1235</v>
      </c>
      <c r="F34" s="116">
        <v>2538.65</v>
      </c>
      <c r="G34">
        <v>104410</v>
      </c>
      <c r="H34" s="116"/>
      <c r="I34" s="116"/>
      <c r="L34" s="170">
        <v>42048</v>
      </c>
      <c r="M34" s="116">
        <v>1269.375</v>
      </c>
      <c r="N34" s="116">
        <v>1273.875</v>
      </c>
      <c r="O34" s="116">
        <v>1230.125</v>
      </c>
      <c r="P34" s="116">
        <v>1235</v>
      </c>
      <c r="Q34" s="116">
        <v>2538.75</v>
      </c>
      <c r="R34">
        <v>2079163</v>
      </c>
    </row>
    <row r="35" spans="1:18" x14ac:dyDescent="0.25">
      <c r="A35" s="170">
        <v>42051</v>
      </c>
      <c r="B35" s="116">
        <v>1296.7249999999999</v>
      </c>
      <c r="C35" s="116">
        <v>1292.625</v>
      </c>
      <c r="D35" s="116">
        <v>1275</v>
      </c>
      <c r="E35" s="116">
        <v>1275</v>
      </c>
      <c r="F35" s="116">
        <v>2585.25</v>
      </c>
      <c r="G35">
        <v>85895</v>
      </c>
      <c r="H35" s="116"/>
      <c r="I35" s="116"/>
      <c r="L35" s="170">
        <v>42051</v>
      </c>
      <c r="M35" s="116">
        <v>1292.4000000000001</v>
      </c>
      <c r="N35" s="116">
        <v>1297.5</v>
      </c>
      <c r="O35" s="116">
        <v>1277.5</v>
      </c>
      <c r="P35" s="116">
        <v>1280</v>
      </c>
      <c r="Q35" s="116">
        <v>2584.8000000000002</v>
      </c>
      <c r="R35">
        <v>1182196</v>
      </c>
    </row>
    <row r="36" spans="1:18" x14ac:dyDescent="0.25">
      <c r="A36" s="170">
        <v>42053</v>
      </c>
      <c r="B36" s="116">
        <v>1320</v>
      </c>
      <c r="C36" s="116">
        <v>1316.95</v>
      </c>
      <c r="D36" s="116">
        <v>1282.7750000000001</v>
      </c>
      <c r="E36" s="116">
        <v>1293.5</v>
      </c>
      <c r="F36" s="116">
        <v>2633.9</v>
      </c>
      <c r="G36">
        <v>126276</v>
      </c>
      <c r="H36" s="116"/>
      <c r="I36" s="116"/>
      <c r="L36" s="170">
        <v>42053</v>
      </c>
      <c r="M36" s="116">
        <v>1317.825</v>
      </c>
      <c r="N36" s="116">
        <v>1321.5</v>
      </c>
      <c r="O36" s="116">
        <v>1282.625</v>
      </c>
      <c r="P36" s="116">
        <v>1292.5250000000001</v>
      </c>
      <c r="Q36" s="116">
        <v>2635.65</v>
      </c>
      <c r="R36">
        <v>1330007</v>
      </c>
    </row>
    <row r="37" spans="1:18" x14ac:dyDescent="0.25">
      <c r="A37" s="170">
        <v>42054</v>
      </c>
      <c r="B37" s="116">
        <v>1342.5</v>
      </c>
      <c r="C37" s="116">
        <v>1339.85</v>
      </c>
      <c r="D37" s="116">
        <v>1317.5</v>
      </c>
      <c r="E37" s="116">
        <v>1324</v>
      </c>
      <c r="F37" s="116">
        <v>2679.7</v>
      </c>
      <c r="G37">
        <v>80069</v>
      </c>
      <c r="H37" s="116"/>
      <c r="I37" s="116"/>
      <c r="L37" s="170">
        <v>42054</v>
      </c>
      <c r="M37" s="116">
        <v>1340.5250000000001</v>
      </c>
      <c r="N37" s="116">
        <v>1343.65</v>
      </c>
      <c r="O37" s="116">
        <v>1317.5</v>
      </c>
      <c r="P37" s="116">
        <v>1318</v>
      </c>
      <c r="Q37" s="116">
        <v>2681.05</v>
      </c>
      <c r="R37">
        <v>1309001</v>
      </c>
    </row>
    <row r="38" spans="1:18" x14ac:dyDescent="0.25">
      <c r="A38" s="170">
        <v>42055</v>
      </c>
      <c r="B38" s="116">
        <v>1347.4749999999999</v>
      </c>
      <c r="C38" s="116">
        <v>1337.425</v>
      </c>
      <c r="D38" s="116">
        <v>1321.925</v>
      </c>
      <c r="E38" s="116">
        <v>1340.05</v>
      </c>
      <c r="F38" s="116">
        <v>2674.85</v>
      </c>
      <c r="G38">
        <v>57360</v>
      </c>
      <c r="H38" s="116"/>
      <c r="I38" s="116"/>
      <c r="L38" s="170">
        <v>42055</v>
      </c>
      <c r="M38" s="116">
        <v>1337.7750000000001</v>
      </c>
      <c r="N38" s="116">
        <v>1349.4</v>
      </c>
      <c r="O38" s="116">
        <v>1321.125</v>
      </c>
      <c r="P38" s="116">
        <v>1349.4</v>
      </c>
      <c r="Q38" s="116">
        <v>2675.55</v>
      </c>
      <c r="R38">
        <v>900794</v>
      </c>
    </row>
    <row r="39" spans="1:18" x14ac:dyDescent="0.25">
      <c r="A39" s="170">
        <v>42058</v>
      </c>
      <c r="B39" s="116">
        <v>1359.95</v>
      </c>
      <c r="C39" s="116">
        <v>1347.5250000000001</v>
      </c>
      <c r="D39" s="116">
        <v>1335.7750000000001</v>
      </c>
      <c r="E39" s="116">
        <v>1336.95</v>
      </c>
      <c r="F39" s="116">
        <v>2695.05</v>
      </c>
      <c r="G39">
        <v>62256</v>
      </c>
      <c r="H39" s="116"/>
      <c r="I39" s="116"/>
      <c r="L39" s="170">
        <v>42058</v>
      </c>
      <c r="M39" s="116">
        <v>1348.325</v>
      </c>
      <c r="N39" s="116">
        <v>1361</v>
      </c>
      <c r="O39" s="116">
        <v>1335.5</v>
      </c>
      <c r="P39" s="116">
        <v>1335.5</v>
      </c>
      <c r="Q39" s="116">
        <v>2696.65</v>
      </c>
      <c r="R39">
        <v>807446</v>
      </c>
    </row>
    <row r="40" spans="1:18" x14ac:dyDescent="0.25">
      <c r="A40" s="170">
        <v>42059</v>
      </c>
      <c r="B40" s="116">
        <v>1363.5</v>
      </c>
      <c r="C40" s="116">
        <v>1353.575</v>
      </c>
      <c r="D40" s="116">
        <v>1340.8</v>
      </c>
      <c r="E40" s="116">
        <v>1348.75</v>
      </c>
      <c r="F40" s="116">
        <v>2707.15</v>
      </c>
      <c r="G40">
        <v>77771</v>
      </c>
      <c r="H40" s="116"/>
      <c r="I40" s="116"/>
      <c r="L40" s="170">
        <v>42059</v>
      </c>
      <c r="M40" s="116">
        <v>1352.375</v>
      </c>
      <c r="N40" s="116">
        <v>1365</v>
      </c>
      <c r="O40" s="116">
        <v>1339.5</v>
      </c>
      <c r="P40" s="116">
        <v>1347</v>
      </c>
      <c r="Q40" s="116">
        <v>2704.75</v>
      </c>
      <c r="R40">
        <v>1099961</v>
      </c>
    </row>
    <row r="41" spans="1:18" x14ac:dyDescent="0.25">
      <c r="A41" s="170">
        <v>42060</v>
      </c>
      <c r="B41" s="116">
        <v>1361.4749999999999</v>
      </c>
      <c r="C41" s="116">
        <v>1335.65</v>
      </c>
      <c r="D41" s="116">
        <v>1334</v>
      </c>
      <c r="E41" s="116">
        <v>1354</v>
      </c>
      <c r="F41" s="116">
        <v>2671.3</v>
      </c>
      <c r="G41">
        <v>45348</v>
      </c>
      <c r="H41" s="116"/>
      <c r="I41" s="116"/>
      <c r="L41" s="170">
        <v>42060</v>
      </c>
      <c r="M41" s="116">
        <v>1336.1</v>
      </c>
      <c r="N41" s="116">
        <v>1361</v>
      </c>
      <c r="O41" s="116">
        <v>1333.925</v>
      </c>
      <c r="P41" s="116">
        <v>1355</v>
      </c>
      <c r="Q41" s="116">
        <v>2672.2</v>
      </c>
      <c r="R41">
        <v>883997</v>
      </c>
    </row>
    <row r="42" spans="1:18" x14ac:dyDescent="0.25">
      <c r="A42" s="170">
        <v>42061</v>
      </c>
      <c r="B42" s="116">
        <v>1347.1</v>
      </c>
      <c r="C42" s="116">
        <v>1328.175</v>
      </c>
      <c r="D42" s="116">
        <v>1313.15</v>
      </c>
      <c r="E42" s="116">
        <v>1337.5</v>
      </c>
      <c r="F42" s="116">
        <v>2656.35</v>
      </c>
      <c r="G42">
        <v>50286</v>
      </c>
      <c r="H42" s="116"/>
      <c r="I42" s="116"/>
      <c r="L42" s="170">
        <v>42061</v>
      </c>
      <c r="M42" s="116">
        <v>1328.2249999999999</v>
      </c>
      <c r="N42" s="116">
        <v>1346.375</v>
      </c>
      <c r="O42" s="116">
        <v>1312.675</v>
      </c>
      <c r="P42" s="116">
        <v>1339.5</v>
      </c>
      <c r="Q42" s="116">
        <v>2656.45</v>
      </c>
      <c r="R42">
        <v>995997</v>
      </c>
    </row>
    <row r="43" spans="1:18" x14ac:dyDescent="0.25">
      <c r="A43" s="170">
        <v>42062</v>
      </c>
      <c r="B43" s="116">
        <v>1335.45</v>
      </c>
      <c r="C43" s="116">
        <v>1331.875</v>
      </c>
      <c r="D43" s="116">
        <v>1309.125</v>
      </c>
      <c r="E43" s="116">
        <v>1326.5</v>
      </c>
      <c r="F43" s="116">
        <v>2663.75</v>
      </c>
      <c r="G43">
        <v>58204</v>
      </c>
      <c r="H43" s="116"/>
      <c r="I43" s="116"/>
      <c r="L43" s="170">
        <v>42062</v>
      </c>
      <c r="M43" s="116">
        <v>1331.175</v>
      </c>
      <c r="N43" s="116">
        <v>1337.875</v>
      </c>
      <c r="O43" s="116">
        <v>1308.1500000000001</v>
      </c>
      <c r="P43" s="116">
        <v>1329.7249999999999</v>
      </c>
      <c r="Q43" s="116">
        <v>2662.35</v>
      </c>
      <c r="R43">
        <v>1438688</v>
      </c>
    </row>
    <row r="44" spans="1:18" x14ac:dyDescent="0.25">
      <c r="A44" s="170">
        <v>42063</v>
      </c>
      <c r="B44" s="116">
        <v>1344.95</v>
      </c>
      <c r="C44" s="116">
        <v>1337.65</v>
      </c>
      <c r="D44" s="116">
        <v>1323.1</v>
      </c>
      <c r="E44" s="116">
        <v>1333</v>
      </c>
      <c r="F44" s="116">
        <v>2675.3</v>
      </c>
      <c r="G44">
        <v>63436</v>
      </c>
      <c r="H44" s="116"/>
      <c r="I44" s="116"/>
      <c r="L44" s="170">
        <v>42063</v>
      </c>
      <c r="M44" s="116">
        <v>1337.625</v>
      </c>
      <c r="N44" s="116">
        <v>1343.55</v>
      </c>
      <c r="O44" s="116">
        <v>1321.5</v>
      </c>
      <c r="P44" s="116">
        <v>1338.5</v>
      </c>
      <c r="Q44" s="116">
        <v>2675.25</v>
      </c>
      <c r="R44">
        <v>589498</v>
      </c>
    </row>
    <row r="45" spans="1:18" x14ac:dyDescent="0.25">
      <c r="A45" s="170">
        <v>42065</v>
      </c>
      <c r="B45" s="116">
        <v>1353.5</v>
      </c>
      <c r="C45" s="116">
        <v>1335.075</v>
      </c>
      <c r="D45" s="116">
        <v>1326.625</v>
      </c>
      <c r="E45" s="116">
        <v>1337.55</v>
      </c>
      <c r="F45" s="116">
        <v>2670.15</v>
      </c>
      <c r="G45">
        <v>41193</v>
      </c>
      <c r="H45" s="116"/>
      <c r="I45" s="116"/>
      <c r="L45" s="170">
        <v>42065</v>
      </c>
      <c r="M45" s="116">
        <v>1334.7</v>
      </c>
      <c r="N45" s="116">
        <v>1354.4749999999999</v>
      </c>
      <c r="O45" s="116">
        <v>1326.2750000000001</v>
      </c>
      <c r="P45" s="116">
        <v>1339.85</v>
      </c>
      <c r="Q45" s="116">
        <v>2669.4</v>
      </c>
      <c r="R45">
        <v>1088019</v>
      </c>
    </row>
    <row r="46" spans="1:18" x14ac:dyDescent="0.25">
      <c r="A46" s="170">
        <v>42066</v>
      </c>
      <c r="B46" s="116">
        <v>1395</v>
      </c>
      <c r="C46" s="116">
        <v>1387.35</v>
      </c>
      <c r="D46" s="116">
        <v>1335</v>
      </c>
      <c r="E46" s="116">
        <v>1335</v>
      </c>
      <c r="F46" s="116">
        <v>2774.7</v>
      </c>
      <c r="G46">
        <v>117437</v>
      </c>
      <c r="H46" s="116"/>
      <c r="I46" s="116"/>
      <c r="L46" s="170">
        <v>42066</v>
      </c>
      <c r="M46" s="116">
        <v>1388</v>
      </c>
      <c r="N46" s="116">
        <v>1395</v>
      </c>
      <c r="O46" s="116">
        <v>1338.075</v>
      </c>
      <c r="P46" s="116">
        <v>1341</v>
      </c>
      <c r="Q46" s="116">
        <v>2776</v>
      </c>
      <c r="R46">
        <v>1712154</v>
      </c>
    </row>
    <row r="47" spans="1:18" x14ac:dyDescent="0.25">
      <c r="A47" s="170">
        <v>42067</v>
      </c>
      <c r="B47" s="116">
        <v>1405</v>
      </c>
      <c r="C47" s="116">
        <v>1371.7</v>
      </c>
      <c r="D47" s="116">
        <v>1358.9749999999999</v>
      </c>
      <c r="E47" s="116">
        <v>1387.5</v>
      </c>
      <c r="F47" s="116">
        <v>2743.4</v>
      </c>
      <c r="G47">
        <v>89419</v>
      </c>
      <c r="H47" s="116"/>
      <c r="I47" s="116"/>
      <c r="L47" s="170">
        <v>42067</v>
      </c>
      <c r="M47" s="116">
        <v>1373</v>
      </c>
      <c r="N47" s="116">
        <v>1406.05</v>
      </c>
      <c r="O47" s="116">
        <v>1357.825</v>
      </c>
      <c r="P47" s="116">
        <v>1394</v>
      </c>
      <c r="Q47" s="116">
        <v>2746</v>
      </c>
      <c r="R47">
        <v>1931497</v>
      </c>
    </row>
    <row r="48" spans="1:18" x14ac:dyDescent="0.25">
      <c r="A48" s="170">
        <v>42068</v>
      </c>
      <c r="B48" s="116">
        <v>1384.075</v>
      </c>
      <c r="C48" s="116">
        <v>1348.175</v>
      </c>
      <c r="D48" s="116">
        <v>1343</v>
      </c>
      <c r="E48" s="116">
        <v>1374</v>
      </c>
      <c r="F48" s="116">
        <v>2696.35</v>
      </c>
      <c r="G48">
        <v>77811</v>
      </c>
      <c r="H48" s="116"/>
      <c r="I48" s="116"/>
      <c r="L48" s="170">
        <v>42068</v>
      </c>
      <c r="M48" s="116">
        <v>1348.2249999999999</v>
      </c>
      <c r="N48" s="116">
        <v>1385.35</v>
      </c>
      <c r="O48" s="116">
        <v>1340.5250000000001</v>
      </c>
      <c r="P48" s="116">
        <v>1375</v>
      </c>
      <c r="Q48" s="116">
        <v>2696.45</v>
      </c>
      <c r="R48">
        <v>1086757</v>
      </c>
    </row>
    <row r="49" spans="1:18" x14ac:dyDescent="0.25">
      <c r="A49" s="170">
        <v>42072</v>
      </c>
      <c r="B49" s="116">
        <v>1340.125</v>
      </c>
      <c r="C49" s="116">
        <v>1321.575</v>
      </c>
      <c r="D49" s="116">
        <v>1305.9000000000001</v>
      </c>
      <c r="E49" s="116">
        <v>1320</v>
      </c>
      <c r="F49" s="116">
        <v>2643.15</v>
      </c>
      <c r="G49">
        <v>85387</v>
      </c>
      <c r="H49" s="116"/>
      <c r="I49" s="116"/>
      <c r="L49" s="170">
        <v>42072</v>
      </c>
      <c r="M49" s="116">
        <v>1323.4</v>
      </c>
      <c r="N49" s="116">
        <v>1339.9</v>
      </c>
      <c r="O49" s="116">
        <v>1305</v>
      </c>
      <c r="P49" s="116">
        <v>1320</v>
      </c>
      <c r="Q49" s="116">
        <v>2646.8</v>
      </c>
      <c r="R49">
        <v>1441587</v>
      </c>
    </row>
    <row r="50" spans="1:18" x14ac:dyDescent="0.25">
      <c r="A50" s="170">
        <v>42073</v>
      </c>
      <c r="B50" s="116">
        <v>1337.3</v>
      </c>
      <c r="C50" s="116">
        <v>1321.4</v>
      </c>
      <c r="D50" s="116">
        <v>1297.675</v>
      </c>
      <c r="E50" s="116">
        <v>1321.625</v>
      </c>
      <c r="F50" s="116">
        <v>2642.8</v>
      </c>
      <c r="G50">
        <v>97238</v>
      </c>
      <c r="H50" s="116"/>
      <c r="I50" s="116"/>
      <c r="L50" s="170">
        <v>42073</v>
      </c>
      <c r="M50" s="116">
        <v>1321.35</v>
      </c>
      <c r="N50" s="116">
        <v>1339.125</v>
      </c>
      <c r="O50" s="116">
        <v>1297.625</v>
      </c>
      <c r="P50" s="116">
        <v>1324.45</v>
      </c>
      <c r="Q50" s="116">
        <v>2642.7</v>
      </c>
      <c r="R50">
        <v>1518526</v>
      </c>
    </row>
    <row r="51" spans="1:18" x14ac:dyDescent="0.25">
      <c r="A51" s="170">
        <v>42074</v>
      </c>
      <c r="B51" s="116">
        <v>1330.675</v>
      </c>
      <c r="C51" s="116">
        <v>1304.675</v>
      </c>
      <c r="D51" s="116">
        <v>1300.5</v>
      </c>
      <c r="E51" s="116">
        <v>1319.7750000000001</v>
      </c>
      <c r="F51" s="116">
        <v>2609.35</v>
      </c>
      <c r="G51">
        <v>79994</v>
      </c>
      <c r="H51" s="116"/>
      <c r="I51" s="116"/>
      <c r="L51" s="170">
        <v>42074</v>
      </c>
      <c r="M51" s="116">
        <v>1303.2750000000001</v>
      </c>
      <c r="N51" s="116">
        <v>1329.9749999999999</v>
      </c>
      <c r="O51" s="116">
        <v>1298.9000000000001</v>
      </c>
      <c r="P51" s="116">
        <v>1321</v>
      </c>
      <c r="Q51" s="116">
        <v>2606.5500000000002</v>
      </c>
      <c r="R51">
        <v>1120100</v>
      </c>
    </row>
    <row r="52" spans="1:18" x14ac:dyDescent="0.25">
      <c r="A52" s="170">
        <v>42075</v>
      </c>
      <c r="B52" s="116">
        <v>1312.4</v>
      </c>
      <c r="C52" s="116">
        <v>1309.5</v>
      </c>
      <c r="D52" s="116">
        <v>1295.5</v>
      </c>
      <c r="E52" s="116">
        <v>1308</v>
      </c>
      <c r="F52" s="116">
        <v>2619</v>
      </c>
      <c r="G52">
        <v>58022</v>
      </c>
      <c r="H52" s="116"/>
      <c r="I52" s="116"/>
      <c r="L52" s="170">
        <v>42075</v>
      </c>
      <c r="M52" s="116">
        <v>1309.5250000000001</v>
      </c>
      <c r="N52" s="116">
        <v>1312.45</v>
      </c>
      <c r="O52" s="116">
        <v>1295.05</v>
      </c>
      <c r="P52" s="116">
        <v>1311.95</v>
      </c>
      <c r="Q52" s="116">
        <v>2619.0500000000002</v>
      </c>
      <c r="R52">
        <v>913818</v>
      </c>
    </row>
    <row r="53" spans="1:18" x14ac:dyDescent="0.25">
      <c r="A53" s="170">
        <v>42076</v>
      </c>
      <c r="B53" s="116">
        <v>1319.3</v>
      </c>
      <c r="C53" s="116">
        <v>1290.5250000000001</v>
      </c>
      <c r="D53" s="116">
        <v>1286.075</v>
      </c>
      <c r="E53" s="116">
        <v>1312.5</v>
      </c>
      <c r="F53" s="116">
        <v>2581.0500000000002</v>
      </c>
      <c r="G53">
        <v>70625</v>
      </c>
      <c r="H53" s="116"/>
      <c r="I53" s="116"/>
      <c r="L53" s="170">
        <v>42076</v>
      </c>
      <c r="M53" s="116">
        <v>1291.175</v>
      </c>
      <c r="N53" s="116">
        <v>1319.9749999999999</v>
      </c>
      <c r="O53" s="116">
        <v>1287.5</v>
      </c>
      <c r="P53" s="116">
        <v>1319</v>
      </c>
      <c r="Q53" s="116">
        <v>2582.35</v>
      </c>
      <c r="R53">
        <v>793419</v>
      </c>
    </row>
    <row r="54" spans="1:18" x14ac:dyDescent="0.25">
      <c r="A54" s="170">
        <v>42079</v>
      </c>
      <c r="B54" s="116">
        <v>1304.9749999999999</v>
      </c>
      <c r="C54" s="116">
        <v>1282.675</v>
      </c>
      <c r="D54" s="116">
        <v>1278.25</v>
      </c>
      <c r="E54" s="116">
        <v>1291</v>
      </c>
      <c r="F54" s="116">
        <v>2565.35</v>
      </c>
      <c r="G54">
        <v>43661</v>
      </c>
      <c r="H54" s="116"/>
      <c r="I54" s="116"/>
      <c r="L54" s="170">
        <v>42079</v>
      </c>
      <c r="M54" s="116">
        <v>1281.1500000000001</v>
      </c>
      <c r="N54" s="116">
        <v>1305</v>
      </c>
      <c r="O54" s="116">
        <v>1276</v>
      </c>
      <c r="P54" s="116">
        <v>1292.5999999999999</v>
      </c>
      <c r="Q54" s="116">
        <v>2562.3000000000002</v>
      </c>
      <c r="R54">
        <v>778148</v>
      </c>
    </row>
    <row r="55" spans="1:18" x14ac:dyDescent="0.25">
      <c r="A55" s="170">
        <v>42080</v>
      </c>
      <c r="B55" s="116">
        <v>1302.75</v>
      </c>
      <c r="C55" s="116">
        <v>1290.45</v>
      </c>
      <c r="D55" s="116">
        <v>1278.9749999999999</v>
      </c>
      <c r="E55" s="116">
        <v>1290.0999999999999</v>
      </c>
      <c r="F55" s="116">
        <v>2580.9</v>
      </c>
      <c r="G55">
        <v>48819</v>
      </c>
      <c r="H55" s="116"/>
      <c r="I55" s="116"/>
      <c r="L55" s="170">
        <v>42080</v>
      </c>
      <c r="M55" s="116">
        <v>1291.8499999999999</v>
      </c>
      <c r="N55" s="116">
        <v>1303.3499999999999</v>
      </c>
      <c r="O55" s="116">
        <v>1278.875</v>
      </c>
      <c r="P55" s="116">
        <v>1291.25</v>
      </c>
      <c r="Q55" s="116">
        <v>2583.6999999999998</v>
      </c>
      <c r="R55">
        <v>633659</v>
      </c>
    </row>
    <row r="56" spans="1:18" x14ac:dyDescent="0.25">
      <c r="A56" s="170">
        <v>42081</v>
      </c>
      <c r="B56" s="116">
        <v>1299.45</v>
      </c>
      <c r="C56" s="116">
        <v>1280.3499999999999</v>
      </c>
      <c r="D56" s="116">
        <v>1277.25</v>
      </c>
      <c r="E56" s="116">
        <v>1295</v>
      </c>
      <c r="F56" s="116">
        <v>2560.6999999999998</v>
      </c>
      <c r="G56">
        <v>45666</v>
      </c>
      <c r="H56" s="116"/>
      <c r="I56" s="116"/>
      <c r="L56" s="170">
        <v>42081</v>
      </c>
      <c r="M56" s="116">
        <v>1279.675</v>
      </c>
      <c r="N56" s="116">
        <v>1299.7249999999999</v>
      </c>
      <c r="O56" s="116">
        <v>1275.8499999999999</v>
      </c>
      <c r="P56" s="116">
        <v>1295.4749999999999</v>
      </c>
      <c r="Q56" s="116">
        <v>2559.35</v>
      </c>
      <c r="R56">
        <v>627585</v>
      </c>
    </row>
    <row r="57" spans="1:18" x14ac:dyDescent="0.25">
      <c r="A57" s="170">
        <v>42082</v>
      </c>
      <c r="B57" s="116">
        <v>1303</v>
      </c>
      <c r="C57" s="116">
        <v>1297.2</v>
      </c>
      <c r="D57" s="116">
        <v>1284.5999999999999</v>
      </c>
      <c r="E57" s="116">
        <v>1292.5</v>
      </c>
      <c r="F57" s="116">
        <v>2594.4</v>
      </c>
      <c r="G57">
        <v>51527</v>
      </c>
      <c r="H57" s="116"/>
      <c r="I57" s="116"/>
      <c r="L57" s="170">
        <v>42082</v>
      </c>
      <c r="M57" s="116">
        <v>1298.125</v>
      </c>
      <c r="N57" s="116">
        <v>1302.925</v>
      </c>
      <c r="O57" s="116">
        <v>1284.05</v>
      </c>
      <c r="P57" s="116">
        <v>1288</v>
      </c>
      <c r="Q57" s="116">
        <v>2596.25</v>
      </c>
      <c r="R57">
        <v>1224482</v>
      </c>
    </row>
    <row r="58" spans="1:18" x14ac:dyDescent="0.25">
      <c r="A58" s="170">
        <v>42083</v>
      </c>
      <c r="B58" s="116">
        <v>1308.375</v>
      </c>
      <c r="C58" s="116">
        <v>1304.825</v>
      </c>
      <c r="D58" s="116">
        <v>1294.6500000000001</v>
      </c>
      <c r="E58" s="116">
        <v>1300</v>
      </c>
      <c r="F58" s="116">
        <v>2609.65</v>
      </c>
      <c r="G58">
        <v>100977</v>
      </c>
      <c r="H58" s="116"/>
      <c r="I58" s="116"/>
      <c r="L58" s="170">
        <v>42083</v>
      </c>
      <c r="M58" s="116">
        <v>1305.4749999999999</v>
      </c>
      <c r="N58" s="116">
        <v>1309</v>
      </c>
      <c r="O58" s="116">
        <v>1289.425</v>
      </c>
      <c r="P58" s="116">
        <v>1298</v>
      </c>
      <c r="Q58" s="116">
        <v>2610.9499999999998</v>
      </c>
      <c r="R58">
        <v>981954</v>
      </c>
    </row>
    <row r="59" spans="1:18" x14ac:dyDescent="0.25">
      <c r="A59" s="170">
        <v>42086</v>
      </c>
      <c r="B59" s="116">
        <v>1315.375</v>
      </c>
      <c r="C59" s="116">
        <v>1305.2750000000001</v>
      </c>
      <c r="D59" s="116">
        <v>1303.5</v>
      </c>
      <c r="E59" s="116">
        <v>1305.5</v>
      </c>
      <c r="F59" s="116">
        <v>2610.5500000000002</v>
      </c>
      <c r="G59">
        <v>35610</v>
      </c>
      <c r="H59" s="116"/>
      <c r="I59" s="116"/>
      <c r="L59" s="170">
        <v>42086</v>
      </c>
      <c r="M59" s="116">
        <v>1308.575</v>
      </c>
      <c r="N59" s="116">
        <v>1315.5</v>
      </c>
      <c r="O59" s="116">
        <v>1303</v>
      </c>
      <c r="P59" s="116">
        <v>1308</v>
      </c>
      <c r="Q59" s="116">
        <v>2617.15</v>
      </c>
      <c r="R59">
        <v>783304</v>
      </c>
    </row>
    <row r="60" spans="1:18" x14ac:dyDescent="0.25">
      <c r="A60" s="170">
        <v>42087</v>
      </c>
      <c r="B60" s="116">
        <v>1318</v>
      </c>
      <c r="C60" s="116">
        <v>1296.7750000000001</v>
      </c>
      <c r="D60" s="116">
        <v>1291.0250000000001</v>
      </c>
      <c r="E60" s="116">
        <v>1310.9749999999999</v>
      </c>
      <c r="F60" s="116">
        <v>2593.5500000000002</v>
      </c>
      <c r="G60">
        <v>59114</v>
      </c>
      <c r="H60" s="116"/>
      <c r="I60" s="116"/>
      <c r="L60" s="170">
        <v>42087</v>
      </c>
      <c r="M60" s="116">
        <v>1295.6500000000001</v>
      </c>
      <c r="N60" s="116">
        <v>1318.5</v>
      </c>
      <c r="O60" s="116">
        <v>1291.05</v>
      </c>
      <c r="P60" s="116">
        <v>1315</v>
      </c>
      <c r="Q60" s="116">
        <v>2591.3000000000002</v>
      </c>
      <c r="R60">
        <v>1197439</v>
      </c>
    </row>
    <row r="61" spans="1:18" x14ac:dyDescent="0.25">
      <c r="A61" s="170">
        <v>42088</v>
      </c>
      <c r="B61" s="116">
        <v>1307</v>
      </c>
      <c r="C61" s="116">
        <v>1286.55</v>
      </c>
      <c r="D61" s="116">
        <v>1272.625</v>
      </c>
      <c r="E61" s="116">
        <v>1299.5</v>
      </c>
      <c r="F61" s="116">
        <v>2573.1</v>
      </c>
      <c r="G61">
        <v>108919</v>
      </c>
      <c r="H61" s="116"/>
      <c r="I61" s="116"/>
      <c r="L61" s="170">
        <v>42088</v>
      </c>
      <c r="M61" s="116">
        <v>1286.875</v>
      </c>
      <c r="N61" s="116">
        <v>1307</v>
      </c>
      <c r="O61" s="116">
        <v>1272.5999999999999</v>
      </c>
      <c r="P61" s="116">
        <v>1295.7</v>
      </c>
      <c r="Q61" s="116">
        <v>2573.75</v>
      </c>
      <c r="R61">
        <v>1112429</v>
      </c>
    </row>
    <row r="62" spans="1:18" x14ac:dyDescent="0.25">
      <c r="A62" s="170">
        <v>42089</v>
      </c>
      <c r="B62" s="116">
        <v>1293.05</v>
      </c>
      <c r="C62" s="116">
        <v>1256.675</v>
      </c>
      <c r="D62" s="116">
        <v>1250.825</v>
      </c>
      <c r="E62" s="116">
        <v>1278.9000000000001</v>
      </c>
      <c r="F62" s="116">
        <v>2513.35</v>
      </c>
      <c r="G62">
        <v>46349</v>
      </c>
      <c r="H62" s="116"/>
      <c r="I62" s="116"/>
      <c r="L62" s="170">
        <v>42089</v>
      </c>
      <c r="M62" s="116">
        <v>1256.55</v>
      </c>
      <c r="N62" s="116">
        <v>1293.3499999999999</v>
      </c>
      <c r="O62" s="116">
        <v>1250.5</v>
      </c>
      <c r="P62" s="116">
        <v>1276.6500000000001</v>
      </c>
      <c r="Q62" s="116">
        <v>2513.1</v>
      </c>
      <c r="R62">
        <v>1545821</v>
      </c>
    </row>
    <row r="63" spans="1:18" x14ac:dyDescent="0.25">
      <c r="A63" s="170">
        <v>42090</v>
      </c>
      <c r="B63" s="116">
        <v>1285.625</v>
      </c>
      <c r="C63" s="116">
        <v>1258.0999999999999</v>
      </c>
      <c r="D63" s="116">
        <v>1253.425</v>
      </c>
      <c r="E63" s="116">
        <v>1265.5</v>
      </c>
      <c r="F63" s="116">
        <v>2516.1999999999998</v>
      </c>
      <c r="G63">
        <v>61468</v>
      </c>
      <c r="H63" s="116"/>
      <c r="I63" s="116"/>
      <c r="L63" s="170">
        <v>42090</v>
      </c>
      <c r="M63" s="116">
        <v>1257.4000000000001</v>
      </c>
      <c r="N63" s="116">
        <v>1285.95</v>
      </c>
      <c r="O63" s="116">
        <v>1252.05</v>
      </c>
      <c r="P63" s="116">
        <v>1265.5</v>
      </c>
      <c r="Q63" s="116">
        <v>2514.8000000000002</v>
      </c>
      <c r="R63">
        <v>1375888</v>
      </c>
    </row>
    <row r="64" spans="1:18" x14ac:dyDescent="0.25">
      <c r="A64" s="170">
        <v>42093</v>
      </c>
      <c r="B64" s="116">
        <v>1281.3</v>
      </c>
      <c r="C64" s="116">
        <v>1278.625</v>
      </c>
      <c r="D64" s="116">
        <v>1259.05</v>
      </c>
      <c r="E64" s="116">
        <v>1262.5</v>
      </c>
      <c r="F64" s="116">
        <v>2557.25</v>
      </c>
      <c r="G64">
        <v>39198</v>
      </c>
      <c r="H64" s="116"/>
      <c r="I64" s="116"/>
      <c r="L64" s="170">
        <v>42093</v>
      </c>
      <c r="M64" s="116">
        <v>1282.075</v>
      </c>
      <c r="N64" s="116">
        <v>1284.95</v>
      </c>
      <c r="O64" s="116">
        <v>1260</v>
      </c>
      <c r="P64" s="116">
        <v>1262.5</v>
      </c>
      <c r="Q64" s="116">
        <v>2564.15</v>
      </c>
      <c r="R64">
        <v>669503</v>
      </c>
    </row>
    <row r="65" spans="1:18" x14ac:dyDescent="0.25">
      <c r="A65" s="170">
        <v>42094</v>
      </c>
      <c r="B65" s="116">
        <v>1283.7</v>
      </c>
      <c r="C65" s="116">
        <v>1273.5250000000001</v>
      </c>
      <c r="D65" s="116">
        <v>1259.575</v>
      </c>
      <c r="E65" s="116">
        <v>1280</v>
      </c>
      <c r="F65" s="116">
        <v>2547.0500000000002</v>
      </c>
      <c r="G65">
        <v>64635</v>
      </c>
      <c r="H65" s="116"/>
      <c r="I65" s="116"/>
      <c r="L65" s="170">
        <v>42094</v>
      </c>
      <c r="M65" s="116">
        <v>1276.9749999999999</v>
      </c>
      <c r="N65" s="116">
        <v>1284.7249999999999</v>
      </c>
      <c r="O65" s="116">
        <v>1260.5</v>
      </c>
      <c r="P65" s="116">
        <v>1284.7249999999999</v>
      </c>
      <c r="Q65" s="116">
        <v>2553.9499999999998</v>
      </c>
      <c r="R65">
        <v>1213514</v>
      </c>
    </row>
    <row r="66" spans="1:18" x14ac:dyDescent="0.25">
      <c r="A66" s="170">
        <v>42095</v>
      </c>
      <c r="B66" s="116">
        <v>1282.5</v>
      </c>
      <c r="C66" s="116">
        <v>1271.7</v>
      </c>
      <c r="D66" s="116">
        <v>1261.25</v>
      </c>
      <c r="E66" s="116">
        <v>1282.5</v>
      </c>
      <c r="F66" s="116">
        <v>2543.4</v>
      </c>
      <c r="G66">
        <v>174680</v>
      </c>
      <c r="H66" s="116"/>
      <c r="I66" s="116"/>
      <c r="L66" s="170">
        <v>42095</v>
      </c>
      <c r="M66" s="116">
        <v>1271.325</v>
      </c>
      <c r="N66" s="116">
        <v>1281.8</v>
      </c>
      <c r="O66" s="116">
        <v>1261.125</v>
      </c>
      <c r="P66" s="116">
        <v>1279</v>
      </c>
      <c r="Q66" s="116">
        <v>2542.65</v>
      </c>
      <c r="R66">
        <v>1037879</v>
      </c>
    </row>
    <row r="67" spans="1:18" x14ac:dyDescent="0.25">
      <c r="A67" s="170">
        <v>42100</v>
      </c>
      <c r="B67" s="116">
        <v>1280.2249999999999</v>
      </c>
      <c r="C67" s="116">
        <v>1273</v>
      </c>
      <c r="D67" s="116">
        <v>1251.825</v>
      </c>
      <c r="E67" s="116">
        <v>1277.5</v>
      </c>
      <c r="F67" s="116">
        <v>2546</v>
      </c>
      <c r="G67">
        <v>60489</v>
      </c>
      <c r="H67" s="116"/>
      <c r="I67" s="116"/>
      <c r="L67" s="170">
        <v>42100</v>
      </c>
      <c r="M67" s="116">
        <v>1273.6500000000001</v>
      </c>
      <c r="N67" s="116">
        <v>1281.45</v>
      </c>
      <c r="O67" s="116">
        <v>1250.05</v>
      </c>
      <c r="P67" s="116">
        <v>1279</v>
      </c>
      <c r="Q67" s="116">
        <v>2547.3000000000002</v>
      </c>
      <c r="R67">
        <v>784271</v>
      </c>
    </row>
    <row r="68" spans="1:18" x14ac:dyDescent="0.25">
      <c r="A68" s="170">
        <v>42101</v>
      </c>
      <c r="B68" s="116">
        <v>1296</v>
      </c>
      <c r="C68" s="116">
        <v>1293.05</v>
      </c>
      <c r="D68" s="116">
        <v>1273.625</v>
      </c>
      <c r="E68" s="116">
        <v>1284</v>
      </c>
      <c r="F68" s="116">
        <v>2586.1</v>
      </c>
      <c r="G68">
        <v>51443</v>
      </c>
      <c r="H68" s="116"/>
      <c r="I68" s="116"/>
      <c r="L68" s="170">
        <v>42101</v>
      </c>
      <c r="M68" s="116">
        <v>1292.5</v>
      </c>
      <c r="N68" s="116">
        <v>1299.5</v>
      </c>
      <c r="O68" s="116">
        <v>1272</v>
      </c>
      <c r="P68" s="116">
        <v>1281.2249999999999</v>
      </c>
      <c r="Q68" s="116">
        <v>2585</v>
      </c>
      <c r="R68">
        <v>943461</v>
      </c>
    </row>
    <row r="69" spans="1:18" x14ac:dyDescent="0.25">
      <c r="A69" s="170">
        <v>42102</v>
      </c>
      <c r="B69" s="116">
        <v>1326</v>
      </c>
      <c r="C69" s="116">
        <v>1322.175</v>
      </c>
      <c r="D69" s="116">
        <v>1290.625</v>
      </c>
      <c r="E69" s="116">
        <v>1294</v>
      </c>
      <c r="F69" s="116">
        <v>2644.35</v>
      </c>
      <c r="G69">
        <v>54721</v>
      </c>
      <c r="H69" s="116"/>
      <c r="I69" s="116"/>
      <c r="L69" s="170">
        <v>42102</v>
      </c>
      <c r="M69" s="116">
        <v>1320.7</v>
      </c>
      <c r="N69" s="116">
        <v>1328.25</v>
      </c>
      <c r="O69" s="116">
        <v>1295.425</v>
      </c>
      <c r="P69" s="116">
        <v>1297</v>
      </c>
      <c r="Q69" s="116">
        <v>2641.4</v>
      </c>
      <c r="R69">
        <v>826067</v>
      </c>
    </row>
    <row r="70" spans="1:18" x14ac:dyDescent="0.25">
      <c r="A70" s="170">
        <v>42103</v>
      </c>
      <c r="B70" s="116">
        <v>1341.9749999999999</v>
      </c>
      <c r="C70" s="116">
        <v>1330.575</v>
      </c>
      <c r="D70" s="116">
        <v>1317.575</v>
      </c>
      <c r="E70" s="116">
        <v>1339.4</v>
      </c>
      <c r="F70" s="116">
        <v>2661.15</v>
      </c>
      <c r="G70">
        <v>67976</v>
      </c>
      <c r="H70" s="116"/>
      <c r="I70" s="116"/>
      <c r="L70" s="170">
        <v>42103</v>
      </c>
      <c r="M70" s="116">
        <v>1332.2750000000001</v>
      </c>
      <c r="N70" s="116">
        <v>1343.7249999999999</v>
      </c>
      <c r="O70" s="116">
        <v>1317.575</v>
      </c>
      <c r="P70" s="116">
        <v>1329.5</v>
      </c>
      <c r="Q70" s="116">
        <v>2664.55</v>
      </c>
      <c r="R70">
        <v>1272225</v>
      </c>
    </row>
    <row r="71" spans="1:18" x14ac:dyDescent="0.25">
      <c r="A71" s="170">
        <v>42104</v>
      </c>
      <c r="B71" s="116">
        <v>1334.825</v>
      </c>
      <c r="C71" s="116">
        <v>1325.9749999999999</v>
      </c>
      <c r="D71" s="116">
        <v>1314.4</v>
      </c>
      <c r="E71" s="116">
        <v>1327.5</v>
      </c>
      <c r="F71" s="116">
        <v>2651.95</v>
      </c>
      <c r="G71">
        <v>37700</v>
      </c>
      <c r="H71" s="116"/>
      <c r="I71" s="116"/>
      <c r="L71" s="170">
        <v>42104</v>
      </c>
      <c r="M71" s="116">
        <v>1326.875</v>
      </c>
      <c r="N71" s="116">
        <v>1335.4</v>
      </c>
      <c r="O71" s="116">
        <v>1314</v>
      </c>
      <c r="P71" s="116">
        <v>1324.25</v>
      </c>
      <c r="Q71" s="116">
        <v>2653.75</v>
      </c>
      <c r="R71">
        <v>907772</v>
      </c>
    </row>
    <row r="72" spans="1:18" x14ac:dyDescent="0.25">
      <c r="A72" s="170">
        <v>42107</v>
      </c>
      <c r="B72" s="116">
        <v>1333.5</v>
      </c>
      <c r="C72" s="116">
        <v>1325.125</v>
      </c>
      <c r="D72" s="116">
        <v>1315</v>
      </c>
      <c r="E72" s="116">
        <v>1333.5</v>
      </c>
      <c r="F72" s="116">
        <v>2650.25</v>
      </c>
      <c r="G72">
        <v>37620</v>
      </c>
      <c r="H72" s="116"/>
      <c r="I72" s="116"/>
      <c r="L72" s="170">
        <v>42107</v>
      </c>
      <c r="M72" s="116">
        <v>1327.75</v>
      </c>
      <c r="N72" s="116">
        <v>1332.5</v>
      </c>
      <c r="O72" s="116">
        <v>1314</v>
      </c>
      <c r="P72" s="116">
        <v>1332</v>
      </c>
      <c r="Q72" s="116">
        <v>2655.5</v>
      </c>
      <c r="R72">
        <v>654321</v>
      </c>
    </row>
    <row r="73" spans="1:18" x14ac:dyDescent="0.25">
      <c r="A73" s="170">
        <v>42109</v>
      </c>
      <c r="B73" s="116">
        <v>1356</v>
      </c>
      <c r="C73" s="116">
        <v>1312.35</v>
      </c>
      <c r="D73" s="116">
        <v>1306.2249999999999</v>
      </c>
      <c r="E73" s="116">
        <v>1325</v>
      </c>
      <c r="F73" s="116">
        <v>2624.7</v>
      </c>
      <c r="G73">
        <v>140351</v>
      </c>
      <c r="H73" s="116"/>
      <c r="I73" s="116"/>
      <c r="L73" s="170">
        <v>42109</v>
      </c>
      <c r="M73" s="116">
        <v>1313.875</v>
      </c>
      <c r="N73" s="116">
        <v>1356.95</v>
      </c>
      <c r="O73" s="116">
        <v>1304.7</v>
      </c>
      <c r="P73" s="116">
        <v>1327.35</v>
      </c>
      <c r="Q73" s="116">
        <v>2627.75</v>
      </c>
      <c r="R73">
        <v>1456967</v>
      </c>
    </row>
    <row r="74" spans="1:18" x14ac:dyDescent="0.25">
      <c r="A74" s="170">
        <v>42110</v>
      </c>
      <c r="B74" s="116">
        <v>1317.45</v>
      </c>
      <c r="C74" s="116">
        <v>1292.5999999999999</v>
      </c>
      <c r="D74" s="116">
        <v>1283.9000000000001</v>
      </c>
      <c r="E74" s="116">
        <v>1317.45</v>
      </c>
      <c r="F74" s="116">
        <v>2585.1999999999998</v>
      </c>
      <c r="G74">
        <v>115355</v>
      </c>
      <c r="H74" s="116"/>
      <c r="I74" s="116"/>
      <c r="L74" s="170">
        <v>42110</v>
      </c>
      <c r="M74" s="116">
        <v>1291.4000000000001</v>
      </c>
      <c r="N74" s="116">
        <v>1313.5</v>
      </c>
      <c r="O74" s="116">
        <v>1285.675</v>
      </c>
      <c r="P74" s="116">
        <v>1313.4749999999999</v>
      </c>
      <c r="Q74" s="116">
        <v>2582.8000000000002</v>
      </c>
      <c r="R74">
        <v>1608785</v>
      </c>
    </row>
    <row r="75" spans="1:18" x14ac:dyDescent="0.25">
      <c r="A75" s="170">
        <v>42111</v>
      </c>
      <c r="B75" s="116">
        <v>1280.5</v>
      </c>
      <c r="C75" s="116">
        <v>1238.0999999999999</v>
      </c>
      <c r="D75" s="116">
        <v>1235.5</v>
      </c>
      <c r="E75" s="116">
        <v>1280.5</v>
      </c>
      <c r="F75" s="116">
        <v>2476.1999999999998</v>
      </c>
      <c r="G75">
        <v>374431</v>
      </c>
      <c r="H75" s="116"/>
      <c r="I75" s="116"/>
      <c r="L75" s="170">
        <v>42111</v>
      </c>
      <c r="M75" s="116">
        <v>1237.425</v>
      </c>
      <c r="N75" s="116">
        <v>1280</v>
      </c>
      <c r="O75" s="116">
        <v>1235</v>
      </c>
      <c r="P75" s="116">
        <v>1278.55</v>
      </c>
      <c r="Q75" s="116">
        <v>2474.85</v>
      </c>
      <c r="R75">
        <v>4834371</v>
      </c>
    </row>
    <row r="76" spans="1:18" x14ac:dyDescent="0.25">
      <c r="A76" s="170">
        <v>42114</v>
      </c>
      <c r="B76" s="116">
        <v>1243</v>
      </c>
      <c r="C76" s="116">
        <v>1215.325</v>
      </c>
      <c r="D76" s="116">
        <v>1213.5</v>
      </c>
      <c r="E76" s="116">
        <v>1242</v>
      </c>
      <c r="F76" s="116">
        <v>2430.65</v>
      </c>
      <c r="G76">
        <v>781148</v>
      </c>
      <c r="H76" s="116"/>
      <c r="I76" s="116"/>
      <c r="L76" s="170">
        <v>42114</v>
      </c>
      <c r="M76" s="116">
        <v>1214.4000000000001</v>
      </c>
      <c r="N76" s="116">
        <v>1241.95</v>
      </c>
      <c r="O76" s="116">
        <v>1212.425</v>
      </c>
      <c r="P76" s="116">
        <v>1240.0250000000001</v>
      </c>
      <c r="Q76" s="116">
        <v>2428.8000000000002</v>
      </c>
      <c r="R76">
        <v>1445361</v>
      </c>
    </row>
    <row r="77" spans="1:18" x14ac:dyDescent="0.25">
      <c r="A77" s="170">
        <v>42115</v>
      </c>
      <c r="B77" s="116">
        <v>1225</v>
      </c>
      <c r="C77" s="116">
        <v>1213.425</v>
      </c>
      <c r="D77" s="116">
        <v>1201</v>
      </c>
      <c r="E77" s="116">
        <v>1219.45</v>
      </c>
      <c r="F77" s="116">
        <v>2426.85</v>
      </c>
      <c r="G77">
        <v>74565</v>
      </c>
      <c r="H77" s="116"/>
      <c r="I77" s="116"/>
      <c r="L77" s="170">
        <v>42115</v>
      </c>
      <c r="M77" s="116">
        <v>1213.5250000000001</v>
      </c>
      <c r="N77" s="116">
        <v>1226</v>
      </c>
      <c r="O77" s="116">
        <v>1200.5</v>
      </c>
      <c r="P77" s="116">
        <v>1214.4000000000001</v>
      </c>
      <c r="Q77" s="116">
        <v>2427.0500000000002</v>
      </c>
      <c r="R77">
        <v>1273016</v>
      </c>
    </row>
    <row r="78" spans="1:18" x14ac:dyDescent="0.25">
      <c r="A78" s="170">
        <v>42116</v>
      </c>
      <c r="B78" s="116">
        <v>1234.075</v>
      </c>
      <c r="C78" s="116">
        <v>1223.95</v>
      </c>
      <c r="D78" s="116">
        <v>1203.55</v>
      </c>
      <c r="E78" s="116">
        <v>1212.5</v>
      </c>
      <c r="F78" s="116">
        <v>2447.9</v>
      </c>
      <c r="G78">
        <v>75200</v>
      </c>
      <c r="H78" s="116"/>
      <c r="I78" s="116"/>
      <c r="L78" s="170">
        <v>42116</v>
      </c>
      <c r="M78" s="116">
        <v>1222.55</v>
      </c>
      <c r="N78" s="116">
        <v>1236.5</v>
      </c>
      <c r="O78" s="116">
        <v>1203.7750000000001</v>
      </c>
      <c r="P78" s="116">
        <v>1215.75</v>
      </c>
      <c r="Q78" s="116">
        <v>2445.1</v>
      </c>
      <c r="R78">
        <v>2093406</v>
      </c>
    </row>
    <row r="79" spans="1:18" x14ac:dyDescent="0.25">
      <c r="A79" s="170">
        <v>42117</v>
      </c>
      <c r="B79" s="116">
        <v>1238.2249999999999</v>
      </c>
      <c r="C79" s="116">
        <v>1228.425</v>
      </c>
      <c r="D79" s="116">
        <v>1216.5</v>
      </c>
      <c r="E79" s="116">
        <v>1236.05</v>
      </c>
      <c r="F79" s="116">
        <v>2456.85</v>
      </c>
      <c r="G79">
        <v>45030</v>
      </c>
      <c r="H79" s="116"/>
      <c r="I79" s="116"/>
      <c r="L79" s="170">
        <v>42117</v>
      </c>
      <c r="M79" s="116">
        <v>1228.625</v>
      </c>
      <c r="N79" s="116">
        <v>1239.9000000000001</v>
      </c>
      <c r="O79" s="116">
        <v>1215.8499999999999</v>
      </c>
      <c r="P79" s="116">
        <v>1236</v>
      </c>
      <c r="Q79" s="116">
        <v>2457.25</v>
      </c>
      <c r="R79">
        <v>2171495</v>
      </c>
    </row>
    <row r="80" spans="1:18" x14ac:dyDescent="0.25">
      <c r="A80" s="170">
        <v>42118</v>
      </c>
      <c r="B80" s="116">
        <v>1257.5</v>
      </c>
      <c r="C80" s="116">
        <v>1248.45</v>
      </c>
      <c r="D80" s="116">
        <v>1225</v>
      </c>
      <c r="E80" s="116">
        <v>1229</v>
      </c>
      <c r="F80" s="116">
        <v>2496.9</v>
      </c>
      <c r="G80">
        <v>86129</v>
      </c>
      <c r="H80" s="116"/>
      <c r="I80" s="116"/>
      <c r="L80" s="170">
        <v>42118</v>
      </c>
      <c r="M80" s="116">
        <v>1246.5250000000001</v>
      </c>
      <c r="N80" s="116">
        <v>1257</v>
      </c>
      <c r="O80" s="116">
        <v>1223.7750000000001</v>
      </c>
      <c r="P80" s="116">
        <v>1227.6500000000001</v>
      </c>
      <c r="Q80" s="116">
        <v>2493.0500000000002</v>
      </c>
      <c r="R80">
        <v>1812579</v>
      </c>
    </row>
    <row r="81" spans="1:18" x14ac:dyDescent="0.25">
      <c r="A81" s="170">
        <v>42121</v>
      </c>
      <c r="B81" s="116">
        <v>1259.3</v>
      </c>
      <c r="C81" s="116">
        <v>1250.1500000000001</v>
      </c>
      <c r="D81" s="116">
        <v>1243.175</v>
      </c>
      <c r="E81" s="116">
        <v>1254.5</v>
      </c>
      <c r="F81" s="116">
        <v>2500.3000000000002</v>
      </c>
      <c r="G81">
        <v>62321</v>
      </c>
      <c r="H81" s="116"/>
      <c r="I81" s="116"/>
      <c r="L81" s="170">
        <v>42121</v>
      </c>
      <c r="M81" s="116">
        <v>1250.0999999999999</v>
      </c>
      <c r="N81" s="116">
        <v>1260</v>
      </c>
      <c r="O81" s="116">
        <v>1243</v>
      </c>
      <c r="P81" s="116">
        <v>1249.75</v>
      </c>
      <c r="Q81" s="116">
        <v>2500.1999999999998</v>
      </c>
      <c r="R81">
        <v>1366526</v>
      </c>
    </row>
    <row r="82" spans="1:18" x14ac:dyDescent="0.25">
      <c r="A82" s="170">
        <v>42122</v>
      </c>
      <c r="B82" s="116">
        <v>1253.325</v>
      </c>
      <c r="C82" s="116">
        <v>1247.2750000000001</v>
      </c>
      <c r="D82" s="116">
        <v>1228.05</v>
      </c>
      <c r="E82" s="116">
        <v>1252.5</v>
      </c>
      <c r="F82" s="116">
        <v>2494.5500000000002</v>
      </c>
      <c r="G82">
        <v>59066</v>
      </c>
      <c r="H82" s="116"/>
      <c r="I82" s="116"/>
      <c r="L82" s="170">
        <v>42122</v>
      </c>
      <c r="M82" s="116">
        <v>1247.5</v>
      </c>
      <c r="N82" s="116">
        <v>1255</v>
      </c>
      <c r="O82" s="116">
        <v>1227.55</v>
      </c>
      <c r="P82" s="116">
        <v>1255</v>
      </c>
      <c r="Q82" s="116">
        <v>2495</v>
      </c>
      <c r="R82">
        <v>1544149</v>
      </c>
    </row>
    <row r="83" spans="1:18" x14ac:dyDescent="0.25">
      <c r="A83" s="170">
        <v>42123</v>
      </c>
      <c r="B83" s="116">
        <v>1247.5</v>
      </c>
      <c r="C83" s="116">
        <v>1242.825</v>
      </c>
      <c r="D83" s="116">
        <v>1226.5250000000001</v>
      </c>
      <c r="E83" s="116">
        <v>1247</v>
      </c>
      <c r="F83" s="116">
        <v>2485.65</v>
      </c>
      <c r="G83">
        <v>57506</v>
      </c>
      <c r="H83" s="116"/>
      <c r="I83" s="116"/>
      <c r="L83" s="170">
        <v>42123</v>
      </c>
      <c r="M83" s="116">
        <v>1243.6500000000001</v>
      </c>
      <c r="N83" s="116">
        <v>1247.5</v>
      </c>
      <c r="O83" s="116">
        <v>1225.5250000000001</v>
      </c>
      <c r="P83" s="116">
        <v>1242</v>
      </c>
      <c r="Q83" s="116">
        <v>2487.3000000000002</v>
      </c>
      <c r="R83">
        <v>1009810</v>
      </c>
    </row>
    <row r="84" spans="1:18" x14ac:dyDescent="0.25">
      <c r="A84" s="170">
        <v>42124</v>
      </c>
      <c r="B84" s="116">
        <v>1242</v>
      </c>
      <c r="C84" s="116">
        <v>1233.325</v>
      </c>
      <c r="D84" s="116">
        <v>1214.1500000000001</v>
      </c>
      <c r="E84" s="116">
        <v>1242</v>
      </c>
      <c r="F84" s="116">
        <v>2466.65</v>
      </c>
      <c r="G84">
        <v>96723</v>
      </c>
      <c r="H84" s="116"/>
      <c r="I84" s="116"/>
      <c r="L84" s="170">
        <v>42124</v>
      </c>
      <c r="M84" s="116">
        <v>1231.8499999999999</v>
      </c>
      <c r="N84" s="116">
        <v>1245</v>
      </c>
      <c r="O84" s="116">
        <v>1213.55</v>
      </c>
      <c r="P84" s="116">
        <v>1240</v>
      </c>
      <c r="Q84" s="116">
        <v>2463.6999999999998</v>
      </c>
      <c r="R84">
        <v>1869027</v>
      </c>
    </row>
    <row r="85" spans="1:18" x14ac:dyDescent="0.25">
      <c r="A85" s="170">
        <v>42128</v>
      </c>
      <c r="B85" s="116">
        <v>1251.925</v>
      </c>
      <c r="C85" s="116">
        <v>1239.55</v>
      </c>
      <c r="D85" s="116">
        <v>1228.575</v>
      </c>
      <c r="E85" s="116">
        <v>1241</v>
      </c>
      <c r="F85" s="116">
        <v>2479.1</v>
      </c>
      <c r="G85">
        <v>52374</v>
      </c>
      <c r="H85" s="116"/>
      <c r="I85" s="116"/>
      <c r="L85" s="170">
        <v>42128</v>
      </c>
      <c r="M85" s="116">
        <v>1240.7750000000001</v>
      </c>
      <c r="N85" s="116">
        <v>1252.4000000000001</v>
      </c>
      <c r="O85" s="116">
        <v>1228.5999999999999</v>
      </c>
      <c r="P85" s="116">
        <v>1245.5</v>
      </c>
      <c r="Q85" s="116">
        <v>2481.5500000000002</v>
      </c>
      <c r="R85">
        <v>945315</v>
      </c>
    </row>
    <row r="86" spans="1:18" x14ac:dyDescent="0.25">
      <c r="A86" s="170">
        <v>42129</v>
      </c>
      <c r="B86" s="116">
        <v>1267.5</v>
      </c>
      <c r="C86" s="116">
        <v>1259.625</v>
      </c>
      <c r="D86" s="116">
        <v>1250.075</v>
      </c>
      <c r="E86" s="116">
        <v>1250.625</v>
      </c>
      <c r="F86" s="116">
        <v>2519.25</v>
      </c>
      <c r="G86">
        <v>96875</v>
      </c>
      <c r="H86" s="116"/>
      <c r="I86" s="116"/>
      <c r="L86" s="170">
        <v>42129</v>
      </c>
      <c r="M86" s="116">
        <v>1258.925</v>
      </c>
      <c r="N86" s="116">
        <v>1268.2249999999999</v>
      </c>
      <c r="O86" s="116">
        <v>1250</v>
      </c>
      <c r="P86" s="116">
        <v>1250.5</v>
      </c>
      <c r="Q86" s="116">
        <v>2517.85</v>
      </c>
      <c r="R86">
        <v>1627535</v>
      </c>
    </row>
    <row r="87" spans="1:18" x14ac:dyDescent="0.25">
      <c r="A87" s="170">
        <v>42130</v>
      </c>
      <c r="B87" s="116">
        <v>1258.5</v>
      </c>
      <c r="C87" s="116">
        <v>1231.425</v>
      </c>
      <c r="D87" s="116">
        <v>1228.3</v>
      </c>
      <c r="E87" s="116">
        <v>1255.5</v>
      </c>
      <c r="F87" s="116">
        <v>2462.85</v>
      </c>
      <c r="G87">
        <v>114147</v>
      </c>
      <c r="H87" s="116"/>
      <c r="I87" s="116"/>
      <c r="L87" s="170">
        <v>42130</v>
      </c>
      <c r="M87" s="116">
        <v>1231.5250000000001</v>
      </c>
      <c r="N87" s="116">
        <v>1257.5</v>
      </c>
      <c r="O87" s="116">
        <v>1227.9000000000001</v>
      </c>
      <c r="P87" s="116">
        <v>1257.5</v>
      </c>
      <c r="Q87" s="116">
        <v>2463.0500000000002</v>
      </c>
      <c r="R87">
        <v>1697203</v>
      </c>
    </row>
    <row r="88" spans="1:18" x14ac:dyDescent="0.25">
      <c r="A88" s="170">
        <v>42131</v>
      </c>
      <c r="B88" s="116">
        <v>1278</v>
      </c>
      <c r="C88" s="116">
        <v>1271.6500000000001</v>
      </c>
      <c r="D88" s="116">
        <v>1230</v>
      </c>
      <c r="E88" s="116">
        <v>1232.5</v>
      </c>
      <c r="F88" s="116">
        <v>2543.3000000000002</v>
      </c>
      <c r="G88">
        <v>102790</v>
      </c>
      <c r="H88" s="116"/>
      <c r="I88" s="116"/>
      <c r="L88" s="170">
        <v>42131</v>
      </c>
      <c r="M88" s="116">
        <v>1272.625</v>
      </c>
      <c r="N88" s="116">
        <v>1276.875</v>
      </c>
      <c r="O88" s="116">
        <v>1226.8499999999999</v>
      </c>
      <c r="P88" s="116">
        <v>1232.45</v>
      </c>
      <c r="Q88" s="116">
        <v>2545.25</v>
      </c>
      <c r="R88">
        <v>1602514</v>
      </c>
    </row>
    <row r="89" spans="1:18" x14ac:dyDescent="0.25">
      <c r="A89" s="170">
        <v>42132</v>
      </c>
      <c r="B89" s="116">
        <v>1293.4000000000001</v>
      </c>
      <c r="C89" s="116">
        <v>1265.3499999999999</v>
      </c>
      <c r="D89" s="116">
        <v>1260.0250000000001</v>
      </c>
      <c r="E89" s="116">
        <v>1276</v>
      </c>
      <c r="F89" s="116">
        <v>2530.6999999999998</v>
      </c>
      <c r="G89">
        <v>63433</v>
      </c>
      <c r="H89" s="116"/>
      <c r="I89" s="116"/>
      <c r="L89" s="170">
        <v>42132</v>
      </c>
      <c r="M89" s="116">
        <v>1263.625</v>
      </c>
      <c r="N89" s="116">
        <v>1294</v>
      </c>
      <c r="O89" s="116">
        <v>1258.1500000000001</v>
      </c>
      <c r="P89" s="116">
        <v>1280</v>
      </c>
      <c r="Q89" s="116">
        <v>2527.25</v>
      </c>
      <c r="R89">
        <v>1501832</v>
      </c>
    </row>
    <row r="90" spans="1:18" x14ac:dyDescent="0.25">
      <c r="A90" s="170">
        <v>42135</v>
      </c>
      <c r="B90" s="116">
        <v>1281.425</v>
      </c>
      <c r="C90" s="116">
        <v>1277.9000000000001</v>
      </c>
      <c r="D90" s="116">
        <v>1263.125</v>
      </c>
      <c r="E90" s="116">
        <v>1272.5</v>
      </c>
      <c r="F90" s="116">
        <v>2555.8000000000002</v>
      </c>
      <c r="G90">
        <v>31880</v>
      </c>
      <c r="H90" s="116"/>
      <c r="I90" s="116"/>
      <c r="L90" s="170">
        <v>42135</v>
      </c>
      <c r="M90" s="116">
        <v>1278</v>
      </c>
      <c r="N90" s="116">
        <v>1281.5250000000001</v>
      </c>
      <c r="O90" s="116">
        <v>1262.5</v>
      </c>
      <c r="P90" s="116">
        <v>1267.5</v>
      </c>
      <c r="Q90" s="116">
        <v>2556</v>
      </c>
      <c r="R90">
        <v>1286541</v>
      </c>
    </row>
    <row r="91" spans="1:18" x14ac:dyDescent="0.25">
      <c r="A91" s="170">
        <v>42136</v>
      </c>
      <c r="B91" s="116">
        <v>1279.625</v>
      </c>
      <c r="C91" s="116">
        <v>1260.5999999999999</v>
      </c>
      <c r="D91" s="116">
        <v>1257.675</v>
      </c>
      <c r="E91" s="116">
        <v>1277.5</v>
      </c>
      <c r="F91" s="116">
        <v>2521.1999999999998</v>
      </c>
      <c r="G91">
        <v>30688</v>
      </c>
      <c r="H91" s="116"/>
      <c r="I91" s="116"/>
      <c r="L91" s="170">
        <v>42136</v>
      </c>
      <c r="M91" s="116">
        <v>1261.45</v>
      </c>
      <c r="N91" s="116">
        <v>1282.5</v>
      </c>
      <c r="O91" s="116">
        <v>1256.5</v>
      </c>
      <c r="P91" s="116">
        <v>1280</v>
      </c>
      <c r="Q91" s="116">
        <v>2522.9</v>
      </c>
      <c r="R91">
        <v>1233693</v>
      </c>
    </row>
    <row r="92" spans="1:18" x14ac:dyDescent="0.25">
      <c r="A92" s="170">
        <v>42137</v>
      </c>
      <c r="B92" s="116">
        <v>1272.5</v>
      </c>
      <c r="C92" s="116">
        <v>1259.9749999999999</v>
      </c>
      <c r="D92" s="116">
        <v>1241.9749999999999</v>
      </c>
      <c r="E92" s="116">
        <v>1262.925</v>
      </c>
      <c r="F92" s="116">
        <v>2519.9499999999998</v>
      </c>
      <c r="G92">
        <v>77717</v>
      </c>
      <c r="H92" s="116"/>
      <c r="I92" s="116"/>
      <c r="L92" s="170">
        <v>42137</v>
      </c>
      <c r="M92" s="116">
        <v>1257.7</v>
      </c>
      <c r="N92" s="116">
        <v>1273.5</v>
      </c>
      <c r="O92" s="116">
        <v>1240.2249999999999</v>
      </c>
      <c r="P92" s="116">
        <v>1273.5</v>
      </c>
      <c r="Q92" s="116">
        <v>2515.4</v>
      </c>
      <c r="R92">
        <v>931887</v>
      </c>
    </row>
    <row r="93" spans="1:18" x14ac:dyDescent="0.25">
      <c r="A93" s="170">
        <v>42138</v>
      </c>
      <c r="B93" s="116">
        <v>1264.25</v>
      </c>
      <c r="C93" s="116">
        <v>1249.9749999999999</v>
      </c>
      <c r="D93" s="116">
        <v>1243.125</v>
      </c>
      <c r="E93" s="116">
        <v>1264.25</v>
      </c>
      <c r="F93" s="116">
        <v>2499.9499999999998</v>
      </c>
      <c r="G93">
        <v>418964</v>
      </c>
      <c r="H93" s="116"/>
      <c r="I93" s="116"/>
      <c r="L93" s="170">
        <v>42138</v>
      </c>
      <c r="M93" s="116">
        <v>1249.625</v>
      </c>
      <c r="N93" s="116">
        <v>1260</v>
      </c>
      <c r="O93" s="116">
        <v>1242.5</v>
      </c>
      <c r="P93" s="116">
        <v>1260</v>
      </c>
      <c r="Q93" s="116">
        <v>2499.25</v>
      </c>
      <c r="R93">
        <v>654525</v>
      </c>
    </row>
    <row r="94" spans="1:18" x14ac:dyDescent="0.25">
      <c r="A94" s="170">
        <v>42139</v>
      </c>
      <c r="B94" s="116">
        <v>1265</v>
      </c>
      <c r="C94" s="116">
        <v>1254.825</v>
      </c>
      <c r="D94" s="116">
        <v>1250.5</v>
      </c>
      <c r="E94" s="116">
        <v>1254</v>
      </c>
      <c r="F94" s="116">
        <v>2509.65</v>
      </c>
      <c r="G94">
        <v>16751</v>
      </c>
      <c r="H94" s="116"/>
      <c r="I94" s="116"/>
      <c r="L94" s="170">
        <v>42139</v>
      </c>
      <c r="M94" s="116">
        <v>1255.575</v>
      </c>
      <c r="N94" s="116">
        <v>1266.2</v>
      </c>
      <c r="O94" s="116">
        <v>1250.5</v>
      </c>
      <c r="P94" s="116">
        <v>1257.5</v>
      </c>
      <c r="Q94" s="116">
        <v>2511.15</v>
      </c>
      <c r="R94">
        <v>730727</v>
      </c>
    </row>
    <row r="95" spans="1:18" x14ac:dyDescent="0.25">
      <c r="A95" s="170">
        <v>42142</v>
      </c>
      <c r="B95" s="116">
        <v>1262.5</v>
      </c>
      <c r="C95" s="116">
        <v>1259.675</v>
      </c>
      <c r="D95" s="116">
        <v>1247.5</v>
      </c>
      <c r="E95" s="116">
        <v>1257.5</v>
      </c>
      <c r="F95" s="116">
        <v>2519.35</v>
      </c>
      <c r="G95">
        <v>915772</v>
      </c>
      <c r="H95" s="116"/>
      <c r="I95" s="116"/>
      <c r="L95" s="170">
        <v>42142</v>
      </c>
      <c r="M95" s="116">
        <v>1260.2</v>
      </c>
      <c r="N95" s="116">
        <v>1262.625</v>
      </c>
      <c r="O95" s="116">
        <v>1248.55</v>
      </c>
      <c r="P95" s="116">
        <v>1257.05</v>
      </c>
      <c r="Q95" s="116">
        <v>2520.4</v>
      </c>
      <c r="R95">
        <v>2253876</v>
      </c>
    </row>
    <row r="96" spans="1:18" x14ac:dyDescent="0.25">
      <c r="A96" s="170">
        <v>42143</v>
      </c>
      <c r="B96" s="116">
        <v>1264.75</v>
      </c>
      <c r="C96" s="116">
        <v>1255.9749999999999</v>
      </c>
      <c r="D96" s="116">
        <v>1249.1500000000001</v>
      </c>
      <c r="E96" s="116">
        <v>1260</v>
      </c>
      <c r="F96" s="116">
        <v>2511.9499999999998</v>
      </c>
      <c r="G96">
        <v>106439</v>
      </c>
      <c r="H96" s="116"/>
      <c r="I96" s="116"/>
      <c r="L96" s="170">
        <v>42143</v>
      </c>
      <c r="M96" s="116">
        <v>1256.3499999999999</v>
      </c>
      <c r="N96" s="116">
        <v>1265</v>
      </c>
      <c r="O96" s="116">
        <v>1248.375</v>
      </c>
      <c r="P96" s="116">
        <v>1259.7</v>
      </c>
      <c r="Q96" s="116">
        <v>2512.6999999999998</v>
      </c>
      <c r="R96">
        <v>978861</v>
      </c>
    </row>
    <row r="97" spans="1:18" x14ac:dyDescent="0.25">
      <c r="A97" s="170">
        <v>42144</v>
      </c>
      <c r="B97" s="116">
        <v>1281.8499999999999</v>
      </c>
      <c r="C97" s="116">
        <v>1278.7750000000001</v>
      </c>
      <c r="D97" s="116">
        <v>1260</v>
      </c>
      <c r="E97" s="116">
        <v>1264</v>
      </c>
      <c r="F97" s="116">
        <v>2557.5500000000002</v>
      </c>
      <c r="G97">
        <v>54059</v>
      </c>
      <c r="H97" s="116"/>
      <c r="I97" s="116"/>
      <c r="L97" s="170">
        <v>42144</v>
      </c>
      <c r="M97" s="116">
        <v>1278.5250000000001</v>
      </c>
      <c r="N97" s="116">
        <v>1284.95</v>
      </c>
      <c r="O97" s="116">
        <v>1258.45</v>
      </c>
      <c r="P97" s="116">
        <v>1260</v>
      </c>
      <c r="Q97" s="116">
        <v>2557.0500000000002</v>
      </c>
      <c r="R97">
        <v>948907</v>
      </c>
    </row>
    <row r="98" spans="1:18" x14ac:dyDescent="0.25">
      <c r="A98" s="170">
        <v>42145</v>
      </c>
      <c r="B98" s="116">
        <v>1290</v>
      </c>
      <c r="C98" s="116">
        <v>1278.825</v>
      </c>
      <c r="D98" s="116">
        <v>1274.5</v>
      </c>
      <c r="E98" s="116">
        <v>1279.95</v>
      </c>
      <c r="F98" s="116">
        <v>2557.65</v>
      </c>
      <c r="G98">
        <v>35083</v>
      </c>
      <c r="H98" s="116"/>
      <c r="I98" s="116"/>
      <c r="L98" s="170">
        <v>42145</v>
      </c>
      <c r="M98" s="116">
        <v>1277.75</v>
      </c>
      <c r="N98" s="116">
        <v>1290</v>
      </c>
      <c r="O98" s="116">
        <v>1274.075</v>
      </c>
      <c r="P98" s="116">
        <v>1278.5</v>
      </c>
      <c r="Q98" s="116">
        <v>2555.5</v>
      </c>
      <c r="R98">
        <v>789789</v>
      </c>
    </row>
    <row r="99" spans="1:18" x14ac:dyDescent="0.25">
      <c r="A99" s="170">
        <v>42146</v>
      </c>
      <c r="B99" s="116">
        <v>1314.5</v>
      </c>
      <c r="C99" s="116">
        <v>1309.7750000000001</v>
      </c>
      <c r="D99" s="116">
        <v>1270.5250000000001</v>
      </c>
      <c r="E99" s="116">
        <v>1277.75</v>
      </c>
      <c r="F99" s="116">
        <v>2619.5500000000002</v>
      </c>
      <c r="G99">
        <v>368898</v>
      </c>
      <c r="H99" s="116"/>
      <c r="I99" s="116"/>
      <c r="L99" s="170">
        <v>42146</v>
      </c>
      <c r="M99" s="116">
        <v>1308.95</v>
      </c>
      <c r="N99" s="116">
        <v>1314.375</v>
      </c>
      <c r="O99" s="116">
        <v>1269.625</v>
      </c>
      <c r="P99" s="116">
        <v>1275</v>
      </c>
      <c r="Q99" s="116">
        <v>2617.9</v>
      </c>
      <c r="R99">
        <v>1345816</v>
      </c>
    </row>
    <row r="100" spans="1:18" x14ac:dyDescent="0.25">
      <c r="A100" s="170">
        <v>42149</v>
      </c>
      <c r="B100" s="116">
        <v>1316.6</v>
      </c>
      <c r="C100" s="116">
        <v>1300.7</v>
      </c>
      <c r="D100" s="116">
        <v>1294.05</v>
      </c>
      <c r="E100" s="116">
        <v>1310</v>
      </c>
      <c r="F100" s="116">
        <v>2601.4</v>
      </c>
      <c r="G100">
        <v>37498</v>
      </c>
      <c r="H100" s="116"/>
      <c r="I100" s="116"/>
      <c r="L100" s="170">
        <v>42149</v>
      </c>
      <c r="M100" s="116">
        <v>1300.5</v>
      </c>
      <c r="N100" s="116">
        <v>1318.45</v>
      </c>
      <c r="O100" s="116">
        <v>1292.8499999999999</v>
      </c>
      <c r="P100" s="116">
        <v>1310</v>
      </c>
      <c r="Q100" s="116">
        <v>2601</v>
      </c>
      <c r="R100">
        <v>491489</v>
      </c>
    </row>
    <row r="101" spans="1:18" x14ac:dyDescent="0.25">
      <c r="A101" s="170">
        <v>42150</v>
      </c>
      <c r="B101" s="116">
        <v>1311</v>
      </c>
      <c r="C101" s="116">
        <v>1303.175</v>
      </c>
      <c r="D101" s="116">
        <v>1295</v>
      </c>
      <c r="E101" s="116">
        <v>1301.575</v>
      </c>
      <c r="F101" s="116">
        <v>2606.35</v>
      </c>
      <c r="G101">
        <v>26914</v>
      </c>
      <c r="H101" s="116"/>
      <c r="I101" s="116"/>
      <c r="L101" s="170">
        <v>42150</v>
      </c>
      <c r="M101" s="116">
        <v>1304.425</v>
      </c>
      <c r="N101" s="116">
        <v>1311.625</v>
      </c>
      <c r="O101" s="116">
        <v>1294.45</v>
      </c>
      <c r="P101" s="116">
        <v>1302.5</v>
      </c>
      <c r="Q101" s="116">
        <v>2608.85</v>
      </c>
      <c r="R101">
        <v>980870</v>
      </c>
    </row>
    <row r="102" spans="1:18" x14ac:dyDescent="0.25">
      <c r="A102" s="170">
        <v>42151</v>
      </c>
      <c r="B102" s="116">
        <v>1315.75</v>
      </c>
      <c r="C102" s="116">
        <v>1308.2750000000001</v>
      </c>
      <c r="D102" s="116">
        <v>1296</v>
      </c>
      <c r="E102" s="116">
        <v>1297.5</v>
      </c>
      <c r="F102" s="116">
        <v>2616.5500000000002</v>
      </c>
      <c r="G102">
        <v>48241</v>
      </c>
      <c r="H102" s="116"/>
      <c r="I102" s="116"/>
      <c r="L102" s="170">
        <v>42151</v>
      </c>
      <c r="M102" s="116">
        <v>1307.625</v>
      </c>
      <c r="N102" s="116">
        <v>1316.575</v>
      </c>
      <c r="O102" s="116">
        <v>1296</v>
      </c>
      <c r="P102" s="116">
        <v>1304</v>
      </c>
      <c r="Q102" s="116">
        <v>2615.25</v>
      </c>
      <c r="R102">
        <v>810345</v>
      </c>
    </row>
    <row r="103" spans="1:18" x14ac:dyDescent="0.25">
      <c r="A103" s="170">
        <v>42152</v>
      </c>
      <c r="B103" s="116">
        <v>1312.45</v>
      </c>
      <c r="C103" s="116">
        <v>1304.9749999999999</v>
      </c>
      <c r="D103" s="116">
        <v>1291.45</v>
      </c>
      <c r="E103" s="116">
        <v>1300</v>
      </c>
      <c r="F103" s="116">
        <v>2609.9499999999998</v>
      </c>
      <c r="G103">
        <v>38049</v>
      </c>
      <c r="H103" s="116"/>
      <c r="I103" s="116"/>
      <c r="L103" s="170">
        <v>42152</v>
      </c>
      <c r="M103" s="116">
        <v>1304.75</v>
      </c>
      <c r="N103" s="116">
        <v>1311.5</v>
      </c>
      <c r="O103" s="116">
        <v>1291.125</v>
      </c>
      <c r="P103" s="116">
        <v>1301.95</v>
      </c>
      <c r="Q103" s="116">
        <v>2609.5</v>
      </c>
      <c r="R103">
        <v>1381804</v>
      </c>
    </row>
    <row r="104" spans="1:18" x14ac:dyDescent="0.25">
      <c r="A104" s="170">
        <v>42153</v>
      </c>
      <c r="B104" s="116">
        <v>1323.4749999999999</v>
      </c>
      <c r="C104" s="116">
        <v>1305.3</v>
      </c>
      <c r="D104" s="116">
        <v>1299.7</v>
      </c>
      <c r="E104" s="116">
        <v>1305.675</v>
      </c>
      <c r="F104" s="116">
        <v>2610.6</v>
      </c>
      <c r="G104">
        <v>97987</v>
      </c>
      <c r="H104" s="116"/>
      <c r="I104" s="116"/>
      <c r="L104" s="170">
        <v>42153</v>
      </c>
      <c r="M104" s="116">
        <v>1305.1500000000001</v>
      </c>
      <c r="N104" s="116">
        <v>1324.3</v>
      </c>
      <c r="O104" s="116">
        <v>1298.625</v>
      </c>
      <c r="P104" s="116">
        <v>1308.5</v>
      </c>
      <c r="Q104" s="116">
        <v>2610.3000000000002</v>
      </c>
      <c r="R104">
        <v>2211766</v>
      </c>
    </row>
    <row r="105" spans="1:18" x14ac:dyDescent="0.25">
      <c r="A105" s="170">
        <v>42156</v>
      </c>
      <c r="B105" s="116">
        <v>1322.425</v>
      </c>
      <c r="C105" s="116">
        <v>1308.2</v>
      </c>
      <c r="D105" s="116">
        <v>1303.8</v>
      </c>
      <c r="E105" s="116">
        <v>1305.125</v>
      </c>
      <c r="F105" s="116">
        <v>2616.4</v>
      </c>
      <c r="G105">
        <v>36948</v>
      </c>
      <c r="H105" s="116"/>
      <c r="I105" s="116"/>
      <c r="L105" s="170">
        <v>42156</v>
      </c>
      <c r="M105" s="116">
        <v>1308.875</v>
      </c>
      <c r="N105" s="116">
        <v>1323.55</v>
      </c>
      <c r="O105" s="116">
        <v>1304.175</v>
      </c>
      <c r="P105" s="116">
        <v>1304.7249999999999</v>
      </c>
      <c r="Q105" s="116">
        <v>2617.75</v>
      </c>
      <c r="R105">
        <v>441132</v>
      </c>
    </row>
    <row r="106" spans="1:18" x14ac:dyDescent="0.25">
      <c r="A106" s="170">
        <v>42157</v>
      </c>
      <c r="B106" s="116">
        <v>1315.25</v>
      </c>
      <c r="C106" s="116">
        <v>1300.2249999999999</v>
      </c>
      <c r="D106" s="116">
        <v>1295.5</v>
      </c>
      <c r="E106" s="116">
        <v>1314</v>
      </c>
      <c r="F106" s="116">
        <v>2600.4499999999998</v>
      </c>
      <c r="G106">
        <v>51784</v>
      </c>
      <c r="H106" s="116"/>
      <c r="I106" s="116"/>
      <c r="L106" s="170">
        <v>42157</v>
      </c>
      <c r="M106" s="116">
        <v>1299.95</v>
      </c>
      <c r="N106" s="116">
        <v>1315</v>
      </c>
      <c r="O106" s="116">
        <v>1295.25</v>
      </c>
      <c r="P106" s="116">
        <v>1308</v>
      </c>
      <c r="Q106" s="116">
        <v>2599.9</v>
      </c>
      <c r="R106">
        <v>1967910</v>
      </c>
    </row>
    <row r="107" spans="1:18" x14ac:dyDescent="0.25">
      <c r="A107" s="170">
        <v>42158</v>
      </c>
      <c r="B107" s="116">
        <v>1312.5</v>
      </c>
      <c r="C107" s="116">
        <v>1305.375</v>
      </c>
      <c r="D107" s="116">
        <v>1296</v>
      </c>
      <c r="E107" s="116">
        <v>1304.9749999999999</v>
      </c>
      <c r="F107" s="116">
        <v>2610.75</v>
      </c>
      <c r="G107">
        <v>50280</v>
      </c>
      <c r="H107" s="116"/>
      <c r="I107" s="116"/>
      <c r="L107" s="170">
        <v>42158</v>
      </c>
      <c r="M107" s="116">
        <v>1305.45</v>
      </c>
      <c r="N107" s="116">
        <v>1312.8</v>
      </c>
      <c r="O107" s="116">
        <v>1295.25</v>
      </c>
      <c r="P107" s="116">
        <v>1302</v>
      </c>
      <c r="Q107" s="116">
        <v>2610.9</v>
      </c>
      <c r="R107">
        <v>902342</v>
      </c>
    </row>
    <row r="108" spans="1:18" x14ac:dyDescent="0.25">
      <c r="A108" s="170">
        <v>42159</v>
      </c>
      <c r="B108" s="116">
        <v>1311</v>
      </c>
      <c r="C108" s="116">
        <v>1303.0999999999999</v>
      </c>
      <c r="D108" s="116">
        <v>1295.25</v>
      </c>
      <c r="E108" s="116">
        <v>1310</v>
      </c>
      <c r="F108" s="116">
        <v>2606.1999999999998</v>
      </c>
      <c r="G108">
        <v>34393</v>
      </c>
      <c r="H108" s="116"/>
      <c r="I108" s="116"/>
      <c r="L108" s="170">
        <v>42159</v>
      </c>
      <c r="M108" s="116">
        <v>1302.825</v>
      </c>
      <c r="N108" s="116">
        <v>1311.4</v>
      </c>
      <c r="O108" s="116">
        <v>1294.25</v>
      </c>
      <c r="P108" s="116">
        <v>1308.55</v>
      </c>
      <c r="Q108" s="116">
        <v>2605.65</v>
      </c>
      <c r="R108">
        <v>2065734</v>
      </c>
    </row>
    <row r="109" spans="1:18" x14ac:dyDescent="0.25">
      <c r="A109" s="170">
        <v>42160</v>
      </c>
      <c r="B109" s="116">
        <v>1302.5</v>
      </c>
      <c r="C109" s="116">
        <v>1286.175</v>
      </c>
      <c r="D109" s="116">
        <v>1284</v>
      </c>
      <c r="E109" s="116">
        <v>1292.2750000000001</v>
      </c>
      <c r="F109" s="116">
        <v>2572.35</v>
      </c>
      <c r="G109">
        <v>111377</v>
      </c>
      <c r="H109" s="116"/>
      <c r="I109" s="116"/>
      <c r="L109" s="170">
        <v>42160</v>
      </c>
      <c r="M109" s="116">
        <v>1287.925</v>
      </c>
      <c r="N109" s="116">
        <v>1304.5</v>
      </c>
      <c r="O109" s="116">
        <v>1285</v>
      </c>
      <c r="P109" s="116">
        <v>1296</v>
      </c>
      <c r="Q109" s="116">
        <v>2575.85</v>
      </c>
      <c r="R109">
        <v>1154267</v>
      </c>
    </row>
    <row r="110" spans="1:18" x14ac:dyDescent="0.25">
      <c r="A110" s="170">
        <v>42163</v>
      </c>
      <c r="B110" s="116">
        <v>1299</v>
      </c>
      <c r="C110" s="116">
        <v>1289.325</v>
      </c>
      <c r="D110" s="116">
        <v>1282.3</v>
      </c>
      <c r="E110" s="116">
        <v>1299</v>
      </c>
      <c r="F110" s="116">
        <v>2578.65</v>
      </c>
      <c r="G110">
        <v>34962</v>
      </c>
      <c r="H110" s="116"/>
      <c r="I110" s="116"/>
      <c r="L110" s="170">
        <v>42163</v>
      </c>
      <c r="M110" s="116">
        <v>1288.7249999999999</v>
      </c>
      <c r="N110" s="116">
        <v>1295</v>
      </c>
      <c r="O110" s="116">
        <v>1280.825</v>
      </c>
      <c r="P110" s="116">
        <v>1295</v>
      </c>
      <c r="Q110" s="116">
        <v>2577.4499999999998</v>
      </c>
      <c r="R110">
        <v>785160</v>
      </c>
    </row>
    <row r="111" spans="1:18" x14ac:dyDescent="0.25">
      <c r="A111" s="170">
        <v>42164</v>
      </c>
      <c r="B111" s="116">
        <v>1294</v>
      </c>
      <c r="C111" s="116">
        <v>1279.05</v>
      </c>
      <c r="D111" s="116">
        <v>1275</v>
      </c>
      <c r="E111" s="116">
        <v>1287.5</v>
      </c>
      <c r="F111" s="116">
        <v>2558.1</v>
      </c>
      <c r="G111">
        <v>26815</v>
      </c>
      <c r="H111" s="116"/>
      <c r="I111" s="116"/>
      <c r="L111" s="170">
        <v>42164</v>
      </c>
      <c r="M111" s="116">
        <v>1280.825</v>
      </c>
      <c r="N111" s="116">
        <v>1295</v>
      </c>
      <c r="O111" s="116">
        <v>1275.5</v>
      </c>
      <c r="P111" s="116">
        <v>1292.5</v>
      </c>
      <c r="Q111" s="116">
        <v>2561.65</v>
      </c>
      <c r="R111">
        <v>1289457</v>
      </c>
    </row>
    <row r="112" spans="1:18" x14ac:dyDescent="0.25">
      <c r="A112" s="170">
        <v>42165</v>
      </c>
      <c r="B112" s="116">
        <v>1305</v>
      </c>
      <c r="C112" s="116">
        <v>1301.0250000000001</v>
      </c>
      <c r="D112" s="116">
        <v>1282</v>
      </c>
      <c r="E112" s="116">
        <v>1282</v>
      </c>
      <c r="F112" s="116">
        <v>2602.0500000000002</v>
      </c>
      <c r="G112">
        <v>44962</v>
      </c>
      <c r="H112" s="116"/>
      <c r="I112" s="116"/>
      <c r="L112" s="170">
        <v>42165</v>
      </c>
      <c r="M112" s="116">
        <v>1300.375</v>
      </c>
      <c r="N112" s="116">
        <v>1305</v>
      </c>
      <c r="O112" s="116">
        <v>1281.9000000000001</v>
      </c>
      <c r="P112" s="116">
        <v>1283</v>
      </c>
      <c r="Q112" s="116">
        <v>2600.75</v>
      </c>
      <c r="R112">
        <v>1381675</v>
      </c>
    </row>
    <row r="113" spans="1:18" x14ac:dyDescent="0.25">
      <c r="A113" s="170">
        <v>42166</v>
      </c>
      <c r="B113" s="116">
        <v>1312.5</v>
      </c>
      <c r="C113" s="116">
        <v>1285.5</v>
      </c>
      <c r="D113" s="116">
        <v>1275.5</v>
      </c>
      <c r="E113" s="116">
        <v>1302.5</v>
      </c>
      <c r="F113" s="116">
        <v>2571</v>
      </c>
      <c r="G113">
        <v>41750</v>
      </c>
      <c r="H113" s="116"/>
      <c r="I113" s="116"/>
      <c r="L113" s="170">
        <v>42166</v>
      </c>
      <c r="M113" s="116">
        <v>1285.6500000000001</v>
      </c>
      <c r="N113" s="116">
        <v>1306.5</v>
      </c>
      <c r="O113" s="116">
        <v>1278.375</v>
      </c>
      <c r="P113" s="116">
        <v>1302.75</v>
      </c>
      <c r="Q113" s="116">
        <v>2571.3000000000002</v>
      </c>
      <c r="R113">
        <v>923668</v>
      </c>
    </row>
    <row r="114" spans="1:18" x14ac:dyDescent="0.25">
      <c r="A114" s="170">
        <v>42167</v>
      </c>
      <c r="B114" s="116">
        <v>1294.0250000000001</v>
      </c>
      <c r="C114" s="116">
        <v>1256.0250000000001</v>
      </c>
      <c r="D114" s="116">
        <v>1238.5</v>
      </c>
      <c r="E114" s="116">
        <v>1287.425</v>
      </c>
      <c r="F114" s="116">
        <v>2512.0500000000002</v>
      </c>
      <c r="G114">
        <v>105833</v>
      </c>
      <c r="H114" s="116"/>
      <c r="I114" s="116"/>
      <c r="L114" s="170">
        <v>42167</v>
      </c>
      <c r="M114" s="116">
        <v>1252.9000000000001</v>
      </c>
      <c r="N114" s="116">
        <v>1294.4749999999999</v>
      </c>
      <c r="O114" s="116">
        <v>1238.4000000000001</v>
      </c>
      <c r="P114" s="116">
        <v>1285.95</v>
      </c>
      <c r="Q114" s="116">
        <v>2505.8000000000002</v>
      </c>
      <c r="R114">
        <v>1285728</v>
      </c>
    </row>
    <row r="115" spans="1:18" x14ac:dyDescent="0.25">
      <c r="A115" s="170">
        <v>42170</v>
      </c>
      <c r="B115" s="116">
        <v>1259.95</v>
      </c>
      <c r="C115" s="116">
        <v>1255.9000000000001</v>
      </c>
      <c r="D115" s="116">
        <v>1241</v>
      </c>
      <c r="E115" s="116">
        <v>1250</v>
      </c>
      <c r="F115" s="116">
        <v>2511.8000000000002</v>
      </c>
      <c r="G115">
        <v>102314</v>
      </c>
      <c r="H115" s="116"/>
      <c r="I115" s="116"/>
      <c r="L115" s="170">
        <v>42170</v>
      </c>
      <c r="M115" s="116">
        <v>1252.4000000000001</v>
      </c>
      <c r="N115" s="116">
        <v>1260.2249999999999</v>
      </c>
      <c r="O115" s="116">
        <v>1240.5</v>
      </c>
      <c r="P115" s="116">
        <v>1252.6500000000001</v>
      </c>
      <c r="Q115" s="116">
        <v>2504.8000000000002</v>
      </c>
      <c r="R115">
        <v>1262588</v>
      </c>
    </row>
    <row r="116" spans="1:18" x14ac:dyDescent="0.25">
      <c r="A116" s="170">
        <v>42171</v>
      </c>
      <c r="B116" s="116">
        <v>1258.2</v>
      </c>
      <c r="C116" s="116">
        <v>1255.5250000000001</v>
      </c>
      <c r="D116" s="116">
        <v>1247.5</v>
      </c>
      <c r="E116" s="116">
        <v>1256.05</v>
      </c>
      <c r="F116" s="116">
        <v>2511.0500000000002</v>
      </c>
      <c r="G116">
        <v>31118</v>
      </c>
      <c r="H116" s="116"/>
      <c r="I116" s="116"/>
      <c r="L116" s="170">
        <v>42171</v>
      </c>
      <c r="M116" s="116">
        <v>1256</v>
      </c>
      <c r="N116" s="116">
        <v>1259.6500000000001</v>
      </c>
      <c r="O116" s="116">
        <v>1247.2249999999999</v>
      </c>
      <c r="P116" s="116">
        <v>1250</v>
      </c>
      <c r="Q116" s="116">
        <v>2512</v>
      </c>
      <c r="R116">
        <v>633698</v>
      </c>
    </row>
    <row r="117" spans="1:18" x14ac:dyDescent="0.25">
      <c r="A117" s="170">
        <v>42172</v>
      </c>
      <c r="B117" s="116">
        <v>1265.0250000000001</v>
      </c>
      <c r="C117" s="116">
        <v>1257.4749999999999</v>
      </c>
      <c r="D117" s="116">
        <v>1251.5999999999999</v>
      </c>
      <c r="E117" s="116">
        <v>1255.5</v>
      </c>
      <c r="F117" s="116">
        <v>2514.9499999999998</v>
      </c>
      <c r="G117">
        <v>46101</v>
      </c>
      <c r="H117" s="116"/>
      <c r="I117" s="116"/>
      <c r="L117" s="170">
        <v>42172</v>
      </c>
      <c r="M117" s="116">
        <v>1256.9000000000001</v>
      </c>
      <c r="N117" s="116">
        <v>1264.575</v>
      </c>
      <c r="O117" s="116">
        <v>1250.9000000000001</v>
      </c>
      <c r="P117" s="116">
        <v>1260.5</v>
      </c>
      <c r="Q117" s="116">
        <v>2513.8000000000002</v>
      </c>
      <c r="R117">
        <v>987860</v>
      </c>
    </row>
    <row r="118" spans="1:18" x14ac:dyDescent="0.25">
      <c r="A118" s="170">
        <v>42173</v>
      </c>
      <c r="B118" s="116">
        <v>1272.9000000000001</v>
      </c>
      <c r="C118" s="116">
        <v>1264.2750000000001</v>
      </c>
      <c r="D118" s="116">
        <v>1255.5</v>
      </c>
      <c r="E118" s="116">
        <v>1257.5</v>
      </c>
      <c r="F118" s="116">
        <v>2528.5500000000002</v>
      </c>
      <c r="G118">
        <v>41187</v>
      </c>
      <c r="H118" s="116"/>
      <c r="I118" s="116"/>
      <c r="L118" s="170">
        <v>42173</v>
      </c>
      <c r="M118" s="116">
        <v>1265.0250000000001</v>
      </c>
      <c r="N118" s="116">
        <v>1273.1500000000001</v>
      </c>
      <c r="O118" s="116">
        <v>1254</v>
      </c>
      <c r="P118" s="116">
        <v>1257.5</v>
      </c>
      <c r="Q118" s="116">
        <v>2530.0500000000002</v>
      </c>
      <c r="R118">
        <v>1082523</v>
      </c>
    </row>
    <row r="119" spans="1:18" x14ac:dyDescent="0.25">
      <c r="A119" s="170">
        <v>42174</v>
      </c>
      <c r="B119" s="116">
        <v>1280</v>
      </c>
      <c r="C119" s="116">
        <v>1275.55</v>
      </c>
      <c r="D119" s="116">
        <v>1265</v>
      </c>
      <c r="E119" s="116">
        <v>1269.95</v>
      </c>
      <c r="F119" s="116">
        <v>2551.1</v>
      </c>
      <c r="G119">
        <v>30416</v>
      </c>
      <c r="H119" s="116"/>
      <c r="I119" s="116"/>
      <c r="L119" s="170">
        <v>42174</v>
      </c>
      <c r="M119" s="116">
        <v>1274.7750000000001</v>
      </c>
      <c r="N119" s="116">
        <v>1277.5</v>
      </c>
      <c r="O119" s="116">
        <v>1263.55</v>
      </c>
      <c r="P119" s="116">
        <v>1267.5</v>
      </c>
      <c r="Q119" s="116">
        <v>2549.5500000000002</v>
      </c>
      <c r="R119">
        <v>999805</v>
      </c>
    </row>
    <row r="120" spans="1:18" x14ac:dyDescent="0.25">
      <c r="A120" s="170">
        <v>42177</v>
      </c>
      <c r="B120" s="116">
        <v>1302.5</v>
      </c>
      <c r="C120" s="116">
        <v>1297.8499999999999</v>
      </c>
      <c r="D120" s="116">
        <v>1276</v>
      </c>
      <c r="E120" s="116">
        <v>1276.2750000000001</v>
      </c>
      <c r="F120" s="116">
        <v>2595.6999999999998</v>
      </c>
      <c r="G120">
        <v>29147</v>
      </c>
      <c r="H120" s="116"/>
      <c r="I120" s="116"/>
      <c r="L120" s="170">
        <v>42177</v>
      </c>
      <c r="M120" s="116">
        <v>1295.75</v>
      </c>
      <c r="N120" s="116">
        <v>1300</v>
      </c>
      <c r="O120" s="116">
        <v>1273.5</v>
      </c>
      <c r="P120" s="116">
        <v>1273.5</v>
      </c>
      <c r="Q120" s="116">
        <v>2591.5</v>
      </c>
      <c r="R120">
        <v>551001</v>
      </c>
    </row>
    <row r="121" spans="1:18" x14ac:dyDescent="0.25">
      <c r="A121" s="170">
        <v>42178</v>
      </c>
      <c r="B121" s="116">
        <v>1300</v>
      </c>
      <c r="C121" s="116">
        <v>1288.8499999999999</v>
      </c>
      <c r="D121" s="116">
        <v>1285.5250000000001</v>
      </c>
      <c r="E121" s="116">
        <v>1300</v>
      </c>
      <c r="F121" s="116">
        <v>2577.6999999999998</v>
      </c>
      <c r="G121">
        <v>72794</v>
      </c>
      <c r="H121" s="116"/>
      <c r="I121" s="116"/>
      <c r="L121" s="170">
        <v>42178</v>
      </c>
      <c r="M121" s="116">
        <v>1287.3</v>
      </c>
      <c r="N121" s="116">
        <v>1304</v>
      </c>
      <c r="O121" s="116">
        <v>1283.5999999999999</v>
      </c>
      <c r="P121" s="116">
        <v>1300</v>
      </c>
      <c r="Q121" s="116">
        <v>2574.6</v>
      </c>
      <c r="R121">
        <v>449159</v>
      </c>
    </row>
    <row r="122" spans="1:18" x14ac:dyDescent="0.25">
      <c r="A122" s="170">
        <v>42179</v>
      </c>
      <c r="B122" s="116">
        <v>1292.9000000000001</v>
      </c>
      <c r="C122" s="116">
        <v>1284.2</v>
      </c>
      <c r="D122" s="116">
        <v>1280</v>
      </c>
      <c r="E122" s="116">
        <v>1291</v>
      </c>
      <c r="F122" s="116">
        <v>2568.4</v>
      </c>
      <c r="G122">
        <v>58090</v>
      </c>
      <c r="H122" s="116"/>
      <c r="I122" s="116"/>
      <c r="L122" s="170">
        <v>42179</v>
      </c>
      <c r="M122" s="116">
        <v>1285.1500000000001</v>
      </c>
      <c r="N122" s="116">
        <v>1293.95</v>
      </c>
      <c r="O122" s="116">
        <v>1279.425</v>
      </c>
      <c r="P122" s="116">
        <v>1290</v>
      </c>
      <c r="Q122" s="116">
        <v>2570.3000000000002</v>
      </c>
      <c r="R122">
        <v>585123</v>
      </c>
    </row>
    <row r="123" spans="1:18" x14ac:dyDescent="0.25">
      <c r="A123" s="170">
        <v>42180</v>
      </c>
      <c r="B123" s="116">
        <v>1287</v>
      </c>
      <c r="C123" s="116">
        <v>1275.875</v>
      </c>
      <c r="D123" s="116">
        <v>1273.25</v>
      </c>
      <c r="E123" s="116">
        <v>1283.5</v>
      </c>
      <c r="F123" s="116">
        <v>2551.75</v>
      </c>
      <c r="G123">
        <v>27252</v>
      </c>
      <c r="H123" s="116"/>
      <c r="I123" s="116"/>
      <c r="L123" s="170">
        <v>42180</v>
      </c>
      <c r="M123" s="116">
        <v>1275</v>
      </c>
      <c r="N123" s="116">
        <v>1286.5</v>
      </c>
      <c r="O123" s="116">
        <v>1272.075</v>
      </c>
      <c r="P123" s="116">
        <v>1281</v>
      </c>
      <c r="Q123" s="116">
        <v>2550</v>
      </c>
      <c r="R123">
        <v>965496</v>
      </c>
    </row>
    <row r="124" spans="1:18" x14ac:dyDescent="0.25">
      <c r="A124" s="170">
        <v>42181</v>
      </c>
      <c r="B124" s="116">
        <v>1299</v>
      </c>
      <c r="C124" s="116">
        <v>1297.0250000000001</v>
      </c>
      <c r="D124" s="116">
        <v>1276.5</v>
      </c>
      <c r="E124" s="116">
        <v>1276.5</v>
      </c>
      <c r="F124" s="116">
        <v>2594.0500000000002</v>
      </c>
      <c r="G124">
        <v>33599</v>
      </c>
      <c r="H124" s="116"/>
      <c r="I124" s="116"/>
      <c r="L124" s="170">
        <v>42181</v>
      </c>
      <c r="M124" s="116">
        <v>1296.4000000000001</v>
      </c>
      <c r="N124" s="116">
        <v>1298.175</v>
      </c>
      <c r="O124" s="116">
        <v>1275.0999999999999</v>
      </c>
      <c r="P124" s="116">
        <v>1275.0999999999999</v>
      </c>
      <c r="Q124" s="116">
        <v>2592.8000000000002</v>
      </c>
      <c r="R124">
        <v>645051</v>
      </c>
    </row>
    <row r="125" spans="1:18" x14ac:dyDescent="0.25">
      <c r="A125" s="170">
        <v>42184</v>
      </c>
      <c r="B125" s="116">
        <v>1301.5999999999999</v>
      </c>
      <c r="C125" s="116">
        <v>1296.7750000000001</v>
      </c>
      <c r="D125" s="116">
        <v>1273</v>
      </c>
      <c r="E125" s="116">
        <v>1290</v>
      </c>
      <c r="F125" s="116">
        <v>2593.5500000000002</v>
      </c>
      <c r="G125">
        <v>50801</v>
      </c>
      <c r="H125" s="116"/>
      <c r="I125" s="116"/>
      <c r="L125" s="170">
        <v>42184</v>
      </c>
      <c r="M125" s="116">
        <v>1296.45</v>
      </c>
      <c r="N125" s="116">
        <v>1302</v>
      </c>
      <c r="O125" s="116">
        <v>1271.7</v>
      </c>
      <c r="P125" s="116">
        <v>1286</v>
      </c>
      <c r="Q125" s="116">
        <v>2592.9</v>
      </c>
      <c r="R125">
        <v>686378</v>
      </c>
    </row>
    <row r="126" spans="1:18" x14ac:dyDescent="0.25">
      <c r="A126" s="170">
        <v>42185</v>
      </c>
      <c r="B126" s="116">
        <v>1295</v>
      </c>
      <c r="C126" s="116">
        <v>1276.0999999999999</v>
      </c>
      <c r="D126" s="116">
        <v>1273.5</v>
      </c>
      <c r="E126" s="116">
        <v>1295</v>
      </c>
      <c r="F126" s="116">
        <v>2552.1999999999998</v>
      </c>
      <c r="G126">
        <v>54430</v>
      </c>
      <c r="H126" s="116"/>
      <c r="I126" s="116"/>
      <c r="L126" s="170">
        <v>42185</v>
      </c>
      <c r="M126" s="116">
        <v>1275.4749999999999</v>
      </c>
      <c r="N126" s="116">
        <v>1294.375</v>
      </c>
      <c r="O126" s="116">
        <v>1270</v>
      </c>
      <c r="P126" s="116">
        <v>1292.5</v>
      </c>
      <c r="Q126" s="116">
        <v>2550.9499999999998</v>
      </c>
      <c r="R126">
        <v>774976</v>
      </c>
    </row>
    <row r="127" spans="1:18" x14ac:dyDescent="0.25">
      <c r="A127" s="170">
        <v>42186</v>
      </c>
      <c r="B127" s="116">
        <v>1299.5</v>
      </c>
      <c r="C127" s="116">
        <v>1295.9000000000001</v>
      </c>
      <c r="D127" s="116">
        <v>1280.075</v>
      </c>
      <c r="E127" s="116">
        <v>1282.5</v>
      </c>
      <c r="F127" s="116">
        <v>2591.8000000000002</v>
      </c>
      <c r="G127">
        <v>32915</v>
      </c>
      <c r="H127" s="116"/>
      <c r="I127" s="116"/>
      <c r="L127" s="170">
        <v>42186</v>
      </c>
      <c r="M127" s="116">
        <v>1296.55</v>
      </c>
      <c r="N127" s="116">
        <v>1304</v>
      </c>
      <c r="O127" s="116">
        <v>1278.375</v>
      </c>
      <c r="P127" s="116">
        <v>1281.95</v>
      </c>
      <c r="Q127" s="116">
        <v>2593.1</v>
      </c>
      <c r="R127">
        <v>639854</v>
      </c>
    </row>
    <row r="128" spans="1:18" x14ac:dyDescent="0.25">
      <c r="A128" s="170">
        <v>42187</v>
      </c>
      <c r="B128" s="116">
        <v>1304.4000000000001</v>
      </c>
      <c r="C128" s="116">
        <v>1290.425</v>
      </c>
      <c r="D128" s="116">
        <v>1287.5</v>
      </c>
      <c r="E128" s="116">
        <v>1304.4000000000001</v>
      </c>
      <c r="F128" s="116">
        <v>2580.85</v>
      </c>
      <c r="G128">
        <v>36228</v>
      </c>
      <c r="H128" s="116"/>
      <c r="I128" s="116"/>
      <c r="L128" s="170">
        <v>42187</v>
      </c>
      <c r="M128" s="116">
        <v>1288.875</v>
      </c>
      <c r="N128" s="116">
        <v>1301.4749999999999</v>
      </c>
      <c r="O128" s="116">
        <v>1285.5250000000001</v>
      </c>
      <c r="P128" s="116">
        <v>1300</v>
      </c>
      <c r="Q128" s="116">
        <v>2577.75</v>
      </c>
      <c r="R128">
        <v>722940</v>
      </c>
    </row>
    <row r="129" spans="1:18" x14ac:dyDescent="0.25">
      <c r="A129" s="170">
        <v>42188</v>
      </c>
      <c r="B129" s="116">
        <v>1304.325</v>
      </c>
      <c r="C129" s="116">
        <v>1302.4000000000001</v>
      </c>
      <c r="D129" s="116">
        <v>1285.5</v>
      </c>
      <c r="E129" s="116">
        <v>1288.5</v>
      </c>
      <c r="F129" s="116">
        <v>2604.8000000000002</v>
      </c>
      <c r="G129">
        <v>29495</v>
      </c>
      <c r="H129" s="116"/>
      <c r="I129" s="116"/>
      <c r="L129" s="170">
        <v>42188</v>
      </c>
      <c r="M129" s="116">
        <v>1301.95</v>
      </c>
      <c r="N129" s="116">
        <v>1305</v>
      </c>
      <c r="O129" s="116">
        <v>1285</v>
      </c>
      <c r="P129" s="116">
        <v>1286.5250000000001</v>
      </c>
      <c r="Q129" s="116">
        <v>2603.9</v>
      </c>
      <c r="R129">
        <v>481735</v>
      </c>
    </row>
    <row r="130" spans="1:18" x14ac:dyDescent="0.25">
      <c r="A130" s="170">
        <v>42191</v>
      </c>
      <c r="B130" s="116">
        <v>1321.7</v>
      </c>
      <c r="C130" s="116">
        <v>1316.4</v>
      </c>
      <c r="D130" s="116">
        <v>1290.95</v>
      </c>
      <c r="E130" s="116">
        <v>1295</v>
      </c>
      <c r="F130" s="116">
        <v>2632.8</v>
      </c>
      <c r="G130">
        <v>46425</v>
      </c>
      <c r="H130" s="116"/>
      <c r="I130" s="116"/>
      <c r="L130" s="170">
        <v>42191</v>
      </c>
      <c r="M130" s="116">
        <v>1316.65</v>
      </c>
      <c r="N130" s="116">
        <v>1322.5</v>
      </c>
      <c r="O130" s="116">
        <v>1290.1500000000001</v>
      </c>
      <c r="P130" s="116">
        <v>1290.1500000000001</v>
      </c>
      <c r="Q130" s="116">
        <v>2633.3</v>
      </c>
      <c r="R130">
        <v>591169</v>
      </c>
    </row>
    <row r="131" spans="1:18" x14ac:dyDescent="0.25">
      <c r="A131" s="170">
        <v>42192</v>
      </c>
      <c r="B131" s="116">
        <v>1323.325</v>
      </c>
      <c r="C131" s="116">
        <v>1309.5250000000001</v>
      </c>
      <c r="D131" s="116">
        <v>1302.45</v>
      </c>
      <c r="E131" s="116">
        <v>1317.5</v>
      </c>
      <c r="F131" s="116">
        <v>2619.0500000000002</v>
      </c>
      <c r="G131">
        <v>39148</v>
      </c>
      <c r="H131" s="116"/>
      <c r="I131" s="116"/>
      <c r="L131" s="170">
        <v>42192</v>
      </c>
      <c r="M131" s="116">
        <v>1308.125</v>
      </c>
      <c r="N131" s="116">
        <v>1323.45</v>
      </c>
      <c r="O131" s="116">
        <v>1301.5</v>
      </c>
      <c r="P131" s="116">
        <v>1316.375</v>
      </c>
      <c r="Q131" s="116">
        <v>2616.25</v>
      </c>
      <c r="R131">
        <v>821418</v>
      </c>
    </row>
    <row r="132" spans="1:18" x14ac:dyDescent="0.25">
      <c r="A132" s="170">
        <v>42193</v>
      </c>
      <c r="B132" s="116">
        <v>1311.2249999999999</v>
      </c>
      <c r="C132" s="116">
        <v>1297.0250000000001</v>
      </c>
      <c r="D132" s="116">
        <v>1292.05</v>
      </c>
      <c r="E132" s="116">
        <v>1300.5</v>
      </c>
      <c r="F132" s="116">
        <v>2594.0500000000002</v>
      </c>
      <c r="G132">
        <v>151706</v>
      </c>
      <c r="H132" s="116"/>
      <c r="I132" s="116"/>
      <c r="L132" s="170">
        <v>42193</v>
      </c>
      <c r="M132" s="116">
        <v>1297.55</v>
      </c>
      <c r="N132" s="116">
        <v>1310.85</v>
      </c>
      <c r="O132" s="116">
        <v>1290.25</v>
      </c>
      <c r="P132" s="116">
        <v>1298.9749999999999</v>
      </c>
      <c r="Q132" s="116">
        <v>2595.1</v>
      </c>
      <c r="R132">
        <v>1333925</v>
      </c>
    </row>
    <row r="133" spans="1:18" x14ac:dyDescent="0.25">
      <c r="A133" s="170">
        <v>42194</v>
      </c>
      <c r="B133" s="116">
        <v>1300</v>
      </c>
      <c r="C133" s="116">
        <v>1260.7</v>
      </c>
      <c r="D133" s="116">
        <v>1252.875</v>
      </c>
      <c r="E133" s="116">
        <v>1300</v>
      </c>
      <c r="F133" s="116">
        <v>2521.4</v>
      </c>
      <c r="G133">
        <v>129994</v>
      </c>
      <c r="H133" s="116"/>
      <c r="I133" s="116"/>
      <c r="L133" s="170">
        <v>42194</v>
      </c>
      <c r="M133" s="116">
        <v>1261.25</v>
      </c>
      <c r="N133" s="116">
        <v>1299.125</v>
      </c>
      <c r="O133" s="116">
        <v>1253.325</v>
      </c>
      <c r="P133" s="116">
        <v>1297.5</v>
      </c>
      <c r="Q133" s="116">
        <v>2522.5</v>
      </c>
      <c r="R133">
        <v>1967061</v>
      </c>
    </row>
    <row r="134" spans="1:18" x14ac:dyDescent="0.25">
      <c r="A134" s="170">
        <v>42195</v>
      </c>
      <c r="B134" s="116">
        <v>1281</v>
      </c>
      <c r="C134" s="116">
        <v>1235.95</v>
      </c>
      <c r="D134" s="116">
        <v>1227.5</v>
      </c>
      <c r="E134" s="116">
        <v>1281</v>
      </c>
      <c r="F134" s="116">
        <v>2471.9</v>
      </c>
      <c r="G134">
        <v>303348</v>
      </c>
      <c r="H134" s="116"/>
      <c r="I134" s="116"/>
      <c r="L134" s="170">
        <v>42195</v>
      </c>
      <c r="M134" s="116">
        <v>1237.175</v>
      </c>
      <c r="N134" s="116">
        <v>1279.5</v>
      </c>
      <c r="O134" s="116">
        <v>1227.5</v>
      </c>
      <c r="P134" s="116">
        <v>1279.5</v>
      </c>
      <c r="Q134" s="116">
        <v>2474.35</v>
      </c>
      <c r="R134">
        <v>4131827</v>
      </c>
    </row>
    <row r="135" spans="1:18" x14ac:dyDescent="0.25">
      <c r="A135" s="170">
        <v>42198</v>
      </c>
      <c r="B135" s="116">
        <v>1259.1500000000001</v>
      </c>
      <c r="C135" s="116">
        <v>1254.3</v>
      </c>
      <c r="D135" s="116">
        <v>1240</v>
      </c>
      <c r="E135" s="116">
        <v>1242</v>
      </c>
      <c r="F135" s="116">
        <v>2508.6</v>
      </c>
      <c r="G135">
        <v>64024</v>
      </c>
      <c r="H135" s="116"/>
      <c r="I135" s="116"/>
      <c r="L135" s="170">
        <v>42198</v>
      </c>
      <c r="M135" s="116">
        <v>1254.7750000000001</v>
      </c>
      <c r="N135" s="116">
        <v>1259.3</v>
      </c>
      <c r="O135" s="116">
        <v>1237.7</v>
      </c>
      <c r="P135" s="116">
        <v>1237.7</v>
      </c>
      <c r="Q135" s="116">
        <v>2509.5500000000002</v>
      </c>
      <c r="R135">
        <v>1140154</v>
      </c>
    </row>
    <row r="136" spans="1:18" x14ac:dyDescent="0.25">
      <c r="A136" s="170">
        <v>42199</v>
      </c>
      <c r="B136" s="116">
        <v>1255.9000000000001</v>
      </c>
      <c r="C136" s="116">
        <v>1249.75</v>
      </c>
      <c r="D136" s="116">
        <v>1245.5</v>
      </c>
      <c r="E136" s="116">
        <v>1254.5</v>
      </c>
      <c r="F136" s="116">
        <v>2499.5</v>
      </c>
      <c r="G136">
        <v>47685</v>
      </c>
      <c r="H136" s="116"/>
      <c r="I136" s="116"/>
      <c r="L136" s="170">
        <v>42199</v>
      </c>
      <c r="M136" s="116">
        <v>1249.75</v>
      </c>
      <c r="N136" s="116">
        <v>1257.5</v>
      </c>
      <c r="O136" s="116">
        <v>1245</v>
      </c>
      <c r="P136" s="116">
        <v>1255.5</v>
      </c>
      <c r="Q136" s="116">
        <v>2499.5</v>
      </c>
      <c r="R136">
        <v>851637</v>
      </c>
    </row>
    <row r="137" spans="1:18" x14ac:dyDescent="0.25">
      <c r="A137" s="170">
        <v>42200</v>
      </c>
      <c r="B137" s="116">
        <v>1275</v>
      </c>
      <c r="C137" s="116">
        <v>1273.125</v>
      </c>
      <c r="D137" s="116">
        <v>1251.5</v>
      </c>
      <c r="E137" s="116">
        <v>1251.5</v>
      </c>
      <c r="F137" s="116">
        <v>2546.25</v>
      </c>
      <c r="G137">
        <v>46028</v>
      </c>
      <c r="H137" s="116"/>
      <c r="I137" s="116"/>
      <c r="L137" s="170">
        <v>42200</v>
      </c>
      <c r="M137" s="116">
        <v>1272.875</v>
      </c>
      <c r="N137" s="116">
        <v>1274.9749999999999</v>
      </c>
      <c r="O137" s="116">
        <v>1250</v>
      </c>
      <c r="P137" s="116">
        <v>1250.5</v>
      </c>
      <c r="Q137" s="116">
        <v>2545.75</v>
      </c>
      <c r="R137">
        <v>1001830</v>
      </c>
    </row>
    <row r="138" spans="1:18" x14ac:dyDescent="0.25">
      <c r="A138" s="170">
        <v>42201</v>
      </c>
      <c r="B138" s="116">
        <v>1279.2249999999999</v>
      </c>
      <c r="C138" s="116">
        <v>1269.075</v>
      </c>
      <c r="D138" s="116">
        <v>1263</v>
      </c>
      <c r="E138" s="116">
        <v>1270.5</v>
      </c>
      <c r="F138" s="116">
        <v>2538.15</v>
      </c>
      <c r="G138">
        <v>40493</v>
      </c>
      <c r="H138" s="116"/>
      <c r="I138" s="116"/>
      <c r="L138" s="170">
        <v>42201</v>
      </c>
      <c r="M138" s="116">
        <v>1270.0999999999999</v>
      </c>
      <c r="N138" s="116">
        <v>1279.425</v>
      </c>
      <c r="O138" s="116">
        <v>1263.3</v>
      </c>
      <c r="P138" s="116">
        <v>1271.8499999999999</v>
      </c>
      <c r="Q138" s="116">
        <v>2540.1999999999998</v>
      </c>
      <c r="R138">
        <v>728304</v>
      </c>
    </row>
    <row r="139" spans="1:18" x14ac:dyDescent="0.25">
      <c r="A139" s="170">
        <v>42202</v>
      </c>
      <c r="B139" s="116">
        <v>1283.5</v>
      </c>
      <c r="C139" s="116">
        <v>1279.675</v>
      </c>
      <c r="D139" s="116">
        <v>1270.5</v>
      </c>
      <c r="E139" s="116">
        <v>1270.5</v>
      </c>
      <c r="F139" s="116">
        <v>2559.35</v>
      </c>
      <c r="G139">
        <v>36544</v>
      </c>
      <c r="H139" s="116"/>
      <c r="I139" s="116"/>
      <c r="L139" s="170">
        <v>42202</v>
      </c>
      <c r="M139" s="116">
        <v>1282.2</v>
      </c>
      <c r="N139" s="116">
        <v>1285.05</v>
      </c>
      <c r="O139" s="116">
        <v>1271.6500000000001</v>
      </c>
      <c r="P139" s="116">
        <v>1273.4000000000001</v>
      </c>
      <c r="Q139" s="116">
        <v>2564.4</v>
      </c>
      <c r="R139">
        <v>535263</v>
      </c>
    </row>
    <row r="140" spans="1:18" x14ac:dyDescent="0.25">
      <c r="A140" s="170">
        <v>42205</v>
      </c>
      <c r="B140" s="116">
        <v>1294.5</v>
      </c>
      <c r="C140" s="116">
        <v>1289.7750000000001</v>
      </c>
      <c r="D140" s="116">
        <v>1277.175</v>
      </c>
      <c r="E140" s="116">
        <v>1279.5</v>
      </c>
      <c r="F140" s="116">
        <v>2579.5500000000002</v>
      </c>
      <c r="G140">
        <v>32930</v>
      </c>
      <c r="H140" s="116"/>
      <c r="I140" s="116"/>
      <c r="L140" s="170">
        <v>42205</v>
      </c>
      <c r="M140" s="116">
        <v>1289.575</v>
      </c>
      <c r="N140" s="116">
        <v>1291.95</v>
      </c>
      <c r="O140" s="116">
        <v>1275.95</v>
      </c>
      <c r="P140" s="116">
        <v>1282</v>
      </c>
      <c r="Q140" s="116">
        <v>2579.15</v>
      </c>
      <c r="R140">
        <v>426893</v>
      </c>
    </row>
    <row r="141" spans="1:18" x14ac:dyDescent="0.25">
      <c r="A141" s="170">
        <v>42206</v>
      </c>
      <c r="B141" s="116">
        <v>1299.5250000000001</v>
      </c>
      <c r="C141" s="116">
        <v>1281.425</v>
      </c>
      <c r="D141" s="116">
        <v>1278</v>
      </c>
      <c r="E141" s="116">
        <v>1289.75</v>
      </c>
      <c r="F141" s="116">
        <v>2562.85</v>
      </c>
      <c r="G141">
        <v>39620</v>
      </c>
      <c r="H141" s="116"/>
      <c r="I141" s="116"/>
      <c r="L141" s="170">
        <v>42206</v>
      </c>
      <c r="M141" s="116">
        <v>1280.7</v>
      </c>
      <c r="N141" s="116">
        <v>1300.175</v>
      </c>
      <c r="O141" s="116">
        <v>1277.55</v>
      </c>
      <c r="P141" s="116">
        <v>1288</v>
      </c>
      <c r="Q141" s="116">
        <v>2561.4</v>
      </c>
      <c r="R141">
        <v>637250</v>
      </c>
    </row>
    <row r="142" spans="1:18" x14ac:dyDescent="0.25">
      <c r="A142" s="170">
        <v>42207</v>
      </c>
      <c r="B142" s="116">
        <v>1283.95</v>
      </c>
      <c r="C142" s="116">
        <v>1264.05</v>
      </c>
      <c r="D142" s="116">
        <v>1260.7</v>
      </c>
      <c r="E142" s="116">
        <v>1280</v>
      </c>
      <c r="F142" s="116">
        <v>2528.1</v>
      </c>
      <c r="G142">
        <v>67868</v>
      </c>
      <c r="H142" s="116"/>
      <c r="I142" s="116"/>
      <c r="L142" s="170">
        <v>42207</v>
      </c>
      <c r="M142" s="116">
        <v>1264.0250000000001</v>
      </c>
      <c r="N142" s="116">
        <v>1284.5</v>
      </c>
      <c r="O142" s="116">
        <v>1260.5250000000001</v>
      </c>
      <c r="P142" s="116">
        <v>1280.5</v>
      </c>
      <c r="Q142" s="116">
        <v>2528.0500000000002</v>
      </c>
      <c r="R142">
        <v>660314</v>
      </c>
    </row>
    <row r="143" spans="1:18" x14ac:dyDescent="0.25">
      <c r="A143" s="170">
        <v>42208</v>
      </c>
      <c r="B143" s="116">
        <v>1269.2249999999999</v>
      </c>
      <c r="C143" s="116">
        <v>1243.9749999999999</v>
      </c>
      <c r="D143" s="116">
        <v>1241.5</v>
      </c>
      <c r="E143" s="116">
        <v>1267.5</v>
      </c>
      <c r="F143" s="116">
        <v>2487.9499999999998</v>
      </c>
      <c r="G143">
        <v>63345</v>
      </c>
      <c r="H143" s="116"/>
      <c r="I143" s="116"/>
      <c r="L143" s="170">
        <v>42208</v>
      </c>
      <c r="M143" s="116">
        <v>1244.3</v>
      </c>
      <c r="N143" s="116">
        <v>1268.925</v>
      </c>
      <c r="O143" s="116">
        <v>1241.5</v>
      </c>
      <c r="P143" s="116">
        <v>1258.75</v>
      </c>
      <c r="Q143" s="116">
        <v>2488.6</v>
      </c>
      <c r="R143">
        <v>748390</v>
      </c>
    </row>
    <row r="144" spans="1:18" x14ac:dyDescent="0.25">
      <c r="A144" s="170">
        <v>42209</v>
      </c>
      <c r="B144" s="116">
        <v>1258.5</v>
      </c>
      <c r="C144" s="116">
        <v>1251.875</v>
      </c>
      <c r="D144" s="116">
        <v>1246.925</v>
      </c>
      <c r="E144" s="116">
        <v>1257</v>
      </c>
      <c r="F144" s="116">
        <v>2503.75</v>
      </c>
      <c r="G144">
        <v>26670</v>
      </c>
      <c r="H144" s="116"/>
      <c r="I144" s="116"/>
      <c r="L144" s="170">
        <v>42209</v>
      </c>
      <c r="M144" s="116">
        <v>1252.575</v>
      </c>
      <c r="N144" s="116">
        <v>1258.25</v>
      </c>
      <c r="O144" s="116">
        <v>1246.05</v>
      </c>
      <c r="P144" s="116">
        <v>1248.75</v>
      </c>
      <c r="Q144" s="116">
        <v>2505.15</v>
      </c>
      <c r="R144">
        <v>787486</v>
      </c>
    </row>
    <row r="145" spans="1:18" x14ac:dyDescent="0.25">
      <c r="A145" s="170">
        <v>42212</v>
      </c>
      <c r="B145" s="116">
        <v>1252.5</v>
      </c>
      <c r="C145" s="116">
        <v>1248.45</v>
      </c>
      <c r="D145" s="116">
        <v>1241.0250000000001</v>
      </c>
      <c r="E145" s="116">
        <v>1250</v>
      </c>
      <c r="F145" s="116">
        <v>2496.9</v>
      </c>
      <c r="G145">
        <v>65345</v>
      </c>
      <c r="H145" s="116"/>
      <c r="I145" s="116"/>
      <c r="L145" s="170">
        <v>42212</v>
      </c>
      <c r="M145" s="116">
        <v>1248.5250000000001</v>
      </c>
      <c r="N145" s="116">
        <v>1252.5</v>
      </c>
      <c r="O145" s="116">
        <v>1240.575</v>
      </c>
      <c r="P145" s="116">
        <v>1244</v>
      </c>
      <c r="Q145" s="116">
        <v>2497.0500000000002</v>
      </c>
      <c r="R145">
        <v>1001869</v>
      </c>
    </row>
    <row r="146" spans="1:18" x14ac:dyDescent="0.25">
      <c r="A146" s="170">
        <v>42213</v>
      </c>
      <c r="B146" s="116">
        <v>1259.4749999999999</v>
      </c>
      <c r="C146" s="116">
        <v>1250.75</v>
      </c>
      <c r="D146" s="116">
        <v>1246.0250000000001</v>
      </c>
      <c r="E146" s="116">
        <v>1250</v>
      </c>
      <c r="F146" s="116">
        <v>2501.5</v>
      </c>
      <c r="G146">
        <v>32315</v>
      </c>
      <c r="H146" s="116"/>
      <c r="I146" s="116"/>
      <c r="L146" s="170">
        <v>42213</v>
      </c>
      <c r="M146" s="116">
        <v>1251.0250000000001</v>
      </c>
      <c r="N146" s="116">
        <v>1259.5</v>
      </c>
      <c r="O146" s="116">
        <v>1246.075</v>
      </c>
      <c r="P146" s="116">
        <v>1249.75</v>
      </c>
      <c r="Q146" s="116">
        <v>2502.0500000000002</v>
      </c>
      <c r="R146">
        <v>945594</v>
      </c>
    </row>
    <row r="147" spans="1:18" x14ac:dyDescent="0.25">
      <c r="A147" s="170">
        <v>42214</v>
      </c>
      <c r="B147" s="116">
        <v>1257.7249999999999</v>
      </c>
      <c r="C147" s="116">
        <v>1254.05</v>
      </c>
      <c r="D147" s="116">
        <v>1242.45</v>
      </c>
      <c r="E147" s="116">
        <v>1256</v>
      </c>
      <c r="F147" s="116">
        <v>2508.1</v>
      </c>
      <c r="G147">
        <v>39273</v>
      </c>
      <c r="H147" s="116"/>
      <c r="I147" s="116"/>
      <c r="L147" s="170">
        <v>42214</v>
      </c>
      <c r="M147" s="116">
        <v>1253.375</v>
      </c>
      <c r="N147" s="116">
        <v>1257.5250000000001</v>
      </c>
      <c r="O147" s="116">
        <v>1241.75</v>
      </c>
      <c r="P147" s="116">
        <v>1255.5</v>
      </c>
      <c r="Q147" s="116">
        <v>2506.75</v>
      </c>
      <c r="R147">
        <v>1206659</v>
      </c>
    </row>
    <row r="148" spans="1:18" x14ac:dyDescent="0.25">
      <c r="A148" s="170">
        <v>42215</v>
      </c>
      <c r="B148" s="116">
        <v>1257.5</v>
      </c>
      <c r="C148" s="116">
        <v>1240.4749999999999</v>
      </c>
      <c r="D148" s="116">
        <v>1238.5</v>
      </c>
      <c r="E148" s="116">
        <v>1255</v>
      </c>
      <c r="F148" s="116">
        <v>2480.9499999999998</v>
      </c>
      <c r="G148">
        <v>50191</v>
      </c>
      <c r="H148" s="116"/>
      <c r="I148" s="116"/>
      <c r="L148" s="170">
        <v>42215</v>
      </c>
      <c r="M148" s="116">
        <v>1240.325</v>
      </c>
      <c r="N148" s="116">
        <v>1258.4000000000001</v>
      </c>
      <c r="O148" s="116">
        <v>1236.4000000000001</v>
      </c>
      <c r="P148" s="116">
        <v>1258.0250000000001</v>
      </c>
      <c r="Q148" s="116">
        <v>2480.65</v>
      </c>
      <c r="R148">
        <v>1385287</v>
      </c>
    </row>
    <row r="149" spans="1:18" x14ac:dyDescent="0.25">
      <c r="A149" s="170">
        <v>42216</v>
      </c>
      <c r="B149" s="116">
        <v>1259.25</v>
      </c>
      <c r="C149" s="116">
        <v>1255</v>
      </c>
      <c r="D149" s="116">
        <v>1244.2750000000001</v>
      </c>
      <c r="E149" s="116">
        <v>1245</v>
      </c>
      <c r="F149" s="116">
        <v>2510</v>
      </c>
      <c r="G149">
        <v>41563</v>
      </c>
      <c r="H149" s="116"/>
      <c r="I149" s="116"/>
      <c r="L149" s="170">
        <v>42216</v>
      </c>
      <c r="M149" s="116">
        <v>1255.375</v>
      </c>
      <c r="N149" s="116">
        <v>1259.5</v>
      </c>
      <c r="O149" s="116">
        <v>1243.5</v>
      </c>
      <c r="P149" s="116">
        <v>1244.95</v>
      </c>
      <c r="Q149" s="116">
        <v>2510.75</v>
      </c>
      <c r="R149">
        <v>981888</v>
      </c>
    </row>
    <row r="150" spans="1:18" x14ac:dyDescent="0.25">
      <c r="A150" s="170">
        <v>42219</v>
      </c>
      <c r="B150" s="116">
        <v>1262</v>
      </c>
      <c r="C150" s="116">
        <v>1253.9749999999999</v>
      </c>
      <c r="D150" s="116">
        <v>1250</v>
      </c>
      <c r="E150" s="116">
        <v>1254.95</v>
      </c>
      <c r="F150" s="116">
        <v>2507.9499999999998</v>
      </c>
      <c r="G150">
        <v>24339</v>
      </c>
      <c r="H150" s="116"/>
      <c r="I150" s="116"/>
      <c r="L150" s="170">
        <v>42219</v>
      </c>
      <c r="M150" s="116">
        <v>1254.8</v>
      </c>
      <c r="N150" s="116">
        <v>1262.5</v>
      </c>
      <c r="O150" s="116">
        <v>1250.45</v>
      </c>
      <c r="P150" s="116">
        <v>1251.7</v>
      </c>
      <c r="Q150" s="116">
        <v>2509.6</v>
      </c>
      <c r="R150">
        <v>589662</v>
      </c>
    </row>
    <row r="151" spans="1:18" x14ac:dyDescent="0.25">
      <c r="A151" s="170">
        <v>42220</v>
      </c>
      <c r="B151" s="116">
        <v>1260.4000000000001</v>
      </c>
      <c r="C151" s="116">
        <v>1254.6500000000001</v>
      </c>
      <c r="D151" s="116">
        <v>1242.9000000000001</v>
      </c>
      <c r="E151" s="116">
        <v>1255</v>
      </c>
      <c r="F151" s="116">
        <v>2509.3000000000002</v>
      </c>
      <c r="G151">
        <v>30215</v>
      </c>
      <c r="H151" s="116"/>
      <c r="I151" s="116"/>
      <c r="L151" s="170">
        <v>42220</v>
      </c>
      <c r="M151" s="116">
        <v>1254.45</v>
      </c>
      <c r="N151" s="116">
        <v>1261.5</v>
      </c>
      <c r="O151" s="116">
        <v>1243</v>
      </c>
      <c r="P151" s="116">
        <v>1255.2</v>
      </c>
      <c r="Q151" s="116">
        <v>2508.9</v>
      </c>
      <c r="R151">
        <v>1171346</v>
      </c>
    </row>
    <row r="152" spans="1:18" x14ac:dyDescent="0.25">
      <c r="A152" s="170">
        <v>42221</v>
      </c>
      <c r="B152" s="116">
        <v>1273.925</v>
      </c>
      <c r="C152" s="116">
        <v>1270.825</v>
      </c>
      <c r="D152" s="116">
        <v>1255</v>
      </c>
      <c r="E152" s="116">
        <v>1255</v>
      </c>
      <c r="F152" s="116">
        <v>2541.65</v>
      </c>
      <c r="G152">
        <v>33395</v>
      </c>
      <c r="H152" s="116"/>
      <c r="I152" s="116"/>
      <c r="L152" s="170">
        <v>42221</v>
      </c>
      <c r="M152" s="116">
        <v>1273.575</v>
      </c>
      <c r="N152" s="116">
        <v>1275</v>
      </c>
      <c r="O152" s="116">
        <v>1255.5</v>
      </c>
      <c r="P152" s="116">
        <v>1260</v>
      </c>
      <c r="Q152" s="116">
        <v>2547.15</v>
      </c>
      <c r="R152">
        <v>494497</v>
      </c>
    </row>
    <row r="153" spans="1:18" x14ac:dyDescent="0.25">
      <c r="A153" s="170">
        <v>42222</v>
      </c>
      <c r="B153" s="116">
        <v>1291</v>
      </c>
      <c r="C153" s="116">
        <v>1287.1500000000001</v>
      </c>
      <c r="D153" s="116">
        <v>1275</v>
      </c>
      <c r="E153" s="116">
        <v>1275</v>
      </c>
      <c r="F153" s="116">
        <v>2574.3000000000002</v>
      </c>
      <c r="G153">
        <v>39696</v>
      </c>
      <c r="H153" s="116"/>
      <c r="I153" s="116"/>
      <c r="L153" s="170">
        <v>42222</v>
      </c>
      <c r="M153" s="116">
        <v>1286.6500000000001</v>
      </c>
      <c r="N153" s="116">
        <v>1291.5</v>
      </c>
      <c r="O153" s="116">
        <v>1275.05</v>
      </c>
      <c r="P153" s="116">
        <v>1282.5</v>
      </c>
      <c r="Q153" s="116">
        <v>2573.3000000000002</v>
      </c>
      <c r="R153">
        <v>1105683</v>
      </c>
    </row>
    <row r="154" spans="1:18" x14ac:dyDescent="0.25">
      <c r="A154" s="170">
        <v>42223</v>
      </c>
      <c r="B154" s="116">
        <v>1287.1500000000001</v>
      </c>
      <c r="C154" s="116">
        <v>1275.8499999999999</v>
      </c>
      <c r="D154" s="116">
        <v>1274.125</v>
      </c>
      <c r="E154" s="116">
        <v>1287.1500000000001</v>
      </c>
      <c r="F154" s="116">
        <v>2551.6999999999998</v>
      </c>
      <c r="G154">
        <v>21727</v>
      </c>
      <c r="H154" s="116"/>
      <c r="I154" s="116"/>
      <c r="L154" s="170">
        <v>42223</v>
      </c>
      <c r="M154" s="116">
        <v>1276.0250000000001</v>
      </c>
      <c r="N154" s="116">
        <v>1286.5</v>
      </c>
      <c r="O154" s="116">
        <v>1273.5</v>
      </c>
      <c r="P154" s="116">
        <v>1286.5</v>
      </c>
      <c r="Q154" s="116">
        <v>2552.0500000000002</v>
      </c>
      <c r="R154">
        <v>594253</v>
      </c>
    </row>
    <row r="155" spans="1:18" x14ac:dyDescent="0.25">
      <c r="A155" s="170">
        <v>42226</v>
      </c>
      <c r="B155" s="116">
        <v>1294</v>
      </c>
      <c r="C155" s="116">
        <v>1285.4000000000001</v>
      </c>
      <c r="D155" s="116">
        <v>1279.1500000000001</v>
      </c>
      <c r="E155" s="116">
        <v>1281.5</v>
      </c>
      <c r="F155" s="116">
        <v>2570.8000000000002</v>
      </c>
      <c r="G155">
        <v>31648</v>
      </c>
      <c r="H155" s="116"/>
      <c r="I155" s="116"/>
      <c r="L155" s="170">
        <v>42226</v>
      </c>
      <c r="M155" s="116">
        <v>1286.05</v>
      </c>
      <c r="N155" s="116">
        <v>1294.5</v>
      </c>
      <c r="O155" s="116">
        <v>1278.3</v>
      </c>
      <c r="P155" s="116">
        <v>1286</v>
      </c>
      <c r="Q155" s="116">
        <v>2572.1</v>
      </c>
      <c r="R155">
        <v>715591</v>
      </c>
    </row>
    <row r="156" spans="1:18" x14ac:dyDescent="0.25">
      <c r="A156" s="170">
        <v>42227</v>
      </c>
      <c r="B156" s="116">
        <v>1304.9749999999999</v>
      </c>
      <c r="C156" s="116">
        <v>1301.5250000000001</v>
      </c>
      <c r="D156" s="116">
        <v>1272.0250000000001</v>
      </c>
      <c r="E156" s="116">
        <v>1285</v>
      </c>
      <c r="F156" s="116">
        <v>2603.0500000000002</v>
      </c>
      <c r="G156">
        <v>58412</v>
      </c>
      <c r="H156" s="116"/>
      <c r="I156" s="116"/>
      <c r="L156" s="170">
        <v>42227</v>
      </c>
      <c r="M156" s="116">
        <v>1302.0999999999999</v>
      </c>
      <c r="N156" s="116">
        <v>1305</v>
      </c>
      <c r="O156" s="116">
        <v>1271.05</v>
      </c>
      <c r="P156" s="116">
        <v>1289</v>
      </c>
      <c r="Q156" s="116">
        <v>2604.1999999999998</v>
      </c>
      <c r="R156">
        <v>1100153</v>
      </c>
    </row>
    <row r="157" spans="1:18" x14ac:dyDescent="0.25">
      <c r="A157" s="170">
        <v>42228</v>
      </c>
      <c r="B157" s="116">
        <v>1344.8</v>
      </c>
      <c r="C157" s="116">
        <v>1335.7</v>
      </c>
      <c r="D157" s="116">
        <v>1301.5</v>
      </c>
      <c r="E157" s="116">
        <v>1301.5</v>
      </c>
      <c r="F157" s="116">
        <v>2671.4</v>
      </c>
      <c r="G157">
        <v>200514</v>
      </c>
      <c r="H157" s="116"/>
      <c r="I157" s="116"/>
      <c r="L157" s="170">
        <v>42228</v>
      </c>
      <c r="M157" s="116">
        <v>1335.85</v>
      </c>
      <c r="N157" s="116">
        <v>1345.7</v>
      </c>
      <c r="O157" s="116">
        <v>1301</v>
      </c>
      <c r="P157" s="116">
        <v>1301.55</v>
      </c>
      <c r="Q157" s="116">
        <v>2671.7</v>
      </c>
      <c r="R157">
        <v>1739892</v>
      </c>
    </row>
    <row r="158" spans="1:18" x14ac:dyDescent="0.25">
      <c r="A158" s="170">
        <v>42229</v>
      </c>
      <c r="B158" s="116">
        <v>1341.25</v>
      </c>
      <c r="C158" s="116">
        <v>1318.7</v>
      </c>
      <c r="D158" s="116">
        <v>1313.5250000000001</v>
      </c>
      <c r="E158" s="116">
        <v>1335.75</v>
      </c>
      <c r="F158" s="116">
        <v>2637.4</v>
      </c>
      <c r="G158">
        <v>44898</v>
      </c>
      <c r="H158" s="116"/>
      <c r="I158" s="116"/>
      <c r="L158" s="170">
        <v>42229</v>
      </c>
      <c r="M158" s="116">
        <v>1317.8</v>
      </c>
      <c r="N158" s="116">
        <v>1342</v>
      </c>
      <c r="O158" s="116">
        <v>1278</v>
      </c>
      <c r="P158" s="116">
        <v>1335</v>
      </c>
      <c r="Q158" s="116">
        <v>2635.6</v>
      </c>
      <c r="R158">
        <v>703213</v>
      </c>
    </row>
    <row r="159" spans="1:18" x14ac:dyDescent="0.25">
      <c r="A159" s="170">
        <v>42230</v>
      </c>
      <c r="B159" s="116">
        <v>1356.5</v>
      </c>
      <c r="C159" s="116">
        <v>1346.825</v>
      </c>
      <c r="D159" s="116">
        <v>1317.55</v>
      </c>
      <c r="E159" s="116">
        <v>1317.55</v>
      </c>
      <c r="F159" s="116">
        <v>2693.65</v>
      </c>
      <c r="G159">
        <v>67947</v>
      </c>
      <c r="H159" s="116"/>
      <c r="I159" s="116"/>
      <c r="L159" s="170">
        <v>42230</v>
      </c>
      <c r="M159" s="116">
        <v>1351.6</v>
      </c>
      <c r="N159" s="116">
        <v>1359.675</v>
      </c>
      <c r="O159" s="116">
        <v>1318.55</v>
      </c>
      <c r="P159" s="116">
        <v>1319</v>
      </c>
      <c r="Q159" s="116">
        <v>2703.2</v>
      </c>
      <c r="R159">
        <v>1146982</v>
      </c>
    </row>
    <row r="160" spans="1:18" x14ac:dyDescent="0.25">
      <c r="A160" s="170">
        <v>42233</v>
      </c>
      <c r="B160" s="116">
        <v>1347</v>
      </c>
      <c r="C160" s="116">
        <v>1342.375</v>
      </c>
      <c r="D160" s="116">
        <v>1327.7249999999999</v>
      </c>
      <c r="E160" s="116">
        <v>1347</v>
      </c>
      <c r="F160" s="116">
        <v>2684.75</v>
      </c>
      <c r="G160">
        <v>41756</v>
      </c>
      <c r="H160" s="116"/>
      <c r="I160" s="116"/>
      <c r="L160" s="170">
        <v>42233</v>
      </c>
      <c r="M160" s="116">
        <v>1342.375</v>
      </c>
      <c r="N160" s="116">
        <v>1348.4</v>
      </c>
      <c r="O160" s="116">
        <v>1327.5</v>
      </c>
      <c r="P160" s="116">
        <v>1345.05</v>
      </c>
      <c r="Q160" s="116">
        <v>2684.75</v>
      </c>
      <c r="R160">
        <v>386822</v>
      </c>
    </row>
    <row r="161" spans="1:18" x14ac:dyDescent="0.25">
      <c r="A161" s="170">
        <v>42234</v>
      </c>
      <c r="B161" s="116">
        <v>1373</v>
      </c>
      <c r="C161" s="116">
        <v>1367.3</v>
      </c>
      <c r="D161" s="116">
        <v>1347.1</v>
      </c>
      <c r="E161" s="116">
        <v>1350</v>
      </c>
      <c r="F161" s="116">
        <v>2734.6</v>
      </c>
      <c r="G161">
        <v>51630</v>
      </c>
      <c r="H161" s="116"/>
      <c r="I161" s="116"/>
      <c r="L161" s="170">
        <v>42234</v>
      </c>
      <c r="M161" s="116">
        <v>1370.45</v>
      </c>
      <c r="N161" s="116">
        <v>1374.95</v>
      </c>
      <c r="O161" s="116">
        <v>1345</v>
      </c>
      <c r="P161" s="116">
        <v>1353.45</v>
      </c>
      <c r="Q161" s="116">
        <v>2740.9</v>
      </c>
      <c r="R161">
        <v>958463</v>
      </c>
    </row>
    <row r="162" spans="1:18" x14ac:dyDescent="0.25">
      <c r="A162" s="170">
        <v>42235</v>
      </c>
      <c r="B162" s="116">
        <v>1375.4749999999999</v>
      </c>
      <c r="C162" s="116">
        <v>1365.7</v>
      </c>
      <c r="D162" s="116">
        <v>1359.0250000000001</v>
      </c>
      <c r="E162" s="116">
        <v>1375</v>
      </c>
      <c r="F162" s="116">
        <v>2731.4</v>
      </c>
      <c r="G162">
        <v>31294</v>
      </c>
      <c r="H162" s="116"/>
      <c r="I162" s="116"/>
      <c r="L162" s="170">
        <v>42235</v>
      </c>
      <c r="M162" s="116">
        <v>1366.8</v>
      </c>
      <c r="N162" s="116">
        <v>1376.425</v>
      </c>
      <c r="O162" s="116">
        <v>1360.95</v>
      </c>
      <c r="P162" s="116">
        <v>1375</v>
      </c>
      <c r="Q162" s="116">
        <v>2733.6</v>
      </c>
      <c r="R162">
        <v>845035</v>
      </c>
    </row>
    <row r="163" spans="1:18" x14ac:dyDescent="0.25">
      <c r="A163" s="170">
        <v>42236</v>
      </c>
      <c r="B163" s="116">
        <v>1366</v>
      </c>
      <c r="C163" s="116">
        <v>1345.6</v>
      </c>
      <c r="D163" s="116">
        <v>1337.625</v>
      </c>
      <c r="E163" s="116">
        <v>1366</v>
      </c>
      <c r="F163" s="116">
        <v>2691.2</v>
      </c>
      <c r="G163">
        <v>33184</v>
      </c>
      <c r="H163" s="116"/>
      <c r="I163" s="116"/>
      <c r="L163" s="170">
        <v>42236</v>
      </c>
      <c r="M163" s="116">
        <v>1343.425</v>
      </c>
      <c r="N163" s="116">
        <v>1372.5</v>
      </c>
      <c r="O163" s="116">
        <v>1336</v>
      </c>
      <c r="P163" s="116">
        <v>1372.5</v>
      </c>
      <c r="Q163" s="116">
        <v>2686.85</v>
      </c>
      <c r="R163">
        <v>1174649</v>
      </c>
    </row>
    <row r="164" spans="1:18" x14ac:dyDescent="0.25">
      <c r="A164" s="170">
        <v>42237</v>
      </c>
      <c r="B164" s="116">
        <v>1363.9</v>
      </c>
      <c r="C164" s="116">
        <v>1337.55</v>
      </c>
      <c r="D164" s="116">
        <v>1328.5</v>
      </c>
      <c r="E164" s="116">
        <v>1345.15</v>
      </c>
      <c r="F164" s="116">
        <v>2675.1</v>
      </c>
      <c r="G164">
        <v>54152</v>
      </c>
      <c r="H164" s="116"/>
      <c r="I164" s="116"/>
      <c r="L164" s="170">
        <v>42237</v>
      </c>
      <c r="M164" s="116">
        <v>1338.075</v>
      </c>
      <c r="N164" s="116">
        <v>1364.95</v>
      </c>
      <c r="O164" s="116">
        <v>1327.55</v>
      </c>
      <c r="P164" s="116">
        <v>1356</v>
      </c>
      <c r="Q164" s="116">
        <v>2676.15</v>
      </c>
      <c r="R164">
        <v>1768040</v>
      </c>
    </row>
    <row r="165" spans="1:18" x14ac:dyDescent="0.25">
      <c r="A165" s="170">
        <v>42240</v>
      </c>
      <c r="B165" s="116">
        <v>1337.5</v>
      </c>
      <c r="C165" s="116">
        <v>1289.5999999999999</v>
      </c>
      <c r="D165" s="116">
        <v>1285</v>
      </c>
      <c r="E165" s="116">
        <v>1337.5</v>
      </c>
      <c r="F165" s="116">
        <v>2579.1999999999998</v>
      </c>
      <c r="G165">
        <v>83885</v>
      </c>
      <c r="H165" s="116"/>
      <c r="I165" s="116"/>
      <c r="L165" s="170">
        <v>42240</v>
      </c>
      <c r="M165" s="116">
        <v>1289.325</v>
      </c>
      <c r="N165" s="116">
        <v>1322.5</v>
      </c>
      <c r="O165" s="116">
        <v>1284.55</v>
      </c>
      <c r="P165" s="116">
        <v>1319.5</v>
      </c>
      <c r="Q165" s="116">
        <v>2578.65</v>
      </c>
      <c r="R165">
        <v>2346172</v>
      </c>
    </row>
    <row r="166" spans="1:18" x14ac:dyDescent="0.25">
      <c r="A166" s="170">
        <v>42241</v>
      </c>
      <c r="B166" s="116">
        <v>1309.05</v>
      </c>
      <c r="C166" s="116">
        <v>1283.675</v>
      </c>
      <c r="D166" s="116">
        <v>1268.05</v>
      </c>
      <c r="E166" s="116">
        <v>1292.5</v>
      </c>
      <c r="F166" s="116">
        <v>2567.35</v>
      </c>
      <c r="G166">
        <v>77972</v>
      </c>
      <c r="H166" s="116"/>
      <c r="I166" s="116"/>
      <c r="L166" s="170">
        <v>42241</v>
      </c>
      <c r="M166" s="116">
        <v>1283.575</v>
      </c>
      <c r="N166" s="116">
        <v>1311</v>
      </c>
      <c r="O166" s="116">
        <v>1267.75</v>
      </c>
      <c r="P166" s="116">
        <v>1293.95</v>
      </c>
      <c r="Q166" s="116">
        <v>2567.15</v>
      </c>
      <c r="R166">
        <v>1962900</v>
      </c>
    </row>
    <row r="167" spans="1:18" x14ac:dyDescent="0.25">
      <c r="A167" s="170">
        <v>42242</v>
      </c>
      <c r="B167" s="116">
        <v>1319.4749999999999</v>
      </c>
      <c r="C167" s="116">
        <v>1288.375</v>
      </c>
      <c r="D167" s="116">
        <v>1257.45</v>
      </c>
      <c r="E167" s="116">
        <v>1282.7249999999999</v>
      </c>
      <c r="F167" s="116">
        <v>2576.75</v>
      </c>
      <c r="G167">
        <v>54308</v>
      </c>
      <c r="H167" s="116"/>
      <c r="I167" s="116"/>
      <c r="L167" s="170">
        <v>42242</v>
      </c>
      <c r="M167" s="116">
        <v>1288.375</v>
      </c>
      <c r="N167" s="116">
        <v>1319.5</v>
      </c>
      <c r="O167" s="116">
        <v>1255.9749999999999</v>
      </c>
      <c r="P167" s="116">
        <v>1279.0250000000001</v>
      </c>
      <c r="Q167" s="116">
        <v>2576.75</v>
      </c>
      <c r="R167">
        <v>1608079</v>
      </c>
    </row>
    <row r="168" spans="1:18" x14ac:dyDescent="0.25">
      <c r="A168" s="170">
        <v>42243</v>
      </c>
      <c r="B168" s="116">
        <v>1307.5999999999999</v>
      </c>
      <c r="C168" s="116">
        <v>1288.8</v>
      </c>
      <c r="D168" s="116">
        <v>1273.5</v>
      </c>
      <c r="E168" s="116">
        <v>1307.5999999999999</v>
      </c>
      <c r="F168" s="116">
        <v>2577.6</v>
      </c>
      <c r="G168">
        <v>31906</v>
      </c>
      <c r="H168" s="116"/>
      <c r="I168" s="116"/>
      <c r="L168" s="170">
        <v>42243</v>
      </c>
      <c r="M168" s="116">
        <v>1287.325</v>
      </c>
      <c r="N168" s="116">
        <v>1307.45</v>
      </c>
      <c r="O168" s="116">
        <v>1272.9000000000001</v>
      </c>
      <c r="P168" s="116">
        <v>1307.45</v>
      </c>
      <c r="Q168" s="116">
        <v>2574.65</v>
      </c>
      <c r="R168">
        <v>2632399</v>
      </c>
    </row>
    <row r="169" spans="1:18" x14ac:dyDescent="0.25">
      <c r="A169" s="170">
        <v>42244</v>
      </c>
      <c r="B169" s="116">
        <v>1302.45</v>
      </c>
      <c r="C169" s="116">
        <v>1285.325</v>
      </c>
      <c r="D169" s="116">
        <v>1280</v>
      </c>
      <c r="E169" s="116">
        <v>1299.5</v>
      </c>
      <c r="F169" s="116">
        <v>2570.65</v>
      </c>
      <c r="G169">
        <v>40402</v>
      </c>
      <c r="H169" s="116"/>
      <c r="I169" s="116"/>
      <c r="L169" s="170">
        <v>42244</v>
      </c>
      <c r="M169" s="116">
        <v>1285.425</v>
      </c>
      <c r="N169" s="116">
        <v>1304.5</v>
      </c>
      <c r="O169" s="116">
        <v>1278.8499999999999</v>
      </c>
      <c r="P169" s="116">
        <v>1304.5</v>
      </c>
      <c r="Q169" s="116">
        <v>2570.85</v>
      </c>
      <c r="R169">
        <v>1372076</v>
      </c>
    </row>
    <row r="170" spans="1:18" x14ac:dyDescent="0.25">
      <c r="A170" s="170">
        <v>42247</v>
      </c>
      <c r="B170" s="116">
        <v>1294.2249999999999</v>
      </c>
      <c r="C170" s="116">
        <v>1282.625</v>
      </c>
      <c r="D170" s="116">
        <v>1266.5</v>
      </c>
      <c r="E170" s="116">
        <v>1291.925</v>
      </c>
      <c r="F170" s="116">
        <v>2565.25</v>
      </c>
      <c r="G170">
        <v>42719</v>
      </c>
      <c r="H170" s="116"/>
      <c r="I170" s="116"/>
      <c r="L170" s="170">
        <v>42247</v>
      </c>
      <c r="M170" s="116">
        <v>1282.0250000000001</v>
      </c>
      <c r="N170" s="116">
        <v>1295</v>
      </c>
      <c r="O170" s="116">
        <v>1265.5250000000001</v>
      </c>
      <c r="P170" s="116">
        <v>1295</v>
      </c>
      <c r="Q170" s="116">
        <v>2564.0500000000002</v>
      </c>
      <c r="R170">
        <v>1846022</v>
      </c>
    </row>
    <row r="171" spans="1:18" x14ac:dyDescent="0.25">
      <c r="A171" s="170">
        <v>42248</v>
      </c>
      <c r="B171" s="116">
        <v>1305</v>
      </c>
      <c r="C171" s="116">
        <v>1269.4000000000001</v>
      </c>
      <c r="D171" s="116">
        <v>1265.5</v>
      </c>
      <c r="E171" s="116">
        <v>1283.5</v>
      </c>
      <c r="F171" s="116">
        <v>2538.8000000000002</v>
      </c>
      <c r="G171">
        <v>49194</v>
      </c>
      <c r="H171" s="116"/>
      <c r="I171" s="116"/>
      <c r="L171" s="170">
        <v>42248</v>
      </c>
      <c r="M171" s="116">
        <v>1268.7</v>
      </c>
      <c r="N171" s="116">
        <v>1305.5999999999999</v>
      </c>
      <c r="O171" s="116">
        <v>1265</v>
      </c>
      <c r="P171" s="116">
        <v>1278</v>
      </c>
      <c r="Q171" s="116">
        <v>2537.4</v>
      </c>
      <c r="R171">
        <v>1493801</v>
      </c>
    </row>
    <row r="172" spans="1:18" x14ac:dyDescent="0.25">
      <c r="A172" s="170">
        <v>42249</v>
      </c>
      <c r="B172" s="116">
        <v>1309.5</v>
      </c>
      <c r="C172" s="116">
        <v>1296.5999999999999</v>
      </c>
      <c r="D172" s="116">
        <v>1273.3</v>
      </c>
      <c r="E172" s="116">
        <v>1280</v>
      </c>
      <c r="F172" s="116">
        <v>2593.1999999999998</v>
      </c>
      <c r="G172">
        <v>53433</v>
      </c>
      <c r="H172" s="116"/>
      <c r="I172" s="116"/>
      <c r="L172" s="170">
        <v>42249</v>
      </c>
      <c r="M172" s="116">
        <v>1295.9000000000001</v>
      </c>
      <c r="N172" s="116">
        <v>1310.2249999999999</v>
      </c>
      <c r="O172" s="116">
        <v>1274</v>
      </c>
      <c r="P172" s="116">
        <v>1279.8499999999999</v>
      </c>
      <c r="Q172" s="116">
        <v>2591.8000000000002</v>
      </c>
      <c r="R172">
        <v>1882975</v>
      </c>
    </row>
    <row r="173" spans="1:18" x14ac:dyDescent="0.25">
      <c r="A173" s="170">
        <v>42250</v>
      </c>
      <c r="B173" s="116">
        <v>1307</v>
      </c>
      <c r="C173" s="116">
        <v>1302.625</v>
      </c>
      <c r="D173" s="116">
        <v>1288.5</v>
      </c>
      <c r="E173" s="116">
        <v>1307</v>
      </c>
      <c r="F173" s="116">
        <v>2605.25</v>
      </c>
      <c r="G173">
        <v>28522</v>
      </c>
      <c r="H173" s="116"/>
      <c r="I173" s="116"/>
      <c r="L173" s="170">
        <v>42250</v>
      </c>
      <c r="M173" s="116">
        <v>1302.8</v>
      </c>
      <c r="N173" s="116">
        <v>1307.5</v>
      </c>
      <c r="O173" s="116">
        <v>1288.125</v>
      </c>
      <c r="P173" s="116">
        <v>1298.05</v>
      </c>
      <c r="Q173" s="116">
        <v>2605.6</v>
      </c>
      <c r="R173">
        <v>1132537</v>
      </c>
    </row>
    <row r="174" spans="1:18" x14ac:dyDescent="0.25">
      <c r="A174" s="170">
        <v>42251</v>
      </c>
      <c r="B174" s="116">
        <v>1312.5</v>
      </c>
      <c r="C174" s="116">
        <v>1274.7249999999999</v>
      </c>
      <c r="D174" s="116">
        <v>1271.2249999999999</v>
      </c>
      <c r="E174" s="116">
        <v>1312.5</v>
      </c>
      <c r="F174" s="116">
        <v>2549.4499999999998</v>
      </c>
      <c r="G174">
        <v>45318</v>
      </c>
      <c r="H174" s="116"/>
      <c r="I174" s="116"/>
      <c r="L174" s="170">
        <v>42251</v>
      </c>
      <c r="M174" s="116">
        <v>1273.7249999999999</v>
      </c>
      <c r="N174" s="116">
        <v>1307.45</v>
      </c>
      <c r="O174" s="116">
        <v>1269.575</v>
      </c>
      <c r="P174" s="116">
        <v>1305.7</v>
      </c>
      <c r="Q174" s="116">
        <v>2547.4499999999998</v>
      </c>
      <c r="R174">
        <v>1213198</v>
      </c>
    </row>
    <row r="175" spans="1:18" x14ac:dyDescent="0.25">
      <c r="A175" s="170">
        <v>42254</v>
      </c>
      <c r="B175" s="116">
        <v>1279.75</v>
      </c>
      <c r="C175" s="116">
        <v>1269.75</v>
      </c>
      <c r="D175" s="116">
        <v>1267.5</v>
      </c>
      <c r="E175" s="116">
        <v>1276</v>
      </c>
      <c r="F175" s="116">
        <v>2539.5</v>
      </c>
      <c r="G175">
        <v>23022</v>
      </c>
      <c r="H175" s="116"/>
      <c r="I175" s="116"/>
      <c r="L175" s="170">
        <v>42254</v>
      </c>
      <c r="M175" s="116">
        <v>1269.875</v>
      </c>
      <c r="N175" s="116">
        <v>1279.9749999999999</v>
      </c>
      <c r="O175" s="116">
        <v>1266.3499999999999</v>
      </c>
      <c r="P175" s="116">
        <v>1276.5</v>
      </c>
      <c r="Q175" s="116">
        <v>2539.75</v>
      </c>
      <c r="R175">
        <v>879592</v>
      </c>
    </row>
    <row r="176" spans="1:18" x14ac:dyDescent="0.25">
      <c r="A176" s="170">
        <v>42255</v>
      </c>
      <c r="B176" s="116">
        <v>1281.8499999999999</v>
      </c>
      <c r="C176" s="116">
        <v>1271.05</v>
      </c>
      <c r="D176" s="116">
        <v>1261.5250000000001</v>
      </c>
      <c r="E176" s="116">
        <v>1271.5</v>
      </c>
      <c r="F176" s="116">
        <v>2542.1</v>
      </c>
      <c r="G176">
        <v>256257</v>
      </c>
      <c r="H176" s="116"/>
      <c r="I176" s="116"/>
      <c r="L176" s="170">
        <v>42255</v>
      </c>
      <c r="M176" s="116">
        <v>1270.1500000000001</v>
      </c>
      <c r="N176" s="116">
        <v>1282.05</v>
      </c>
      <c r="O176" s="116">
        <v>1261.75</v>
      </c>
      <c r="P176" s="116">
        <v>1272.5</v>
      </c>
      <c r="Q176" s="116">
        <v>2540.3000000000002</v>
      </c>
      <c r="R176">
        <v>893873</v>
      </c>
    </row>
    <row r="177" spans="1:18" x14ac:dyDescent="0.25">
      <c r="A177" s="170">
        <v>42256</v>
      </c>
      <c r="B177" s="116">
        <v>1287.5</v>
      </c>
      <c r="C177" s="116">
        <v>1275.325</v>
      </c>
      <c r="D177" s="116">
        <v>1273.325</v>
      </c>
      <c r="E177" s="116">
        <v>1280</v>
      </c>
      <c r="F177" s="116">
        <v>2550.65</v>
      </c>
      <c r="G177">
        <v>31007</v>
      </c>
      <c r="H177" s="116"/>
      <c r="I177" s="116"/>
      <c r="L177" s="170">
        <v>42256</v>
      </c>
      <c r="M177" s="116">
        <v>1274.875</v>
      </c>
      <c r="N177" s="116">
        <v>1287</v>
      </c>
      <c r="O177" s="116">
        <v>1272</v>
      </c>
      <c r="P177" s="116">
        <v>1281.4749999999999</v>
      </c>
      <c r="Q177" s="116">
        <v>2549.75</v>
      </c>
      <c r="R177">
        <v>1022538</v>
      </c>
    </row>
    <row r="178" spans="1:18" x14ac:dyDescent="0.25">
      <c r="A178" s="170">
        <v>42257</v>
      </c>
      <c r="B178" s="116">
        <v>1288</v>
      </c>
      <c r="C178" s="116">
        <v>1271.175</v>
      </c>
      <c r="D178" s="116">
        <v>1263.5250000000001</v>
      </c>
      <c r="E178" s="116">
        <v>1270</v>
      </c>
      <c r="F178" s="116">
        <v>2542.35</v>
      </c>
      <c r="G178">
        <v>55303</v>
      </c>
      <c r="H178" s="116"/>
      <c r="I178" s="116"/>
      <c r="L178" s="170">
        <v>42257</v>
      </c>
      <c r="M178" s="116">
        <v>1272.7</v>
      </c>
      <c r="N178" s="116">
        <v>1289.25</v>
      </c>
      <c r="O178" s="116">
        <v>1263.5</v>
      </c>
      <c r="P178" s="116">
        <v>1271</v>
      </c>
      <c r="Q178" s="116">
        <v>2545.4</v>
      </c>
      <c r="R178">
        <v>1332909</v>
      </c>
    </row>
    <row r="179" spans="1:18" x14ac:dyDescent="0.25">
      <c r="A179" s="170">
        <v>42258</v>
      </c>
      <c r="B179" s="116">
        <v>1284</v>
      </c>
      <c r="C179" s="116">
        <v>1272.75</v>
      </c>
      <c r="D179" s="116">
        <v>1267.5999999999999</v>
      </c>
      <c r="E179" s="116">
        <v>1274.95</v>
      </c>
      <c r="F179" s="116">
        <v>2545.5</v>
      </c>
      <c r="G179">
        <v>40960</v>
      </c>
      <c r="H179" s="116"/>
      <c r="I179" s="116"/>
      <c r="L179" s="170">
        <v>42258</v>
      </c>
      <c r="M179" s="116">
        <v>1276</v>
      </c>
      <c r="N179" s="116">
        <v>1284.2</v>
      </c>
      <c r="O179" s="116">
        <v>1270.3</v>
      </c>
      <c r="P179" s="116">
        <v>1273.25</v>
      </c>
      <c r="Q179" s="116">
        <v>2552</v>
      </c>
      <c r="R179">
        <v>796336</v>
      </c>
    </row>
    <row r="180" spans="1:18" x14ac:dyDescent="0.25">
      <c r="A180" s="170">
        <v>42261</v>
      </c>
      <c r="B180" s="116">
        <v>1282.3499999999999</v>
      </c>
      <c r="C180" s="116">
        <v>1275.375</v>
      </c>
      <c r="D180" s="116">
        <v>1272.575</v>
      </c>
      <c r="E180" s="116">
        <v>1277.5</v>
      </c>
      <c r="F180" s="116">
        <v>2550.75</v>
      </c>
      <c r="G180">
        <v>17314</v>
      </c>
      <c r="H180" s="116"/>
      <c r="I180" s="116"/>
      <c r="L180" s="170">
        <v>42261</v>
      </c>
      <c r="M180" s="116">
        <v>1275.825</v>
      </c>
      <c r="N180" s="116">
        <v>1282.5</v>
      </c>
      <c r="O180" s="116">
        <v>1271.5</v>
      </c>
      <c r="P180" s="116">
        <v>1282.5</v>
      </c>
      <c r="Q180" s="116">
        <v>2551.65</v>
      </c>
      <c r="R180">
        <v>794659</v>
      </c>
    </row>
    <row r="181" spans="1:18" x14ac:dyDescent="0.25">
      <c r="A181" s="170">
        <v>42262</v>
      </c>
      <c r="B181" s="116">
        <v>1279</v>
      </c>
      <c r="C181" s="116">
        <v>1271.575</v>
      </c>
      <c r="D181" s="116">
        <v>1268</v>
      </c>
      <c r="E181" s="116">
        <v>1275.375</v>
      </c>
      <c r="F181" s="116">
        <v>2543.15</v>
      </c>
      <c r="G181">
        <v>34117</v>
      </c>
      <c r="H181" s="116"/>
      <c r="I181" s="116"/>
      <c r="L181" s="170">
        <v>42262</v>
      </c>
      <c r="M181" s="116">
        <v>1273.8</v>
      </c>
      <c r="N181" s="116">
        <v>1279.45</v>
      </c>
      <c r="O181" s="116">
        <v>1268</v>
      </c>
      <c r="P181" s="116">
        <v>1275.825</v>
      </c>
      <c r="Q181" s="116">
        <v>2547.6</v>
      </c>
      <c r="R181">
        <v>689950</v>
      </c>
    </row>
    <row r="182" spans="1:18" x14ac:dyDescent="0.25">
      <c r="A182" s="170">
        <v>42263</v>
      </c>
      <c r="B182" s="116">
        <v>1281.9749999999999</v>
      </c>
      <c r="C182" s="116">
        <v>1275.575</v>
      </c>
      <c r="D182" s="116">
        <v>1271.75</v>
      </c>
      <c r="E182" s="116">
        <v>1274</v>
      </c>
      <c r="F182" s="116">
        <v>2551.15</v>
      </c>
      <c r="G182">
        <v>20800</v>
      </c>
      <c r="H182" s="116"/>
      <c r="I182" s="116"/>
      <c r="L182" s="170">
        <v>42263</v>
      </c>
      <c r="M182" s="116">
        <v>1275.175</v>
      </c>
      <c r="N182" s="116">
        <v>1282.5</v>
      </c>
      <c r="O182" s="116">
        <v>1270.5250000000001</v>
      </c>
      <c r="P182" s="116">
        <v>1277.5</v>
      </c>
      <c r="Q182" s="116">
        <v>2550.35</v>
      </c>
      <c r="R182">
        <v>878408</v>
      </c>
    </row>
    <row r="183" spans="1:18" x14ac:dyDescent="0.25">
      <c r="A183" s="170">
        <v>42265</v>
      </c>
      <c r="B183" s="116">
        <v>1292.5</v>
      </c>
      <c r="C183" s="116">
        <v>1277.075</v>
      </c>
      <c r="D183" s="116">
        <v>1273.9000000000001</v>
      </c>
      <c r="E183" s="116">
        <v>1280</v>
      </c>
      <c r="F183" s="116">
        <v>2554.15</v>
      </c>
      <c r="G183">
        <v>47427</v>
      </c>
      <c r="H183" s="116"/>
      <c r="I183" s="116"/>
      <c r="L183" s="170">
        <v>42265</v>
      </c>
      <c r="M183" s="116">
        <v>1275.625</v>
      </c>
      <c r="N183" s="116">
        <v>1293</v>
      </c>
      <c r="O183" s="116">
        <v>1269.5</v>
      </c>
      <c r="P183" s="116">
        <v>1282.5</v>
      </c>
      <c r="Q183" s="116">
        <v>2551.25</v>
      </c>
      <c r="R183">
        <v>1227647</v>
      </c>
    </row>
    <row r="184" spans="1:18" x14ac:dyDescent="0.25">
      <c r="A184" s="170">
        <v>42268</v>
      </c>
      <c r="B184" s="116">
        <v>1277.075</v>
      </c>
      <c r="C184" s="116">
        <v>1275.3499999999999</v>
      </c>
      <c r="D184" s="116">
        <v>1267.075</v>
      </c>
      <c r="E184" s="116">
        <v>1275</v>
      </c>
      <c r="F184" s="116">
        <v>2550.6999999999998</v>
      </c>
      <c r="G184">
        <v>27301</v>
      </c>
      <c r="H184" s="116"/>
      <c r="I184" s="116"/>
      <c r="L184" s="170">
        <v>42268</v>
      </c>
      <c r="M184" s="116">
        <v>1275.5250000000001</v>
      </c>
      <c r="N184" s="116">
        <v>1278.55</v>
      </c>
      <c r="O184" s="116">
        <v>1266.5999999999999</v>
      </c>
      <c r="P184" s="116">
        <v>1275</v>
      </c>
      <c r="Q184" s="116">
        <v>2551.0500000000002</v>
      </c>
      <c r="R184">
        <v>554420</v>
      </c>
    </row>
    <row r="185" spans="1:18" x14ac:dyDescent="0.25">
      <c r="A185" s="170">
        <v>42269</v>
      </c>
      <c r="B185" s="116">
        <v>1287.5</v>
      </c>
      <c r="C185" s="116">
        <v>1263.175</v>
      </c>
      <c r="D185" s="116">
        <v>1246.95</v>
      </c>
      <c r="E185" s="116">
        <v>1277.075</v>
      </c>
      <c r="F185" s="116">
        <v>2526.35</v>
      </c>
      <c r="G185">
        <v>44593</v>
      </c>
      <c r="H185" s="116"/>
      <c r="I185" s="116"/>
      <c r="L185" s="170">
        <v>42269</v>
      </c>
      <c r="M185" s="116">
        <v>1263.4000000000001</v>
      </c>
      <c r="N185" s="116">
        <v>1286.2</v>
      </c>
      <c r="O185" s="116">
        <v>1245</v>
      </c>
      <c r="P185" s="116">
        <v>1278.75</v>
      </c>
      <c r="Q185" s="116">
        <v>2526.8000000000002</v>
      </c>
      <c r="R185">
        <v>1040623</v>
      </c>
    </row>
    <row r="186" spans="1:18" x14ac:dyDescent="0.25">
      <c r="A186" s="170">
        <v>42270</v>
      </c>
      <c r="B186" s="116">
        <v>1278.6500000000001</v>
      </c>
      <c r="C186" s="116">
        <v>1267.0250000000001</v>
      </c>
      <c r="D186" s="116">
        <v>1257.5</v>
      </c>
      <c r="E186" s="116">
        <v>1263.5</v>
      </c>
      <c r="F186" s="116">
        <v>2534.0500000000002</v>
      </c>
      <c r="G186">
        <v>37053</v>
      </c>
      <c r="H186" s="116"/>
      <c r="I186" s="116"/>
      <c r="L186" s="170">
        <v>42270</v>
      </c>
      <c r="M186" s="116">
        <v>1266.325</v>
      </c>
      <c r="N186" s="116">
        <v>1278.875</v>
      </c>
      <c r="O186" s="116">
        <v>1256.3</v>
      </c>
      <c r="P186" s="116">
        <v>1267.1500000000001</v>
      </c>
      <c r="Q186" s="116">
        <v>2532.65</v>
      </c>
      <c r="R186">
        <v>614176</v>
      </c>
    </row>
    <row r="187" spans="1:18" x14ac:dyDescent="0.25">
      <c r="A187" s="170">
        <v>42271</v>
      </c>
      <c r="B187" s="116">
        <v>1291.9749999999999</v>
      </c>
      <c r="C187" s="116">
        <v>1287.8</v>
      </c>
      <c r="D187" s="116">
        <v>1265.95</v>
      </c>
      <c r="E187" s="116">
        <v>1267</v>
      </c>
      <c r="F187" s="116">
        <v>2575.6</v>
      </c>
      <c r="G187">
        <v>66658</v>
      </c>
      <c r="H187" s="116"/>
      <c r="I187" s="116"/>
      <c r="L187" s="170">
        <v>42271</v>
      </c>
      <c r="M187" s="116">
        <v>1290.2</v>
      </c>
      <c r="N187" s="116">
        <v>1295</v>
      </c>
      <c r="O187" s="116">
        <v>1264.95</v>
      </c>
      <c r="P187" s="116">
        <v>1267.75</v>
      </c>
      <c r="Q187" s="116">
        <v>2580.4</v>
      </c>
      <c r="R187">
        <v>1177127</v>
      </c>
    </row>
    <row r="188" spans="1:18" x14ac:dyDescent="0.25">
      <c r="A188" s="170">
        <v>42275</v>
      </c>
      <c r="B188" s="116">
        <v>1309.4749999999999</v>
      </c>
      <c r="C188" s="116">
        <v>1295.175</v>
      </c>
      <c r="D188" s="116">
        <v>1290</v>
      </c>
      <c r="E188" s="116">
        <v>1290</v>
      </c>
      <c r="F188" s="116">
        <v>2590.35</v>
      </c>
      <c r="G188">
        <v>27665</v>
      </c>
      <c r="H188" s="116"/>
      <c r="I188" s="116"/>
      <c r="L188" s="170">
        <v>42275</v>
      </c>
      <c r="M188" s="116">
        <v>1296.8499999999999</v>
      </c>
      <c r="N188" s="116">
        <v>1309.5</v>
      </c>
      <c r="O188" s="116">
        <v>1289.75</v>
      </c>
      <c r="P188" s="116">
        <v>1297</v>
      </c>
      <c r="Q188" s="116">
        <v>2593.6999999999998</v>
      </c>
      <c r="R188">
        <v>1183406</v>
      </c>
    </row>
    <row r="189" spans="1:18" x14ac:dyDescent="0.25">
      <c r="A189" s="170">
        <v>42276</v>
      </c>
      <c r="B189" s="116">
        <v>1316</v>
      </c>
      <c r="C189" s="116">
        <v>1295.0999999999999</v>
      </c>
      <c r="D189" s="116">
        <v>1285</v>
      </c>
      <c r="E189" s="116">
        <v>1286</v>
      </c>
      <c r="F189" s="116">
        <v>2590.1999999999998</v>
      </c>
      <c r="G189">
        <v>37352</v>
      </c>
      <c r="H189" s="116"/>
      <c r="I189" s="116"/>
      <c r="L189" s="170">
        <v>42276</v>
      </c>
      <c r="M189" s="116">
        <v>1294.125</v>
      </c>
      <c r="N189" s="116">
        <v>1317</v>
      </c>
      <c r="O189" s="116">
        <v>1284.925</v>
      </c>
      <c r="P189" s="116">
        <v>1291.675</v>
      </c>
      <c r="Q189" s="116">
        <v>2588.25</v>
      </c>
      <c r="R189">
        <v>1662976</v>
      </c>
    </row>
    <row r="190" spans="1:18" x14ac:dyDescent="0.25">
      <c r="A190" s="170">
        <v>42277</v>
      </c>
      <c r="B190" s="116">
        <v>1320.9</v>
      </c>
      <c r="C190" s="116">
        <v>1293.8499999999999</v>
      </c>
      <c r="D190" s="116">
        <v>1285.7750000000001</v>
      </c>
      <c r="E190" s="116">
        <v>1315</v>
      </c>
      <c r="F190" s="116">
        <v>2587.6999999999998</v>
      </c>
      <c r="G190">
        <v>45273</v>
      </c>
      <c r="H190" s="116"/>
      <c r="I190" s="116"/>
      <c r="L190" s="170">
        <v>42277</v>
      </c>
      <c r="M190" s="116">
        <v>1294.0250000000001</v>
      </c>
      <c r="N190" s="116">
        <v>1321.85</v>
      </c>
      <c r="O190" s="116">
        <v>1285.4749999999999</v>
      </c>
      <c r="P190" s="116">
        <v>1321.85</v>
      </c>
      <c r="Q190" s="116">
        <v>2588.0500000000002</v>
      </c>
      <c r="R190">
        <v>1684168</v>
      </c>
    </row>
    <row r="191" spans="1:18" x14ac:dyDescent="0.25">
      <c r="A191" s="170">
        <v>42278</v>
      </c>
      <c r="B191" s="116">
        <v>1322.5</v>
      </c>
      <c r="C191" s="116">
        <v>1319.85</v>
      </c>
      <c r="D191" s="116">
        <v>1295.3</v>
      </c>
      <c r="E191" s="116">
        <v>1300</v>
      </c>
      <c r="F191" s="116">
        <v>2639.7</v>
      </c>
      <c r="G191">
        <v>55176</v>
      </c>
      <c r="H191" s="116"/>
      <c r="I191" s="116"/>
      <c r="L191" s="170">
        <v>42278</v>
      </c>
      <c r="M191" s="116">
        <v>1322.3</v>
      </c>
      <c r="N191" s="116">
        <v>1324.9749999999999</v>
      </c>
      <c r="O191" s="116">
        <v>1296.0999999999999</v>
      </c>
      <c r="P191" s="116">
        <v>1299.5</v>
      </c>
      <c r="Q191" s="116">
        <v>2644.6</v>
      </c>
      <c r="R191">
        <v>1417204</v>
      </c>
    </row>
    <row r="192" spans="1:18" x14ac:dyDescent="0.25">
      <c r="A192" s="170">
        <v>42282</v>
      </c>
      <c r="B192" s="116">
        <v>1384.5</v>
      </c>
      <c r="C192" s="116">
        <v>1356.7249999999999</v>
      </c>
      <c r="D192" s="116">
        <v>1325</v>
      </c>
      <c r="E192" s="116">
        <v>1325</v>
      </c>
      <c r="F192" s="116">
        <v>2713.45</v>
      </c>
      <c r="G192">
        <v>107706</v>
      </c>
      <c r="H192" s="116"/>
      <c r="I192" s="116"/>
      <c r="L192" s="170">
        <v>42282</v>
      </c>
      <c r="M192" s="116">
        <v>1355.825</v>
      </c>
      <c r="N192" s="116">
        <v>1385</v>
      </c>
      <c r="O192" s="116">
        <v>1326.35</v>
      </c>
      <c r="P192" s="116">
        <v>1326.35</v>
      </c>
      <c r="Q192" s="116">
        <v>2711.65</v>
      </c>
      <c r="R192">
        <v>2403653</v>
      </c>
    </row>
    <row r="193" spans="1:18" x14ac:dyDescent="0.25">
      <c r="A193" s="170">
        <v>42283</v>
      </c>
      <c r="B193" s="116">
        <v>1362.7</v>
      </c>
      <c r="C193" s="116">
        <v>1347.85</v>
      </c>
      <c r="D193" s="116">
        <v>1340.1</v>
      </c>
      <c r="E193" s="116">
        <v>1362.5</v>
      </c>
      <c r="F193" s="116">
        <v>2695.7</v>
      </c>
      <c r="G193">
        <v>66740</v>
      </c>
      <c r="H193" s="116"/>
      <c r="I193" s="116"/>
      <c r="L193" s="170">
        <v>42283</v>
      </c>
      <c r="M193" s="116">
        <v>1350</v>
      </c>
      <c r="N193" s="116">
        <v>1363</v>
      </c>
      <c r="O193" s="116">
        <v>1342</v>
      </c>
      <c r="P193" s="116">
        <v>1362.5</v>
      </c>
      <c r="Q193" s="116">
        <v>2700</v>
      </c>
      <c r="R193">
        <v>1989795</v>
      </c>
    </row>
    <row r="194" spans="1:18" x14ac:dyDescent="0.25">
      <c r="A194" s="170">
        <v>42284</v>
      </c>
      <c r="B194" s="116">
        <v>1358.2249999999999</v>
      </c>
      <c r="C194" s="116">
        <v>1327.55</v>
      </c>
      <c r="D194" s="116">
        <v>1323.55</v>
      </c>
      <c r="E194" s="116">
        <v>1347.85</v>
      </c>
      <c r="F194" s="116">
        <v>2655.1</v>
      </c>
      <c r="G194">
        <v>65720</v>
      </c>
      <c r="H194" s="116"/>
      <c r="I194" s="116"/>
      <c r="L194" s="170">
        <v>42284</v>
      </c>
      <c r="M194" s="116">
        <v>1326.9749999999999</v>
      </c>
      <c r="N194" s="116">
        <v>1358.5</v>
      </c>
      <c r="O194" s="116">
        <v>1323.4749999999999</v>
      </c>
      <c r="P194" s="116">
        <v>1346.9749999999999</v>
      </c>
      <c r="Q194" s="116">
        <v>2653.95</v>
      </c>
      <c r="R194">
        <v>1032765</v>
      </c>
    </row>
    <row r="195" spans="1:18" x14ac:dyDescent="0.25">
      <c r="A195" s="170">
        <v>42285</v>
      </c>
      <c r="B195" s="116">
        <v>1339</v>
      </c>
      <c r="C195" s="116">
        <v>1317.375</v>
      </c>
      <c r="D195" s="116">
        <v>1310.25</v>
      </c>
      <c r="E195" s="116">
        <v>1332.5250000000001</v>
      </c>
      <c r="F195" s="116">
        <v>2634.75</v>
      </c>
      <c r="G195">
        <v>48368</v>
      </c>
      <c r="H195" s="116"/>
      <c r="I195" s="116"/>
      <c r="L195" s="170">
        <v>42285</v>
      </c>
      <c r="M195" s="116">
        <v>1316.9</v>
      </c>
      <c r="N195" s="116">
        <v>1339.175</v>
      </c>
      <c r="O195" s="116">
        <v>1310</v>
      </c>
      <c r="P195" s="116">
        <v>1335</v>
      </c>
      <c r="Q195" s="116">
        <v>2633.8</v>
      </c>
      <c r="R195">
        <v>1178775</v>
      </c>
    </row>
    <row r="196" spans="1:18" x14ac:dyDescent="0.25">
      <c r="A196" s="170">
        <v>42286</v>
      </c>
      <c r="B196" s="116">
        <v>1339</v>
      </c>
      <c r="C196" s="116">
        <v>1314.925</v>
      </c>
      <c r="D196" s="116">
        <v>1305</v>
      </c>
      <c r="E196" s="116">
        <v>1339</v>
      </c>
      <c r="F196" s="116">
        <v>2629.85</v>
      </c>
      <c r="G196">
        <v>59000</v>
      </c>
      <c r="H196" s="116"/>
      <c r="I196" s="116"/>
      <c r="L196" s="170">
        <v>42286</v>
      </c>
      <c r="M196" s="116">
        <v>1314.825</v>
      </c>
      <c r="N196" s="116">
        <v>1325.3</v>
      </c>
      <c r="O196" s="116">
        <v>1304</v>
      </c>
      <c r="P196" s="116">
        <v>1325.25</v>
      </c>
      <c r="Q196" s="116">
        <v>2629.65</v>
      </c>
      <c r="R196">
        <v>1124862</v>
      </c>
    </row>
    <row r="197" spans="1:18" x14ac:dyDescent="0.25">
      <c r="A197" s="170">
        <v>42289</v>
      </c>
      <c r="B197" s="116">
        <v>1335</v>
      </c>
      <c r="C197" s="116">
        <v>1296.2</v>
      </c>
      <c r="D197" s="116">
        <v>1292.6500000000001</v>
      </c>
      <c r="E197" s="116">
        <v>1333.5</v>
      </c>
      <c r="F197" s="116">
        <v>2592.4</v>
      </c>
      <c r="G197">
        <v>95923</v>
      </c>
      <c r="H197" s="116"/>
      <c r="I197" s="116"/>
      <c r="L197" s="170">
        <v>42289</v>
      </c>
      <c r="M197" s="116">
        <v>1296.3</v>
      </c>
      <c r="N197" s="116">
        <v>1330.175</v>
      </c>
      <c r="O197" s="116">
        <v>1293.5</v>
      </c>
      <c r="P197" s="116">
        <v>1327.5</v>
      </c>
      <c r="Q197" s="116">
        <v>2592.6</v>
      </c>
      <c r="R197">
        <v>1227956</v>
      </c>
    </row>
    <row r="198" spans="1:18" x14ac:dyDescent="0.25">
      <c r="A198" s="170">
        <v>42290</v>
      </c>
      <c r="B198" s="116">
        <v>1306.2249999999999</v>
      </c>
      <c r="C198" s="116">
        <v>1298.7</v>
      </c>
      <c r="D198" s="116">
        <v>1284.0250000000001</v>
      </c>
      <c r="E198" s="116">
        <v>1302.5</v>
      </c>
      <c r="F198" s="116">
        <v>2597.4</v>
      </c>
      <c r="G198">
        <v>121981</v>
      </c>
      <c r="H198" s="116"/>
      <c r="I198" s="116"/>
      <c r="L198" s="170">
        <v>42290</v>
      </c>
      <c r="M198" s="116">
        <v>1299.2750000000001</v>
      </c>
      <c r="N198" s="116">
        <v>1306</v>
      </c>
      <c r="O198" s="116">
        <v>1283.8</v>
      </c>
      <c r="P198" s="116">
        <v>1301.4000000000001</v>
      </c>
      <c r="Q198" s="116">
        <v>2598.5500000000002</v>
      </c>
      <c r="R198">
        <v>3089856</v>
      </c>
    </row>
    <row r="199" spans="1:18" x14ac:dyDescent="0.25">
      <c r="A199" s="170">
        <v>42291</v>
      </c>
      <c r="B199" s="116">
        <v>1275</v>
      </c>
      <c r="C199" s="116">
        <v>1241.7</v>
      </c>
      <c r="D199" s="116">
        <v>1240</v>
      </c>
      <c r="E199" s="116">
        <v>1275</v>
      </c>
      <c r="F199" s="116">
        <v>2483.4</v>
      </c>
      <c r="G199">
        <v>361698</v>
      </c>
      <c r="H199" s="116"/>
      <c r="I199" s="116"/>
      <c r="L199" s="170">
        <v>42291</v>
      </c>
      <c r="M199" s="116">
        <v>1241.8499999999999</v>
      </c>
      <c r="N199" s="116">
        <v>1274</v>
      </c>
      <c r="O199" s="116">
        <v>1240</v>
      </c>
      <c r="P199" s="116">
        <v>1274</v>
      </c>
      <c r="Q199" s="116">
        <v>2483.6999999999998</v>
      </c>
      <c r="R199">
        <v>4168564</v>
      </c>
    </row>
    <row r="200" spans="1:18" x14ac:dyDescent="0.25">
      <c r="A200" s="170">
        <v>42292</v>
      </c>
      <c r="B200" s="116">
        <v>1252.5</v>
      </c>
      <c r="C200" s="116">
        <v>1234.325</v>
      </c>
      <c r="D200" s="116">
        <v>1232.5</v>
      </c>
      <c r="E200" s="116">
        <v>1245</v>
      </c>
      <c r="F200" s="116">
        <v>2468.65</v>
      </c>
      <c r="G200">
        <v>421985</v>
      </c>
      <c r="H200" s="116"/>
      <c r="I200" s="116"/>
      <c r="L200" s="170">
        <v>42292</v>
      </c>
      <c r="M200" s="116">
        <v>1233.875</v>
      </c>
      <c r="N200" s="116">
        <v>1251.75</v>
      </c>
      <c r="O200" s="116">
        <v>1232.5</v>
      </c>
      <c r="P200" s="116">
        <v>1245</v>
      </c>
      <c r="Q200" s="116">
        <v>2467.75</v>
      </c>
      <c r="R200">
        <v>1607855</v>
      </c>
    </row>
    <row r="201" spans="1:18" x14ac:dyDescent="0.25">
      <c r="A201" s="170">
        <v>42293</v>
      </c>
      <c r="B201" s="116">
        <v>1246</v>
      </c>
      <c r="C201" s="116">
        <v>1237.9749999999999</v>
      </c>
      <c r="D201" s="116">
        <v>1235</v>
      </c>
      <c r="E201" s="116">
        <v>1245</v>
      </c>
      <c r="F201" s="116">
        <v>2475.9499999999998</v>
      </c>
      <c r="G201">
        <v>56960</v>
      </c>
      <c r="H201" s="116"/>
      <c r="I201" s="116"/>
      <c r="L201" s="170">
        <v>42293</v>
      </c>
      <c r="M201" s="116">
        <v>1236.875</v>
      </c>
      <c r="N201" s="116">
        <v>1246</v>
      </c>
      <c r="O201" s="116">
        <v>1235</v>
      </c>
      <c r="P201" s="116">
        <v>1240.45</v>
      </c>
      <c r="Q201" s="116">
        <v>2473.75</v>
      </c>
      <c r="R201">
        <v>1166914</v>
      </c>
    </row>
    <row r="202" spans="1:18" x14ac:dyDescent="0.25">
      <c r="A202" s="170">
        <v>42296</v>
      </c>
      <c r="B202" s="116">
        <v>1246.5</v>
      </c>
      <c r="C202" s="116">
        <v>1243.425</v>
      </c>
      <c r="D202" s="116">
        <v>1229</v>
      </c>
      <c r="E202" s="116">
        <v>1239</v>
      </c>
      <c r="F202" s="116">
        <v>2486.85</v>
      </c>
      <c r="G202">
        <v>78537</v>
      </c>
      <c r="H202" s="116"/>
      <c r="I202" s="116"/>
      <c r="L202" s="170">
        <v>42296</v>
      </c>
      <c r="M202" s="116">
        <v>1244.375</v>
      </c>
      <c r="N202" s="116">
        <v>1247.4749999999999</v>
      </c>
      <c r="O202" s="116">
        <v>1227.925</v>
      </c>
      <c r="P202" s="116">
        <v>1245</v>
      </c>
      <c r="Q202" s="116">
        <v>2488.75</v>
      </c>
      <c r="R202">
        <v>1565321</v>
      </c>
    </row>
    <row r="203" spans="1:18" x14ac:dyDescent="0.25">
      <c r="A203" s="170">
        <v>42297</v>
      </c>
      <c r="B203" s="116">
        <v>1264.9000000000001</v>
      </c>
      <c r="C203" s="116">
        <v>1263.3499999999999</v>
      </c>
      <c r="D203" s="116">
        <v>1246.25</v>
      </c>
      <c r="E203" s="116">
        <v>1246.5</v>
      </c>
      <c r="F203" s="116">
        <v>2526.6999999999998</v>
      </c>
      <c r="G203">
        <v>61931</v>
      </c>
      <c r="H203" s="116"/>
      <c r="I203" s="116"/>
      <c r="L203" s="170">
        <v>42297</v>
      </c>
      <c r="M203" s="116">
        <v>1263.375</v>
      </c>
      <c r="N203" s="116">
        <v>1265</v>
      </c>
      <c r="O203" s="116">
        <v>1247.8</v>
      </c>
      <c r="P203" s="116">
        <v>1248.125</v>
      </c>
      <c r="Q203" s="116">
        <v>2526.75</v>
      </c>
      <c r="R203">
        <v>1347542</v>
      </c>
    </row>
    <row r="204" spans="1:18" x14ac:dyDescent="0.25">
      <c r="A204" s="170">
        <v>42298</v>
      </c>
      <c r="B204" s="116">
        <v>1271.0999999999999</v>
      </c>
      <c r="C204" s="116">
        <v>1262.75</v>
      </c>
      <c r="D204" s="116">
        <v>1259.3499999999999</v>
      </c>
      <c r="E204" s="116">
        <v>1263.375</v>
      </c>
      <c r="F204" s="116">
        <v>2525.5</v>
      </c>
      <c r="G204">
        <v>61519</v>
      </c>
      <c r="H204" s="116"/>
      <c r="I204" s="116"/>
      <c r="L204" s="170">
        <v>42298</v>
      </c>
      <c r="M204" s="116">
        <v>1265</v>
      </c>
      <c r="N204" s="116">
        <v>1271</v>
      </c>
      <c r="O204" s="116">
        <v>1261.125</v>
      </c>
      <c r="P204" s="116">
        <v>1267.5</v>
      </c>
      <c r="Q204" s="116">
        <v>2530</v>
      </c>
      <c r="R204">
        <v>964844</v>
      </c>
    </row>
    <row r="205" spans="1:18" x14ac:dyDescent="0.25">
      <c r="A205" s="170">
        <v>42300</v>
      </c>
      <c r="B205" s="116">
        <v>1271</v>
      </c>
      <c r="C205" s="116">
        <v>1268.0999999999999</v>
      </c>
      <c r="D205" s="116">
        <v>1263.5250000000001</v>
      </c>
      <c r="E205" s="116">
        <v>1267.5</v>
      </c>
      <c r="F205" s="116">
        <v>2536.1999999999998</v>
      </c>
      <c r="G205">
        <v>37920</v>
      </c>
      <c r="H205" s="116"/>
      <c r="I205" s="116"/>
      <c r="L205" s="170">
        <v>42300</v>
      </c>
      <c r="M205" s="116">
        <v>1268.575</v>
      </c>
      <c r="N205" s="116">
        <v>1274</v>
      </c>
      <c r="O205" s="116">
        <v>1263.6500000000001</v>
      </c>
      <c r="P205" s="116">
        <v>1274</v>
      </c>
      <c r="Q205" s="116">
        <v>2537.15</v>
      </c>
      <c r="R205">
        <v>1167699</v>
      </c>
    </row>
    <row r="206" spans="1:18" x14ac:dyDescent="0.25">
      <c r="A206" s="170">
        <v>42303</v>
      </c>
      <c r="B206" s="116">
        <v>1274</v>
      </c>
      <c r="C206" s="116">
        <v>1267.5999999999999</v>
      </c>
      <c r="D206" s="116">
        <v>1258.5</v>
      </c>
      <c r="E206" s="116">
        <v>1272.5</v>
      </c>
      <c r="F206" s="116">
        <v>2535.1999999999998</v>
      </c>
      <c r="G206">
        <v>42329</v>
      </c>
      <c r="H206" s="116"/>
      <c r="I206" s="116"/>
      <c r="L206" s="170">
        <v>42303</v>
      </c>
      <c r="M206" s="116">
        <v>1268.2750000000001</v>
      </c>
      <c r="N206" s="116">
        <v>1274.5</v>
      </c>
      <c r="O206" s="116">
        <v>1257.55</v>
      </c>
      <c r="P206" s="116">
        <v>1274.5</v>
      </c>
      <c r="Q206" s="116">
        <v>2536.5500000000002</v>
      </c>
      <c r="R206">
        <v>707315</v>
      </c>
    </row>
    <row r="207" spans="1:18" x14ac:dyDescent="0.25">
      <c r="A207" s="170">
        <v>42304</v>
      </c>
      <c r="B207" s="116">
        <v>1271.9749999999999</v>
      </c>
      <c r="C207" s="116">
        <v>1264.9000000000001</v>
      </c>
      <c r="D207" s="116">
        <v>1260.7249999999999</v>
      </c>
      <c r="E207" s="116">
        <v>1267.5999999999999</v>
      </c>
      <c r="F207" s="116">
        <v>2529.8000000000002</v>
      </c>
      <c r="G207">
        <v>31507</v>
      </c>
      <c r="H207" s="116"/>
      <c r="I207" s="116"/>
      <c r="L207" s="170">
        <v>42304</v>
      </c>
      <c r="M207" s="116">
        <v>1265.55</v>
      </c>
      <c r="N207" s="116">
        <v>1272.45</v>
      </c>
      <c r="O207" s="116">
        <v>1260.175</v>
      </c>
      <c r="P207" s="116">
        <v>1265.0250000000001</v>
      </c>
      <c r="Q207" s="116">
        <v>2531.1</v>
      </c>
      <c r="R207">
        <v>765210</v>
      </c>
    </row>
    <row r="208" spans="1:18" x14ac:dyDescent="0.25">
      <c r="A208" s="170">
        <v>42305</v>
      </c>
      <c r="B208" s="116">
        <v>1265</v>
      </c>
      <c r="C208" s="116">
        <v>1262.325</v>
      </c>
      <c r="D208" s="116">
        <v>1253.8</v>
      </c>
      <c r="E208" s="116">
        <v>1263</v>
      </c>
      <c r="F208" s="116">
        <v>2524.65</v>
      </c>
      <c r="G208">
        <v>36714</v>
      </c>
      <c r="H208" s="116"/>
      <c r="I208" s="116"/>
      <c r="L208" s="170">
        <v>42305</v>
      </c>
      <c r="M208" s="116">
        <v>1264.55</v>
      </c>
      <c r="N208" s="116">
        <v>1266.7750000000001</v>
      </c>
      <c r="O208" s="116">
        <v>1255.0250000000001</v>
      </c>
      <c r="P208" s="116">
        <v>1255.0250000000001</v>
      </c>
      <c r="Q208" s="116">
        <v>2529.1</v>
      </c>
      <c r="R208">
        <v>627671</v>
      </c>
    </row>
    <row r="209" spans="1:18" x14ac:dyDescent="0.25">
      <c r="A209" s="170">
        <v>42306</v>
      </c>
      <c r="B209" s="116">
        <v>1265</v>
      </c>
      <c r="C209" s="116">
        <v>1248.075</v>
      </c>
      <c r="D209" s="116">
        <v>1246.5</v>
      </c>
      <c r="E209" s="116">
        <v>1265</v>
      </c>
      <c r="F209" s="116">
        <v>2496.15</v>
      </c>
      <c r="G209">
        <v>89834</v>
      </c>
      <c r="H209" s="116"/>
      <c r="I209" s="116"/>
      <c r="L209" s="170">
        <v>42306</v>
      </c>
      <c r="M209" s="116">
        <v>1247.675</v>
      </c>
      <c r="N209" s="116">
        <v>1267.7</v>
      </c>
      <c r="O209" s="116">
        <v>1245.0250000000001</v>
      </c>
      <c r="P209" s="116">
        <v>1266.7750000000001</v>
      </c>
      <c r="Q209" s="116">
        <v>2495.35</v>
      </c>
      <c r="R209">
        <v>1565158</v>
      </c>
    </row>
    <row r="210" spans="1:18" x14ac:dyDescent="0.25">
      <c r="A210" s="170">
        <v>42307</v>
      </c>
      <c r="B210" s="116">
        <v>1255.5</v>
      </c>
      <c r="C210" s="116">
        <v>1248.6500000000001</v>
      </c>
      <c r="D210" s="116">
        <v>1242.5</v>
      </c>
      <c r="E210" s="116">
        <v>1250.5</v>
      </c>
      <c r="F210" s="116">
        <v>2497.3000000000002</v>
      </c>
      <c r="G210">
        <v>43652</v>
      </c>
      <c r="H210" s="116"/>
      <c r="I210" s="116"/>
      <c r="L210" s="170">
        <v>42307</v>
      </c>
      <c r="M210" s="116">
        <v>1247.5999999999999</v>
      </c>
      <c r="N210" s="116">
        <v>1255.95</v>
      </c>
      <c r="O210" s="116">
        <v>1242.5</v>
      </c>
      <c r="P210" s="116">
        <v>1250</v>
      </c>
      <c r="Q210" s="116">
        <v>2495.1999999999998</v>
      </c>
      <c r="R210">
        <v>758348</v>
      </c>
    </row>
    <row r="211" spans="1:18" x14ac:dyDescent="0.25">
      <c r="A211" s="170">
        <v>42310</v>
      </c>
      <c r="B211" s="116">
        <v>1258.45</v>
      </c>
      <c r="C211" s="116">
        <v>1255.5999999999999</v>
      </c>
      <c r="D211" s="116">
        <v>1244.0250000000001</v>
      </c>
      <c r="E211" s="116">
        <v>1248.5</v>
      </c>
      <c r="F211" s="116">
        <v>2511.1999999999998</v>
      </c>
      <c r="G211">
        <v>38232</v>
      </c>
      <c r="H211" s="116"/>
      <c r="I211" s="116"/>
      <c r="L211" s="170">
        <v>42310</v>
      </c>
      <c r="M211" s="116">
        <v>1258.675</v>
      </c>
      <c r="N211" s="116">
        <v>1261.4000000000001</v>
      </c>
      <c r="O211" s="116">
        <v>1243.7750000000001</v>
      </c>
      <c r="P211" s="116">
        <v>1250</v>
      </c>
      <c r="Q211" s="116">
        <v>2517.35</v>
      </c>
      <c r="R211">
        <v>659647</v>
      </c>
    </row>
    <row r="212" spans="1:18" x14ac:dyDescent="0.25">
      <c r="A212" s="170">
        <v>42311</v>
      </c>
      <c r="B212" s="116">
        <v>1272.7750000000001</v>
      </c>
      <c r="C212" s="116">
        <v>1271.3</v>
      </c>
      <c r="D212" s="116">
        <v>1259.2750000000001</v>
      </c>
      <c r="E212" s="116">
        <v>1260</v>
      </c>
      <c r="F212" s="116">
        <v>2542.6</v>
      </c>
      <c r="G212">
        <v>35490</v>
      </c>
      <c r="H212" s="116"/>
      <c r="I212" s="116"/>
      <c r="L212" s="170">
        <v>42311</v>
      </c>
      <c r="M212" s="116">
        <v>1271.7249999999999</v>
      </c>
      <c r="N212" s="116">
        <v>1273.9000000000001</v>
      </c>
      <c r="O212" s="116">
        <v>1259.25</v>
      </c>
      <c r="P212" s="116">
        <v>1264</v>
      </c>
      <c r="Q212" s="116">
        <v>2543.4499999999998</v>
      </c>
      <c r="R212">
        <v>682453</v>
      </c>
    </row>
    <row r="213" spans="1:18" x14ac:dyDescent="0.25">
      <c r="A213" s="170">
        <v>42312</v>
      </c>
      <c r="B213" s="116">
        <v>1275.5</v>
      </c>
      <c r="C213" s="116">
        <v>1264.7249999999999</v>
      </c>
      <c r="D213" s="116">
        <v>1260.0999999999999</v>
      </c>
      <c r="E213" s="116">
        <v>1275.5</v>
      </c>
      <c r="F213" s="116">
        <v>2529.4499999999998</v>
      </c>
      <c r="G213">
        <v>29378</v>
      </c>
      <c r="H213" s="116"/>
      <c r="I213" s="116"/>
      <c r="L213" s="170">
        <v>42312</v>
      </c>
      <c r="M213" s="116">
        <v>1266.9000000000001</v>
      </c>
      <c r="N213" s="116">
        <v>1273.5999999999999</v>
      </c>
      <c r="O213" s="116">
        <v>1260</v>
      </c>
      <c r="P213" s="116">
        <v>1272.5</v>
      </c>
      <c r="Q213" s="116">
        <v>2533.8000000000002</v>
      </c>
      <c r="R213">
        <v>495717</v>
      </c>
    </row>
    <row r="214" spans="1:18" x14ac:dyDescent="0.25">
      <c r="A214" s="170">
        <v>42313</v>
      </c>
      <c r="B214" s="116">
        <v>1269.5</v>
      </c>
      <c r="C214" s="116">
        <v>1245.375</v>
      </c>
      <c r="D214" s="116">
        <v>1242.575</v>
      </c>
      <c r="E214" s="116">
        <v>1269.4749999999999</v>
      </c>
      <c r="F214" s="116">
        <v>2490.75</v>
      </c>
      <c r="G214">
        <v>126395</v>
      </c>
      <c r="H214" s="116"/>
      <c r="I214" s="116"/>
      <c r="L214" s="170">
        <v>42313</v>
      </c>
      <c r="M214" s="116">
        <v>1241.325</v>
      </c>
      <c r="N214" s="116">
        <v>1267.4749999999999</v>
      </c>
      <c r="O214" s="116">
        <v>1240</v>
      </c>
      <c r="P214" s="116">
        <v>1265.4000000000001</v>
      </c>
      <c r="Q214" s="116">
        <v>2482.65</v>
      </c>
      <c r="R214">
        <v>798049</v>
      </c>
    </row>
    <row r="215" spans="1:18" x14ac:dyDescent="0.25">
      <c r="A215" s="170">
        <v>42314</v>
      </c>
      <c r="B215" s="116">
        <v>1257.8</v>
      </c>
      <c r="C215" s="116">
        <v>1252.875</v>
      </c>
      <c r="D215" s="116">
        <v>1241.5</v>
      </c>
      <c r="E215" s="116">
        <v>1244</v>
      </c>
      <c r="F215" s="116">
        <v>2505.75</v>
      </c>
      <c r="G215">
        <v>23467</v>
      </c>
      <c r="H215" s="116"/>
      <c r="I215" s="116"/>
      <c r="L215" s="170">
        <v>42314</v>
      </c>
      <c r="M215" s="116">
        <v>1252.875</v>
      </c>
      <c r="N215" s="116">
        <v>1259.125</v>
      </c>
      <c r="O215" s="116">
        <v>1241.7249999999999</v>
      </c>
      <c r="P215" s="116">
        <v>1246</v>
      </c>
      <c r="Q215" s="116">
        <v>2505.75</v>
      </c>
      <c r="R215">
        <v>454012</v>
      </c>
    </row>
    <row r="216" spans="1:18" x14ac:dyDescent="0.25">
      <c r="A216" s="170">
        <v>42317</v>
      </c>
      <c r="B216" s="116">
        <v>1250.3</v>
      </c>
      <c r="C216" s="116">
        <v>1237.5250000000001</v>
      </c>
      <c r="D216" s="116">
        <v>1234.4749999999999</v>
      </c>
      <c r="E216" s="116">
        <v>1242</v>
      </c>
      <c r="F216" s="116">
        <v>2475.0500000000002</v>
      </c>
      <c r="G216">
        <v>121014</v>
      </c>
      <c r="H216" s="116"/>
      <c r="I216" s="116"/>
      <c r="L216" s="170">
        <v>42317</v>
      </c>
      <c r="M216" s="116">
        <v>1235.675</v>
      </c>
      <c r="N216" s="116">
        <v>1251.375</v>
      </c>
      <c r="O216" s="116">
        <v>1234.3</v>
      </c>
      <c r="P216" s="116">
        <v>1247.5</v>
      </c>
      <c r="Q216" s="116">
        <v>2471.35</v>
      </c>
      <c r="R216">
        <v>1010778</v>
      </c>
    </row>
    <row r="217" spans="1:18" x14ac:dyDescent="0.25">
      <c r="A217" s="170">
        <v>42318</v>
      </c>
      <c r="B217" s="116">
        <v>1239</v>
      </c>
      <c r="C217" s="116">
        <v>1230.8499999999999</v>
      </c>
      <c r="D217" s="116">
        <v>1225.75</v>
      </c>
      <c r="E217" s="116">
        <v>1238</v>
      </c>
      <c r="F217" s="116">
        <v>2461.6999999999998</v>
      </c>
      <c r="G217">
        <v>99950</v>
      </c>
      <c r="H217" s="116"/>
      <c r="I217" s="116"/>
      <c r="L217" s="170">
        <v>42318</v>
      </c>
      <c r="M217" s="116">
        <v>1229.075</v>
      </c>
      <c r="N217" s="116">
        <v>1238.5</v>
      </c>
      <c r="O217" s="116">
        <v>1225</v>
      </c>
      <c r="P217" s="116">
        <v>1236.4749999999999</v>
      </c>
      <c r="Q217" s="116">
        <v>2458.15</v>
      </c>
      <c r="R217">
        <v>680960</v>
      </c>
    </row>
    <row r="218" spans="1:18" x14ac:dyDescent="0.25">
      <c r="A218" s="170">
        <v>42319</v>
      </c>
      <c r="B218" s="116">
        <v>1240.1500000000001</v>
      </c>
      <c r="C218" s="116">
        <v>1235.2750000000001</v>
      </c>
      <c r="D218" s="116">
        <v>1228.4000000000001</v>
      </c>
      <c r="E218" s="116">
        <v>1235.5</v>
      </c>
      <c r="F218" s="116">
        <v>2470.5500000000002</v>
      </c>
      <c r="G218">
        <v>16453</v>
      </c>
      <c r="H218" s="116"/>
      <c r="I218" s="116"/>
      <c r="L218" s="170">
        <v>42319</v>
      </c>
      <c r="M218" s="116">
        <v>1234.4000000000001</v>
      </c>
      <c r="N218" s="116">
        <v>1237.5</v>
      </c>
      <c r="O218" s="116">
        <v>1225</v>
      </c>
      <c r="P218" s="116">
        <v>1237.5</v>
      </c>
      <c r="Q218" s="116">
        <v>2468.8000000000002</v>
      </c>
      <c r="R218">
        <v>67582</v>
      </c>
    </row>
    <row r="219" spans="1:18" x14ac:dyDescent="0.25">
      <c r="A219" s="170">
        <v>42321</v>
      </c>
      <c r="B219" s="116">
        <v>1232.5</v>
      </c>
      <c r="C219" s="116">
        <v>1198.6500000000001</v>
      </c>
      <c r="D219" s="116">
        <v>1193.8499999999999</v>
      </c>
      <c r="E219" s="116">
        <v>1232.5</v>
      </c>
      <c r="F219" s="116">
        <v>2397.3000000000002</v>
      </c>
      <c r="G219">
        <v>105381</v>
      </c>
      <c r="H219" s="116"/>
      <c r="I219" s="116"/>
      <c r="L219" s="170">
        <v>42321</v>
      </c>
      <c r="M219" s="116">
        <v>1198.7</v>
      </c>
      <c r="N219" s="116">
        <v>1219.0250000000001</v>
      </c>
      <c r="O219" s="116">
        <v>1193.2750000000001</v>
      </c>
      <c r="P219" s="116">
        <v>1219.0250000000001</v>
      </c>
      <c r="Q219" s="116">
        <v>2397.4</v>
      </c>
      <c r="R219">
        <v>1371616</v>
      </c>
    </row>
    <row r="220" spans="1:18" x14ac:dyDescent="0.25">
      <c r="A220" s="170">
        <v>42324</v>
      </c>
      <c r="B220" s="116">
        <v>1200</v>
      </c>
      <c r="C220" s="116">
        <v>1187.45</v>
      </c>
      <c r="D220" s="116">
        <v>1177.5</v>
      </c>
      <c r="E220" s="116">
        <v>1200</v>
      </c>
      <c r="F220" s="116">
        <v>2374.9</v>
      </c>
      <c r="G220">
        <v>71430</v>
      </c>
      <c r="H220" s="116"/>
      <c r="I220" s="116"/>
      <c r="L220" s="170">
        <v>42324</v>
      </c>
      <c r="M220" s="116">
        <v>1187.3</v>
      </c>
      <c r="N220" s="116">
        <v>1195</v>
      </c>
      <c r="O220" s="116">
        <v>1178</v>
      </c>
      <c r="P220" s="116">
        <v>1195</v>
      </c>
      <c r="Q220" s="116">
        <v>2374.6</v>
      </c>
      <c r="R220">
        <v>1021764</v>
      </c>
    </row>
    <row r="221" spans="1:18" x14ac:dyDescent="0.25">
      <c r="A221" s="170">
        <v>42325</v>
      </c>
      <c r="B221" s="116">
        <v>1199.2249999999999</v>
      </c>
      <c r="C221" s="116">
        <v>1195.25</v>
      </c>
      <c r="D221" s="116">
        <v>1187.875</v>
      </c>
      <c r="E221" s="116">
        <v>1190.5</v>
      </c>
      <c r="F221" s="116">
        <v>2390.5</v>
      </c>
      <c r="G221">
        <v>54030</v>
      </c>
      <c r="H221" s="116"/>
      <c r="I221" s="116"/>
      <c r="L221" s="170">
        <v>42325</v>
      </c>
      <c r="M221" s="116">
        <v>1195.2750000000001</v>
      </c>
      <c r="N221" s="116">
        <v>1199.2249999999999</v>
      </c>
      <c r="O221" s="116">
        <v>1187.5</v>
      </c>
      <c r="P221" s="116">
        <v>1190.25</v>
      </c>
      <c r="Q221" s="116">
        <v>2390.5500000000002</v>
      </c>
      <c r="R221">
        <v>992514</v>
      </c>
    </row>
    <row r="222" spans="1:18" x14ac:dyDescent="0.25">
      <c r="A222" s="170">
        <v>42326</v>
      </c>
      <c r="B222" s="116">
        <v>1195.2750000000001</v>
      </c>
      <c r="C222" s="116">
        <v>1175.95</v>
      </c>
      <c r="D222" s="116">
        <v>1173.4749999999999</v>
      </c>
      <c r="E222" s="116">
        <v>1195.2750000000001</v>
      </c>
      <c r="F222" s="116">
        <v>2351.9</v>
      </c>
      <c r="G222">
        <v>96538</v>
      </c>
      <c r="H222" s="116"/>
      <c r="I222" s="116"/>
      <c r="L222" s="170">
        <v>42326</v>
      </c>
      <c r="M222" s="116">
        <v>1175.7249999999999</v>
      </c>
      <c r="N222" s="116">
        <v>1194.45</v>
      </c>
      <c r="O222" s="116">
        <v>1173</v>
      </c>
      <c r="P222" s="116">
        <v>1194.45</v>
      </c>
      <c r="Q222" s="116">
        <v>2351.4499999999998</v>
      </c>
      <c r="R222">
        <v>760176</v>
      </c>
    </row>
    <row r="223" spans="1:18" x14ac:dyDescent="0.25">
      <c r="A223" s="170">
        <v>42327</v>
      </c>
      <c r="B223" s="116">
        <v>1190.625</v>
      </c>
      <c r="C223" s="116">
        <v>1181.5999999999999</v>
      </c>
      <c r="D223" s="116">
        <v>1176.0250000000001</v>
      </c>
      <c r="E223" s="116">
        <v>1185</v>
      </c>
      <c r="F223" s="116">
        <v>2363.1999999999998</v>
      </c>
      <c r="G223">
        <v>158278</v>
      </c>
      <c r="H223" s="116"/>
      <c r="I223" s="116"/>
      <c r="L223" s="170">
        <v>42327</v>
      </c>
      <c r="M223" s="116">
        <v>1181.2750000000001</v>
      </c>
      <c r="N223" s="116">
        <v>1190.8</v>
      </c>
      <c r="O223" s="116">
        <v>1176</v>
      </c>
      <c r="P223" s="116">
        <v>1182.675</v>
      </c>
      <c r="Q223" s="116">
        <v>2362.5500000000002</v>
      </c>
      <c r="R223">
        <v>933453</v>
      </c>
    </row>
    <row r="224" spans="1:18" x14ac:dyDescent="0.25">
      <c r="A224" s="170">
        <v>42328</v>
      </c>
      <c r="B224" s="116">
        <v>1211</v>
      </c>
      <c r="C224" s="116">
        <v>1197.7750000000001</v>
      </c>
      <c r="D224" s="116">
        <v>1182</v>
      </c>
      <c r="E224" s="116">
        <v>1182.05</v>
      </c>
      <c r="F224" s="116">
        <v>2395.5500000000002</v>
      </c>
      <c r="G224">
        <v>50816</v>
      </c>
      <c r="H224" s="116"/>
      <c r="I224" s="116"/>
      <c r="L224" s="170">
        <v>42328</v>
      </c>
      <c r="M224" s="116">
        <v>1199.175</v>
      </c>
      <c r="N224" s="116">
        <v>1211.7750000000001</v>
      </c>
      <c r="O224" s="116">
        <v>1180.9749999999999</v>
      </c>
      <c r="P224" s="116">
        <v>1183.25</v>
      </c>
      <c r="Q224" s="116">
        <v>2398.35</v>
      </c>
      <c r="R224">
        <v>1006063</v>
      </c>
    </row>
    <row r="225" spans="1:18" x14ac:dyDescent="0.25">
      <c r="A225" s="170">
        <v>42331</v>
      </c>
      <c r="B225" s="116">
        <v>1206.95</v>
      </c>
      <c r="C225" s="116">
        <v>1195.8499999999999</v>
      </c>
      <c r="D225" s="116">
        <v>1192.075</v>
      </c>
      <c r="E225" s="116">
        <v>1206.95</v>
      </c>
      <c r="F225" s="116">
        <v>2391.6999999999998</v>
      </c>
      <c r="G225">
        <v>31124</v>
      </c>
      <c r="H225" s="116"/>
      <c r="I225" s="116"/>
      <c r="L225" s="170">
        <v>42331</v>
      </c>
      <c r="M225" s="116">
        <v>1195.5250000000001</v>
      </c>
      <c r="N225" s="116">
        <v>1206.7</v>
      </c>
      <c r="O225" s="116">
        <v>1191.125</v>
      </c>
      <c r="P225" s="116">
        <v>1202.6500000000001</v>
      </c>
      <c r="Q225" s="116">
        <v>2391.0500000000002</v>
      </c>
      <c r="R225">
        <v>544041</v>
      </c>
    </row>
    <row r="226" spans="1:18" x14ac:dyDescent="0.25">
      <c r="A226" s="170">
        <v>42332</v>
      </c>
      <c r="B226" s="116">
        <v>1195.95</v>
      </c>
      <c r="C226" s="116">
        <v>1185.05</v>
      </c>
      <c r="D226" s="116">
        <v>1182.5</v>
      </c>
      <c r="E226" s="116">
        <v>1194</v>
      </c>
      <c r="F226" s="116">
        <v>2370.1</v>
      </c>
      <c r="G226">
        <v>27876</v>
      </c>
      <c r="H226" s="116"/>
      <c r="I226" s="116"/>
      <c r="L226" s="170">
        <v>42332</v>
      </c>
      <c r="M226" s="116">
        <v>1183.9749999999999</v>
      </c>
      <c r="N226" s="116">
        <v>1196.2249999999999</v>
      </c>
      <c r="O226" s="116">
        <v>1182.75</v>
      </c>
      <c r="P226" s="116">
        <v>1190.0250000000001</v>
      </c>
      <c r="Q226" s="116">
        <v>2367.9499999999998</v>
      </c>
      <c r="R226">
        <v>499320</v>
      </c>
    </row>
    <row r="227" spans="1:18" x14ac:dyDescent="0.25">
      <c r="A227" s="170">
        <v>42334</v>
      </c>
      <c r="B227" s="116">
        <v>1190.9000000000001</v>
      </c>
      <c r="C227" s="116">
        <v>1172.575</v>
      </c>
      <c r="D227" s="116">
        <v>1169</v>
      </c>
      <c r="E227" s="116">
        <v>1186</v>
      </c>
      <c r="F227" s="116">
        <v>2345.15</v>
      </c>
      <c r="G227">
        <v>44691</v>
      </c>
      <c r="H227" s="116"/>
      <c r="I227" s="116"/>
      <c r="L227" s="170">
        <v>42334</v>
      </c>
      <c r="M227" s="116">
        <v>1172.7750000000001</v>
      </c>
      <c r="N227" s="116">
        <v>1191.2</v>
      </c>
      <c r="O227" s="116">
        <v>1168.925</v>
      </c>
      <c r="P227" s="116">
        <v>1188.95</v>
      </c>
      <c r="Q227" s="116">
        <v>2345.5500000000002</v>
      </c>
      <c r="R227">
        <v>1457646</v>
      </c>
    </row>
    <row r="228" spans="1:18" x14ac:dyDescent="0.25">
      <c r="A228" s="170">
        <v>42335</v>
      </c>
      <c r="B228" s="116">
        <v>1178.95</v>
      </c>
      <c r="C228" s="116">
        <v>1176.325</v>
      </c>
      <c r="D228" s="116">
        <v>1166.5</v>
      </c>
      <c r="E228" s="116">
        <v>1173</v>
      </c>
      <c r="F228" s="116">
        <v>2352.65</v>
      </c>
      <c r="G228">
        <v>64834</v>
      </c>
      <c r="H228" s="116"/>
      <c r="I228" s="116"/>
      <c r="L228" s="170">
        <v>42335</v>
      </c>
      <c r="M228" s="116">
        <v>1176.675</v>
      </c>
      <c r="N228" s="116">
        <v>1179.7249999999999</v>
      </c>
      <c r="O228" s="116">
        <v>1166.25</v>
      </c>
      <c r="P228" s="116">
        <v>1174</v>
      </c>
      <c r="Q228" s="116">
        <v>2353.35</v>
      </c>
      <c r="R228">
        <v>868603</v>
      </c>
    </row>
    <row r="229" spans="1:18" x14ac:dyDescent="0.25">
      <c r="A229" s="170">
        <v>42338</v>
      </c>
      <c r="B229" s="116">
        <v>1190.6500000000001</v>
      </c>
      <c r="C229" s="116">
        <v>1182.625</v>
      </c>
      <c r="D229" s="116">
        <v>1176</v>
      </c>
      <c r="E229" s="116">
        <v>1180</v>
      </c>
      <c r="F229" s="116">
        <v>2365.25</v>
      </c>
      <c r="G229">
        <v>44626</v>
      </c>
      <c r="H229" s="116"/>
      <c r="I229" s="116"/>
      <c r="L229" s="170">
        <v>42338</v>
      </c>
      <c r="M229" s="116">
        <v>1182.3499999999999</v>
      </c>
      <c r="N229" s="116">
        <v>1195.625</v>
      </c>
      <c r="O229" s="116">
        <v>1175.075</v>
      </c>
      <c r="P229" s="116">
        <v>1182.5</v>
      </c>
      <c r="Q229" s="116">
        <v>2364.6999999999998</v>
      </c>
      <c r="R229">
        <v>2050024</v>
      </c>
    </row>
    <row r="230" spans="1:18" x14ac:dyDescent="0.25">
      <c r="A230" s="170">
        <v>42339</v>
      </c>
      <c r="B230" s="116">
        <v>1189.2</v>
      </c>
      <c r="C230" s="116">
        <v>1181.075</v>
      </c>
      <c r="D230" s="116">
        <v>1178.5999999999999</v>
      </c>
      <c r="E230" s="116">
        <v>1182.5</v>
      </c>
      <c r="F230" s="116">
        <v>2362.15</v>
      </c>
      <c r="G230">
        <v>44717</v>
      </c>
      <c r="H230" s="116"/>
      <c r="I230" s="116"/>
      <c r="L230" s="170">
        <v>42339</v>
      </c>
      <c r="M230" s="116">
        <v>1180.95</v>
      </c>
      <c r="N230" s="116">
        <v>1189.0250000000001</v>
      </c>
      <c r="O230" s="116">
        <v>1178.5250000000001</v>
      </c>
      <c r="P230" s="116">
        <v>1181.45</v>
      </c>
      <c r="Q230" s="116">
        <v>2361.9</v>
      </c>
      <c r="R230">
        <v>860997</v>
      </c>
    </row>
    <row r="231" spans="1:18" x14ac:dyDescent="0.25">
      <c r="A231" s="170">
        <v>42340</v>
      </c>
      <c r="B231" s="116">
        <v>1185.4749999999999</v>
      </c>
      <c r="C231" s="116">
        <v>1182.625</v>
      </c>
      <c r="D231" s="116">
        <v>1174.5</v>
      </c>
      <c r="E231" s="116">
        <v>1183.5</v>
      </c>
      <c r="F231" s="116">
        <v>2365.25</v>
      </c>
      <c r="G231">
        <v>41423</v>
      </c>
      <c r="H231" s="116"/>
      <c r="I231" s="116"/>
      <c r="L231" s="170">
        <v>42340</v>
      </c>
      <c r="M231" s="116">
        <v>1182.5999999999999</v>
      </c>
      <c r="N231" s="116">
        <v>1189.05</v>
      </c>
      <c r="O231" s="116">
        <v>1173.25</v>
      </c>
      <c r="P231" s="116">
        <v>1189</v>
      </c>
      <c r="Q231" s="116">
        <v>2365.1999999999998</v>
      </c>
      <c r="R231">
        <v>820148</v>
      </c>
    </row>
    <row r="232" spans="1:18" x14ac:dyDescent="0.25">
      <c r="A232" s="170">
        <v>42341</v>
      </c>
      <c r="B232" s="116">
        <v>1186.2750000000001</v>
      </c>
      <c r="C232" s="116">
        <v>1175.425</v>
      </c>
      <c r="D232" s="116">
        <v>1173.75</v>
      </c>
      <c r="E232" s="116">
        <v>1183</v>
      </c>
      <c r="F232" s="116">
        <v>2350.85</v>
      </c>
      <c r="G232">
        <v>68289</v>
      </c>
      <c r="H232" s="116"/>
      <c r="I232" s="116"/>
      <c r="L232" s="170">
        <v>42341</v>
      </c>
      <c r="M232" s="116">
        <v>1175.375</v>
      </c>
      <c r="N232" s="116">
        <v>1186.5</v>
      </c>
      <c r="O232" s="116">
        <v>1173.5</v>
      </c>
      <c r="P232" s="116">
        <v>1180</v>
      </c>
      <c r="Q232" s="116">
        <v>2350.75</v>
      </c>
      <c r="R232">
        <v>1141679</v>
      </c>
    </row>
    <row r="233" spans="1:18" x14ac:dyDescent="0.25">
      <c r="A233" s="170">
        <v>42342</v>
      </c>
      <c r="B233" s="116">
        <v>1170</v>
      </c>
      <c r="C233" s="116">
        <v>1165.075</v>
      </c>
      <c r="D233" s="116">
        <v>1161</v>
      </c>
      <c r="E233" s="116">
        <v>1169.9000000000001</v>
      </c>
      <c r="F233" s="116">
        <v>2330.15</v>
      </c>
      <c r="G233">
        <v>82409</v>
      </c>
      <c r="H233" s="116"/>
      <c r="I233" s="116"/>
      <c r="L233" s="170">
        <v>42342</v>
      </c>
      <c r="M233" s="116">
        <v>1164.2</v>
      </c>
      <c r="N233" s="116">
        <v>1173.6500000000001</v>
      </c>
      <c r="O233" s="116">
        <v>1160.55</v>
      </c>
      <c r="P233" s="116">
        <v>1170</v>
      </c>
      <c r="Q233" s="116">
        <v>2328.4</v>
      </c>
      <c r="R233">
        <v>623046</v>
      </c>
    </row>
    <row r="234" spans="1:18" x14ac:dyDescent="0.25">
      <c r="A234" s="170">
        <v>42345</v>
      </c>
      <c r="B234" s="116">
        <v>1172.5</v>
      </c>
      <c r="C234" s="116">
        <v>1162.05</v>
      </c>
      <c r="D234" s="116">
        <v>1158.325</v>
      </c>
      <c r="E234" s="116">
        <v>1165.5</v>
      </c>
      <c r="F234" s="116">
        <v>2324.1</v>
      </c>
      <c r="G234">
        <v>81046</v>
      </c>
      <c r="H234" s="116"/>
      <c r="I234" s="116"/>
      <c r="L234" s="170">
        <v>42345</v>
      </c>
      <c r="M234" s="116">
        <v>1159.9000000000001</v>
      </c>
      <c r="N234" s="116">
        <v>1171.95</v>
      </c>
      <c r="O234" s="116">
        <v>1157.625</v>
      </c>
      <c r="P234" s="116">
        <v>1166.0999999999999</v>
      </c>
      <c r="Q234" s="116">
        <v>2319.8000000000002</v>
      </c>
      <c r="R234">
        <v>691302</v>
      </c>
    </row>
    <row r="235" spans="1:18" x14ac:dyDescent="0.25">
      <c r="A235" s="170">
        <v>42346</v>
      </c>
      <c r="B235" s="116">
        <v>1174.25</v>
      </c>
      <c r="C235" s="116">
        <v>1164.75</v>
      </c>
      <c r="D235" s="116">
        <v>1159</v>
      </c>
      <c r="E235" s="116">
        <v>1161.5</v>
      </c>
      <c r="F235" s="116">
        <v>2329.5</v>
      </c>
      <c r="G235">
        <v>106411</v>
      </c>
      <c r="H235" s="116"/>
      <c r="I235" s="116"/>
      <c r="L235" s="170">
        <v>42346</v>
      </c>
      <c r="M235" s="116">
        <v>1164.5</v>
      </c>
      <c r="N235" s="116">
        <v>1174.5</v>
      </c>
      <c r="O235" s="116">
        <v>1158.6500000000001</v>
      </c>
      <c r="P235" s="116">
        <v>1159.7</v>
      </c>
      <c r="Q235" s="116">
        <v>2329</v>
      </c>
      <c r="R235">
        <v>569982</v>
      </c>
    </row>
    <row r="236" spans="1:18" x14ac:dyDescent="0.25">
      <c r="A236" s="170">
        <v>42347</v>
      </c>
      <c r="B236" s="116">
        <v>1185.5</v>
      </c>
      <c r="C236" s="116">
        <v>1182.8499999999999</v>
      </c>
      <c r="D236" s="116">
        <v>1160.2750000000001</v>
      </c>
      <c r="E236" s="116">
        <v>1165</v>
      </c>
      <c r="F236" s="116">
        <v>2365.6999999999998</v>
      </c>
      <c r="G236">
        <v>86071</v>
      </c>
      <c r="H236" s="116"/>
      <c r="I236" s="116"/>
      <c r="L236" s="170">
        <v>42347</v>
      </c>
      <c r="M236" s="116">
        <v>1183.825</v>
      </c>
      <c r="N236" s="116">
        <v>1186.4000000000001</v>
      </c>
      <c r="O236" s="116">
        <v>1160</v>
      </c>
      <c r="P236" s="116">
        <v>1168.95</v>
      </c>
      <c r="Q236" s="116">
        <v>2367.65</v>
      </c>
      <c r="R236">
        <v>2641403</v>
      </c>
    </row>
    <row r="237" spans="1:18" x14ac:dyDescent="0.25">
      <c r="A237" s="170">
        <v>42348</v>
      </c>
      <c r="B237" s="116">
        <v>1196.2</v>
      </c>
      <c r="C237" s="116">
        <v>1190.375</v>
      </c>
      <c r="D237" s="116">
        <v>1176.75</v>
      </c>
      <c r="E237" s="116">
        <v>1185</v>
      </c>
      <c r="F237" s="116">
        <v>2380.75</v>
      </c>
      <c r="G237">
        <v>54258</v>
      </c>
      <c r="H237" s="116"/>
      <c r="I237" s="116"/>
      <c r="L237" s="170">
        <v>42348</v>
      </c>
      <c r="M237" s="116">
        <v>1192.2750000000001</v>
      </c>
      <c r="N237" s="116">
        <v>1195.5999999999999</v>
      </c>
      <c r="O237" s="116">
        <v>1176</v>
      </c>
      <c r="P237" s="116">
        <v>1184.5</v>
      </c>
      <c r="Q237" s="116">
        <v>2384.5500000000002</v>
      </c>
      <c r="R237">
        <v>861994</v>
      </c>
    </row>
    <row r="238" spans="1:18" x14ac:dyDescent="0.25">
      <c r="A238" s="170">
        <v>42349</v>
      </c>
      <c r="B238" s="116">
        <v>1197.5</v>
      </c>
      <c r="C238" s="116">
        <v>1193.625</v>
      </c>
      <c r="D238" s="116">
        <v>1181.5250000000001</v>
      </c>
      <c r="E238" s="116">
        <v>1197.5</v>
      </c>
      <c r="F238" s="116">
        <v>2387.25</v>
      </c>
      <c r="G238">
        <v>53536</v>
      </c>
      <c r="H238" s="116"/>
      <c r="I238" s="116"/>
      <c r="L238" s="170">
        <v>42349</v>
      </c>
      <c r="M238" s="116">
        <v>1193</v>
      </c>
      <c r="N238" s="116">
        <v>1195.9749999999999</v>
      </c>
      <c r="O238" s="116">
        <v>1181.625</v>
      </c>
      <c r="P238" s="116">
        <v>1191.5</v>
      </c>
      <c r="Q238" s="116">
        <v>2386</v>
      </c>
      <c r="R238">
        <v>826189</v>
      </c>
    </row>
    <row r="239" spans="1:18" x14ac:dyDescent="0.25">
      <c r="A239" s="170">
        <v>42352</v>
      </c>
      <c r="B239" s="116">
        <v>1192.2249999999999</v>
      </c>
      <c r="C239" s="116">
        <v>1188.7249999999999</v>
      </c>
      <c r="D239" s="116">
        <v>1167.5</v>
      </c>
      <c r="E239" s="116">
        <v>1172.45</v>
      </c>
      <c r="F239" s="116">
        <v>2377.4499999999998</v>
      </c>
      <c r="G239">
        <v>134951</v>
      </c>
      <c r="H239" s="116"/>
      <c r="I239" s="116"/>
      <c r="L239" s="170">
        <v>42352</v>
      </c>
      <c r="M239" s="116">
        <v>1189.2249999999999</v>
      </c>
      <c r="N239" s="116">
        <v>1193.5</v>
      </c>
      <c r="O239" s="116">
        <v>1165.3</v>
      </c>
      <c r="P239" s="116">
        <v>1167.5999999999999</v>
      </c>
      <c r="Q239" s="116">
        <v>2378.4499999999998</v>
      </c>
      <c r="R239">
        <v>1359266</v>
      </c>
    </row>
    <row r="240" spans="1:18" x14ac:dyDescent="0.25">
      <c r="A240" s="170">
        <v>42353</v>
      </c>
      <c r="B240" s="116">
        <v>1192.45</v>
      </c>
      <c r="C240" s="116">
        <v>1187.5999999999999</v>
      </c>
      <c r="D240" s="116">
        <v>1182.8499999999999</v>
      </c>
      <c r="E240" s="116">
        <v>1190</v>
      </c>
      <c r="F240" s="116">
        <v>2375.1999999999998</v>
      </c>
      <c r="G240">
        <v>26963</v>
      </c>
      <c r="H240" s="116"/>
      <c r="I240" s="116"/>
      <c r="L240" s="170">
        <v>42353</v>
      </c>
      <c r="M240" s="116">
        <v>1187.925</v>
      </c>
      <c r="N240" s="116">
        <v>1192.5</v>
      </c>
      <c r="O240" s="116">
        <v>1181.5250000000001</v>
      </c>
      <c r="P240" s="116">
        <v>1189.2249999999999</v>
      </c>
      <c r="Q240" s="116">
        <v>2375.85</v>
      </c>
      <c r="R240">
        <v>567934</v>
      </c>
    </row>
    <row r="241" spans="1:18" x14ac:dyDescent="0.25">
      <c r="A241" s="170">
        <v>42354</v>
      </c>
      <c r="B241" s="116">
        <v>1207.2750000000001</v>
      </c>
      <c r="C241" s="116">
        <v>1203.55</v>
      </c>
      <c r="D241" s="116">
        <v>1192.8499999999999</v>
      </c>
      <c r="E241" s="116">
        <v>1198.9749999999999</v>
      </c>
      <c r="F241" s="116">
        <v>2407.1</v>
      </c>
      <c r="G241">
        <v>126420</v>
      </c>
      <c r="H241" s="116"/>
      <c r="I241" s="116"/>
      <c r="L241" s="170">
        <v>42354</v>
      </c>
      <c r="M241" s="116">
        <v>1204.2</v>
      </c>
      <c r="N241" s="116">
        <v>1207.25</v>
      </c>
      <c r="O241" s="116">
        <v>1192</v>
      </c>
      <c r="P241" s="116">
        <v>1192</v>
      </c>
      <c r="Q241" s="116">
        <v>2408.4</v>
      </c>
      <c r="R241">
        <v>717967</v>
      </c>
    </row>
    <row r="242" spans="1:18" x14ac:dyDescent="0.25">
      <c r="A242" s="170">
        <v>42355</v>
      </c>
      <c r="B242" s="116">
        <v>1222.875</v>
      </c>
      <c r="C242" s="116">
        <v>1220.175</v>
      </c>
      <c r="D242" s="116">
        <v>1197.5999999999999</v>
      </c>
      <c r="E242" s="116">
        <v>1210</v>
      </c>
      <c r="F242" s="116">
        <v>2440.35</v>
      </c>
      <c r="G242">
        <v>68562</v>
      </c>
      <c r="H242" s="116"/>
      <c r="I242" s="116"/>
      <c r="L242" s="170">
        <v>42355</v>
      </c>
      <c r="M242" s="116">
        <v>1219.875</v>
      </c>
      <c r="N242" s="116">
        <v>1222.5</v>
      </c>
      <c r="O242" s="116">
        <v>1196.675</v>
      </c>
      <c r="P242" s="116">
        <v>1207.5</v>
      </c>
      <c r="Q242" s="116">
        <v>2439.75</v>
      </c>
      <c r="R242">
        <v>809422</v>
      </c>
    </row>
    <row r="243" spans="1:18" x14ac:dyDescent="0.25">
      <c r="A243" s="170">
        <v>42356</v>
      </c>
      <c r="B243" s="116">
        <v>1218.7750000000001</v>
      </c>
      <c r="C243" s="116">
        <v>1208.2249999999999</v>
      </c>
      <c r="D243" s="116">
        <v>1201.575</v>
      </c>
      <c r="E243" s="116">
        <v>1218.7750000000001</v>
      </c>
      <c r="F243" s="116">
        <v>2416.4499999999998</v>
      </c>
      <c r="G243">
        <v>160064</v>
      </c>
      <c r="H243" s="116"/>
      <c r="I243" s="116"/>
      <c r="L243" s="170">
        <v>42356</v>
      </c>
      <c r="M243" s="116">
        <v>1208.4000000000001</v>
      </c>
      <c r="N243" s="116">
        <v>1217.0999999999999</v>
      </c>
      <c r="O243" s="116">
        <v>1200.325</v>
      </c>
      <c r="P243" s="116">
        <v>1210</v>
      </c>
      <c r="Q243" s="116">
        <v>2416.8000000000002</v>
      </c>
      <c r="R243">
        <v>1512485</v>
      </c>
    </row>
    <row r="244" spans="1:18" x14ac:dyDescent="0.25">
      <c r="A244" s="170">
        <v>42359</v>
      </c>
      <c r="B244" s="116">
        <v>1224</v>
      </c>
      <c r="C244" s="116">
        <v>1220.4749999999999</v>
      </c>
      <c r="D244" s="116">
        <v>1203.7249999999999</v>
      </c>
      <c r="E244" s="116">
        <v>1205</v>
      </c>
      <c r="F244" s="116">
        <v>2440.9499999999998</v>
      </c>
      <c r="G244">
        <v>36528</v>
      </c>
      <c r="H244" s="116"/>
      <c r="I244" s="116"/>
      <c r="L244" s="170">
        <v>42359</v>
      </c>
      <c r="M244" s="116">
        <v>1223.2</v>
      </c>
      <c r="N244" s="116">
        <v>1225</v>
      </c>
      <c r="O244" s="116">
        <v>1203.425</v>
      </c>
      <c r="P244" s="116">
        <v>1209.9749999999999</v>
      </c>
      <c r="Q244" s="116">
        <v>2446.4</v>
      </c>
      <c r="R244">
        <v>805052</v>
      </c>
    </row>
    <row r="245" spans="1:18" x14ac:dyDescent="0.25">
      <c r="A245" s="170">
        <v>42360</v>
      </c>
      <c r="B245" s="116">
        <v>1220.5250000000001</v>
      </c>
      <c r="C245" s="116">
        <v>1202.9749999999999</v>
      </c>
      <c r="D245" s="116">
        <v>1200.25</v>
      </c>
      <c r="E245" s="116">
        <v>1220.5250000000001</v>
      </c>
      <c r="F245" s="116">
        <v>2405.9499999999998</v>
      </c>
      <c r="G245">
        <v>34966</v>
      </c>
      <c r="H245" s="116"/>
      <c r="I245" s="116"/>
      <c r="L245" s="170">
        <v>42360</v>
      </c>
      <c r="M245" s="116">
        <v>1202.5250000000001</v>
      </c>
      <c r="N245" s="116">
        <v>1220</v>
      </c>
      <c r="O245" s="116">
        <v>1200</v>
      </c>
      <c r="P245" s="116">
        <v>1220</v>
      </c>
      <c r="Q245" s="116">
        <v>2405.0500000000002</v>
      </c>
      <c r="R245">
        <v>780429</v>
      </c>
    </row>
    <row r="246" spans="1:18" x14ac:dyDescent="0.25">
      <c r="A246" s="170">
        <v>42361</v>
      </c>
      <c r="B246" s="116">
        <v>1217.5</v>
      </c>
      <c r="C246" s="116">
        <v>1210.2</v>
      </c>
      <c r="D246" s="116">
        <v>1205</v>
      </c>
      <c r="E246" s="116">
        <v>1205.675</v>
      </c>
      <c r="F246" s="116">
        <v>2420.4</v>
      </c>
      <c r="G246">
        <v>24183</v>
      </c>
      <c r="H246" s="116"/>
      <c r="I246" s="116"/>
      <c r="L246" s="170">
        <v>42361</v>
      </c>
      <c r="M246" s="116">
        <v>1212.9000000000001</v>
      </c>
      <c r="N246" s="116">
        <v>1217.5</v>
      </c>
      <c r="O246" s="116">
        <v>1205.2750000000001</v>
      </c>
      <c r="P246" s="116">
        <v>1207.5</v>
      </c>
      <c r="Q246" s="116">
        <v>2425.8000000000002</v>
      </c>
      <c r="R246">
        <v>424917</v>
      </c>
    </row>
    <row r="247" spans="1:18" x14ac:dyDescent="0.25">
      <c r="A247" s="170">
        <v>42362</v>
      </c>
      <c r="B247" s="116">
        <v>1217.9749999999999</v>
      </c>
      <c r="C247" s="116">
        <v>1216.675</v>
      </c>
      <c r="D247" s="116">
        <v>1201.9000000000001</v>
      </c>
      <c r="E247" s="116">
        <v>1210</v>
      </c>
      <c r="F247" s="116">
        <v>2433.35</v>
      </c>
      <c r="G247">
        <v>19196</v>
      </c>
      <c r="H247" s="116"/>
      <c r="I247" s="116"/>
      <c r="L247" s="170">
        <v>42362</v>
      </c>
      <c r="M247" s="116">
        <v>1217.125</v>
      </c>
      <c r="N247" s="116">
        <v>1219.0999999999999</v>
      </c>
      <c r="O247" s="116">
        <v>1202</v>
      </c>
      <c r="P247" s="116">
        <v>1210.5</v>
      </c>
      <c r="Q247" s="116">
        <v>2434.25</v>
      </c>
      <c r="R247">
        <v>421580</v>
      </c>
    </row>
    <row r="248" spans="1:18" x14ac:dyDescent="0.25">
      <c r="A248" s="170">
        <v>42366</v>
      </c>
      <c r="B248" s="116">
        <v>1231.45</v>
      </c>
      <c r="C248" s="116">
        <v>1229.25</v>
      </c>
      <c r="D248" s="116">
        <v>1211</v>
      </c>
      <c r="E248" s="116">
        <v>1211</v>
      </c>
      <c r="F248" s="116">
        <v>2458.5</v>
      </c>
      <c r="G248">
        <v>207432</v>
      </c>
      <c r="H248" s="116"/>
      <c r="I248" s="116"/>
      <c r="L248" s="170">
        <v>42366</v>
      </c>
      <c r="M248" s="116">
        <v>1231.3499999999999</v>
      </c>
      <c r="N248" s="116">
        <v>1233.2</v>
      </c>
      <c r="O248" s="116">
        <v>1210.0999999999999</v>
      </c>
      <c r="P248" s="116">
        <v>1214</v>
      </c>
      <c r="Q248" s="116">
        <v>2462.6999999999998</v>
      </c>
      <c r="R248">
        <v>1852099</v>
      </c>
    </row>
    <row r="249" spans="1:18" x14ac:dyDescent="0.25">
      <c r="A249" s="170">
        <v>42367</v>
      </c>
      <c r="B249" s="116">
        <v>1232.25</v>
      </c>
      <c r="C249" s="116">
        <v>1225.9749999999999</v>
      </c>
      <c r="D249" s="116">
        <v>1222.5</v>
      </c>
      <c r="E249" s="116">
        <v>1230</v>
      </c>
      <c r="F249" s="116">
        <v>2451.9499999999998</v>
      </c>
      <c r="G249">
        <v>24100</v>
      </c>
      <c r="H249" s="116"/>
      <c r="I249" s="116"/>
      <c r="L249" s="170">
        <v>42367</v>
      </c>
      <c r="M249" s="116">
        <v>1227.9000000000001</v>
      </c>
      <c r="N249" s="116">
        <v>1232.6500000000001</v>
      </c>
      <c r="O249" s="116">
        <v>1222.875</v>
      </c>
      <c r="P249" s="116">
        <v>1229.175</v>
      </c>
      <c r="Q249" s="116">
        <v>2455.8000000000002</v>
      </c>
      <c r="R249">
        <v>854262</v>
      </c>
    </row>
    <row r="250" spans="1:18" x14ac:dyDescent="0.25">
      <c r="A250" s="170">
        <v>42368</v>
      </c>
      <c r="B250" s="116">
        <v>1228.5</v>
      </c>
      <c r="C250" s="116">
        <v>1209.2</v>
      </c>
      <c r="D250" s="116">
        <v>1206.5</v>
      </c>
      <c r="E250" s="116">
        <v>1226</v>
      </c>
      <c r="F250" s="116">
        <v>2418.4</v>
      </c>
      <c r="G250">
        <v>27404</v>
      </c>
      <c r="H250" s="116"/>
      <c r="I250" s="116"/>
      <c r="L250" s="170">
        <v>42368</v>
      </c>
      <c r="M250" s="116">
        <v>1209.1500000000001</v>
      </c>
      <c r="N250" s="116">
        <v>1229.5</v>
      </c>
      <c r="O250" s="116">
        <v>1206.1500000000001</v>
      </c>
      <c r="P250" s="116">
        <v>1226.5250000000001</v>
      </c>
      <c r="Q250" s="116">
        <v>2418.3000000000002</v>
      </c>
      <c r="R250">
        <v>802881</v>
      </c>
    </row>
    <row r="251" spans="1:18" x14ac:dyDescent="0.25">
      <c r="A251" s="170">
        <v>42369</v>
      </c>
      <c r="B251" s="116">
        <v>1224</v>
      </c>
      <c r="C251" s="116">
        <v>1219.5999999999999</v>
      </c>
      <c r="D251" s="116">
        <v>1204.5</v>
      </c>
      <c r="E251" s="116">
        <v>1210</v>
      </c>
      <c r="F251" s="116">
        <v>2439.1999999999998</v>
      </c>
      <c r="G251">
        <v>31481</v>
      </c>
      <c r="H251" s="116"/>
      <c r="I251" s="116"/>
      <c r="L251" s="170">
        <v>42369</v>
      </c>
      <c r="M251" s="116">
        <v>1218.425</v>
      </c>
      <c r="N251" s="116">
        <v>1224.25</v>
      </c>
      <c r="O251" s="116">
        <v>1203.75</v>
      </c>
      <c r="P251" s="116">
        <v>1207.875</v>
      </c>
      <c r="Q251" s="116">
        <v>2436.85</v>
      </c>
      <c r="R251">
        <v>620159</v>
      </c>
    </row>
    <row r="252" spans="1:18" x14ac:dyDescent="0.25">
      <c r="A252" s="170">
        <v>42370</v>
      </c>
      <c r="B252" s="116">
        <v>1218.175</v>
      </c>
      <c r="C252" s="116">
        <v>1208.125</v>
      </c>
      <c r="D252" s="116">
        <v>1206.2</v>
      </c>
      <c r="E252" s="116">
        <v>1216.05</v>
      </c>
      <c r="F252" s="116">
        <v>2416.25</v>
      </c>
      <c r="G252">
        <v>32189</v>
      </c>
      <c r="H252" s="116"/>
      <c r="I252" s="116"/>
      <c r="L252" s="170">
        <v>42370</v>
      </c>
      <c r="M252" s="116">
        <v>1208.2</v>
      </c>
      <c r="N252" s="116">
        <v>1219.5</v>
      </c>
      <c r="O252" s="116">
        <v>1206.125</v>
      </c>
      <c r="P252" s="116">
        <v>1219.5</v>
      </c>
      <c r="Q252" s="116">
        <v>2416.4</v>
      </c>
      <c r="R252">
        <v>356131</v>
      </c>
    </row>
    <row r="253" spans="1:18" x14ac:dyDescent="0.25">
      <c r="A253" s="170">
        <v>42373</v>
      </c>
      <c r="B253" s="116">
        <v>1208.05</v>
      </c>
      <c r="C253" s="116">
        <v>1187.75</v>
      </c>
      <c r="D253" s="116">
        <v>1184.5250000000001</v>
      </c>
      <c r="E253" s="116">
        <v>1208.05</v>
      </c>
      <c r="F253" s="116">
        <v>2375.5</v>
      </c>
      <c r="G253">
        <v>131249</v>
      </c>
      <c r="H253" s="116"/>
      <c r="I253" s="116"/>
      <c r="L253" s="170">
        <v>42373</v>
      </c>
      <c r="M253" s="116">
        <v>1184.8</v>
      </c>
      <c r="N253" s="116">
        <v>1207</v>
      </c>
      <c r="O253" s="116">
        <v>1183.0250000000001</v>
      </c>
      <c r="P253" s="116">
        <v>1205.075</v>
      </c>
      <c r="Q253" s="116">
        <v>2369.6</v>
      </c>
      <c r="R253">
        <v>935092</v>
      </c>
    </row>
    <row r="254" spans="1:18" x14ac:dyDescent="0.25">
      <c r="A254" s="170">
        <v>42374</v>
      </c>
      <c r="B254" s="116">
        <v>1193.175</v>
      </c>
      <c r="C254" s="116">
        <v>1175.175</v>
      </c>
      <c r="D254" s="116">
        <v>1171.7750000000001</v>
      </c>
      <c r="E254" s="116">
        <v>1191.5</v>
      </c>
      <c r="F254" s="116">
        <v>2350.35</v>
      </c>
      <c r="G254">
        <v>73477</v>
      </c>
      <c r="H254" s="116"/>
      <c r="I254" s="116"/>
      <c r="L254" s="170">
        <v>42374</v>
      </c>
      <c r="M254" s="116">
        <v>1174.4749999999999</v>
      </c>
      <c r="N254" s="116">
        <v>1193.3</v>
      </c>
      <c r="O254" s="116">
        <v>1170.5</v>
      </c>
      <c r="P254" s="116">
        <v>1192.5</v>
      </c>
      <c r="Q254" s="116">
        <v>2348.9499999999998</v>
      </c>
      <c r="R254">
        <v>1339010</v>
      </c>
    </row>
    <row r="255" spans="1:18" x14ac:dyDescent="0.25">
      <c r="A255" s="170">
        <v>42375</v>
      </c>
      <c r="B255" s="116">
        <v>1192.25</v>
      </c>
      <c r="C255" s="116">
        <v>1190.5999999999999</v>
      </c>
      <c r="D255" s="116">
        <v>1176.0999999999999</v>
      </c>
      <c r="E255" s="116">
        <v>1182.5</v>
      </c>
      <c r="F255" s="116">
        <v>2381.1999999999998</v>
      </c>
      <c r="G255">
        <v>45125</v>
      </c>
      <c r="H255" s="116"/>
      <c r="I255" s="116"/>
      <c r="L255" s="170">
        <v>42375</v>
      </c>
      <c r="M255" s="116">
        <v>1190.8</v>
      </c>
      <c r="N255" s="116">
        <v>1193.075</v>
      </c>
      <c r="O255" s="116">
        <v>1175.0999999999999</v>
      </c>
      <c r="P255" s="116">
        <v>1175.0999999999999</v>
      </c>
      <c r="Q255" s="116">
        <v>2381.6</v>
      </c>
      <c r="R255">
        <v>1326614</v>
      </c>
    </row>
    <row r="256" spans="1:18" x14ac:dyDescent="0.25">
      <c r="A256" s="170">
        <v>42376</v>
      </c>
      <c r="B256" s="116">
        <v>1189.8499999999999</v>
      </c>
      <c r="C256" s="116">
        <v>1185.0250000000001</v>
      </c>
      <c r="D256" s="116">
        <v>1179.925</v>
      </c>
      <c r="E256" s="116">
        <v>1187.5</v>
      </c>
      <c r="F256" s="116">
        <v>2370.0500000000002</v>
      </c>
      <c r="G256">
        <v>66343</v>
      </c>
      <c r="H256" s="116"/>
      <c r="I256" s="116"/>
      <c r="L256" s="170">
        <v>42376</v>
      </c>
      <c r="M256" s="116">
        <v>1185.625</v>
      </c>
      <c r="N256" s="116">
        <v>1191.45</v>
      </c>
      <c r="O256" s="116">
        <v>1180</v>
      </c>
      <c r="P256" s="116">
        <v>1185</v>
      </c>
      <c r="Q256" s="116">
        <v>2371.25</v>
      </c>
      <c r="R256">
        <v>1599790</v>
      </c>
    </row>
    <row r="257" spans="1:18" x14ac:dyDescent="0.25">
      <c r="A257" s="170">
        <v>42377</v>
      </c>
      <c r="B257" s="116">
        <v>1204.5</v>
      </c>
      <c r="C257" s="116">
        <v>1198.625</v>
      </c>
      <c r="D257" s="116">
        <v>1186.4749999999999</v>
      </c>
      <c r="E257" s="116">
        <v>1190</v>
      </c>
      <c r="F257" s="116">
        <v>2397.25</v>
      </c>
      <c r="G257">
        <v>34627</v>
      </c>
      <c r="H257" s="116"/>
      <c r="I257" s="116"/>
      <c r="L257" s="170">
        <v>42377</v>
      </c>
      <c r="M257" s="116">
        <v>1198.8</v>
      </c>
      <c r="N257" s="116">
        <v>1203.675</v>
      </c>
      <c r="O257" s="116">
        <v>1186.25</v>
      </c>
      <c r="P257" s="116">
        <v>1192.5</v>
      </c>
      <c r="Q257" s="116">
        <v>2397.6</v>
      </c>
      <c r="R257">
        <v>953772</v>
      </c>
    </row>
    <row r="258" spans="1:18" x14ac:dyDescent="0.25">
      <c r="A258" s="170">
        <v>42380</v>
      </c>
      <c r="B258" s="116">
        <v>1198.2249999999999</v>
      </c>
      <c r="C258" s="116">
        <v>1181.5</v>
      </c>
      <c r="D258" s="116">
        <v>1174.95</v>
      </c>
      <c r="E258" s="116">
        <v>1198.2249999999999</v>
      </c>
      <c r="F258" s="116">
        <v>2363</v>
      </c>
      <c r="G258">
        <v>32783</v>
      </c>
      <c r="H258" s="116"/>
      <c r="I258" s="116"/>
      <c r="L258" s="170">
        <v>42380</v>
      </c>
      <c r="M258" s="116">
        <v>1181.175</v>
      </c>
      <c r="N258" s="116">
        <v>1192</v>
      </c>
      <c r="O258" s="116">
        <v>1174.425</v>
      </c>
      <c r="P258" s="116">
        <v>1191.25</v>
      </c>
      <c r="Q258" s="116">
        <v>2362.35</v>
      </c>
      <c r="R258">
        <v>1465114</v>
      </c>
    </row>
    <row r="259" spans="1:18" x14ac:dyDescent="0.25">
      <c r="A259" s="170">
        <v>42381</v>
      </c>
      <c r="B259" s="116">
        <v>1183.9749999999999</v>
      </c>
      <c r="C259" s="116">
        <v>1162.0250000000001</v>
      </c>
      <c r="D259" s="116">
        <v>1150.55</v>
      </c>
      <c r="E259" s="116">
        <v>1183.9749999999999</v>
      </c>
      <c r="F259" s="116">
        <v>2324.0500000000002</v>
      </c>
      <c r="G259">
        <v>145569</v>
      </c>
      <c r="H259" s="116"/>
      <c r="I259" s="116"/>
      <c r="L259" s="170">
        <v>42381</v>
      </c>
      <c r="M259" s="116">
        <v>1163.5250000000001</v>
      </c>
      <c r="N259" s="116">
        <v>1182.5</v>
      </c>
      <c r="O259" s="116">
        <v>1150.8</v>
      </c>
      <c r="P259" s="116">
        <v>1181.3499999999999</v>
      </c>
      <c r="Q259" s="116">
        <v>2327.0500000000002</v>
      </c>
      <c r="R259">
        <v>1741297</v>
      </c>
    </row>
    <row r="260" spans="1:18" x14ac:dyDescent="0.25">
      <c r="A260" s="170">
        <v>42382</v>
      </c>
      <c r="B260" s="116">
        <v>1163.9749999999999</v>
      </c>
      <c r="C260" s="116">
        <v>1140.1500000000001</v>
      </c>
      <c r="D260" s="116">
        <v>1129</v>
      </c>
      <c r="E260" s="116">
        <v>1158.5</v>
      </c>
      <c r="F260" s="116">
        <v>2280.3000000000002</v>
      </c>
      <c r="G260">
        <v>336277</v>
      </c>
      <c r="H260" s="116"/>
      <c r="I260" s="116"/>
      <c r="L260" s="170">
        <v>42382</v>
      </c>
      <c r="M260" s="116">
        <v>1139.5999999999999</v>
      </c>
      <c r="N260" s="116">
        <v>1163.5</v>
      </c>
      <c r="O260" s="116">
        <v>1127.55</v>
      </c>
      <c r="P260" s="116">
        <v>1158.5</v>
      </c>
      <c r="Q260" s="116">
        <v>2279.1999999999998</v>
      </c>
      <c r="R260">
        <v>2373046</v>
      </c>
    </row>
    <row r="261" spans="1:18" x14ac:dyDescent="0.25">
      <c r="A261" s="170">
        <v>42383</v>
      </c>
      <c r="B261" s="116">
        <v>1148.75</v>
      </c>
      <c r="C261" s="116">
        <v>1139.4749999999999</v>
      </c>
      <c r="D261" s="116">
        <v>1126.3</v>
      </c>
      <c r="E261" s="116">
        <v>1137.5</v>
      </c>
      <c r="F261" s="116">
        <v>2278.9499999999998</v>
      </c>
      <c r="G261">
        <v>122435</v>
      </c>
      <c r="H261" s="116"/>
      <c r="I261" s="116"/>
      <c r="L261" s="170">
        <v>42383</v>
      </c>
      <c r="M261" s="116">
        <v>1139.4000000000001</v>
      </c>
      <c r="N261" s="116">
        <v>1149.45</v>
      </c>
      <c r="O261" s="116">
        <v>1125</v>
      </c>
      <c r="P261" s="116">
        <v>1136.5</v>
      </c>
      <c r="Q261" s="116">
        <v>2278.8000000000002</v>
      </c>
      <c r="R261">
        <v>1371026</v>
      </c>
    </row>
    <row r="262" spans="1:18" x14ac:dyDescent="0.25">
      <c r="A262" s="170">
        <v>42384</v>
      </c>
      <c r="B262" s="116">
        <v>1145.675</v>
      </c>
      <c r="C262" s="116">
        <v>1131.75</v>
      </c>
      <c r="D262" s="116">
        <v>1129.075</v>
      </c>
      <c r="E262" s="116">
        <v>1145</v>
      </c>
      <c r="F262" s="116">
        <v>2263.5</v>
      </c>
      <c r="G262">
        <v>87596</v>
      </c>
      <c r="H262" s="116"/>
      <c r="I262" s="116"/>
      <c r="L262" s="170">
        <v>42384</v>
      </c>
      <c r="M262" s="116">
        <v>1130.55</v>
      </c>
      <c r="N262" s="116">
        <v>1145.8499999999999</v>
      </c>
      <c r="O262" s="116">
        <v>1127.5</v>
      </c>
      <c r="P262" s="116">
        <v>1144.425</v>
      </c>
      <c r="Q262" s="116">
        <v>2261.1</v>
      </c>
      <c r="R262">
        <v>1634704</v>
      </c>
    </row>
    <row r="263" spans="1:18" x14ac:dyDescent="0.25">
      <c r="A263" s="170">
        <v>42387</v>
      </c>
      <c r="B263" s="116">
        <v>1145.5</v>
      </c>
      <c r="C263" s="116">
        <v>1141.2249999999999</v>
      </c>
      <c r="D263" s="116">
        <v>1131.5</v>
      </c>
      <c r="E263" s="116">
        <v>1135</v>
      </c>
      <c r="F263" s="116">
        <v>2282.4499999999998</v>
      </c>
      <c r="G263">
        <v>72243</v>
      </c>
      <c r="H263" s="116"/>
      <c r="I263" s="116"/>
      <c r="L263" s="170">
        <v>42387</v>
      </c>
      <c r="M263" s="116">
        <v>1138.825</v>
      </c>
      <c r="N263" s="116">
        <v>1145.95</v>
      </c>
      <c r="O263" s="116">
        <v>1130</v>
      </c>
      <c r="P263" s="116">
        <v>1131</v>
      </c>
      <c r="Q263" s="116">
        <v>2277.65</v>
      </c>
      <c r="R263">
        <v>1106961</v>
      </c>
    </row>
    <row r="264" spans="1:18" x14ac:dyDescent="0.25">
      <c r="A264" s="170">
        <v>42388</v>
      </c>
      <c r="B264" s="116">
        <v>1146.5</v>
      </c>
      <c r="C264" s="116">
        <v>1139.5</v>
      </c>
      <c r="D264" s="116">
        <v>1133.625</v>
      </c>
      <c r="E264" s="116">
        <v>1141.5</v>
      </c>
      <c r="F264" s="116">
        <v>2279</v>
      </c>
      <c r="G264">
        <v>27388</v>
      </c>
      <c r="H264" s="116"/>
      <c r="I264" s="116"/>
      <c r="L264" s="170">
        <v>42388</v>
      </c>
      <c r="M264" s="116">
        <v>1139.6500000000001</v>
      </c>
      <c r="N264" s="116">
        <v>1150</v>
      </c>
      <c r="O264" s="116">
        <v>1134.1500000000001</v>
      </c>
      <c r="P264" s="116">
        <v>1138.5</v>
      </c>
      <c r="Q264" s="116">
        <v>2279.3000000000002</v>
      </c>
      <c r="R264">
        <v>483955</v>
      </c>
    </row>
    <row r="265" spans="1:18" x14ac:dyDescent="0.25">
      <c r="A265" s="170">
        <v>42389</v>
      </c>
      <c r="B265" s="116">
        <v>1141.25</v>
      </c>
      <c r="C265" s="116">
        <v>1138.8</v>
      </c>
      <c r="D265" s="116">
        <v>1121.875</v>
      </c>
      <c r="E265" s="116">
        <v>1139.5</v>
      </c>
      <c r="F265" s="116">
        <v>2277.6</v>
      </c>
      <c r="G265">
        <v>59597</v>
      </c>
      <c r="H265" s="116"/>
      <c r="I265" s="116"/>
      <c r="L265" s="170">
        <v>42389</v>
      </c>
      <c r="M265" s="116">
        <v>1140.05</v>
      </c>
      <c r="N265" s="116">
        <v>1142.5</v>
      </c>
      <c r="O265" s="116">
        <v>1121.5</v>
      </c>
      <c r="P265" s="116">
        <v>1136.9000000000001</v>
      </c>
      <c r="Q265" s="116">
        <v>2280.1</v>
      </c>
      <c r="R265">
        <v>807977</v>
      </c>
    </row>
    <row r="266" spans="1:18" x14ac:dyDescent="0.25">
      <c r="A266" s="170">
        <v>42390</v>
      </c>
      <c r="B266" s="116">
        <v>1143.125</v>
      </c>
      <c r="C266" s="116">
        <v>1130.5999999999999</v>
      </c>
      <c r="D266" s="116">
        <v>1123.5</v>
      </c>
      <c r="E266" s="116">
        <v>1140</v>
      </c>
      <c r="F266" s="116">
        <v>2261.1999999999998</v>
      </c>
      <c r="G266">
        <v>52981</v>
      </c>
      <c r="H266" s="116"/>
      <c r="I266" s="116"/>
      <c r="L266" s="170">
        <v>42390</v>
      </c>
      <c r="M266" s="116">
        <v>1127.25</v>
      </c>
      <c r="N266" s="116">
        <v>1144.95</v>
      </c>
      <c r="O266" s="116">
        <v>1122.875</v>
      </c>
      <c r="P266" s="116">
        <v>1142.5</v>
      </c>
      <c r="Q266" s="116">
        <v>2254.5</v>
      </c>
      <c r="R266">
        <v>1337768</v>
      </c>
    </row>
    <row r="267" spans="1:18" x14ac:dyDescent="0.25">
      <c r="A267" s="170">
        <v>42391</v>
      </c>
      <c r="B267" s="116">
        <v>1150.5</v>
      </c>
      <c r="C267" s="116">
        <v>1147.625</v>
      </c>
      <c r="D267" s="116">
        <v>1130</v>
      </c>
      <c r="E267" s="116">
        <v>1133</v>
      </c>
      <c r="F267" s="116">
        <v>2295.25</v>
      </c>
      <c r="G267">
        <v>149269</v>
      </c>
      <c r="H267" s="116"/>
      <c r="I267" s="116"/>
      <c r="L267" s="170">
        <v>42391</v>
      </c>
      <c r="M267" s="116">
        <v>1147.875</v>
      </c>
      <c r="N267" s="116">
        <v>1151.0250000000001</v>
      </c>
      <c r="O267" s="116">
        <v>1130</v>
      </c>
      <c r="P267" s="116">
        <v>1136.5</v>
      </c>
      <c r="Q267" s="116">
        <v>2295.75</v>
      </c>
      <c r="R267">
        <v>671589</v>
      </c>
    </row>
    <row r="268" spans="1:18" x14ac:dyDescent="0.25">
      <c r="A268" s="170">
        <v>42394</v>
      </c>
      <c r="B268" s="116">
        <v>1169.4000000000001</v>
      </c>
      <c r="C268" s="116">
        <v>1152.9749999999999</v>
      </c>
      <c r="D268" s="116">
        <v>1146.5250000000001</v>
      </c>
      <c r="E268" s="116">
        <v>1147.575</v>
      </c>
      <c r="F268" s="116">
        <v>2305.9499999999998</v>
      </c>
      <c r="G268">
        <v>33472</v>
      </c>
      <c r="H268" s="116"/>
      <c r="I268" s="116"/>
      <c r="L268" s="170">
        <v>42394</v>
      </c>
      <c r="M268" s="116">
        <v>1152.325</v>
      </c>
      <c r="N268" s="116">
        <v>1169.5</v>
      </c>
      <c r="O268" s="116">
        <v>1145.75</v>
      </c>
      <c r="P268" s="116">
        <v>1150.95</v>
      </c>
      <c r="Q268" s="116">
        <v>2304.65</v>
      </c>
      <c r="R268">
        <v>698780</v>
      </c>
    </row>
    <row r="269" spans="1:18" x14ac:dyDescent="0.25">
      <c r="A269" s="170">
        <v>42396</v>
      </c>
      <c r="B269" s="116">
        <v>1163.9749999999999</v>
      </c>
      <c r="C269" s="116">
        <v>1159.8</v>
      </c>
      <c r="D269" s="116">
        <v>1141.8499999999999</v>
      </c>
      <c r="E269" s="116">
        <v>1151.9749999999999</v>
      </c>
      <c r="F269" s="116">
        <v>2319.6</v>
      </c>
      <c r="G269">
        <v>34135</v>
      </c>
      <c r="H269" s="116"/>
      <c r="I269" s="116"/>
      <c r="L269" s="170">
        <v>42396</v>
      </c>
      <c r="M269" s="116">
        <v>1159.875</v>
      </c>
      <c r="N269" s="116">
        <v>1164.9749999999999</v>
      </c>
      <c r="O269" s="116">
        <v>1140.95</v>
      </c>
      <c r="P269" s="116">
        <v>1151</v>
      </c>
      <c r="Q269" s="116">
        <v>2319.75</v>
      </c>
      <c r="R269">
        <v>813493</v>
      </c>
    </row>
    <row r="270" spans="1:18" x14ac:dyDescent="0.25">
      <c r="A270" s="170">
        <v>42397</v>
      </c>
      <c r="B270" s="116">
        <v>1173.5</v>
      </c>
      <c r="C270" s="116">
        <v>1165.45</v>
      </c>
      <c r="D270" s="116">
        <v>1155</v>
      </c>
      <c r="E270" s="116">
        <v>1155</v>
      </c>
      <c r="F270" s="116">
        <v>2330.9</v>
      </c>
      <c r="G270">
        <v>35181</v>
      </c>
      <c r="H270" s="116"/>
      <c r="I270" s="116"/>
      <c r="L270" s="170">
        <v>42397</v>
      </c>
      <c r="M270" s="116">
        <v>1165.5999999999999</v>
      </c>
      <c r="N270" s="116">
        <v>1174.45</v>
      </c>
      <c r="O270" s="116">
        <v>1154.0250000000001</v>
      </c>
      <c r="P270" s="116">
        <v>1157.75</v>
      </c>
      <c r="Q270" s="116">
        <v>2331.1999999999998</v>
      </c>
      <c r="R270">
        <v>1553330</v>
      </c>
    </row>
    <row r="271" spans="1:18" x14ac:dyDescent="0.25">
      <c r="A271" s="170">
        <v>42398</v>
      </c>
      <c r="B271" s="116">
        <v>1199.125</v>
      </c>
      <c r="C271" s="116">
        <v>1195.5999999999999</v>
      </c>
      <c r="D271" s="116">
        <v>1168.05</v>
      </c>
      <c r="E271" s="116">
        <v>1169.5</v>
      </c>
      <c r="F271" s="116">
        <v>2391.1999999999998</v>
      </c>
      <c r="G271">
        <v>37115</v>
      </c>
      <c r="H271" s="116"/>
      <c r="I271" s="116"/>
      <c r="L271" s="170">
        <v>42398</v>
      </c>
      <c r="M271" s="116">
        <v>1195.6500000000001</v>
      </c>
      <c r="N271" s="116">
        <v>1200</v>
      </c>
      <c r="O271" s="116">
        <v>1167.5250000000001</v>
      </c>
      <c r="P271" s="116">
        <v>1179.3499999999999</v>
      </c>
      <c r="Q271" s="116">
        <v>2391.3000000000002</v>
      </c>
      <c r="R271">
        <v>1117872</v>
      </c>
    </row>
    <row r="272" spans="1:18" x14ac:dyDescent="0.25">
      <c r="A272" s="170">
        <v>42401</v>
      </c>
      <c r="B272" s="116">
        <v>1206</v>
      </c>
      <c r="C272" s="116">
        <v>1201.0999999999999</v>
      </c>
      <c r="D272" s="116">
        <v>1180.5250000000001</v>
      </c>
      <c r="E272" s="116">
        <v>1196</v>
      </c>
      <c r="F272" s="116">
        <v>2402.1999999999998</v>
      </c>
      <c r="G272">
        <v>28891</v>
      </c>
      <c r="H272" s="116"/>
      <c r="I272" s="116"/>
      <c r="L272" s="170">
        <v>42401</v>
      </c>
      <c r="M272" s="116">
        <v>1201.3499999999999</v>
      </c>
      <c r="N272" s="116">
        <v>1206.4749999999999</v>
      </c>
      <c r="O272" s="116">
        <v>1179.5</v>
      </c>
      <c r="P272" s="116">
        <v>1195.55</v>
      </c>
      <c r="Q272" s="116">
        <v>2402.6999999999998</v>
      </c>
      <c r="R272">
        <v>747637</v>
      </c>
    </row>
    <row r="273" spans="1:18" x14ac:dyDescent="0.25">
      <c r="A273" s="170">
        <v>42402</v>
      </c>
      <c r="B273" s="116">
        <v>1215.25</v>
      </c>
      <c r="C273" s="116">
        <v>1200.75</v>
      </c>
      <c r="D273" s="116">
        <v>1190</v>
      </c>
      <c r="E273" s="116">
        <v>1204</v>
      </c>
      <c r="F273" s="116">
        <v>2401.5</v>
      </c>
      <c r="G273">
        <v>38445</v>
      </c>
      <c r="H273" s="116"/>
      <c r="I273" s="116"/>
      <c r="L273" s="170">
        <v>42402</v>
      </c>
      <c r="M273" s="116">
        <v>1199.05</v>
      </c>
      <c r="N273" s="116">
        <v>1216.5</v>
      </c>
      <c r="O273" s="116">
        <v>1189.8499999999999</v>
      </c>
      <c r="P273" s="116">
        <v>1204.5</v>
      </c>
      <c r="Q273" s="116">
        <v>2398.1</v>
      </c>
      <c r="R273">
        <v>737794</v>
      </c>
    </row>
    <row r="274" spans="1:18" x14ac:dyDescent="0.25">
      <c r="A274" s="170">
        <v>42403</v>
      </c>
      <c r="B274" s="116">
        <v>1211.45</v>
      </c>
      <c r="C274" s="116">
        <v>1208.5250000000001</v>
      </c>
      <c r="D274" s="116">
        <v>1178.4749999999999</v>
      </c>
      <c r="E274" s="116">
        <v>1188.5</v>
      </c>
      <c r="F274" s="116">
        <v>2417.0500000000002</v>
      </c>
      <c r="G274">
        <v>41047</v>
      </c>
      <c r="H274" s="116"/>
      <c r="I274" s="116"/>
      <c r="L274" s="170">
        <v>42403</v>
      </c>
      <c r="M274" s="116">
        <v>1208.1500000000001</v>
      </c>
      <c r="N274" s="116">
        <v>1214.95</v>
      </c>
      <c r="O274" s="116">
        <v>1180.1500000000001</v>
      </c>
      <c r="P274" s="116">
        <v>1193.75</v>
      </c>
      <c r="Q274" s="116">
        <v>2416.3000000000002</v>
      </c>
      <c r="R274">
        <v>654346</v>
      </c>
    </row>
    <row r="275" spans="1:18" x14ac:dyDescent="0.25">
      <c r="A275" s="170">
        <v>42404</v>
      </c>
      <c r="B275" s="116">
        <v>1218.7750000000001</v>
      </c>
      <c r="C275" s="116">
        <v>1208.7249999999999</v>
      </c>
      <c r="D275" s="116">
        <v>1201.5999999999999</v>
      </c>
      <c r="E275" s="116">
        <v>1210</v>
      </c>
      <c r="F275" s="116">
        <v>2417.4499999999998</v>
      </c>
      <c r="G275">
        <v>86436</v>
      </c>
      <c r="H275" s="116"/>
      <c r="I275" s="116"/>
      <c r="L275" s="170">
        <v>42404</v>
      </c>
      <c r="M275" s="116">
        <v>1210.0250000000001</v>
      </c>
      <c r="N275" s="116">
        <v>1220</v>
      </c>
      <c r="O275" s="116">
        <v>1201</v>
      </c>
      <c r="P275" s="116">
        <v>1210.95</v>
      </c>
      <c r="Q275" s="116">
        <v>2420.0500000000002</v>
      </c>
      <c r="R275">
        <v>625023</v>
      </c>
    </row>
    <row r="276" spans="1:18" x14ac:dyDescent="0.25">
      <c r="A276" s="170">
        <v>42405</v>
      </c>
      <c r="B276" s="116">
        <v>1219.9749999999999</v>
      </c>
      <c r="C276" s="116">
        <v>1212.925</v>
      </c>
      <c r="D276" s="116">
        <v>1203.05</v>
      </c>
      <c r="E276" s="116">
        <v>1203.05</v>
      </c>
      <c r="F276" s="116">
        <v>2425.85</v>
      </c>
      <c r="G276">
        <v>23849</v>
      </c>
      <c r="H276" s="116"/>
      <c r="I276" s="116"/>
      <c r="L276" s="170">
        <v>42405</v>
      </c>
      <c r="M276" s="116">
        <v>1210.9749999999999</v>
      </c>
      <c r="N276" s="116">
        <v>1219.9749999999999</v>
      </c>
      <c r="O276" s="116">
        <v>1204.05</v>
      </c>
      <c r="P276" s="116">
        <v>1204.05</v>
      </c>
      <c r="Q276" s="116">
        <v>2421.9499999999998</v>
      </c>
      <c r="R276">
        <v>701498</v>
      </c>
    </row>
    <row r="277" spans="1:18" x14ac:dyDescent="0.25">
      <c r="A277" s="170">
        <v>42408</v>
      </c>
      <c r="B277" s="116">
        <v>1207.5</v>
      </c>
      <c r="C277" s="116">
        <v>1184.25</v>
      </c>
      <c r="D277" s="116">
        <v>1175</v>
      </c>
      <c r="E277" s="116">
        <v>1207.5</v>
      </c>
      <c r="F277" s="116">
        <v>2368.5</v>
      </c>
      <c r="G277">
        <v>43821</v>
      </c>
      <c r="H277" s="116"/>
      <c r="I277" s="116"/>
      <c r="L277" s="170">
        <v>42408</v>
      </c>
      <c r="M277" s="116">
        <v>1181.4749999999999</v>
      </c>
      <c r="N277" s="116">
        <v>1206.0250000000001</v>
      </c>
      <c r="O277" s="116">
        <v>1173.5</v>
      </c>
      <c r="P277" s="116">
        <v>1200</v>
      </c>
      <c r="Q277" s="116">
        <v>2362.9499999999998</v>
      </c>
      <c r="R277">
        <v>531829</v>
      </c>
    </row>
    <row r="278" spans="1:18" x14ac:dyDescent="0.25">
      <c r="A278" s="170">
        <v>42409</v>
      </c>
      <c r="B278" s="116">
        <v>1166</v>
      </c>
      <c r="C278" s="116">
        <v>1140.7249999999999</v>
      </c>
      <c r="D278" s="116">
        <v>1128.5</v>
      </c>
      <c r="E278" s="116">
        <v>1165.5</v>
      </c>
      <c r="F278" s="116">
        <v>2281.4499999999998</v>
      </c>
      <c r="G278">
        <v>103138</v>
      </c>
      <c r="H278" s="116"/>
      <c r="I278" s="116"/>
      <c r="L278" s="170">
        <v>42409</v>
      </c>
      <c r="M278" s="116">
        <v>1140.7</v>
      </c>
      <c r="N278" s="116">
        <v>1166.8</v>
      </c>
      <c r="O278" s="116">
        <v>1127.8</v>
      </c>
      <c r="P278" s="116">
        <v>1166.8</v>
      </c>
      <c r="Q278" s="116">
        <v>2281.4</v>
      </c>
      <c r="R278">
        <v>1244805</v>
      </c>
    </row>
    <row r="279" spans="1:18" x14ac:dyDescent="0.25">
      <c r="A279" s="170">
        <v>42410</v>
      </c>
      <c r="B279" s="116">
        <v>1145</v>
      </c>
      <c r="C279" s="116">
        <v>1135.0250000000001</v>
      </c>
      <c r="D279" s="116">
        <v>1129.0250000000001</v>
      </c>
      <c r="E279" s="116">
        <v>1140</v>
      </c>
      <c r="F279" s="116">
        <v>2270.0500000000002</v>
      </c>
      <c r="G279">
        <v>70915</v>
      </c>
      <c r="H279" s="116"/>
      <c r="I279" s="116"/>
      <c r="L279" s="170">
        <v>42410</v>
      </c>
      <c r="M279" s="116">
        <v>1134.4000000000001</v>
      </c>
      <c r="N279" s="116">
        <v>1144.95</v>
      </c>
      <c r="O279" s="116">
        <v>1129.05</v>
      </c>
      <c r="P279" s="116">
        <v>1137.5</v>
      </c>
      <c r="Q279" s="116">
        <v>2268.8000000000002</v>
      </c>
      <c r="R279">
        <v>945366</v>
      </c>
    </row>
    <row r="280" spans="1:18" x14ac:dyDescent="0.25">
      <c r="A280" s="170">
        <v>42411</v>
      </c>
      <c r="B280" s="116">
        <v>1142.5</v>
      </c>
      <c r="C280" s="116">
        <v>1098.0250000000001</v>
      </c>
      <c r="D280" s="116">
        <v>1086.55</v>
      </c>
      <c r="E280" s="116">
        <v>1135.55</v>
      </c>
      <c r="F280" s="116">
        <v>2196.0500000000002</v>
      </c>
      <c r="G280">
        <v>61025</v>
      </c>
      <c r="H280" s="116"/>
      <c r="I280" s="116"/>
      <c r="L280" s="170">
        <v>42411</v>
      </c>
      <c r="M280" s="116">
        <v>1098.9749999999999</v>
      </c>
      <c r="N280" s="116">
        <v>1144.5</v>
      </c>
      <c r="O280" s="116">
        <v>1085.825</v>
      </c>
      <c r="P280" s="116">
        <v>1140</v>
      </c>
      <c r="Q280" s="116">
        <v>2197.9499999999998</v>
      </c>
      <c r="R280">
        <v>981204</v>
      </c>
    </row>
    <row r="281" spans="1:18" x14ac:dyDescent="0.25">
      <c r="A281" s="170">
        <v>42412</v>
      </c>
      <c r="B281" s="116">
        <v>1121</v>
      </c>
      <c r="C281" s="116">
        <v>1113.25</v>
      </c>
      <c r="D281" s="116">
        <v>1083.9749999999999</v>
      </c>
      <c r="E281" s="116">
        <v>1099</v>
      </c>
      <c r="F281" s="116">
        <v>2226.5</v>
      </c>
      <c r="G281">
        <v>69019</v>
      </c>
      <c r="H281" s="116"/>
      <c r="I281" s="116"/>
      <c r="L281" s="170">
        <v>42412</v>
      </c>
      <c r="M281" s="116">
        <v>1113.3</v>
      </c>
      <c r="N281" s="116">
        <v>1121.7</v>
      </c>
      <c r="O281" s="116">
        <v>1082</v>
      </c>
      <c r="P281" s="116">
        <v>1100</v>
      </c>
      <c r="Q281" s="116">
        <v>2226.6</v>
      </c>
      <c r="R281">
        <v>1086284</v>
      </c>
    </row>
    <row r="282" spans="1:18" x14ac:dyDescent="0.25">
      <c r="A282" s="170">
        <v>42415</v>
      </c>
      <c r="B282" s="116">
        <v>1153.25</v>
      </c>
      <c r="C282" s="116">
        <v>1134.7750000000001</v>
      </c>
      <c r="D282" s="116">
        <v>1113.3</v>
      </c>
      <c r="E282" s="116">
        <v>1122.8</v>
      </c>
      <c r="F282" s="116">
        <v>2269.5500000000002</v>
      </c>
      <c r="G282">
        <v>754129</v>
      </c>
      <c r="H282" s="116"/>
      <c r="I282" s="116"/>
      <c r="L282" s="170">
        <v>42415</v>
      </c>
      <c r="M282" s="116">
        <v>1134.575</v>
      </c>
      <c r="N282" s="116">
        <v>1153.425</v>
      </c>
      <c r="O282" s="116">
        <v>1120</v>
      </c>
      <c r="P282" s="116">
        <v>1125</v>
      </c>
      <c r="Q282" s="116">
        <v>2269.15</v>
      </c>
      <c r="R282">
        <v>1239856</v>
      </c>
    </row>
    <row r="283" spans="1:18" x14ac:dyDescent="0.25">
      <c r="A283" s="170">
        <v>42416</v>
      </c>
      <c r="B283" s="116">
        <v>1140.5</v>
      </c>
      <c r="C283" s="116">
        <v>1133.875</v>
      </c>
      <c r="D283" s="116">
        <v>1122.4000000000001</v>
      </c>
      <c r="E283" s="116">
        <v>1135</v>
      </c>
      <c r="F283" s="116">
        <v>2267.75</v>
      </c>
      <c r="G283">
        <v>26836</v>
      </c>
      <c r="H283" s="116"/>
      <c r="I283" s="116"/>
      <c r="L283" s="170">
        <v>42416</v>
      </c>
      <c r="M283" s="116">
        <v>1132.7750000000001</v>
      </c>
      <c r="N283" s="116">
        <v>1141</v>
      </c>
      <c r="O283" s="116">
        <v>1121.5</v>
      </c>
      <c r="P283" s="116">
        <v>1133</v>
      </c>
      <c r="Q283" s="116">
        <v>2265.5500000000002</v>
      </c>
      <c r="R283">
        <v>794351</v>
      </c>
    </row>
    <row r="284" spans="1:18" x14ac:dyDescent="0.25">
      <c r="A284" s="170">
        <v>42417</v>
      </c>
      <c r="B284" s="116">
        <v>1140.95</v>
      </c>
      <c r="C284" s="116">
        <v>1139</v>
      </c>
      <c r="D284" s="116">
        <v>1124.0250000000001</v>
      </c>
      <c r="E284" s="116">
        <v>1135.3499999999999</v>
      </c>
      <c r="F284" s="116">
        <v>2278</v>
      </c>
      <c r="G284">
        <v>43456</v>
      </c>
      <c r="H284" s="116"/>
      <c r="I284" s="116"/>
      <c r="L284" s="170">
        <v>42417</v>
      </c>
      <c r="M284" s="116">
        <v>1137.7750000000001</v>
      </c>
      <c r="N284" s="116">
        <v>1139.825</v>
      </c>
      <c r="O284" s="116">
        <v>1123.2</v>
      </c>
      <c r="P284" s="116">
        <v>1132.5</v>
      </c>
      <c r="Q284" s="116">
        <v>2275.5500000000002</v>
      </c>
      <c r="R284">
        <v>792589</v>
      </c>
    </row>
    <row r="285" spans="1:18" x14ac:dyDescent="0.25">
      <c r="A285" s="170">
        <v>42418</v>
      </c>
      <c r="B285" s="116">
        <v>1159.7249999999999</v>
      </c>
      <c r="C285" s="116">
        <v>1157.6500000000001</v>
      </c>
      <c r="D285" s="116">
        <v>1139.5</v>
      </c>
      <c r="E285" s="116">
        <v>1140.0250000000001</v>
      </c>
      <c r="F285" s="116">
        <v>2315.3000000000002</v>
      </c>
      <c r="G285">
        <v>31787</v>
      </c>
      <c r="H285" s="116"/>
      <c r="I285" s="116"/>
      <c r="L285" s="170">
        <v>42418</v>
      </c>
      <c r="M285" s="116">
        <v>1157.925</v>
      </c>
      <c r="N285" s="116">
        <v>1159.875</v>
      </c>
      <c r="O285" s="116">
        <v>1139</v>
      </c>
      <c r="P285" s="116">
        <v>1142.5</v>
      </c>
      <c r="Q285" s="116">
        <v>2315.85</v>
      </c>
      <c r="R285">
        <v>764570</v>
      </c>
    </row>
    <row r="286" spans="1:18" x14ac:dyDescent="0.25">
      <c r="A286" s="170">
        <v>42419</v>
      </c>
      <c r="B286" s="116">
        <v>1162.6500000000001</v>
      </c>
      <c r="C286" s="116">
        <v>1160.0999999999999</v>
      </c>
      <c r="D286" s="116">
        <v>1153.5</v>
      </c>
      <c r="E286" s="116">
        <v>1157</v>
      </c>
      <c r="F286" s="116">
        <v>2320.1999999999998</v>
      </c>
      <c r="G286">
        <v>18845</v>
      </c>
      <c r="H286" s="116"/>
      <c r="I286" s="116"/>
      <c r="L286" s="170">
        <v>42419</v>
      </c>
      <c r="M286" s="116">
        <v>1159.825</v>
      </c>
      <c r="N286" s="116">
        <v>1163.5</v>
      </c>
      <c r="O286" s="116">
        <v>1152.7249999999999</v>
      </c>
      <c r="P286" s="116">
        <v>1153.675</v>
      </c>
      <c r="Q286" s="116">
        <v>2319.65</v>
      </c>
      <c r="R286">
        <v>439506</v>
      </c>
    </row>
    <row r="287" spans="1:18" x14ac:dyDescent="0.25">
      <c r="A287" s="170">
        <v>42422</v>
      </c>
      <c r="B287" s="116">
        <v>1171.7249999999999</v>
      </c>
      <c r="C287" s="116">
        <v>1157.0999999999999</v>
      </c>
      <c r="D287" s="116">
        <v>1152.55</v>
      </c>
      <c r="E287" s="116">
        <v>1160.25</v>
      </c>
      <c r="F287" s="116">
        <v>2314.1999999999998</v>
      </c>
      <c r="G287">
        <v>407221</v>
      </c>
      <c r="H287" s="116"/>
      <c r="I287" s="116"/>
      <c r="L287" s="170">
        <v>42422</v>
      </c>
      <c r="M287" s="116">
        <v>1157.95</v>
      </c>
      <c r="N287" s="116">
        <v>1171.5</v>
      </c>
      <c r="O287" s="116">
        <v>1152.5</v>
      </c>
      <c r="P287" s="116">
        <v>1160.125</v>
      </c>
      <c r="Q287" s="116">
        <v>2315.9</v>
      </c>
      <c r="R287">
        <v>662442</v>
      </c>
    </row>
    <row r="288" spans="1:18" x14ac:dyDescent="0.25">
      <c r="A288" s="170">
        <v>42423</v>
      </c>
      <c r="B288" s="116">
        <v>1160</v>
      </c>
      <c r="C288" s="116">
        <v>1132.55</v>
      </c>
      <c r="D288" s="116">
        <v>1126.95</v>
      </c>
      <c r="E288" s="116">
        <v>1158</v>
      </c>
      <c r="F288" s="116">
        <v>2265.1</v>
      </c>
      <c r="G288">
        <v>183652</v>
      </c>
      <c r="H288" s="116"/>
      <c r="I288" s="116"/>
      <c r="L288" s="170">
        <v>42423</v>
      </c>
      <c r="M288" s="116">
        <v>1132</v>
      </c>
      <c r="N288" s="116">
        <v>1159.95</v>
      </c>
      <c r="O288" s="116">
        <v>1128.375</v>
      </c>
      <c r="P288" s="116">
        <v>1155.125</v>
      </c>
      <c r="Q288" s="116">
        <v>2264</v>
      </c>
      <c r="R288">
        <v>653426</v>
      </c>
    </row>
    <row r="289" spans="1:18" x14ac:dyDescent="0.25">
      <c r="A289" s="170">
        <v>42424</v>
      </c>
      <c r="B289" s="116">
        <v>1132</v>
      </c>
      <c r="C289" s="116">
        <v>1109.325</v>
      </c>
      <c r="D289" s="116">
        <v>1102.75</v>
      </c>
      <c r="E289" s="116">
        <v>1132</v>
      </c>
      <c r="F289" s="116">
        <v>2218.65</v>
      </c>
      <c r="G289">
        <v>47176</v>
      </c>
      <c r="H289" s="116"/>
      <c r="I289" s="116"/>
      <c r="L289" s="170">
        <v>42424</v>
      </c>
      <c r="M289" s="116">
        <v>1105.4749999999999</v>
      </c>
      <c r="N289" s="116">
        <v>1131.2249999999999</v>
      </c>
      <c r="O289" s="116">
        <v>1100.5999999999999</v>
      </c>
      <c r="P289" s="116">
        <v>1131.2249999999999</v>
      </c>
      <c r="Q289" s="116">
        <v>2210.9499999999998</v>
      </c>
      <c r="R289">
        <v>829664</v>
      </c>
    </row>
    <row r="290" spans="1:18" x14ac:dyDescent="0.25">
      <c r="A290" s="170">
        <v>42425</v>
      </c>
      <c r="B290" s="116">
        <v>1119</v>
      </c>
      <c r="C290" s="116">
        <v>1106.125</v>
      </c>
      <c r="D290" s="116">
        <v>1092.075</v>
      </c>
      <c r="E290" s="116">
        <v>1111</v>
      </c>
      <c r="F290" s="116">
        <v>2212.25</v>
      </c>
      <c r="G290">
        <v>59455</v>
      </c>
      <c r="H290" s="116"/>
      <c r="I290" s="116"/>
      <c r="L290" s="170">
        <v>42425</v>
      </c>
      <c r="M290" s="116">
        <v>1106.425</v>
      </c>
      <c r="N290" s="116">
        <v>1114</v>
      </c>
      <c r="O290" s="116">
        <v>1092.825</v>
      </c>
      <c r="P290" s="116">
        <v>1109.9000000000001</v>
      </c>
      <c r="Q290" s="116">
        <v>2212.85</v>
      </c>
      <c r="R290">
        <v>915278</v>
      </c>
    </row>
    <row r="291" spans="1:18" x14ac:dyDescent="0.25">
      <c r="A291" s="170">
        <v>42426</v>
      </c>
      <c r="B291" s="116">
        <v>1128.4749999999999</v>
      </c>
      <c r="C291" s="116">
        <v>1107.3499999999999</v>
      </c>
      <c r="D291" s="116">
        <v>1101.3</v>
      </c>
      <c r="E291" s="116">
        <v>1119</v>
      </c>
      <c r="F291" s="116">
        <v>2214.6999999999998</v>
      </c>
      <c r="G291">
        <v>36076</v>
      </c>
      <c r="H291" s="116"/>
      <c r="I291" s="116"/>
      <c r="L291" s="170">
        <v>42426</v>
      </c>
      <c r="M291" s="116">
        <v>1105.25</v>
      </c>
      <c r="N291" s="116">
        <v>1128.45</v>
      </c>
      <c r="O291" s="116">
        <v>1099.8</v>
      </c>
      <c r="P291" s="116">
        <v>1114.8499999999999</v>
      </c>
      <c r="Q291" s="116">
        <v>2210.5</v>
      </c>
      <c r="R291">
        <v>768768</v>
      </c>
    </row>
    <row r="292" spans="1:18" x14ac:dyDescent="0.25">
      <c r="A292" s="170">
        <v>42429</v>
      </c>
      <c r="B292" s="116">
        <v>1115</v>
      </c>
      <c r="C292" s="116">
        <v>1090.95</v>
      </c>
      <c r="D292" s="116">
        <v>1059.5</v>
      </c>
      <c r="E292" s="116">
        <v>1107</v>
      </c>
      <c r="F292" s="116">
        <v>2181.9</v>
      </c>
      <c r="G292">
        <v>143102</v>
      </c>
      <c r="H292" s="116"/>
      <c r="I292" s="116"/>
      <c r="L292" s="170">
        <v>42429</v>
      </c>
      <c r="M292" s="116">
        <v>1088.4000000000001</v>
      </c>
      <c r="N292" s="116">
        <v>1118.5</v>
      </c>
      <c r="O292" s="116">
        <v>1057.5</v>
      </c>
      <c r="P292" s="116">
        <v>1118.5</v>
      </c>
      <c r="Q292" s="116">
        <v>2176.8000000000002</v>
      </c>
      <c r="R292">
        <v>1095859</v>
      </c>
    </row>
    <row r="293" spans="1:18" x14ac:dyDescent="0.25">
      <c r="A293" s="170">
        <v>42430</v>
      </c>
      <c r="B293" s="116">
        <v>1142.25</v>
      </c>
      <c r="C293" s="116">
        <v>1137.5</v>
      </c>
      <c r="D293" s="116">
        <v>1081.75</v>
      </c>
      <c r="E293" s="116">
        <v>1091.25</v>
      </c>
      <c r="F293" s="116">
        <v>2275</v>
      </c>
      <c r="G293">
        <v>50941</v>
      </c>
      <c r="H293" s="116"/>
      <c r="I293" s="116"/>
      <c r="L293" s="170">
        <v>42430</v>
      </c>
      <c r="M293" s="116">
        <v>1138.325</v>
      </c>
      <c r="N293" s="116">
        <v>1142.55</v>
      </c>
      <c r="O293" s="116">
        <v>1081</v>
      </c>
      <c r="P293" s="116">
        <v>1096.5</v>
      </c>
      <c r="Q293" s="116">
        <v>2276.65</v>
      </c>
      <c r="R293">
        <v>999880</v>
      </c>
    </row>
    <row r="294" spans="1:18" x14ac:dyDescent="0.25">
      <c r="A294" s="170">
        <v>42431</v>
      </c>
      <c r="B294" s="116">
        <v>1165</v>
      </c>
      <c r="C294" s="116">
        <v>1159.7750000000001</v>
      </c>
      <c r="D294" s="116">
        <v>1128.0250000000001</v>
      </c>
      <c r="E294" s="116">
        <v>1145.55</v>
      </c>
      <c r="F294" s="116">
        <v>2319.5500000000002</v>
      </c>
      <c r="G294">
        <v>49746</v>
      </c>
      <c r="H294" s="116"/>
      <c r="I294" s="116"/>
      <c r="L294" s="170">
        <v>42431</v>
      </c>
      <c r="M294" s="116">
        <v>1159.425</v>
      </c>
      <c r="N294" s="116">
        <v>1165</v>
      </c>
      <c r="O294" s="116">
        <v>1128.125</v>
      </c>
      <c r="P294" s="116">
        <v>1152.5</v>
      </c>
      <c r="Q294" s="116">
        <v>2318.85</v>
      </c>
      <c r="R294">
        <v>763743</v>
      </c>
    </row>
    <row r="295" spans="1:18" x14ac:dyDescent="0.25">
      <c r="A295" s="170">
        <v>42432</v>
      </c>
      <c r="B295" s="116">
        <v>1194.75</v>
      </c>
      <c r="C295" s="116">
        <v>1188.6500000000001</v>
      </c>
      <c r="D295" s="116">
        <v>1150.5999999999999</v>
      </c>
      <c r="E295" s="116">
        <v>1162</v>
      </c>
      <c r="F295" s="116">
        <v>2377.3000000000002</v>
      </c>
      <c r="G295">
        <v>75967</v>
      </c>
      <c r="H295" s="116"/>
      <c r="I295" s="116"/>
      <c r="L295" s="170">
        <v>42432</v>
      </c>
      <c r="M295" s="116">
        <v>1186.575</v>
      </c>
      <c r="N295" s="116">
        <v>1195.5</v>
      </c>
      <c r="O295" s="116">
        <v>1150.5</v>
      </c>
      <c r="P295" s="116">
        <v>1168</v>
      </c>
      <c r="Q295" s="116">
        <v>2373.15</v>
      </c>
      <c r="R295">
        <v>1324142</v>
      </c>
    </row>
    <row r="296" spans="1:18" x14ac:dyDescent="0.25">
      <c r="A296" s="170">
        <v>42433</v>
      </c>
      <c r="B296" s="116">
        <v>1188.9749999999999</v>
      </c>
      <c r="C296" s="116">
        <v>1179.5250000000001</v>
      </c>
      <c r="D296" s="116">
        <v>1175</v>
      </c>
      <c r="E296" s="116">
        <v>1186.5</v>
      </c>
      <c r="F296" s="116">
        <v>2359.0500000000002</v>
      </c>
      <c r="G296">
        <v>28600</v>
      </c>
      <c r="H296" s="116"/>
      <c r="I296" s="116"/>
      <c r="L296" s="170">
        <v>42433</v>
      </c>
      <c r="M296" s="116">
        <v>1178.7750000000001</v>
      </c>
      <c r="N296" s="116">
        <v>1190</v>
      </c>
      <c r="O296" s="116">
        <v>1174.7750000000001</v>
      </c>
      <c r="P296" s="116">
        <v>1190</v>
      </c>
      <c r="Q296" s="116">
        <v>2357.5500000000002</v>
      </c>
      <c r="R296">
        <v>756483</v>
      </c>
    </row>
    <row r="297" spans="1:18" x14ac:dyDescent="0.25">
      <c r="A297" s="170">
        <v>42437</v>
      </c>
      <c r="B297" s="116">
        <v>1182.5</v>
      </c>
      <c r="C297" s="116">
        <v>1177.2</v>
      </c>
      <c r="D297" s="116">
        <v>1153</v>
      </c>
      <c r="E297" s="116">
        <v>1172.5</v>
      </c>
      <c r="F297" s="116">
        <v>2354.4</v>
      </c>
      <c r="G297">
        <v>32221</v>
      </c>
      <c r="H297" s="116"/>
      <c r="I297" s="116"/>
      <c r="L297" s="170">
        <v>42437</v>
      </c>
      <c r="M297" s="116">
        <v>1177.1500000000001</v>
      </c>
      <c r="N297" s="116">
        <v>1183.5</v>
      </c>
      <c r="O297" s="116">
        <v>1152.0999999999999</v>
      </c>
      <c r="P297" s="116">
        <v>1171.05</v>
      </c>
      <c r="Q297" s="116">
        <v>2354.3000000000002</v>
      </c>
      <c r="R297">
        <v>634076</v>
      </c>
    </row>
    <row r="298" spans="1:18" x14ac:dyDescent="0.25">
      <c r="A298" s="170">
        <v>42438</v>
      </c>
      <c r="B298" s="116">
        <v>1184.425</v>
      </c>
      <c r="C298" s="116">
        <v>1178.0999999999999</v>
      </c>
      <c r="D298" s="116">
        <v>1149</v>
      </c>
      <c r="E298" s="116">
        <v>1175</v>
      </c>
      <c r="F298" s="116">
        <v>2356.1999999999998</v>
      </c>
      <c r="G298">
        <v>43494</v>
      </c>
      <c r="H298" s="116"/>
      <c r="I298" s="116"/>
      <c r="L298" s="170">
        <v>42438</v>
      </c>
      <c r="M298" s="116">
        <v>1178.625</v>
      </c>
      <c r="N298" s="116">
        <v>1184.7</v>
      </c>
      <c r="O298" s="116">
        <v>1147.575</v>
      </c>
      <c r="P298" s="116">
        <v>1170.5</v>
      </c>
      <c r="Q298" s="116">
        <v>2357.25</v>
      </c>
      <c r="R298">
        <v>1008892</v>
      </c>
    </row>
    <row r="299" spans="1:18" x14ac:dyDescent="0.25">
      <c r="A299" s="170">
        <v>42439</v>
      </c>
      <c r="B299" s="116">
        <v>1178</v>
      </c>
      <c r="C299" s="116">
        <v>1174</v>
      </c>
      <c r="D299" s="116">
        <v>1157.7</v>
      </c>
      <c r="E299" s="116">
        <v>1178</v>
      </c>
      <c r="F299" s="116">
        <v>2348</v>
      </c>
      <c r="G299">
        <v>31182</v>
      </c>
      <c r="H299" s="116"/>
      <c r="I299" s="116"/>
      <c r="L299" s="170">
        <v>42439</v>
      </c>
      <c r="M299" s="116">
        <v>1174.1500000000001</v>
      </c>
      <c r="N299" s="116">
        <v>1179.925</v>
      </c>
      <c r="O299" s="116">
        <v>1157.4749999999999</v>
      </c>
      <c r="P299" s="116">
        <v>1178.0250000000001</v>
      </c>
      <c r="Q299" s="116">
        <v>2348.3000000000002</v>
      </c>
      <c r="R299">
        <v>830833</v>
      </c>
    </row>
    <row r="300" spans="1:18" x14ac:dyDescent="0.25">
      <c r="A300" s="170">
        <v>42440</v>
      </c>
      <c r="B300" s="116">
        <v>1194.95</v>
      </c>
      <c r="C300" s="116">
        <v>1183</v>
      </c>
      <c r="D300" s="116">
        <v>1168.45</v>
      </c>
      <c r="E300" s="116">
        <v>1174</v>
      </c>
      <c r="F300" s="116">
        <v>2366</v>
      </c>
      <c r="G300">
        <v>215998</v>
      </c>
      <c r="H300" s="116"/>
      <c r="I300" s="116"/>
      <c r="L300" s="170">
        <v>42440</v>
      </c>
      <c r="M300" s="116">
        <v>1182.625</v>
      </c>
      <c r="N300" s="116">
        <v>1195.425</v>
      </c>
      <c r="O300" s="116">
        <v>1167.5</v>
      </c>
      <c r="P300" s="116">
        <v>1170</v>
      </c>
      <c r="Q300" s="116">
        <v>2365.25</v>
      </c>
      <c r="R300">
        <v>765264</v>
      </c>
    </row>
    <row r="301" spans="1:18" x14ac:dyDescent="0.25">
      <c r="A301" s="170">
        <v>42443</v>
      </c>
      <c r="B301" s="116">
        <v>1198.45</v>
      </c>
      <c r="C301" s="116">
        <v>1176</v>
      </c>
      <c r="D301" s="116">
        <v>1170</v>
      </c>
      <c r="E301" s="116">
        <v>1185</v>
      </c>
      <c r="F301" s="116">
        <v>2352</v>
      </c>
      <c r="G301">
        <v>27712</v>
      </c>
      <c r="H301" s="116"/>
      <c r="I301" s="116"/>
      <c r="L301" s="170">
        <v>42443</v>
      </c>
      <c r="M301" s="116">
        <v>1177.5</v>
      </c>
      <c r="N301" s="116">
        <v>1199</v>
      </c>
      <c r="O301" s="116">
        <v>1170</v>
      </c>
      <c r="P301" s="116">
        <v>1181</v>
      </c>
      <c r="Q301" s="116">
        <v>2355</v>
      </c>
      <c r="R301">
        <v>818371</v>
      </c>
    </row>
    <row r="302" spans="1:18" x14ac:dyDescent="0.25">
      <c r="A302" s="170">
        <v>42444</v>
      </c>
      <c r="B302" s="116">
        <v>1178.4749999999999</v>
      </c>
      <c r="C302" s="116">
        <v>1164.825</v>
      </c>
      <c r="D302" s="116">
        <v>1160</v>
      </c>
      <c r="E302" s="116">
        <v>1177.5</v>
      </c>
      <c r="F302" s="116">
        <v>2329.65</v>
      </c>
      <c r="G302">
        <v>23461</v>
      </c>
      <c r="H302" s="116"/>
      <c r="I302" s="116"/>
      <c r="L302" s="170">
        <v>42444</v>
      </c>
      <c r="M302" s="116">
        <v>1164.95</v>
      </c>
      <c r="N302" s="116">
        <v>1181.75</v>
      </c>
      <c r="O302" s="116">
        <v>1160.05</v>
      </c>
      <c r="P302" s="116">
        <v>1174.5250000000001</v>
      </c>
      <c r="Q302" s="116">
        <v>2329.9</v>
      </c>
      <c r="R302">
        <v>811678</v>
      </c>
    </row>
    <row r="303" spans="1:18" x14ac:dyDescent="0.25">
      <c r="A303" s="170">
        <v>42445</v>
      </c>
      <c r="B303" s="116">
        <v>1165.5</v>
      </c>
      <c r="C303" s="116">
        <v>1163.675</v>
      </c>
      <c r="D303" s="116">
        <v>1154.0999999999999</v>
      </c>
      <c r="E303" s="116">
        <v>1161.7</v>
      </c>
      <c r="F303" s="116">
        <v>2327.35</v>
      </c>
      <c r="G303">
        <v>18512</v>
      </c>
      <c r="H303" s="116"/>
      <c r="I303" s="116"/>
      <c r="L303" s="170">
        <v>42445</v>
      </c>
      <c r="M303" s="116">
        <v>1163.5250000000001</v>
      </c>
      <c r="N303" s="116">
        <v>1166</v>
      </c>
      <c r="O303" s="116">
        <v>1153.45</v>
      </c>
      <c r="P303" s="116">
        <v>1157.5</v>
      </c>
      <c r="Q303" s="116">
        <v>2327.0500000000002</v>
      </c>
      <c r="R303">
        <v>959123</v>
      </c>
    </row>
    <row r="304" spans="1:18" x14ac:dyDescent="0.25">
      <c r="A304" s="170">
        <v>42446</v>
      </c>
      <c r="B304" s="116">
        <v>1180.825</v>
      </c>
      <c r="C304" s="116">
        <v>1175.875</v>
      </c>
      <c r="D304" s="116">
        <v>1165.05</v>
      </c>
      <c r="E304" s="116">
        <v>1165.05</v>
      </c>
      <c r="F304" s="116">
        <v>2351.75</v>
      </c>
      <c r="G304">
        <v>36513</v>
      </c>
      <c r="H304" s="116"/>
      <c r="I304" s="116"/>
      <c r="L304" s="170">
        <v>42446</v>
      </c>
      <c r="M304" s="116">
        <v>1176.0250000000001</v>
      </c>
      <c r="N304" s="116">
        <v>1180.9000000000001</v>
      </c>
      <c r="O304" s="116">
        <v>1166</v>
      </c>
      <c r="P304" s="116">
        <v>1167</v>
      </c>
      <c r="Q304" s="116">
        <v>2352.0500000000002</v>
      </c>
      <c r="R304">
        <v>1110544</v>
      </c>
    </row>
    <row r="305" spans="1:18" x14ac:dyDescent="0.25">
      <c r="A305" s="170">
        <v>42447</v>
      </c>
      <c r="B305" s="116">
        <v>1217.5</v>
      </c>
      <c r="C305" s="116">
        <v>1213.625</v>
      </c>
      <c r="D305" s="116">
        <v>1181.5</v>
      </c>
      <c r="E305" s="116">
        <v>1181.5</v>
      </c>
      <c r="F305" s="116">
        <v>2427.25</v>
      </c>
      <c r="G305">
        <v>82231</v>
      </c>
      <c r="H305" s="116"/>
      <c r="I305" s="116"/>
      <c r="L305" s="170">
        <v>42447</v>
      </c>
      <c r="M305" s="116">
        <v>1212.925</v>
      </c>
      <c r="N305" s="116">
        <v>1215</v>
      </c>
      <c r="O305" s="116">
        <v>1180</v>
      </c>
      <c r="P305" s="116">
        <v>1180</v>
      </c>
      <c r="Q305" s="116">
        <v>2425.85</v>
      </c>
      <c r="R305">
        <v>1602035</v>
      </c>
    </row>
    <row r="306" spans="1:18" x14ac:dyDescent="0.25">
      <c r="A306" s="170">
        <v>42450</v>
      </c>
      <c r="B306" s="116">
        <v>1228.5</v>
      </c>
      <c r="C306" s="116">
        <v>1221.825</v>
      </c>
      <c r="D306" s="116">
        <v>1209.925</v>
      </c>
      <c r="E306" s="116">
        <v>1215</v>
      </c>
      <c r="F306" s="116">
        <v>2443.65</v>
      </c>
      <c r="G306">
        <v>46226</v>
      </c>
      <c r="H306" s="116"/>
      <c r="I306" s="116"/>
      <c r="L306" s="170">
        <v>42450</v>
      </c>
      <c r="M306" s="116">
        <v>1223.125</v>
      </c>
      <c r="N306" s="116">
        <v>1227.4749999999999</v>
      </c>
      <c r="O306" s="116">
        <v>1210</v>
      </c>
      <c r="P306" s="116">
        <v>1213</v>
      </c>
      <c r="Q306" s="116">
        <v>2446.25</v>
      </c>
      <c r="R306">
        <v>1168491</v>
      </c>
    </row>
    <row r="307" spans="1:18" x14ac:dyDescent="0.25">
      <c r="A307" s="170">
        <v>42451</v>
      </c>
      <c r="B307" s="116">
        <v>1242.5</v>
      </c>
      <c r="C307" s="116">
        <v>1237.0250000000001</v>
      </c>
      <c r="D307" s="116">
        <v>1217.8</v>
      </c>
      <c r="E307" s="116">
        <v>1223</v>
      </c>
      <c r="F307" s="116">
        <v>2474.0500000000002</v>
      </c>
      <c r="G307">
        <v>44395</v>
      </c>
      <c r="H307" s="116"/>
      <c r="I307" s="116"/>
      <c r="L307" s="170">
        <v>42451</v>
      </c>
      <c r="M307" s="116">
        <v>1236.55</v>
      </c>
      <c r="N307" s="116">
        <v>1242.5</v>
      </c>
      <c r="O307" s="116">
        <v>1218.25</v>
      </c>
      <c r="P307" s="116">
        <v>1221</v>
      </c>
      <c r="Q307" s="116">
        <v>2473.1</v>
      </c>
      <c r="R307">
        <v>975992</v>
      </c>
    </row>
    <row r="308" spans="1:18" x14ac:dyDescent="0.25">
      <c r="A308" s="170">
        <v>42452</v>
      </c>
      <c r="B308" s="116">
        <v>1242.5</v>
      </c>
      <c r="C308" s="116">
        <v>1237.3499999999999</v>
      </c>
      <c r="D308" s="116">
        <v>1228.55</v>
      </c>
      <c r="E308" s="116">
        <v>1239</v>
      </c>
      <c r="F308" s="116">
        <v>2474.6999999999998</v>
      </c>
      <c r="G308">
        <v>123230</v>
      </c>
      <c r="H308" s="116"/>
      <c r="I308" s="116"/>
      <c r="L308" s="170">
        <v>42452</v>
      </c>
      <c r="M308" s="116">
        <v>1236.9000000000001</v>
      </c>
      <c r="N308" s="116">
        <v>1243.95</v>
      </c>
      <c r="O308" s="116">
        <v>1228.6500000000001</v>
      </c>
      <c r="P308" s="116">
        <v>1243.95</v>
      </c>
      <c r="Q308" s="116">
        <v>2473.8000000000002</v>
      </c>
      <c r="R308">
        <v>1139217</v>
      </c>
    </row>
    <row r="309" spans="1:18" x14ac:dyDescent="0.25">
      <c r="A309" s="170">
        <v>42457</v>
      </c>
      <c r="B309" s="116">
        <v>1258.9749999999999</v>
      </c>
      <c r="C309" s="116">
        <v>1236.7750000000001</v>
      </c>
      <c r="D309" s="116">
        <v>1230.5999999999999</v>
      </c>
      <c r="E309" s="116">
        <v>1242.55</v>
      </c>
      <c r="F309" s="116">
        <v>2473.5500000000002</v>
      </c>
      <c r="G309">
        <v>49715</v>
      </c>
      <c r="H309" s="116"/>
      <c r="I309" s="116"/>
      <c r="L309" s="170">
        <v>42457</v>
      </c>
      <c r="M309" s="116">
        <v>1236.7</v>
      </c>
      <c r="N309" s="116">
        <v>1258.575</v>
      </c>
      <c r="O309" s="116">
        <v>1230.7750000000001</v>
      </c>
      <c r="P309" s="116">
        <v>1245.5</v>
      </c>
      <c r="Q309" s="116">
        <v>2473.4</v>
      </c>
      <c r="R309">
        <v>1660441</v>
      </c>
    </row>
    <row r="310" spans="1:18" x14ac:dyDescent="0.25">
      <c r="A310" s="170">
        <v>42458</v>
      </c>
      <c r="B310" s="116">
        <v>1243.2</v>
      </c>
      <c r="C310" s="116">
        <v>1233.925</v>
      </c>
      <c r="D310" s="116">
        <v>1225</v>
      </c>
      <c r="E310" s="116">
        <v>1237.5</v>
      </c>
      <c r="F310" s="116">
        <v>2467.85</v>
      </c>
      <c r="G310">
        <v>29547</v>
      </c>
      <c r="H310" s="116"/>
      <c r="I310" s="116"/>
      <c r="L310" s="170">
        <v>42458</v>
      </c>
      <c r="M310" s="116">
        <v>1234.7</v>
      </c>
      <c r="N310" s="116">
        <v>1243.4749999999999</v>
      </c>
      <c r="O310" s="116">
        <v>1227.5</v>
      </c>
      <c r="P310" s="116">
        <v>1239</v>
      </c>
      <c r="Q310" s="116">
        <v>2469.4</v>
      </c>
      <c r="R310">
        <v>919398</v>
      </c>
    </row>
    <row r="311" spans="1:18" x14ac:dyDescent="0.25">
      <c r="A311" s="170">
        <v>42459</v>
      </c>
      <c r="B311" s="116">
        <v>1251.5</v>
      </c>
      <c r="C311" s="116">
        <v>1244.175</v>
      </c>
      <c r="D311" s="116">
        <v>1232.5</v>
      </c>
      <c r="E311" s="116">
        <v>1235</v>
      </c>
      <c r="F311" s="116">
        <v>2488.35</v>
      </c>
      <c r="G311">
        <v>28920</v>
      </c>
      <c r="H311" s="116"/>
      <c r="I311" s="116"/>
      <c r="L311" s="170">
        <v>42459</v>
      </c>
      <c r="M311" s="116">
        <v>1244.75</v>
      </c>
      <c r="N311" s="116">
        <v>1252.5</v>
      </c>
      <c r="O311" s="116">
        <v>1230</v>
      </c>
      <c r="P311" s="116">
        <v>1235.45</v>
      </c>
      <c r="Q311" s="116">
        <v>2489.5</v>
      </c>
      <c r="R311">
        <v>1068252</v>
      </c>
    </row>
    <row r="312" spans="1:18" x14ac:dyDescent="0.25">
      <c r="A312" s="170">
        <v>42460</v>
      </c>
      <c r="B312" s="116">
        <v>1267</v>
      </c>
      <c r="C312" s="116">
        <v>1258.0250000000001</v>
      </c>
      <c r="D312" s="116">
        <v>1236.25</v>
      </c>
      <c r="E312" s="116">
        <v>1244</v>
      </c>
      <c r="F312" s="116">
        <v>2516.0500000000002</v>
      </c>
      <c r="G312">
        <v>49184</v>
      </c>
      <c r="H312" s="116"/>
      <c r="I312" s="116"/>
      <c r="L312" s="170">
        <v>42460</v>
      </c>
      <c r="M312" s="116">
        <v>1260.1500000000001</v>
      </c>
      <c r="N312" s="116">
        <v>1275</v>
      </c>
      <c r="O312" s="116">
        <v>1236.075</v>
      </c>
      <c r="P312" s="116">
        <v>1239.1500000000001</v>
      </c>
      <c r="Q312" s="116">
        <v>2520.3000000000002</v>
      </c>
      <c r="R312">
        <v>2181982</v>
      </c>
    </row>
    <row r="313" spans="1:18" x14ac:dyDescent="0.25">
      <c r="A313" s="170">
        <v>42461</v>
      </c>
      <c r="B313" s="116">
        <v>1260.4749999999999</v>
      </c>
      <c r="C313" s="116">
        <v>1227.7</v>
      </c>
      <c r="D313" s="116">
        <v>1217.7750000000001</v>
      </c>
      <c r="E313" s="116">
        <v>1252.5250000000001</v>
      </c>
      <c r="F313" s="116">
        <v>2455.4</v>
      </c>
      <c r="G313">
        <v>68119</v>
      </c>
      <c r="H313" s="116"/>
      <c r="I313" s="116"/>
      <c r="L313" s="170">
        <v>42461</v>
      </c>
      <c r="M313" s="116">
        <v>1226.95</v>
      </c>
      <c r="N313" s="116">
        <v>1260.425</v>
      </c>
      <c r="O313" s="116">
        <v>1217.05</v>
      </c>
      <c r="P313" s="116">
        <v>1252.5</v>
      </c>
      <c r="Q313" s="116">
        <v>2453.9</v>
      </c>
      <c r="R313">
        <v>1520700</v>
      </c>
    </row>
    <row r="314" spans="1:18" x14ac:dyDescent="0.25">
      <c r="A314" s="170">
        <v>42464</v>
      </c>
      <c r="B314" s="116">
        <v>1243.9000000000001</v>
      </c>
      <c r="C314" s="116">
        <v>1235.3499999999999</v>
      </c>
      <c r="D314" s="116">
        <v>1224</v>
      </c>
      <c r="E314" s="116">
        <v>1234.5</v>
      </c>
      <c r="F314" s="116">
        <v>2470.6999999999998</v>
      </c>
      <c r="G314">
        <v>33870</v>
      </c>
      <c r="H314" s="116"/>
      <c r="I314" s="116"/>
      <c r="L314" s="170">
        <v>42464</v>
      </c>
      <c r="M314" s="116">
        <v>1235.625</v>
      </c>
      <c r="N314" s="116">
        <v>1244</v>
      </c>
      <c r="O314" s="116">
        <v>1223.5</v>
      </c>
      <c r="P314" s="116">
        <v>1228</v>
      </c>
      <c r="Q314" s="116">
        <v>2471.25</v>
      </c>
      <c r="R314">
        <v>876176</v>
      </c>
    </row>
    <row r="315" spans="1:18" x14ac:dyDescent="0.25">
      <c r="A315" s="170">
        <v>42465</v>
      </c>
      <c r="B315" s="116">
        <v>1242</v>
      </c>
      <c r="C315" s="116">
        <v>1231.325</v>
      </c>
      <c r="D315" s="116">
        <v>1223.375</v>
      </c>
      <c r="E315" s="116">
        <v>1236.1500000000001</v>
      </c>
      <c r="F315" s="116">
        <v>2462.65</v>
      </c>
      <c r="G315">
        <v>199390</v>
      </c>
      <c r="H315" s="116"/>
      <c r="I315" s="116"/>
      <c r="L315" s="170">
        <v>42465</v>
      </c>
      <c r="M315" s="116">
        <v>1231.375</v>
      </c>
      <c r="N315" s="116">
        <v>1242.45</v>
      </c>
      <c r="O315" s="116">
        <v>1221.0250000000001</v>
      </c>
      <c r="P315" s="116">
        <v>1235.4000000000001</v>
      </c>
      <c r="Q315" s="116">
        <v>2462.75</v>
      </c>
      <c r="R315">
        <v>745897</v>
      </c>
    </row>
    <row r="316" spans="1:18" x14ac:dyDescent="0.25">
      <c r="A316" s="170">
        <v>42466</v>
      </c>
      <c r="B316" s="116">
        <v>1243.75</v>
      </c>
      <c r="C316" s="116">
        <v>1239.45</v>
      </c>
      <c r="D316" s="116">
        <v>1230.0250000000001</v>
      </c>
      <c r="E316" s="116">
        <v>1232.5</v>
      </c>
      <c r="F316" s="116">
        <v>2478.9</v>
      </c>
      <c r="G316">
        <v>37133</v>
      </c>
      <c r="H316" s="116"/>
      <c r="I316" s="116"/>
      <c r="L316" s="170">
        <v>42466</v>
      </c>
      <c r="M316" s="116">
        <v>1240.95</v>
      </c>
      <c r="N316" s="116">
        <v>1244.5</v>
      </c>
      <c r="O316" s="116">
        <v>1229.675</v>
      </c>
      <c r="P316" s="116">
        <v>1235</v>
      </c>
      <c r="Q316" s="116">
        <v>2481.9</v>
      </c>
      <c r="R316">
        <v>881575</v>
      </c>
    </row>
    <row r="317" spans="1:18" x14ac:dyDescent="0.25">
      <c r="A317" s="170">
        <v>42467</v>
      </c>
      <c r="B317" s="116">
        <v>1241.7</v>
      </c>
      <c r="C317" s="116">
        <v>1235.4749999999999</v>
      </c>
      <c r="D317" s="116">
        <v>1229.45</v>
      </c>
      <c r="E317" s="116">
        <v>1239.45</v>
      </c>
      <c r="F317" s="116">
        <v>2470.9499999999998</v>
      </c>
      <c r="G317">
        <v>21225</v>
      </c>
      <c r="H317" s="116"/>
      <c r="I317" s="116"/>
      <c r="L317" s="170">
        <v>42467</v>
      </c>
      <c r="M317" s="116">
        <v>1235.4000000000001</v>
      </c>
      <c r="N317" s="116">
        <v>1242.3499999999999</v>
      </c>
      <c r="O317" s="116">
        <v>1228.5</v>
      </c>
      <c r="P317" s="116">
        <v>1240</v>
      </c>
      <c r="Q317" s="116">
        <v>2470.8000000000002</v>
      </c>
      <c r="R317">
        <v>1195471</v>
      </c>
    </row>
    <row r="318" spans="1:18" x14ac:dyDescent="0.25">
      <c r="A318" s="170">
        <v>42468</v>
      </c>
      <c r="B318" s="116">
        <v>1233.45</v>
      </c>
      <c r="C318" s="116">
        <v>1214.3499999999999</v>
      </c>
      <c r="D318" s="116">
        <v>1212.5999999999999</v>
      </c>
      <c r="E318" s="116">
        <v>1232.5</v>
      </c>
      <c r="F318" s="116">
        <v>2428.6999999999998</v>
      </c>
      <c r="G318">
        <v>33259</v>
      </c>
      <c r="H318" s="116"/>
      <c r="I318" s="116"/>
      <c r="L318" s="170">
        <v>42468</v>
      </c>
      <c r="M318" s="116">
        <v>1216.0250000000001</v>
      </c>
      <c r="N318" s="116">
        <v>1236.8499999999999</v>
      </c>
      <c r="O318" s="116">
        <v>1213.5</v>
      </c>
      <c r="P318" s="116">
        <v>1233</v>
      </c>
      <c r="Q318" s="116">
        <v>2432.0500000000002</v>
      </c>
      <c r="R318">
        <v>699750</v>
      </c>
    </row>
    <row r="319" spans="1:18" x14ac:dyDescent="0.25">
      <c r="A319" s="170">
        <v>42471</v>
      </c>
      <c r="B319" s="116">
        <v>1257.2249999999999</v>
      </c>
      <c r="C319" s="116">
        <v>1253.325</v>
      </c>
      <c r="D319" s="116">
        <v>1206.075</v>
      </c>
      <c r="E319" s="116">
        <v>1225</v>
      </c>
      <c r="F319" s="116">
        <v>2506.65</v>
      </c>
      <c r="G319">
        <v>54852</v>
      </c>
      <c r="H319" s="116"/>
      <c r="I319" s="116"/>
      <c r="L319" s="170">
        <v>42471</v>
      </c>
      <c r="M319" s="116">
        <v>1253.325</v>
      </c>
      <c r="N319" s="116">
        <v>1258.5</v>
      </c>
      <c r="O319" s="116">
        <v>1206.5</v>
      </c>
      <c r="P319" s="116">
        <v>1216.5</v>
      </c>
      <c r="Q319" s="116">
        <v>2506.65</v>
      </c>
      <c r="R319">
        <v>1200324</v>
      </c>
    </row>
    <row r="320" spans="1:18" x14ac:dyDescent="0.25">
      <c r="A320" s="170">
        <v>42472</v>
      </c>
      <c r="B320" s="116">
        <v>1259.625</v>
      </c>
      <c r="C320" s="116">
        <v>1256.25</v>
      </c>
      <c r="D320" s="116">
        <v>1243.7249999999999</v>
      </c>
      <c r="E320" s="116">
        <v>1253.325</v>
      </c>
      <c r="F320" s="116">
        <v>2512.5</v>
      </c>
      <c r="G320">
        <v>30641</v>
      </c>
      <c r="H320" s="116"/>
      <c r="I320" s="116"/>
      <c r="L320" s="170">
        <v>42472</v>
      </c>
      <c r="M320" s="116">
        <v>1259.075</v>
      </c>
      <c r="N320" s="116">
        <v>1262.5</v>
      </c>
      <c r="O320" s="116">
        <v>1244.05</v>
      </c>
      <c r="P320" s="116">
        <v>1249</v>
      </c>
      <c r="Q320" s="116">
        <v>2518.15</v>
      </c>
      <c r="R320">
        <v>651814</v>
      </c>
    </row>
    <row r="321" spans="1:18" x14ac:dyDescent="0.25">
      <c r="A321" s="170">
        <v>42473</v>
      </c>
      <c r="B321" s="116">
        <v>1271.7</v>
      </c>
      <c r="C321" s="116">
        <v>1261.575</v>
      </c>
      <c r="D321" s="116">
        <v>1256.5250000000001</v>
      </c>
      <c r="E321" s="116">
        <v>1262.5</v>
      </c>
      <c r="F321" s="116">
        <v>2523.15</v>
      </c>
      <c r="G321">
        <v>33825</v>
      </c>
      <c r="H321" s="116"/>
      <c r="I321" s="116"/>
      <c r="L321" s="170">
        <v>42473</v>
      </c>
      <c r="M321" s="116">
        <v>1263.0999999999999</v>
      </c>
      <c r="N321" s="116">
        <v>1272.5</v>
      </c>
      <c r="O321" s="116">
        <v>1256.25</v>
      </c>
      <c r="P321" s="116">
        <v>1265</v>
      </c>
      <c r="Q321" s="116">
        <v>2526.1999999999998</v>
      </c>
      <c r="R321">
        <v>800734</v>
      </c>
    </row>
    <row r="322" spans="1:18" x14ac:dyDescent="0.25">
      <c r="A322" s="170">
        <v>42478</v>
      </c>
      <c r="B322" s="116">
        <v>1276.575</v>
      </c>
      <c r="C322" s="116">
        <v>1261.2</v>
      </c>
      <c r="D322" s="116">
        <v>1224.5</v>
      </c>
      <c r="E322" s="116">
        <v>1224.5</v>
      </c>
      <c r="F322" s="116">
        <v>2522.4</v>
      </c>
      <c r="G322">
        <v>226212</v>
      </c>
      <c r="H322" s="116"/>
      <c r="I322" s="116"/>
      <c r="L322" s="170">
        <v>42478</v>
      </c>
      <c r="M322" s="116">
        <v>1259.875</v>
      </c>
      <c r="N322" s="116">
        <v>1276.75</v>
      </c>
      <c r="O322" s="116">
        <v>1220</v>
      </c>
      <c r="P322" s="116">
        <v>1226.5</v>
      </c>
      <c r="Q322" s="116">
        <v>2519.75</v>
      </c>
      <c r="R322">
        <v>3560752</v>
      </c>
    </row>
    <row r="323" spans="1:18" x14ac:dyDescent="0.25">
      <c r="A323" s="170">
        <v>42480</v>
      </c>
      <c r="B323" s="116">
        <v>1274</v>
      </c>
      <c r="C323" s="116">
        <v>1225.95</v>
      </c>
      <c r="D323" s="116">
        <v>1221</v>
      </c>
      <c r="E323" s="116">
        <v>1274</v>
      </c>
      <c r="F323" s="116">
        <v>2451.9</v>
      </c>
      <c r="G323">
        <v>241795</v>
      </c>
      <c r="H323" s="116"/>
      <c r="I323" s="116"/>
      <c r="L323" s="170">
        <v>42480</v>
      </c>
      <c r="M323" s="116">
        <v>1225.175</v>
      </c>
      <c r="N323" s="116">
        <v>1267.45</v>
      </c>
      <c r="O323" s="116">
        <v>1220</v>
      </c>
      <c r="P323" s="116">
        <v>1267.45</v>
      </c>
      <c r="Q323" s="116">
        <v>2450.35</v>
      </c>
      <c r="R323">
        <v>3202512</v>
      </c>
    </row>
    <row r="324" spans="1:18" x14ac:dyDescent="0.25">
      <c r="A324" s="170">
        <v>42481</v>
      </c>
      <c r="B324" s="116">
        <v>1233.45</v>
      </c>
      <c r="C324" s="116">
        <v>1211.5999999999999</v>
      </c>
      <c r="D324" s="116">
        <v>1207.5</v>
      </c>
      <c r="E324" s="116">
        <v>1231</v>
      </c>
      <c r="F324" s="116">
        <v>2423.1999999999998</v>
      </c>
      <c r="G324">
        <v>89699</v>
      </c>
      <c r="H324" s="116"/>
      <c r="I324" s="116"/>
      <c r="L324" s="170">
        <v>42481</v>
      </c>
      <c r="M324" s="116">
        <v>1212.2</v>
      </c>
      <c r="N324" s="116">
        <v>1233.7</v>
      </c>
      <c r="O324" s="116">
        <v>1206.0999999999999</v>
      </c>
      <c r="P324" s="116">
        <v>1225.5</v>
      </c>
      <c r="Q324" s="116">
        <v>2424.4</v>
      </c>
      <c r="R324">
        <v>1262862</v>
      </c>
    </row>
    <row r="325" spans="1:18" x14ac:dyDescent="0.25">
      <c r="A325" s="170">
        <v>42482</v>
      </c>
      <c r="B325" s="116">
        <v>1217.5</v>
      </c>
      <c r="C325" s="116">
        <v>1208.5999999999999</v>
      </c>
      <c r="D325" s="116">
        <v>1202.4749999999999</v>
      </c>
      <c r="E325" s="116">
        <v>1205.5</v>
      </c>
      <c r="F325" s="116">
        <v>2417.1999999999998</v>
      </c>
      <c r="G325">
        <v>69728</v>
      </c>
      <c r="H325" s="116"/>
      <c r="I325" s="116"/>
      <c r="L325" s="170">
        <v>42482</v>
      </c>
      <c r="M325" s="116">
        <v>1208.5250000000001</v>
      </c>
      <c r="N325" s="116">
        <v>1217.7</v>
      </c>
      <c r="O325" s="116">
        <v>1202.0999999999999</v>
      </c>
      <c r="P325" s="116">
        <v>1209.5</v>
      </c>
      <c r="Q325" s="116">
        <v>2417.0500000000002</v>
      </c>
      <c r="R325">
        <v>982063</v>
      </c>
    </row>
    <row r="326" spans="1:18" x14ac:dyDescent="0.25">
      <c r="A326" s="170">
        <v>42485</v>
      </c>
      <c r="B326" s="116">
        <v>1227.0999999999999</v>
      </c>
      <c r="C326" s="116">
        <v>1224.1500000000001</v>
      </c>
      <c r="D326" s="116">
        <v>1203</v>
      </c>
      <c r="E326" s="116">
        <v>1208.5</v>
      </c>
      <c r="F326" s="116">
        <v>2448.3000000000002</v>
      </c>
      <c r="G326">
        <v>65967</v>
      </c>
      <c r="H326" s="116"/>
      <c r="I326" s="116"/>
      <c r="L326" s="170">
        <v>42485</v>
      </c>
      <c r="M326" s="116">
        <v>1225.625</v>
      </c>
      <c r="N326" s="116">
        <v>1228.5250000000001</v>
      </c>
      <c r="O326" s="116">
        <v>1201.1500000000001</v>
      </c>
      <c r="P326" s="116">
        <v>1201.1500000000001</v>
      </c>
      <c r="Q326" s="116">
        <v>2451.25</v>
      </c>
      <c r="R326">
        <v>1133827</v>
      </c>
    </row>
    <row r="327" spans="1:18" x14ac:dyDescent="0.25">
      <c r="A327" s="170">
        <v>42486</v>
      </c>
      <c r="B327" s="116">
        <v>1246.4000000000001</v>
      </c>
      <c r="C327" s="116">
        <v>1244</v>
      </c>
      <c r="D327" s="116">
        <v>1217.5</v>
      </c>
      <c r="E327" s="116">
        <v>1217.5</v>
      </c>
      <c r="F327" s="116">
        <v>2488</v>
      </c>
      <c r="G327">
        <v>64753</v>
      </c>
      <c r="H327" s="116"/>
      <c r="I327" s="116"/>
      <c r="L327" s="170">
        <v>42486</v>
      </c>
      <c r="M327" s="116">
        <v>1244.9000000000001</v>
      </c>
      <c r="N327" s="116">
        <v>1246.75</v>
      </c>
      <c r="O327" s="116">
        <v>1221</v>
      </c>
      <c r="P327" s="116">
        <v>1224.5</v>
      </c>
      <c r="Q327" s="116">
        <v>2489.8000000000002</v>
      </c>
      <c r="R327">
        <v>1277184</v>
      </c>
    </row>
    <row r="328" spans="1:18" x14ac:dyDescent="0.25">
      <c r="A328" s="170">
        <v>42487</v>
      </c>
      <c r="B328" s="116">
        <v>1256</v>
      </c>
      <c r="C328" s="116">
        <v>1252.7750000000001</v>
      </c>
      <c r="D328" s="116">
        <v>1238.675</v>
      </c>
      <c r="E328" s="116">
        <v>1244.95</v>
      </c>
      <c r="F328" s="116">
        <v>2505.5500000000002</v>
      </c>
      <c r="G328">
        <v>44773</v>
      </c>
      <c r="H328" s="116"/>
      <c r="I328" s="116"/>
      <c r="L328" s="170">
        <v>42487</v>
      </c>
      <c r="M328" s="116">
        <v>1255.55</v>
      </c>
      <c r="N328" s="116">
        <v>1257.3</v>
      </c>
      <c r="O328" s="116">
        <v>1237.95</v>
      </c>
      <c r="P328" s="116">
        <v>1240</v>
      </c>
      <c r="Q328" s="116">
        <v>2511.1</v>
      </c>
      <c r="R328">
        <v>924335</v>
      </c>
    </row>
    <row r="329" spans="1:18" x14ac:dyDescent="0.25">
      <c r="A329" s="170">
        <v>42488</v>
      </c>
      <c r="B329" s="116">
        <v>1268.175</v>
      </c>
      <c r="C329" s="116">
        <v>1263.4749999999999</v>
      </c>
      <c r="D329" s="116">
        <v>1250</v>
      </c>
      <c r="E329" s="116">
        <v>1254</v>
      </c>
      <c r="F329" s="116">
        <v>2526.9499999999998</v>
      </c>
      <c r="G329">
        <v>74071</v>
      </c>
      <c r="H329" s="116"/>
      <c r="I329" s="116"/>
      <c r="L329" s="170">
        <v>42488</v>
      </c>
      <c r="M329" s="116">
        <v>1263.875</v>
      </c>
      <c r="N329" s="116">
        <v>1270</v>
      </c>
      <c r="O329" s="116">
        <v>1249.05</v>
      </c>
      <c r="P329" s="116">
        <v>1250.6500000000001</v>
      </c>
      <c r="Q329" s="116">
        <v>2527.75</v>
      </c>
      <c r="R329">
        <v>2496372</v>
      </c>
    </row>
    <row r="330" spans="1:18" x14ac:dyDescent="0.25">
      <c r="A330" s="170">
        <v>42489</v>
      </c>
      <c r="B330" s="116">
        <v>1269.8</v>
      </c>
      <c r="C330" s="116">
        <v>1265.0250000000001</v>
      </c>
      <c r="D330" s="116">
        <v>1255.55</v>
      </c>
      <c r="E330" s="116">
        <v>1260</v>
      </c>
      <c r="F330" s="116">
        <v>2530.0500000000002</v>
      </c>
      <c r="G330">
        <v>355518</v>
      </c>
      <c r="H330" s="116"/>
      <c r="I330" s="116"/>
      <c r="L330" s="170">
        <v>42489</v>
      </c>
      <c r="M330" s="116">
        <v>1267.75</v>
      </c>
      <c r="N330" s="116">
        <v>1271</v>
      </c>
      <c r="O330" s="116">
        <v>1255</v>
      </c>
      <c r="P330" s="116">
        <v>1258.5</v>
      </c>
      <c r="Q330" s="116">
        <v>2535.5</v>
      </c>
      <c r="R330">
        <v>1186089</v>
      </c>
    </row>
    <row r="331" spans="1:18" x14ac:dyDescent="0.25">
      <c r="A331" s="170">
        <v>42492</v>
      </c>
      <c r="B331" s="116">
        <v>1265.0250000000001</v>
      </c>
      <c r="C331" s="116">
        <v>1262.575</v>
      </c>
      <c r="D331" s="116">
        <v>1250.0250000000001</v>
      </c>
      <c r="E331" s="116">
        <v>1265.0250000000001</v>
      </c>
      <c r="F331" s="116">
        <v>2525.15</v>
      </c>
      <c r="G331">
        <v>22826</v>
      </c>
      <c r="H331" s="116"/>
      <c r="I331" s="116"/>
      <c r="L331" s="170">
        <v>42492</v>
      </c>
      <c r="M331" s="116">
        <v>1263.3499999999999</v>
      </c>
      <c r="N331" s="116">
        <v>1265</v>
      </c>
      <c r="O331" s="116">
        <v>1250</v>
      </c>
      <c r="P331" s="116">
        <v>1264.5</v>
      </c>
      <c r="Q331" s="116">
        <v>2526.6999999999998</v>
      </c>
      <c r="R331">
        <v>558346</v>
      </c>
    </row>
    <row r="332" spans="1:18" x14ac:dyDescent="0.25">
      <c r="A332" s="170">
        <v>42493</v>
      </c>
      <c r="B332" s="116">
        <v>1265</v>
      </c>
      <c r="C332" s="116">
        <v>1240.125</v>
      </c>
      <c r="D332" s="116">
        <v>1237.55</v>
      </c>
      <c r="E332" s="116">
        <v>1260</v>
      </c>
      <c r="F332" s="116">
        <v>2480.25</v>
      </c>
      <c r="G332">
        <v>69522</v>
      </c>
      <c r="H332" s="116"/>
      <c r="I332" s="116"/>
      <c r="L332" s="170">
        <v>42493</v>
      </c>
      <c r="M332" s="116">
        <v>1239.05</v>
      </c>
      <c r="N332" s="116">
        <v>1265</v>
      </c>
      <c r="O332" s="116">
        <v>1236</v>
      </c>
      <c r="P332" s="116">
        <v>1262.5</v>
      </c>
      <c r="Q332" s="116">
        <v>2478.1</v>
      </c>
      <c r="R332">
        <v>1076559</v>
      </c>
    </row>
    <row r="333" spans="1:18" x14ac:dyDescent="0.25">
      <c r="A333" s="170">
        <v>42494</v>
      </c>
      <c r="B333" s="116">
        <v>1246.05</v>
      </c>
      <c r="C333" s="116">
        <v>1239.125</v>
      </c>
      <c r="D333" s="116">
        <v>1228.9749999999999</v>
      </c>
      <c r="E333" s="116">
        <v>1235.5</v>
      </c>
      <c r="F333" s="116">
        <v>2478.25</v>
      </c>
      <c r="G333">
        <v>31054</v>
      </c>
      <c r="H333" s="116"/>
      <c r="I333" s="116"/>
      <c r="L333" s="170">
        <v>42494</v>
      </c>
      <c r="M333" s="116">
        <v>1239</v>
      </c>
      <c r="N333" s="116">
        <v>1247.0250000000001</v>
      </c>
      <c r="O333" s="116">
        <v>1228.5</v>
      </c>
      <c r="P333" s="116">
        <v>1236.95</v>
      </c>
      <c r="Q333" s="116">
        <v>2478</v>
      </c>
      <c r="R333">
        <v>682446</v>
      </c>
    </row>
    <row r="334" spans="1:18" x14ac:dyDescent="0.25">
      <c r="A334" s="170">
        <v>42495</v>
      </c>
      <c r="B334" s="116">
        <v>1245.2</v>
      </c>
      <c r="C334" s="116">
        <v>1237</v>
      </c>
      <c r="D334" s="116">
        <v>1232.5</v>
      </c>
      <c r="E334" s="116">
        <v>1240.325</v>
      </c>
      <c r="F334" s="116">
        <v>2474</v>
      </c>
      <c r="G334">
        <v>46920</v>
      </c>
      <c r="H334" s="116"/>
      <c r="I334" s="116"/>
      <c r="L334" s="170">
        <v>42495</v>
      </c>
      <c r="M334" s="116">
        <v>1235.1500000000001</v>
      </c>
      <c r="N334" s="116">
        <v>1244.9749999999999</v>
      </c>
      <c r="O334" s="116">
        <v>1231.7750000000001</v>
      </c>
      <c r="P334" s="116">
        <v>1239</v>
      </c>
      <c r="Q334" s="116">
        <v>2470.3000000000002</v>
      </c>
      <c r="R334">
        <v>623283</v>
      </c>
    </row>
    <row r="335" spans="1:18" x14ac:dyDescent="0.25">
      <c r="A335" s="170">
        <v>42496</v>
      </c>
      <c r="B335" s="116">
        <v>1242</v>
      </c>
      <c r="C335" s="116">
        <v>1236.075</v>
      </c>
      <c r="D335" s="116">
        <v>1216</v>
      </c>
      <c r="E335" s="116">
        <v>1235</v>
      </c>
      <c r="F335" s="116">
        <v>2472.15</v>
      </c>
      <c r="G335">
        <v>27232</v>
      </c>
      <c r="H335" s="116"/>
      <c r="I335" s="116"/>
      <c r="L335" s="170">
        <v>42496</v>
      </c>
      <c r="M335" s="116">
        <v>1236.7</v>
      </c>
      <c r="N335" s="116">
        <v>1242.1500000000001</v>
      </c>
      <c r="O335" s="116">
        <v>1215.5</v>
      </c>
      <c r="P335" s="116">
        <v>1232.5</v>
      </c>
      <c r="Q335" s="116">
        <v>2473.4</v>
      </c>
      <c r="R335">
        <v>442799</v>
      </c>
    </row>
    <row r="336" spans="1:18" x14ac:dyDescent="0.25">
      <c r="A336" s="170">
        <v>42499</v>
      </c>
      <c r="B336" s="116">
        <v>1259.95</v>
      </c>
      <c r="C336" s="116">
        <v>1257.675</v>
      </c>
      <c r="D336" s="116">
        <v>1229.325</v>
      </c>
      <c r="E336" s="116">
        <v>1236.075</v>
      </c>
      <c r="F336" s="116">
        <v>2515.35</v>
      </c>
      <c r="G336">
        <v>46674</v>
      </c>
      <c r="H336" s="116"/>
      <c r="I336" s="116"/>
      <c r="L336" s="170">
        <v>42499</v>
      </c>
      <c r="M336" s="116">
        <v>1256.2750000000001</v>
      </c>
      <c r="N336" s="116">
        <v>1259</v>
      </c>
      <c r="O336" s="116">
        <v>1228.2</v>
      </c>
      <c r="P336" s="116">
        <v>1236.7</v>
      </c>
      <c r="Q336" s="116">
        <v>2512.5500000000002</v>
      </c>
      <c r="R336">
        <v>910638</v>
      </c>
    </row>
    <row r="337" spans="1:18" x14ac:dyDescent="0.25">
      <c r="A337" s="170">
        <v>42500</v>
      </c>
      <c r="B337" s="116">
        <v>1266.425</v>
      </c>
      <c r="C337" s="116">
        <v>1261.8</v>
      </c>
      <c r="D337" s="116">
        <v>1248.55</v>
      </c>
      <c r="E337" s="116">
        <v>1257</v>
      </c>
      <c r="F337" s="116">
        <v>2523.6</v>
      </c>
      <c r="G337">
        <v>21979</v>
      </c>
      <c r="H337" s="116"/>
      <c r="I337" s="116"/>
      <c r="L337" s="170">
        <v>42500</v>
      </c>
      <c r="M337" s="116">
        <v>1261.45</v>
      </c>
      <c r="N337" s="116">
        <v>1266.9749999999999</v>
      </c>
      <c r="O337" s="116">
        <v>1248</v>
      </c>
      <c r="P337" s="116">
        <v>1257.5</v>
      </c>
      <c r="Q337" s="116">
        <v>2522.9</v>
      </c>
      <c r="R337">
        <v>579267</v>
      </c>
    </row>
    <row r="338" spans="1:18" x14ac:dyDescent="0.25">
      <c r="A338" s="170">
        <v>42501</v>
      </c>
      <c r="B338" s="116">
        <v>1262</v>
      </c>
      <c r="C338" s="116">
        <v>1258.875</v>
      </c>
      <c r="D338" s="116">
        <v>1244.0250000000001</v>
      </c>
      <c r="E338" s="116">
        <v>1257.5</v>
      </c>
      <c r="F338" s="116">
        <v>2517.75</v>
      </c>
      <c r="G338">
        <v>48508</v>
      </c>
      <c r="H338" s="116"/>
      <c r="I338" s="116"/>
      <c r="L338" s="170">
        <v>42501</v>
      </c>
      <c r="M338" s="116">
        <v>1259.1500000000001</v>
      </c>
      <c r="N338" s="116">
        <v>1262.8</v>
      </c>
      <c r="O338" s="116">
        <v>1245</v>
      </c>
      <c r="P338" s="116">
        <v>1250</v>
      </c>
      <c r="Q338" s="116">
        <v>2518.3000000000002</v>
      </c>
      <c r="R338">
        <v>799358</v>
      </c>
    </row>
    <row r="339" spans="1:18" x14ac:dyDescent="0.25">
      <c r="A339" s="170">
        <v>42502</v>
      </c>
      <c r="B339" s="116">
        <v>1285</v>
      </c>
      <c r="C339" s="116">
        <v>1283.5250000000001</v>
      </c>
      <c r="D339" s="116">
        <v>1259.5</v>
      </c>
      <c r="E339" s="116">
        <v>1259.5</v>
      </c>
      <c r="F339" s="116">
        <v>2567.0500000000002</v>
      </c>
      <c r="G339">
        <v>55056</v>
      </c>
      <c r="H339" s="116"/>
      <c r="I339" s="116"/>
      <c r="L339" s="170">
        <v>42502</v>
      </c>
      <c r="M339" s="116">
        <v>1283.0999999999999</v>
      </c>
      <c r="N339" s="116">
        <v>1284.95</v>
      </c>
      <c r="O339" s="116">
        <v>1260.2750000000001</v>
      </c>
      <c r="P339" s="116">
        <v>1260.2750000000001</v>
      </c>
      <c r="Q339" s="116">
        <v>2566.1999999999998</v>
      </c>
      <c r="R339">
        <v>756541</v>
      </c>
    </row>
    <row r="340" spans="1:18" x14ac:dyDescent="0.25">
      <c r="A340" s="170">
        <v>42503</v>
      </c>
      <c r="B340" s="116">
        <v>1282.5</v>
      </c>
      <c r="C340" s="116">
        <v>1261.7</v>
      </c>
      <c r="D340" s="116">
        <v>1256</v>
      </c>
      <c r="E340" s="116">
        <v>1282.5</v>
      </c>
      <c r="F340" s="116">
        <v>2523.4</v>
      </c>
      <c r="G340">
        <v>47347</v>
      </c>
      <c r="H340" s="116"/>
      <c r="I340" s="116"/>
      <c r="L340" s="170">
        <v>42503</v>
      </c>
      <c r="M340" s="116">
        <v>1261.7</v>
      </c>
      <c r="N340" s="116">
        <v>1283</v>
      </c>
      <c r="O340" s="116">
        <v>1255.075</v>
      </c>
      <c r="P340" s="116">
        <v>1282.5</v>
      </c>
      <c r="Q340" s="116">
        <v>2523.4</v>
      </c>
      <c r="R340">
        <v>810865</v>
      </c>
    </row>
    <row r="341" spans="1:18" x14ac:dyDescent="0.25">
      <c r="A341" s="170">
        <v>42506</v>
      </c>
      <c r="B341" s="116">
        <v>1281.9749999999999</v>
      </c>
      <c r="C341" s="116">
        <v>1276.9000000000001</v>
      </c>
      <c r="D341" s="116">
        <v>1262</v>
      </c>
      <c r="E341" s="116">
        <v>1262</v>
      </c>
      <c r="F341" s="116">
        <v>2553.8000000000002</v>
      </c>
      <c r="G341">
        <v>27819</v>
      </c>
      <c r="H341" s="116"/>
      <c r="I341" s="116"/>
      <c r="L341" s="170">
        <v>42506</v>
      </c>
      <c r="M341" s="116">
        <v>1275.575</v>
      </c>
      <c r="N341" s="116">
        <v>1282.4000000000001</v>
      </c>
      <c r="O341" s="116">
        <v>1261.25</v>
      </c>
      <c r="P341" s="116">
        <v>1269</v>
      </c>
      <c r="Q341" s="116">
        <v>2551.15</v>
      </c>
      <c r="R341">
        <v>555763</v>
      </c>
    </row>
    <row r="342" spans="1:18" x14ac:dyDescent="0.25">
      <c r="A342" s="170">
        <v>42507</v>
      </c>
      <c r="B342" s="116">
        <v>1295.425</v>
      </c>
      <c r="C342" s="116">
        <v>1285.0999999999999</v>
      </c>
      <c r="D342" s="116">
        <v>1276.5</v>
      </c>
      <c r="E342" s="116">
        <v>1278</v>
      </c>
      <c r="F342" s="116">
        <v>2570.1999999999998</v>
      </c>
      <c r="G342">
        <v>53316</v>
      </c>
      <c r="H342" s="116"/>
      <c r="I342" s="116"/>
      <c r="L342" s="170">
        <v>42507</v>
      </c>
      <c r="M342" s="116">
        <v>1285.0999999999999</v>
      </c>
      <c r="N342" s="116">
        <v>1295.625</v>
      </c>
      <c r="O342" s="116">
        <v>1276</v>
      </c>
      <c r="P342" s="116">
        <v>1282.0999999999999</v>
      </c>
      <c r="Q342" s="116">
        <v>2570.1999999999998</v>
      </c>
      <c r="R342">
        <v>878349</v>
      </c>
    </row>
    <row r="343" spans="1:18" x14ac:dyDescent="0.25">
      <c r="A343" s="170">
        <v>42508</v>
      </c>
      <c r="B343" s="116">
        <v>1285.0999999999999</v>
      </c>
      <c r="C343" s="116">
        <v>1275.2249999999999</v>
      </c>
      <c r="D343" s="116">
        <v>1263.8499999999999</v>
      </c>
      <c r="E343" s="116">
        <v>1285.0999999999999</v>
      </c>
      <c r="F343" s="116">
        <v>2550.4499999999998</v>
      </c>
      <c r="G343">
        <v>32458</v>
      </c>
      <c r="H343" s="116"/>
      <c r="I343" s="116"/>
      <c r="L343" s="170">
        <v>42508</v>
      </c>
      <c r="M343" s="116">
        <v>1275.55</v>
      </c>
      <c r="N343" s="116">
        <v>1282.925</v>
      </c>
      <c r="O343" s="116">
        <v>1263.0250000000001</v>
      </c>
      <c r="P343" s="116">
        <v>1282.925</v>
      </c>
      <c r="Q343" s="116">
        <v>2551.1</v>
      </c>
      <c r="R343">
        <v>750370</v>
      </c>
    </row>
    <row r="344" spans="1:18" x14ac:dyDescent="0.25">
      <c r="A344" s="170">
        <v>42509</v>
      </c>
      <c r="B344" s="116">
        <v>1279.95</v>
      </c>
      <c r="C344" s="116">
        <v>1277.7750000000001</v>
      </c>
      <c r="D344" s="116">
        <v>1263.875</v>
      </c>
      <c r="E344" s="116">
        <v>1275</v>
      </c>
      <c r="F344" s="116">
        <v>2555.5500000000002</v>
      </c>
      <c r="G344">
        <v>42294</v>
      </c>
      <c r="H344" s="116"/>
      <c r="I344" s="116"/>
      <c r="L344" s="170">
        <v>42509</v>
      </c>
      <c r="M344" s="116">
        <v>1278.4749999999999</v>
      </c>
      <c r="N344" s="116">
        <v>1280</v>
      </c>
      <c r="O344" s="116">
        <v>1263.05</v>
      </c>
      <c r="P344" s="116">
        <v>1277.5</v>
      </c>
      <c r="Q344" s="116">
        <v>2556.9499999999998</v>
      </c>
      <c r="R344">
        <v>519396</v>
      </c>
    </row>
    <row r="345" spans="1:18" x14ac:dyDescent="0.25">
      <c r="A345" s="170">
        <v>42510</v>
      </c>
      <c r="B345" s="116">
        <v>1282.5</v>
      </c>
      <c r="C345" s="116">
        <v>1266.0250000000001</v>
      </c>
      <c r="D345" s="116">
        <v>1263</v>
      </c>
      <c r="E345" s="116">
        <v>1282.4749999999999</v>
      </c>
      <c r="F345" s="116">
        <v>2532.0500000000002</v>
      </c>
      <c r="G345">
        <v>82126</v>
      </c>
      <c r="H345" s="116"/>
      <c r="I345" s="116"/>
      <c r="L345" s="170">
        <v>42510</v>
      </c>
      <c r="M345" s="116">
        <v>1264.6500000000001</v>
      </c>
      <c r="N345" s="116">
        <v>1282.9000000000001</v>
      </c>
      <c r="O345" s="116">
        <v>1261.4000000000001</v>
      </c>
      <c r="P345" s="116">
        <v>1271.1500000000001</v>
      </c>
      <c r="Q345" s="116">
        <v>2529.3000000000002</v>
      </c>
      <c r="R345">
        <v>615459</v>
      </c>
    </row>
    <row r="346" spans="1:18" x14ac:dyDescent="0.25">
      <c r="A346" s="170">
        <v>42513</v>
      </c>
      <c r="B346" s="116">
        <v>1273.875</v>
      </c>
      <c r="C346" s="116">
        <v>1245.8499999999999</v>
      </c>
      <c r="D346" s="116">
        <v>1240.5</v>
      </c>
      <c r="E346" s="116">
        <v>1266</v>
      </c>
      <c r="F346" s="116">
        <v>2491.6999999999998</v>
      </c>
      <c r="G346">
        <v>189427</v>
      </c>
      <c r="H346" s="116"/>
      <c r="I346" s="116"/>
      <c r="L346" s="170">
        <v>42513</v>
      </c>
      <c r="M346" s="116">
        <v>1245.7249999999999</v>
      </c>
      <c r="N346" s="116">
        <v>1272.95</v>
      </c>
      <c r="O346" s="116">
        <v>1240.0999999999999</v>
      </c>
      <c r="P346" s="116">
        <v>1272</v>
      </c>
      <c r="Q346" s="116">
        <v>2491.4499999999998</v>
      </c>
      <c r="R346">
        <v>766508</v>
      </c>
    </row>
    <row r="347" spans="1:18" x14ac:dyDescent="0.25">
      <c r="A347" s="170">
        <v>42514</v>
      </c>
      <c r="B347" s="116">
        <v>1244</v>
      </c>
      <c r="C347" s="116">
        <v>1233.75</v>
      </c>
      <c r="D347" s="116">
        <v>1230.5</v>
      </c>
      <c r="E347" s="116">
        <v>1241.95</v>
      </c>
      <c r="F347" s="116">
        <v>2467.5</v>
      </c>
      <c r="G347">
        <v>113001</v>
      </c>
      <c r="H347" s="116"/>
      <c r="I347" s="116"/>
      <c r="L347" s="170">
        <v>42514</v>
      </c>
      <c r="M347" s="116">
        <v>1233.8499999999999</v>
      </c>
      <c r="N347" s="116">
        <v>1244.125</v>
      </c>
      <c r="O347" s="116">
        <v>1229.8</v>
      </c>
      <c r="P347" s="116">
        <v>1242</v>
      </c>
      <c r="Q347" s="116">
        <v>2467.6999999999998</v>
      </c>
      <c r="R347">
        <v>669579</v>
      </c>
    </row>
    <row r="348" spans="1:18" x14ac:dyDescent="0.25">
      <c r="A348" s="170">
        <v>42515</v>
      </c>
      <c r="B348" s="116">
        <v>1266</v>
      </c>
      <c r="C348" s="116">
        <v>1263.3499999999999</v>
      </c>
      <c r="D348" s="116">
        <v>1244.2750000000001</v>
      </c>
      <c r="E348" s="116">
        <v>1244.2750000000001</v>
      </c>
      <c r="F348" s="116">
        <v>2526.6999999999998</v>
      </c>
      <c r="G348">
        <v>75643</v>
      </c>
      <c r="H348" s="116"/>
      <c r="I348" s="116"/>
      <c r="L348" s="170">
        <v>42515</v>
      </c>
      <c r="M348" s="116">
        <v>1263.2249999999999</v>
      </c>
      <c r="N348" s="116">
        <v>1266.4749999999999</v>
      </c>
      <c r="O348" s="116">
        <v>1240.5</v>
      </c>
      <c r="P348" s="116">
        <v>1240.5</v>
      </c>
      <c r="Q348" s="116">
        <v>2526.4499999999998</v>
      </c>
      <c r="R348">
        <v>774339</v>
      </c>
    </row>
    <row r="349" spans="1:18" x14ac:dyDescent="0.25">
      <c r="A349" s="170">
        <v>42516</v>
      </c>
      <c r="B349" s="116">
        <v>1284.5</v>
      </c>
      <c r="C349" s="116">
        <v>1276.4000000000001</v>
      </c>
      <c r="D349" s="116">
        <v>1253.1500000000001</v>
      </c>
      <c r="E349" s="116">
        <v>1263</v>
      </c>
      <c r="F349" s="116">
        <v>2552.8000000000002</v>
      </c>
      <c r="G349">
        <v>56286</v>
      </c>
      <c r="H349" s="116"/>
      <c r="I349" s="116"/>
      <c r="L349" s="170">
        <v>42516</v>
      </c>
      <c r="M349" s="116">
        <v>1274.3499999999999</v>
      </c>
      <c r="N349" s="116">
        <v>1282.45</v>
      </c>
      <c r="O349" s="116">
        <v>1252.55</v>
      </c>
      <c r="P349" s="116">
        <v>1265</v>
      </c>
      <c r="Q349" s="116">
        <v>2548.6999999999998</v>
      </c>
      <c r="R349">
        <v>971624</v>
      </c>
    </row>
    <row r="350" spans="1:18" x14ac:dyDescent="0.25">
      <c r="A350" s="170">
        <v>42517</v>
      </c>
      <c r="B350" s="116">
        <v>1290</v>
      </c>
      <c r="C350" s="116">
        <v>1286.0250000000001</v>
      </c>
      <c r="D350" s="116">
        <v>1275</v>
      </c>
      <c r="E350" s="116">
        <v>1280.5</v>
      </c>
      <c r="F350" s="116">
        <v>2572.0500000000002</v>
      </c>
      <c r="G350">
        <v>61210</v>
      </c>
      <c r="H350" s="116"/>
      <c r="I350" s="116"/>
      <c r="L350" s="170">
        <v>42517</v>
      </c>
      <c r="M350" s="116">
        <v>1286.325</v>
      </c>
      <c r="N350" s="116">
        <v>1289.925</v>
      </c>
      <c r="O350" s="116">
        <v>1275.3</v>
      </c>
      <c r="P350" s="116">
        <v>1276.575</v>
      </c>
      <c r="Q350" s="116">
        <v>2572.65</v>
      </c>
      <c r="R350">
        <v>552338</v>
      </c>
    </row>
    <row r="351" spans="1:18" x14ac:dyDescent="0.25">
      <c r="A351" s="170">
        <v>42520</v>
      </c>
      <c r="B351" s="116">
        <v>1321.5</v>
      </c>
      <c r="C351" s="116">
        <v>1317.675</v>
      </c>
      <c r="D351" s="116">
        <v>1292.5</v>
      </c>
      <c r="E351" s="116">
        <v>1292.5</v>
      </c>
      <c r="F351" s="116">
        <v>2635.35</v>
      </c>
      <c r="G351">
        <v>65805</v>
      </c>
      <c r="H351" s="116"/>
      <c r="I351" s="116"/>
      <c r="L351" s="170">
        <v>42520</v>
      </c>
      <c r="M351" s="116">
        <v>1318.2</v>
      </c>
      <c r="N351" s="116">
        <v>1320.9749999999999</v>
      </c>
      <c r="O351" s="116">
        <v>1291</v>
      </c>
      <c r="P351" s="116">
        <v>1291.5</v>
      </c>
      <c r="Q351" s="116">
        <v>2636.4</v>
      </c>
      <c r="R351">
        <v>674732</v>
      </c>
    </row>
    <row r="352" spans="1:18" x14ac:dyDescent="0.25">
      <c r="A352" s="170">
        <v>42521</v>
      </c>
      <c r="B352" s="116">
        <v>1322.7249999999999</v>
      </c>
      <c r="C352" s="116">
        <v>1287.55</v>
      </c>
      <c r="D352" s="116">
        <v>1285</v>
      </c>
      <c r="E352" s="116">
        <v>1310.5</v>
      </c>
      <c r="F352" s="116">
        <v>2575.1</v>
      </c>
      <c r="G352">
        <v>47427</v>
      </c>
      <c r="H352" s="116"/>
      <c r="I352" s="116"/>
      <c r="L352" s="170">
        <v>42521</v>
      </c>
      <c r="M352" s="116">
        <v>1284.7</v>
      </c>
      <c r="N352" s="116">
        <v>1323.5</v>
      </c>
      <c r="O352" s="116">
        <v>1281</v>
      </c>
      <c r="P352" s="116">
        <v>1320</v>
      </c>
      <c r="Q352" s="116">
        <v>2569.4</v>
      </c>
      <c r="R352">
        <v>1861304</v>
      </c>
    </row>
    <row r="353" spans="1:18" x14ac:dyDescent="0.25">
      <c r="A353" s="170">
        <v>42522</v>
      </c>
      <c r="B353" s="116">
        <v>1321.2750000000001</v>
      </c>
      <c r="C353" s="116">
        <v>1315.925</v>
      </c>
      <c r="D353" s="116">
        <v>1285.925</v>
      </c>
      <c r="E353" s="116">
        <v>1288.95</v>
      </c>
      <c r="F353" s="116">
        <v>2631.85</v>
      </c>
      <c r="G353">
        <v>63820</v>
      </c>
      <c r="H353" s="116"/>
      <c r="I353" s="116"/>
      <c r="L353" s="170">
        <v>42522</v>
      </c>
      <c r="M353" s="116">
        <v>1316.7750000000001</v>
      </c>
      <c r="N353" s="116">
        <v>1322.5</v>
      </c>
      <c r="O353" s="116">
        <v>1285.5</v>
      </c>
      <c r="P353" s="116">
        <v>1285.5999999999999</v>
      </c>
      <c r="Q353" s="116">
        <v>2633.55</v>
      </c>
      <c r="R353">
        <v>955971</v>
      </c>
    </row>
    <row r="354" spans="1:18" x14ac:dyDescent="0.25">
      <c r="A354" s="170">
        <v>42523</v>
      </c>
      <c r="B354" s="116">
        <v>1325.5</v>
      </c>
      <c r="C354" s="116">
        <v>1323.45</v>
      </c>
      <c r="D354" s="116">
        <v>1304.5</v>
      </c>
      <c r="E354" s="116">
        <v>1314.75</v>
      </c>
      <c r="F354" s="116">
        <v>2646.9</v>
      </c>
      <c r="G354">
        <v>32403</v>
      </c>
      <c r="H354" s="116"/>
      <c r="I354" s="116"/>
      <c r="L354" s="170">
        <v>42523</v>
      </c>
      <c r="M354" s="116">
        <v>1325.075</v>
      </c>
      <c r="N354" s="116">
        <v>1327.15</v>
      </c>
      <c r="O354" s="116">
        <v>1300</v>
      </c>
      <c r="P354" s="116">
        <v>1300</v>
      </c>
      <c r="Q354" s="116">
        <v>2650.15</v>
      </c>
      <c r="R354">
        <v>704378</v>
      </c>
    </row>
    <row r="355" spans="1:18" x14ac:dyDescent="0.25">
      <c r="A355" s="170">
        <v>42524</v>
      </c>
      <c r="B355" s="116">
        <v>1329.3</v>
      </c>
      <c r="C355" s="116">
        <v>1315.425</v>
      </c>
      <c r="D355" s="116">
        <v>1310.3</v>
      </c>
      <c r="E355" s="116">
        <v>1325.5</v>
      </c>
      <c r="F355" s="116">
        <v>2630.85</v>
      </c>
      <c r="G355">
        <v>36021</v>
      </c>
      <c r="H355" s="116"/>
      <c r="I355" s="116"/>
      <c r="L355" s="170">
        <v>42524</v>
      </c>
      <c r="M355" s="116">
        <v>1314.7750000000001</v>
      </c>
      <c r="N355" s="116">
        <v>1329</v>
      </c>
      <c r="O355" s="116">
        <v>1310.25</v>
      </c>
      <c r="P355" s="116">
        <v>1325.7</v>
      </c>
      <c r="Q355" s="116">
        <v>2629.55</v>
      </c>
      <c r="R355">
        <v>777461</v>
      </c>
    </row>
    <row r="356" spans="1:18" x14ac:dyDescent="0.25">
      <c r="A356" s="170">
        <v>42527</v>
      </c>
      <c r="B356" s="116">
        <v>1319.925</v>
      </c>
      <c r="C356" s="116">
        <v>1305.675</v>
      </c>
      <c r="D356" s="116">
        <v>1302.5</v>
      </c>
      <c r="E356" s="116">
        <v>1314.7750000000001</v>
      </c>
      <c r="F356" s="116">
        <v>2611.35</v>
      </c>
      <c r="G356">
        <v>31912</v>
      </c>
      <c r="H356" s="116"/>
      <c r="I356" s="116"/>
      <c r="L356" s="170">
        <v>42527</v>
      </c>
      <c r="M356" s="116">
        <v>1306.25</v>
      </c>
      <c r="N356" s="116">
        <v>1319.5</v>
      </c>
      <c r="O356" s="116">
        <v>1301.5999999999999</v>
      </c>
      <c r="P356" s="116">
        <v>1310.25</v>
      </c>
      <c r="Q356" s="116">
        <v>2612.5</v>
      </c>
      <c r="R356">
        <v>661013</v>
      </c>
    </row>
    <row r="357" spans="1:18" x14ac:dyDescent="0.25">
      <c r="A357" s="170">
        <v>42528</v>
      </c>
      <c r="B357" s="116">
        <v>1319.45</v>
      </c>
      <c r="C357" s="116">
        <v>1315.7249999999999</v>
      </c>
      <c r="D357" s="116">
        <v>1307.5</v>
      </c>
      <c r="E357" s="116">
        <v>1313.5</v>
      </c>
      <c r="F357" s="116">
        <v>2631.45</v>
      </c>
      <c r="G357">
        <v>18159</v>
      </c>
      <c r="H357" s="116"/>
      <c r="I357" s="116"/>
      <c r="L357" s="170">
        <v>42528</v>
      </c>
      <c r="M357" s="116">
        <v>1315.575</v>
      </c>
      <c r="N357" s="116">
        <v>1319.5</v>
      </c>
      <c r="O357" s="116">
        <v>1306.5</v>
      </c>
      <c r="P357" s="116">
        <v>1307</v>
      </c>
      <c r="Q357" s="116">
        <v>2631.15</v>
      </c>
      <c r="R357">
        <v>601097</v>
      </c>
    </row>
    <row r="358" spans="1:18" x14ac:dyDescent="0.25">
      <c r="A358" s="170">
        <v>42529</v>
      </c>
      <c r="B358" s="116">
        <v>1315</v>
      </c>
      <c r="C358" s="116">
        <v>1305.55</v>
      </c>
      <c r="D358" s="116">
        <v>1303.4749999999999</v>
      </c>
      <c r="E358" s="116">
        <v>1315</v>
      </c>
      <c r="F358" s="116">
        <v>2611.1</v>
      </c>
      <c r="G358">
        <v>18220</v>
      </c>
      <c r="H358" s="116"/>
      <c r="I358" s="116"/>
      <c r="L358" s="170">
        <v>42529</v>
      </c>
      <c r="M358" s="116">
        <v>1306.55</v>
      </c>
      <c r="N358" s="116">
        <v>1314.2750000000001</v>
      </c>
      <c r="O358" s="116">
        <v>1302.75</v>
      </c>
      <c r="P358" s="116">
        <v>1308.625</v>
      </c>
      <c r="Q358" s="116">
        <v>2613.1</v>
      </c>
      <c r="R358">
        <v>469133</v>
      </c>
    </row>
    <row r="359" spans="1:18" x14ac:dyDescent="0.25">
      <c r="A359" s="170">
        <v>42530</v>
      </c>
      <c r="B359" s="116">
        <v>1312.3</v>
      </c>
      <c r="C359" s="116">
        <v>1288.75</v>
      </c>
      <c r="D359" s="116">
        <v>1279</v>
      </c>
      <c r="E359" s="116">
        <v>1310</v>
      </c>
      <c r="F359" s="116">
        <v>2577.5</v>
      </c>
      <c r="G359">
        <v>40518</v>
      </c>
      <c r="H359" s="116"/>
      <c r="I359" s="116"/>
      <c r="L359" s="170">
        <v>42530</v>
      </c>
      <c r="M359" s="116">
        <v>1288.625</v>
      </c>
      <c r="N359" s="116">
        <v>1311.2</v>
      </c>
      <c r="O359" s="116">
        <v>1277.5999999999999</v>
      </c>
      <c r="P359" s="116">
        <v>1311.2</v>
      </c>
      <c r="Q359" s="116">
        <v>2577.25</v>
      </c>
      <c r="R359">
        <v>781069</v>
      </c>
    </row>
    <row r="360" spans="1:18" x14ac:dyDescent="0.25">
      <c r="A360" s="170">
        <v>42531</v>
      </c>
      <c r="B360" s="116">
        <v>1301.125</v>
      </c>
      <c r="C360" s="116">
        <v>1280.4749999999999</v>
      </c>
      <c r="D360" s="116">
        <v>1278</v>
      </c>
      <c r="E360" s="116">
        <v>1288.5</v>
      </c>
      <c r="F360" s="116">
        <v>2560.9499999999998</v>
      </c>
      <c r="G360">
        <v>30333</v>
      </c>
      <c r="H360" s="116"/>
      <c r="I360" s="116"/>
      <c r="L360" s="170">
        <v>42531</v>
      </c>
      <c r="M360" s="116">
        <v>1277.875</v>
      </c>
      <c r="N360" s="116">
        <v>1301.625</v>
      </c>
      <c r="O360" s="116">
        <v>1276.5999999999999</v>
      </c>
      <c r="P360" s="116">
        <v>1283</v>
      </c>
      <c r="Q360" s="116">
        <v>2555.75</v>
      </c>
      <c r="R360">
        <v>698416</v>
      </c>
    </row>
    <row r="361" spans="1:18" x14ac:dyDescent="0.25">
      <c r="A361" s="170">
        <v>42534</v>
      </c>
      <c r="B361" s="116">
        <v>1277.825</v>
      </c>
      <c r="C361" s="116">
        <v>1275.9749999999999</v>
      </c>
      <c r="D361" s="116">
        <v>1260.5</v>
      </c>
      <c r="E361" s="116">
        <v>1275</v>
      </c>
      <c r="F361" s="116">
        <v>2551.9499999999998</v>
      </c>
      <c r="G361">
        <v>36504</v>
      </c>
      <c r="H361" s="116"/>
      <c r="I361" s="116"/>
      <c r="L361" s="170">
        <v>42534</v>
      </c>
      <c r="M361" s="116">
        <v>1273.5</v>
      </c>
      <c r="N361" s="116">
        <v>1276.675</v>
      </c>
      <c r="O361" s="116">
        <v>1259</v>
      </c>
      <c r="P361" s="116">
        <v>1270</v>
      </c>
      <c r="Q361" s="116">
        <v>2547</v>
      </c>
      <c r="R361">
        <v>514989</v>
      </c>
    </row>
    <row r="362" spans="1:18" x14ac:dyDescent="0.25">
      <c r="A362" s="170">
        <v>42535</v>
      </c>
      <c r="B362" s="116">
        <v>1278.45</v>
      </c>
      <c r="C362" s="116">
        <v>1267.3499999999999</v>
      </c>
      <c r="D362" s="116">
        <v>1259.125</v>
      </c>
      <c r="E362" s="116">
        <v>1275</v>
      </c>
      <c r="F362" s="116">
        <v>2534.6999999999998</v>
      </c>
      <c r="G362">
        <v>36002</v>
      </c>
      <c r="H362" s="116"/>
      <c r="I362" s="116"/>
      <c r="L362" s="170">
        <v>42535</v>
      </c>
      <c r="M362" s="116">
        <v>1267.425</v>
      </c>
      <c r="N362" s="116">
        <v>1279.4749999999999</v>
      </c>
      <c r="O362" s="116">
        <v>1259.125</v>
      </c>
      <c r="P362" s="116">
        <v>1279.4749999999999</v>
      </c>
      <c r="Q362" s="116">
        <v>2534.85</v>
      </c>
      <c r="R362">
        <v>488785</v>
      </c>
    </row>
    <row r="363" spans="1:18" x14ac:dyDescent="0.25">
      <c r="A363" s="170">
        <v>42536</v>
      </c>
      <c r="B363" s="116">
        <v>1281.8499999999999</v>
      </c>
      <c r="C363" s="116">
        <v>1277.8499999999999</v>
      </c>
      <c r="D363" s="116">
        <v>1261.8</v>
      </c>
      <c r="E363" s="116">
        <v>1265</v>
      </c>
      <c r="F363" s="116">
        <v>2555.6999999999998</v>
      </c>
      <c r="G363">
        <v>37815</v>
      </c>
      <c r="H363" s="116"/>
      <c r="I363" s="116"/>
      <c r="L363" s="170">
        <v>42536</v>
      </c>
      <c r="M363" s="116">
        <v>1278.425</v>
      </c>
      <c r="N363" s="116">
        <v>1282.45</v>
      </c>
      <c r="O363" s="116">
        <v>1261</v>
      </c>
      <c r="P363" s="116">
        <v>1265</v>
      </c>
      <c r="Q363" s="116">
        <v>2556.85</v>
      </c>
      <c r="R363">
        <v>635422</v>
      </c>
    </row>
    <row r="364" spans="1:18" x14ac:dyDescent="0.25">
      <c r="A364" s="170">
        <v>42537</v>
      </c>
      <c r="B364" s="116">
        <v>1282.4000000000001</v>
      </c>
      <c r="C364" s="116">
        <v>1278.55</v>
      </c>
      <c r="D364" s="116">
        <v>1258.875</v>
      </c>
      <c r="E364" s="116">
        <v>1280.25</v>
      </c>
      <c r="F364" s="116">
        <v>2557.1</v>
      </c>
      <c r="G364">
        <v>31998</v>
      </c>
      <c r="H364" s="116"/>
      <c r="I364" s="116"/>
      <c r="L364" s="170">
        <v>42537</v>
      </c>
      <c r="M364" s="116">
        <v>1279.1500000000001</v>
      </c>
      <c r="N364" s="116">
        <v>1282.3499999999999</v>
      </c>
      <c r="O364" s="116">
        <v>1258.2249999999999</v>
      </c>
      <c r="P364" s="116">
        <v>1272.7750000000001</v>
      </c>
      <c r="Q364" s="116">
        <v>2558.3000000000002</v>
      </c>
      <c r="R364">
        <v>572535</v>
      </c>
    </row>
    <row r="365" spans="1:18" x14ac:dyDescent="0.25">
      <c r="A365" s="170">
        <v>42538</v>
      </c>
      <c r="B365" s="116">
        <v>1304.9000000000001</v>
      </c>
      <c r="C365" s="116">
        <v>1301.75</v>
      </c>
      <c r="D365" s="116">
        <v>1279.5</v>
      </c>
      <c r="E365" s="116">
        <v>1279.5</v>
      </c>
      <c r="F365" s="116">
        <v>2603.5</v>
      </c>
      <c r="G365">
        <v>42509</v>
      </c>
      <c r="H365" s="116"/>
      <c r="I365" s="116"/>
      <c r="L365" s="170">
        <v>42538</v>
      </c>
      <c r="M365" s="116">
        <v>1301.3</v>
      </c>
      <c r="N365" s="116">
        <v>1305</v>
      </c>
      <c r="O365" s="116">
        <v>1279.5</v>
      </c>
      <c r="P365" s="116">
        <v>1279.5</v>
      </c>
      <c r="Q365" s="116">
        <v>2602.6</v>
      </c>
      <c r="R365">
        <v>939494</v>
      </c>
    </row>
    <row r="366" spans="1:18" x14ac:dyDescent="0.25">
      <c r="A366" s="170">
        <v>42541</v>
      </c>
      <c r="B366" s="116">
        <v>1331.4749999999999</v>
      </c>
      <c r="C366" s="116">
        <v>1327.85</v>
      </c>
      <c r="D366" s="116">
        <v>1297.4000000000001</v>
      </c>
      <c r="E366" s="116">
        <v>1299.75</v>
      </c>
      <c r="F366" s="116">
        <v>2655.7</v>
      </c>
      <c r="G366">
        <v>113700</v>
      </c>
      <c r="H366" s="116"/>
      <c r="I366" s="116"/>
      <c r="L366" s="170">
        <v>42541</v>
      </c>
      <c r="M366" s="116">
        <v>1329.65</v>
      </c>
      <c r="N366" s="116">
        <v>1334</v>
      </c>
      <c r="O366" s="116">
        <v>1295.9000000000001</v>
      </c>
      <c r="P366" s="116">
        <v>1301.3</v>
      </c>
      <c r="Q366" s="116">
        <v>2659.3</v>
      </c>
      <c r="R366">
        <v>936419</v>
      </c>
    </row>
    <row r="367" spans="1:18" x14ac:dyDescent="0.25">
      <c r="A367" s="170">
        <v>42542</v>
      </c>
      <c r="B367" s="116">
        <v>1330.55</v>
      </c>
      <c r="C367" s="116">
        <v>1323.65</v>
      </c>
      <c r="D367" s="116">
        <v>1320</v>
      </c>
      <c r="E367" s="116">
        <v>1330</v>
      </c>
      <c r="F367" s="116">
        <v>2647.3</v>
      </c>
      <c r="G367">
        <v>43366</v>
      </c>
      <c r="H367" s="116"/>
      <c r="I367" s="116"/>
      <c r="L367" s="170">
        <v>42542</v>
      </c>
      <c r="M367" s="116">
        <v>1325.6</v>
      </c>
      <c r="N367" s="116">
        <v>1332.5</v>
      </c>
      <c r="O367" s="116">
        <v>1320.7</v>
      </c>
      <c r="P367" s="116">
        <v>1331.75</v>
      </c>
      <c r="Q367" s="116">
        <v>2651.2</v>
      </c>
      <c r="R367">
        <v>513845</v>
      </c>
    </row>
    <row r="368" spans="1:18" x14ac:dyDescent="0.25">
      <c r="A368" s="170">
        <v>42543</v>
      </c>
      <c r="B368" s="116">
        <v>1337.7249999999999</v>
      </c>
      <c r="C368" s="116">
        <v>1332.75</v>
      </c>
      <c r="D368" s="116">
        <v>1317</v>
      </c>
      <c r="E368" s="116">
        <v>1323.65</v>
      </c>
      <c r="F368" s="116">
        <v>2665.5</v>
      </c>
      <c r="G368">
        <v>55548</v>
      </c>
      <c r="H368" s="116"/>
      <c r="I368" s="116"/>
      <c r="L368" s="170">
        <v>42543</v>
      </c>
      <c r="M368" s="116">
        <v>1333.825</v>
      </c>
      <c r="N368" s="116">
        <v>1338.85</v>
      </c>
      <c r="O368" s="116">
        <v>1315.875</v>
      </c>
      <c r="P368" s="116">
        <v>1325</v>
      </c>
      <c r="Q368" s="116">
        <v>2667.65</v>
      </c>
      <c r="R368">
        <v>880856</v>
      </c>
    </row>
    <row r="369" spans="1:18" x14ac:dyDescent="0.25">
      <c r="A369" s="170">
        <v>42544</v>
      </c>
      <c r="B369" s="116">
        <v>1328.9749999999999</v>
      </c>
      <c r="C369" s="116">
        <v>1322.15</v>
      </c>
      <c r="D369" s="116">
        <v>1312.5</v>
      </c>
      <c r="E369" s="116">
        <v>1327.05</v>
      </c>
      <c r="F369" s="116">
        <v>2644.3</v>
      </c>
      <c r="G369">
        <v>40412</v>
      </c>
      <c r="H369" s="116"/>
      <c r="I369" s="116"/>
      <c r="L369" s="170">
        <v>42544</v>
      </c>
      <c r="M369" s="116">
        <v>1322.675</v>
      </c>
      <c r="N369" s="116">
        <v>1329.75</v>
      </c>
      <c r="O369" s="116">
        <v>1312.65</v>
      </c>
      <c r="P369" s="116">
        <v>1327.5</v>
      </c>
      <c r="Q369" s="116">
        <v>2645.35</v>
      </c>
      <c r="R369">
        <v>698507</v>
      </c>
    </row>
    <row r="370" spans="1:18" x14ac:dyDescent="0.25">
      <c r="A370" s="170">
        <v>42545</v>
      </c>
      <c r="B370" s="116">
        <v>1296.05</v>
      </c>
      <c r="C370" s="116">
        <v>1285.3499999999999</v>
      </c>
      <c r="D370" s="116">
        <v>1258.55</v>
      </c>
      <c r="E370" s="116">
        <v>1292.5</v>
      </c>
      <c r="F370" s="116">
        <v>2570.6999999999998</v>
      </c>
      <c r="G370">
        <v>152675</v>
      </c>
      <c r="H370" s="116"/>
      <c r="I370" s="116"/>
      <c r="L370" s="170">
        <v>42545</v>
      </c>
      <c r="M370" s="116">
        <v>1286.9749999999999</v>
      </c>
      <c r="N370" s="116">
        <v>1296.5999999999999</v>
      </c>
      <c r="O370" s="116">
        <v>1257.075</v>
      </c>
      <c r="P370" s="116">
        <v>1282.575</v>
      </c>
      <c r="Q370" s="116">
        <v>2573.9499999999998</v>
      </c>
      <c r="R370">
        <v>1883293</v>
      </c>
    </row>
    <row r="371" spans="1:18" x14ac:dyDescent="0.25">
      <c r="A371" s="170">
        <v>42548</v>
      </c>
      <c r="B371" s="116">
        <v>1274</v>
      </c>
      <c r="C371" s="116">
        <v>1247.675</v>
      </c>
      <c r="D371" s="116">
        <v>1242.075</v>
      </c>
      <c r="E371" s="116">
        <v>1274</v>
      </c>
      <c r="F371" s="116">
        <v>2495.35</v>
      </c>
      <c r="G371">
        <v>104578</v>
      </c>
      <c r="H371" s="116"/>
      <c r="I371" s="116"/>
      <c r="L371" s="170">
        <v>42548</v>
      </c>
      <c r="M371" s="116">
        <v>1247.925</v>
      </c>
      <c r="N371" s="116">
        <v>1273.5</v>
      </c>
      <c r="O371" s="116">
        <v>1241.325</v>
      </c>
      <c r="P371" s="116">
        <v>1273.5</v>
      </c>
      <c r="Q371" s="116">
        <v>2495.85</v>
      </c>
      <c r="R371">
        <v>2136283</v>
      </c>
    </row>
    <row r="372" spans="1:18" x14ac:dyDescent="0.25">
      <c r="A372" s="170">
        <v>42549</v>
      </c>
      <c r="B372" s="116">
        <v>1251</v>
      </c>
      <c r="C372" s="116">
        <v>1230.9000000000001</v>
      </c>
      <c r="D372" s="116">
        <v>1227.5</v>
      </c>
      <c r="E372" s="116">
        <v>1247.75</v>
      </c>
      <c r="F372" s="116">
        <v>2461.8000000000002</v>
      </c>
      <c r="G372">
        <v>93460</v>
      </c>
      <c r="H372" s="116"/>
      <c r="I372" s="116"/>
      <c r="L372" s="170">
        <v>42549</v>
      </c>
      <c r="M372" s="116">
        <v>1231.9749999999999</v>
      </c>
      <c r="N372" s="116">
        <v>1251.45</v>
      </c>
      <c r="O372" s="116">
        <v>1229.2</v>
      </c>
      <c r="P372" s="116">
        <v>1247.925</v>
      </c>
      <c r="Q372" s="116">
        <v>2463.9499999999998</v>
      </c>
      <c r="R372">
        <v>2249762</v>
      </c>
    </row>
    <row r="373" spans="1:18" x14ac:dyDescent="0.25">
      <c r="A373" s="170">
        <v>42550</v>
      </c>
      <c r="B373" s="116">
        <v>1254.5</v>
      </c>
      <c r="C373" s="116">
        <v>1249.8</v>
      </c>
      <c r="D373" s="116">
        <v>1233.5</v>
      </c>
      <c r="E373" s="116">
        <v>1238.5</v>
      </c>
      <c r="F373" s="116">
        <v>2499.6</v>
      </c>
      <c r="G373">
        <v>58343</v>
      </c>
      <c r="H373" s="116"/>
      <c r="I373" s="116"/>
      <c r="L373" s="170">
        <v>42550</v>
      </c>
      <c r="M373" s="116">
        <v>1251.45</v>
      </c>
      <c r="N373" s="116">
        <v>1256.25</v>
      </c>
      <c r="O373" s="116">
        <v>1232.6500000000001</v>
      </c>
      <c r="P373" s="116">
        <v>1237.5</v>
      </c>
      <c r="Q373" s="116">
        <v>2502.9</v>
      </c>
      <c r="R373">
        <v>1265632</v>
      </c>
    </row>
    <row r="374" spans="1:18" x14ac:dyDescent="0.25">
      <c r="A374" s="170">
        <v>42551</v>
      </c>
      <c r="B374" s="116">
        <v>1281.9000000000001</v>
      </c>
      <c r="C374" s="116">
        <v>1275.4000000000001</v>
      </c>
      <c r="D374" s="116">
        <v>1250.2750000000001</v>
      </c>
      <c r="E374" s="116">
        <v>1257</v>
      </c>
      <c r="F374" s="116">
        <v>2550.8000000000002</v>
      </c>
      <c r="G374">
        <v>185614</v>
      </c>
      <c r="H374" s="116"/>
      <c r="I374" s="116"/>
      <c r="L374" s="170">
        <v>42551</v>
      </c>
      <c r="M374" s="116">
        <v>1276.55</v>
      </c>
      <c r="N374" s="116">
        <v>1281.45</v>
      </c>
      <c r="O374" s="116">
        <v>1250.175</v>
      </c>
      <c r="P374" s="116">
        <v>1261</v>
      </c>
      <c r="Q374" s="116">
        <v>2553.1</v>
      </c>
      <c r="R374">
        <v>2560906</v>
      </c>
    </row>
    <row r="375" spans="1:18" x14ac:dyDescent="0.25">
      <c r="A375" s="170">
        <v>42552</v>
      </c>
      <c r="B375" s="116">
        <v>1285.5</v>
      </c>
      <c r="C375" s="116">
        <v>1250.9000000000001</v>
      </c>
      <c r="D375" s="116">
        <v>1247.5</v>
      </c>
      <c r="E375" s="116">
        <v>1276.55</v>
      </c>
      <c r="F375" s="116">
        <v>2501.8000000000002</v>
      </c>
      <c r="G375">
        <v>48811</v>
      </c>
      <c r="H375" s="116"/>
      <c r="I375" s="116"/>
      <c r="L375" s="170">
        <v>42552</v>
      </c>
      <c r="M375" s="116">
        <v>1250.425</v>
      </c>
      <c r="N375" s="116">
        <v>1282.3</v>
      </c>
      <c r="O375" s="116">
        <v>1247.175</v>
      </c>
      <c r="P375" s="116">
        <v>1281</v>
      </c>
      <c r="Q375" s="116">
        <v>2500.85</v>
      </c>
      <c r="R375">
        <v>1098648</v>
      </c>
    </row>
    <row r="376" spans="1:18" x14ac:dyDescent="0.25">
      <c r="A376" s="170">
        <v>42555</v>
      </c>
      <c r="B376" s="116">
        <v>1262.5</v>
      </c>
      <c r="C376" s="116">
        <v>1247.4000000000001</v>
      </c>
      <c r="D376" s="116">
        <v>1245</v>
      </c>
      <c r="E376" s="116">
        <v>1260</v>
      </c>
      <c r="F376" s="116">
        <v>2494.8000000000002</v>
      </c>
      <c r="G376">
        <v>52775</v>
      </c>
      <c r="H376" s="116"/>
      <c r="I376" s="116"/>
      <c r="L376" s="170">
        <v>42555</v>
      </c>
      <c r="M376" s="116">
        <v>1247.0999999999999</v>
      </c>
      <c r="N376" s="116">
        <v>1262.925</v>
      </c>
      <c r="O376" s="116">
        <v>1241</v>
      </c>
      <c r="P376" s="116">
        <v>1258</v>
      </c>
      <c r="Q376" s="116">
        <v>2494.1999999999998</v>
      </c>
      <c r="R376">
        <v>941742</v>
      </c>
    </row>
    <row r="377" spans="1:18" x14ac:dyDescent="0.25">
      <c r="A377" s="170">
        <v>42556</v>
      </c>
      <c r="B377" s="116">
        <v>1249</v>
      </c>
      <c r="C377" s="116">
        <v>1241.3499999999999</v>
      </c>
      <c r="D377" s="116">
        <v>1238.5</v>
      </c>
      <c r="E377" s="116">
        <v>1249</v>
      </c>
      <c r="F377" s="116">
        <v>2482.6999999999998</v>
      </c>
      <c r="G377">
        <v>30330</v>
      </c>
      <c r="H377" s="116"/>
      <c r="I377" s="116"/>
      <c r="L377" s="170">
        <v>42556</v>
      </c>
      <c r="M377" s="116">
        <v>1242.6500000000001</v>
      </c>
      <c r="N377" s="116">
        <v>1248.5250000000001</v>
      </c>
      <c r="O377" s="116">
        <v>1238.575</v>
      </c>
      <c r="P377" s="116">
        <v>1247.0999999999999</v>
      </c>
      <c r="Q377" s="116">
        <v>2485.3000000000002</v>
      </c>
      <c r="R377">
        <v>779874</v>
      </c>
    </row>
    <row r="378" spans="1:18" x14ac:dyDescent="0.25">
      <c r="A378" s="170">
        <v>42558</v>
      </c>
      <c r="B378" s="116">
        <v>1246.45</v>
      </c>
      <c r="C378" s="116">
        <v>1214.5250000000001</v>
      </c>
      <c r="D378" s="116">
        <v>1212.5</v>
      </c>
      <c r="E378" s="116">
        <v>1244</v>
      </c>
      <c r="F378" s="116">
        <v>2429.0500000000002</v>
      </c>
      <c r="G378">
        <v>73807</v>
      </c>
      <c r="H378" s="116"/>
      <c r="I378" s="116"/>
      <c r="L378" s="170">
        <v>42558</v>
      </c>
      <c r="M378" s="116">
        <v>1214.9000000000001</v>
      </c>
      <c r="N378" s="116">
        <v>1245.925</v>
      </c>
      <c r="O378" s="116">
        <v>1212.5</v>
      </c>
      <c r="P378" s="116">
        <v>1243.8499999999999</v>
      </c>
      <c r="Q378" s="116">
        <v>2429.8000000000002</v>
      </c>
      <c r="R378">
        <v>1658400</v>
      </c>
    </row>
    <row r="379" spans="1:18" x14ac:dyDescent="0.25">
      <c r="A379" s="170">
        <v>42559</v>
      </c>
      <c r="B379" s="116">
        <v>1221.5</v>
      </c>
      <c r="C379" s="116">
        <v>1212.75</v>
      </c>
      <c r="D379" s="116">
        <v>1202.25</v>
      </c>
      <c r="E379" s="116">
        <v>1217.5</v>
      </c>
      <c r="F379" s="116">
        <v>2425.5</v>
      </c>
      <c r="G379">
        <v>114145</v>
      </c>
      <c r="H379" s="116"/>
      <c r="I379" s="116"/>
      <c r="L379" s="170">
        <v>42559</v>
      </c>
      <c r="M379" s="116">
        <v>1213.3</v>
      </c>
      <c r="N379" s="116">
        <v>1221.0250000000001</v>
      </c>
      <c r="O379" s="116">
        <v>1201.75</v>
      </c>
      <c r="P379" s="116">
        <v>1217.5</v>
      </c>
      <c r="Q379" s="116">
        <v>2426.6</v>
      </c>
      <c r="R379">
        <v>1228178</v>
      </c>
    </row>
    <row r="380" spans="1:18" x14ac:dyDescent="0.25">
      <c r="A380" s="170">
        <v>42562</v>
      </c>
      <c r="B380" s="116">
        <v>1234.5</v>
      </c>
      <c r="C380" s="116">
        <v>1231.825</v>
      </c>
      <c r="D380" s="116">
        <v>1213.5</v>
      </c>
      <c r="E380" s="116">
        <v>1213.5</v>
      </c>
      <c r="F380" s="116">
        <v>2463.65</v>
      </c>
      <c r="G380">
        <v>50570</v>
      </c>
      <c r="H380" s="116"/>
      <c r="I380" s="116"/>
      <c r="L380" s="170">
        <v>42562</v>
      </c>
      <c r="M380" s="116">
        <v>1232.075</v>
      </c>
      <c r="N380" s="116">
        <v>1235.9000000000001</v>
      </c>
      <c r="O380" s="116">
        <v>1213.5</v>
      </c>
      <c r="P380" s="116">
        <v>1215</v>
      </c>
      <c r="Q380" s="116">
        <v>2464.15</v>
      </c>
      <c r="R380">
        <v>771816</v>
      </c>
    </row>
    <row r="381" spans="1:18" x14ac:dyDescent="0.25">
      <c r="A381" s="170">
        <v>42563</v>
      </c>
      <c r="B381" s="116">
        <v>1238.325</v>
      </c>
      <c r="C381" s="116">
        <v>1230.75</v>
      </c>
      <c r="D381" s="116">
        <v>1218.5</v>
      </c>
      <c r="E381" s="116">
        <v>1234.5</v>
      </c>
      <c r="F381" s="116">
        <v>2461.5</v>
      </c>
      <c r="G381">
        <v>31018</v>
      </c>
      <c r="H381" s="116"/>
      <c r="I381" s="116"/>
      <c r="L381" s="170">
        <v>42563</v>
      </c>
      <c r="M381" s="116">
        <v>1232.4749999999999</v>
      </c>
      <c r="N381" s="116">
        <v>1237.5</v>
      </c>
      <c r="O381" s="116">
        <v>1217.925</v>
      </c>
      <c r="P381" s="116">
        <v>1235.8499999999999</v>
      </c>
      <c r="Q381" s="116">
        <v>2464.9499999999998</v>
      </c>
      <c r="R381">
        <v>732768</v>
      </c>
    </row>
    <row r="382" spans="1:18" x14ac:dyDescent="0.25">
      <c r="A382" s="170">
        <v>42564</v>
      </c>
      <c r="B382" s="116">
        <v>1249</v>
      </c>
      <c r="C382" s="116">
        <v>1245.7</v>
      </c>
      <c r="D382" s="116">
        <v>1225.7750000000001</v>
      </c>
      <c r="E382" s="116">
        <v>1238</v>
      </c>
      <c r="F382" s="116">
        <v>2491.4</v>
      </c>
      <c r="G382">
        <v>56217</v>
      </c>
      <c r="H382" s="116"/>
      <c r="I382" s="116"/>
      <c r="L382" s="170">
        <v>42564</v>
      </c>
      <c r="M382" s="116">
        <v>1246.55</v>
      </c>
      <c r="N382" s="116">
        <v>1249.625</v>
      </c>
      <c r="O382" s="116">
        <v>1225.625</v>
      </c>
      <c r="P382" s="116">
        <v>1239</v>
      </c>
      <c r="Q382" s="116">
        <v>2493.1</v>
      </c>
      <c r="R382">
        <v>1051150</v>
      </c>
    </row>
    <row r="383" spans="1:18" x14ac:dyDescent="0.25">
      <c r="A383" s="170">
        <v>42565</v>
      </c>
      <c r="B383" s="116">
        <v>1263.425</v>
      </c>
      <c r="C383" s="116">
        <v>1260.1500000000001</v>
      </c>
      <c r="D383" s="116">
        <v>1236.0250000000001</v>
      </c>
      <c r="E383" s="116">
        <v>1244.25</v>
      </c>
      <c r="F383" s="116">
        <v>2520.3000000000002</v>
      </c>
      <c r="G383">
        <v>91140</v>
      </c>
      <c r="H383" s="116"/>
      <c r="I383" s="116"/>
      <c r="L383" s="170">
        <v>42565</v>
      </c>
      <c r="M383" s="116">
        <v>1260.95</v>
      </c>
      <c r="N383" s="116">
        <v>1264.5</v>
      </c>
      <c r="O383" s="116">
        <v>1235.5</v>
      </c>
      <c r="P383" s="116">
        <v>1243</v>
      </c>
      <c r="Q383" s="116">
        <v>2521.9</v>
      </c>
      <c r="R383">
        <v>1349994</v>
      </c>
    </row>
    <row r="384" spans="1:18" x14ac:dyDescent="0.25">
      <c r="A384" s="170">
        <v>42566</v>
      </c>
      <c r="B384" s="116">
        <v>1264</v>
      </c>
      <c r="C384" s="116">
        <v>1220.95</v>
      </c>
      <c r="D384" s="116">
        <v>1214.0250000000001</v>
      </c>
      <c r="E384" s="116">
        <v>1262</v>
      </c>
      <c r="F384" s="116">
        <v>2441.9</v>
      </c>
      <c r="G384">
        <v>289461</v>
      </c>
      <c r="H384" s="116"/>
      <c r="I384" s="116"/>
      <c r="L384" s="170">
        <v>42566</v>
      </c>
      <c r="M384" s="116">
        <v>1222.675</v>
      </c>
      <c r="N384" s="116">
        <v>1263.9000000000001</v>
      </c>
      <c r="O384" s="116">
        <v>1213.2750000000001</v>
      </c>
      <c r="P384" s="116">
        <v>1258.5</v>
      </c>
      <c r="Q384" s="116">
        <v>2445.35</v>
      </c>
      <c r="R384">
        <v>4168183</v>
      </c>
    </row>
    <row r="385" spans="1:18" x14ac:dyDescent="0.25">
      <c r="A385" s="170">
        <v>42569</v>
      </c>
      <c r="B385" s="116">
        <v>1235</v>
      </c>
      <c r="C385" s="116">
        <v>1216.75</v>
      </c>
      <c r="D385" s="116">
        <v>1214.4749999999999</v>
      </c>
      <c r="E385" s="116">
        <v>1222.5</v>
      </c>
      <c r="F385" s="116">
        <v>2433.5</v>
      </c>
      <c r="G385">
        <v>91363</v>
      </c>
      <c r="H385" s="116"/>
      <c r="I385" s="116"/>
      <c r="L385" s="170">
        <v>42569</v>
      </c>
      <c r="M385" s="116">
        <v>1216.7249999999999</v>
      </c>
      <c r="N385" s="116">
        <v>1234.5</v>
      </c>
      <c r="O385" s="116">
        <v>1215.3</v>
      </c>
      <c r="P385" s="116">
        <v>1223.5</v>
      </c>
      <c r="Q385" s="116">
        <v>2433.4499999999998</v>
      </c>
      <c r="R385">
        <v>1299425</v>
      </c>
    </row>
    <row r="386" spans="1:18" x14ac:dyDescent="0.25">
      <c r="A386" s="170">
        <v>42570</v>
      </c>
      <c r="B386" s="116">
        <v>1233.5250000000001</v>
      </c>
      <c r="C386" s="116">
        <v>1230.7750000000001</v>
      </c>
      <c r="D386" s="116">
        <v>1215</v>
      </c>
      <c r="E386" s="116">
        <v>1215</v>
      </c>
      <c r="F386" s="116">
        <v>2461.5500000000002</v>
      </c>
      <c r="G386">
        <v>38425</v>
      </c>
      <c r="H386" s="116"/>
      <c r="I386" s="116"/>
      <c r="L386" s="170">
        <v>42570</v>
      </c>
      <c r="M386" s="116">
        <v>1233.0999999999999</v>
      </c>
      <c r="N386" s="116">
        <v>1236.4000000000001</v>
      </c>
      <c r="O386" s="116">
        <v>1213.75</v>
      </c>
      <c r="P386" s="116">
        <v>1213.75</v>
      </c>
      <c r="Q386" s="116">
        <v>2466.1999999999998</v>
      </c>
      <c r="R386">
        <v>1181448</v>
      </c>
    </row>
    <row r="387" spans="1:18" x14ac:dyDescent="0.25">
      <c r="A387" s="170">
        <v>42571</v>
      </c>
      <c r="B387" s="116">
        <v>1249.5</v>
      </c>
      <c r="C387" s="116">
        <v>1246.625</v>
      </c>
      <c r="D387" s="116">
        <v>1224.0250000000001</v>
      </c>
      <c r="E387" s="116">
        <v>1229</v>
      </c>
      <c r="F387" s="116">
        <v>2493.25</v>
      </c>
      <c r="G387">
        <v>58240</v>
      </c>
      <c r="H387" s="116"/>
      <c r="I387" s="116"/>
      <c r="L387" s="170">
        <v>42571</v>
      </c>
      <c r="M387" s="116">
        <v>1247.4749999999999</v>
      </c>
      <c r="N387" s="116">
        <v>1251.25</v>
      </c>
      <c r="O387" s="116">
        <v>1224.075</v>
      </c>
      <c r="P387" s="116">
        <v>1225</v>
      </c>
      <c r="Q387" s="116">
        <v>2494.9499999999998</v>
      </c>
      <c r="R387">
        <v>1407626</v>
      </c>
    </row>
    <row r="388" spans="1:18" x14ac:dyDescent="0.25">
      <c r="A388" s="170">
        <v>42572</v>
      </c>
      <c r="B388" s="116">
        <v>1257.5</v>
      </c>
      <c r="C388" s="116">
        <v>1250.625</v>
      </c>
      <c r="D388" s="116">
        <v>1233</v>
      </c>
      <c r="E388" s="116">
        <v>1245</v>
      </c>
      <c r="F388" s="116">
        <v>2501.25</v>
      </c>
      <c r="G388">
        <v>49200</v>
      </c>
      <c r="H388" s="116"/>
      <c r="I388" s="116"/>
      <c r="L388" s="170">
        <v>42572</v>
      </c>
      <c r="M388" s="116">
        <v>1253.0250000000001</v>
      </c>
      <c r="N388" s="116">
        <v>1259.75</v>
      </c>
      <c r="O388" s="116">
        <v>1232.2249999999999</v>
      </c>
      <c r="P388" s="116">
        <v>1244.75</v>
      </c>
      <c r="Q388" s="116">
        <v>2506.0500000000002</v>
      </c>
      <c r="R388">
        <v>1263574</v>
      </c>
    </row>
    <row r="389" spans="1:18" x14ac:dyDescent="0.25">
      <c r="A389" s="170">
        <v>42573</v>
      </c>
      <c r="B389" s="116">
        <v>1260.45</v>
      </c>
      <c r="C389" s="116">
        <v>1254.575</v>
      </c>
      <c r="D389" s="116">
        <v>1240</v>
      </c>
      <c r="E389" s="116">
        <v>1245</v>
      </c>
      <c r="F389" s="116">
        <v>2509.15</v>
      </c>
      <c r="G389">
        <v>42665</v>
      </c>
      <c r="H389" s="116"/>
      <c r="I389" s="116"/>
      <c r="L389" s="170">
        <v>42573</v>
      </c>
      <c r="M389" s="116">
        <v>1257.55</v>
      </c>
      <c r="N389" s="116">
        <v>1262</v>
      </c>
      <c r="O389" s="116">
        <v>1246</v>
      </c>
      <c r="P389" s="116">
        <v>1249.45</v>
      </c>
      <c r="Q389" s="116">
        <v>2515.1</v>
      </c>
      <c r="R389">
        <v>758608</v>
      </c>
    </row>
    <row r="390" spans="1:18" x14ac:dyDescent="0.25">
      <c r="A390" s="170">
        <v>42576</v>
      </c>
      <c r="B390" s="116">
        <v>1277.5</v>
      </c>
      <c r="C390" s="116">
        <v>1275.7750000000001</v>
      </c>
      <c r="D390" s="116">
        <v>1253.5250000000001</v>
      </c>
      <c r="E390" s="116">
        <v>1254.25</v>
      </c>
      <c r="F390" s="116">
        <v>2551.5500000000002</v>
      </c>
      <c r="G390">
        <v>62922</v>
      </c>
      <c r="H390" s="116"/>
      <c r="I390" s="116"/>
      <c r="L390" s="170">
        <v>42576</v>
      </c>
      <c r="M390" s="116">
        <v>1279.4749999999999</v>
      </c>
      <c r="N390" s="116">
        <v>1281.5999999999999</v>
      </c>
      <c r="O390" s="116">
        <v>1252.9000000000001</v>
      </c>
      <c r="P390" s="116">
        <v>1256</v>
      </c>
      <c r="Q390" s="116">
        <v>2558.9499999999998</v>
      </c>
      <c r="R390">
        <v>844398</v>
      </c>
    </row>
    <row r="391" spans="1:18" x14ac:dyDescent="0.25">
      <c r="A391" s="170">
        <v>42577</v>
      </c>
      <c r="B391" s="116">
        <v>1281.5</v>
      </c>
      <c r="C391" s="116">
        <v>1274.1500000000001</v>
      </c>
      <c r="D391" s="116">
        <v>1265.6500000000001</v>
      </c>
      <c r="E391" s="116">
        <v>1275.5</v>
      </c>
      <c r="F391" s="116">
        <v>2548.3000000000002</v>
      </c>
      <c r="G391">
        <v>42811</v>
      </c>
      <c r="H391" s="116"/>
      <c r="I391" s="116"/>
      <c r="L391" s="170">
        <v>42577</v>
      </c>
      <c r="M391" s="116">
        <v>1276.3</v>
      </c>
      <c r="N391" s="116">
        <v>1284</v>
      </c>
      <c r="O391" s="116">
        <v>1266.5</v>
      </c>
      <c r="P391" s="116">
        <v>1279.4749999999999</v>
      </c>
      <c r="Q391" s="116">
        <v>2552.6</v>
      </c>
      <c r="R391">
        <v>1155645</v>
      </c>
    </row>
    <row r="392" spans="1:18" x14ac:dyDescent="0.25">
      <c r="A392" s="170">
        <v>42578</v>
      </c>
      <c r="B392" s="116">
        <v>1290</v>
      </c>
      <c r="C392" s="116">
        <v>1288.05</v>
      </c>
      <c r="D392" s="116">
        <v>1274.1500000000001</v>
      </c>
      <c r="E392" s="116">
        <v>1275</v>
      </c>
      <c r="F392" s="116">
        <v>2576.1</v>
      </c>
      <c r="G392">
        <v>56329</v>
      </c>
      <c r="H392" s="116"/>
      <c r="I392" s="116"/>
      <c r="L392" s="170">
        <v>42578</v>
      </c>
      <c r="M392" s="116">
        <v>1288.7750000000001</v>
      </c>
      <c r="N392" s="116">
        <v>1290.2</v>
      </c>
      <c r="O392" s="116">
        <v>1272.5</v>
      </c>
      <c r="P392" s="116">
        <v>1277.5</v>
      </c>
      <c r="Q392" s="116">
        <v>2577.5500000000002</v>
      </c>
      <c r="R392">
        <v>875255</v>
      </c>
    </row>
    <row r="393" spans="1:18" x14ac:dyDescent="0.25">
      <c r="A393" s="170">
        <v>42579</v>
      </c>
      <c r="B393" s="116">
        <v>1313.3</v>
      </c>
      <c r="C393" s="116">
        <v>1307.7750000000001</v>
      </c>
      <c r="D393" s="116">
        <v>1288.5</v>
      </c>
      <c r="E393" s="116">
        <v>1288.5</v>
      </c>
      <c r="F393" s="116">
        <v>2615.5500000000002</v>
      </c>
      <c r="G393">
        <v>60293</v>
      </c>
      <c r="H393" s="116"/>
      <c r="I393" s="116"/>
      <c r="L393" s="170">
        <v>42579</v>
      </c>
      <c r="M393" s="116">
        <v>1309.625</v>
      </c>
      <c r="N393" s="116">
        <v>1314.7750000000001</v>
      </c>
      <c r="O393" s="116">
        <v>1288.5250000000001</v>
      </c>
      <c r="P393" s="116">
        <v>1290.25</v>
      </c>
      <c r="Q393" s="116">
        <v>2619.25</v>
      </c>
      <c r="R393">
        <v>2316040</v>
      </c>
    </row>
    <row r="394" spans="1:18" x14ac:dyDescent="0.25">
      <c r="A394" s="170">
        <v>42580</v>
      </c>
      <c r="B394" s="116">
        <v>1316</v>
      </c>
      <c r="C394" s="116">
        <v>1309.2750000000001</v>
      </c>
      <c r="D394" s="116">
        <v>1299.5999999999999</v>
      </c>
      <c r="E394" s="116">
        <v>1307</v>
      </c>
      <c r="F394" s="116">
        <v>2618.5500000000002</v>
      </c>
      <c r="G394">
        <v>42324</v>
      </c>
      <c r="H394" s="116"/>
      <c r="I394" s="116"/>
      <c r="L394" s="170">
        <v>42580</v>
      </c>
      <c r="M394" s="116">
        <v>1309.6500000000001</v>
      </c>
      <c r="N394" s="116">
        <v>1317.45</v>
      </c>
      <c r="O394" s="116">
        <v>1299.5</v>
      </c>
      <c r="P394" s="116">
        <v>1307</v>
      </c>
      <c r="Q394" s="116">
        <v>2619.3000000000002</v>
      </c>
      <c r="R394">
        <v>1244042</v>
      </c>
    </row>
    <row r="395" spans="1:18" x14ac:dyDescent="0.25">
      <c r="A395" s="170">
        <v>42583</v>
      </c>
      <c r="B395" s="116">
        <v>1360</v>
      </c>
      <c r="C395" s="116">
        <v>1349</v>
      </c>
      <c r="D395" s="116">
        <v>1310</v>
      </c>
      <c r="E395" s="116">
        <v>1310</v>
      </c>
      <c r="F395" s="116">
        <v>2698</v>
      </c>
      <c r="G395">
        <v>153448</v>
      </c>
      <c r="H395" s="116"/>
      <c r="I395" s="116"/>
      <c r="L395" s="170">
        <v>42583</v>
      </c>
      <c r="M395" s="116">
        <v>1354.125</v>
      </c>
      <c r="N395" s="116">
        <v>1362.5</v>
      </c>
      <c r="O395" s="116">
        <v>1316</v>
      </c>
      <c r="P395" s="116">
        <v>1316</v>
      </c>
      <c r="Q395" s="116">
        <v>2708.25</v>
      </c>
      <c r="R395">
        <v>1980852</v>
      </c>
    </row>
    <row r="396" spans="1:18" x14ac:dyDescent="0.25">
      <c r="A396" s="170">
        <v>42584</v>
      </c>
      <c r="B396" s="116">
        <v>1358</v>
      </c>
      <c r="C396" s="116">
        <v>1346.05</v>
      </c>
      <c r="D396" s="116">
        <v>1343.0250000000001</v>
      </c>
      <c r="E396" s="116">
        <v>1348</v>
      </c>
      <c r="F396" s="116">
        <v>2692.1</v>
      </c>
      <c r="G396">
        <v>155866</v>
      </c>
      <c r="H396" s="116"/>
      <c r="I396" s="116"/>
      <c r="L396" s="170">
        <v>42584</v>
      </c>
      <c r="M396" s="116">
        <v>1349.6</v>
      </c>
      <c r="N396" s="116">
        <v>1357.85</v>
      </c>
      <c r="O396" s="116">
        <v>1344.9</v>
      </c>
      <c r="P396" s="116">
        <v>1351.45</v>
      </c>
      <c r="Q396" s="116">
        <v>2699.2</v>
      </c>
      <c r="R396">
        <v>1289081</v>
      </c>
    </row>
    <row r="397" spans="1:18" x14ac:dyDescent="0.25">
      <c r="A397" s="170">
        <v>42585</v>
      </c>
      <c r="B397" s="116">
        <v>1347</v>
      </c>
      <c r="C397" s="116">
        <v>1328.125</v>
      </c>
      <c r="D397" s="116">
        <v>1324.425</v>
      </c>
      <c r="E397" s="116">
        <v>1340.25</v>
      </c>
      <c r="F397" s="116">
        <v>2656.25</v>
      </c>
      <c r="G397">
        <v>66149</v>
      </c>
      <c r="H397" s="116"/>
      <c r="I397" s="116"/>
      <c r="L397" s="170">
        <v>42585</v>
      </c>
      <c r="M397" s="116">
        <v>1328.15</v>
      </c>
      <c r="N397" s="116">
        <v>1349.5</v>
      </c>
      <c r="O397" s="116">
        <v>1324.5250000000001</v>
      </c>
      <c r="P397" s="116">
        <v>1343</v>
      </c>
      <c r="Q397" s="116">
        <v>2656.3</v>
      </c>
      <c r="R397">
        <v>1147351</v>
      </c>
    </row>
    <row r="398" spans="1:18" x14ac:dyDescent="0.25">
      <c r="A398" s="170">
        <v>42586</v>
      </c>
      <c r="B398" s="116">
        <v>1341.0250000000001</v>
      </c>
      <c r="C398" s="116">
        <v>1326.325</v>
      </c>
      <c r="D398" s="116">
        <v>1319.4749999999999</v>
      </c>
      <c r="E398" s="116">
        <v>1339.35</v>
      </c>
      <c r="F398" s="116">
        <v>2652.65</v>
      </c>
      <c r="G398">
        <v>55125</v>
      </c>
      <c r="H398" s="116"/>
      <c r="I398" s="116"/>
      <c r="L398" s="170">
        <v>42586</v>
      </c>
      <c r="M398" s="116">
        <v>1326</v>
      </c>
      <c r="N398" s="116">
        <v>1341.4749999999999</v>
      </c>
      <c r="O398" s="116">
        <v>1318.125</v>
      </c>
      <c r="P398" s="116">
        <v>1335</v>
      </c>
      <c r="Q398" s="116">
        <v>2652</v>
      </c>
      <c r="R398">
        <v>707708</v>
      </c>
    </row>
    <row r="399" spans="1:18" x14ac:dyDescent="0.25">
      <c r="A399" s="170">
        <v>42587</v>
      </c>
      <c r="B399" s="116">
        <v>1341.45</v>
      </c>
      <c r="C399" s="116">
        <v>1324.45</v>
      </c>
      <c r="D399" s="116">
        <v>1316.5</v>
      </c>
      <c r="E399" s="116">
        <v>1330</v>
      </c>
      <c r="F399" s="116">
        <v>2648.9</v>
      </c>
      <c r="G399">
        <v>101443</v>
      </c>
      <c r="H399" s="116"/>
      <c r="I399" s="116"/>
      <c r="L399" s="170">
        <v>42587</v>
      </c>
      <c r="M399" s="116">
        <v>1324.55</v>
      </c>
      <c r="N399" s="116">
        <v>1342.15</v>
      </c>
      <c r="O399" s="116">
        <v>1316</v>
      </c>
      <c r="P399" s="116">
        <v>1336.95</v>
      </c>
      <c r="Q399" s="116">
        <v>2649.1</v>
      </c>
      <c r="R399">
        <v>934242</v>
      </c>
    </row>
    <row r="400" spans="1:18" x14ac:dyDescent="0.25">
      <c r="A400" s="170">
        <v>42590</v>
      </c>
      <c r="B400" s="116">
        <v>1333.4</v>
      </c>
      <c r="C400" s="116">
        <v>1325.95</v>
      </c>
      <c r="D400" s="116">
        <v>1315.7249999999999</v>
      </c>
      <c r="E400" s="116">
        <v>1324</v>
      </c>
      <c r="F400" s="116">
        <v>2651.9</v>
      </c>
      <c r="G400">
        <v>34581</v>
      </c>
      <c r="H400" s="116"/>
      <c r="I400" s="116"/>
      <c r="L400" s="170">
        <v>42590</v>
      </c>
      <c r="M400" s="116">
        <v>1324.75</v>
      </c>
      <c r="N400" s="116">
        <v>1334</v>
      </c>
      <c r="O400" s="116">
        <v>1314.5250000000001</v>
      </c>
      <c r="P400" s="116">
        <v>1320</v>
      </c>
      <c r="Q400" s="116">
        <v>2649.5</v>
      </c>
      <c r="R400">
        <v>1029122</v>
      </c>
    </row>
    <row r="401" spans="1:18" x14ac:dyDescent="0.25">
      <c r="A401" s="170">
        <v>42591</v>
      </c>
      <c r="B401" s="116">
        <v>1329.5</v>
      </c>
      <c r="C401" s="116">
        <v>1325.2750000000001</v>
      </c>
      <c r="D401" s="116">
        <v>1305</v>
      </c>
      <c r="E401" s="116">
        <v>1325.95</v>
      </c>
      <c r="F401" s="116">
        <v>2650.55</v>
      </c>
      <c r="G401">
        <v>50237</v>
      </c>
      <c r="H401" s="116"/>
      <c r="I401" s="116"/>
      <c r="L401" s="170">
        <v>42591</v>
      </c>
      <c r="M401" s="116">
        <v>1325.1</v>
      </c>
      <c r="N401" s="116">
        <v>1329.9</v>
      </c>
      <c r="O401" s="116">
        <v>1289.425</v>
      </c>
      <c r="P401" s="116">
        <v>1329</v>
      </c>
      <c r="Q401" s="116">
        <v>2650.2</v>
      </c>
      <c r="R401">
        <v>1130957</v>
      </c>
    </row>
    <row r="402" spans="1:18" x14ac:dyDescent="0.25">
      <c r="A402" s="170">
        <v>42592</v>
      </c>
      <c r="B402" s="116">
        <v>1340</v>
      </c>
      <c r="C402" s="116">
        <v>1336.95</v>
      </c>
      <c r="D402" s="116">
        <v>1323.5</v>
      </c>
      <c r="E402" s="116">
        <v>1325</v>
      </c>
      <c r="F402" s="116">
        <v>2673.9</v>
      </c>
      <c r="G402">
        <v>57382</v>
      </c>
      <c r="H402" s="116"/>
      <c r="I402" s="116"/>
      <c r="L402" s="170">
        <v>42592</v>
      </c>
      <c r="M402" s="116">
        <v>1337.7</v>
      </c>
      <c r="N402" s="116">
        <v>1341</v>
      </c>
      <c r="O402" s="116">
        <v>1324</v>
      </c>
      <c r="P402" s="116">
        <v>1325.5</v>
      </c>
      <c r="Q402" s="116">
        <v>2675.4</v>
      </c>
      <c r="R402">
        <v>1031039</v>
      </c>
    </row>
    <row r="403" spans="1:18" x14ac:dyDescent="0.25">
      <c r="A403" s="170">
        <v>42593</v>
      </c>
      <c r="B403" s="116">
        <v>1357.5</v>
      </c>
      <c r="C403" s="116">
        <v>1352.15</v>
      </c>
      <c r="D403" s="116">
        <v>1334.75</v>
      </c>
      <c r="E403" s="116">
        <v>1335</v>
      </c>
      <c r="F403" s="116">
        <v>2704.3</v>
      </c>
      <c r="G403">
        <v>34271</v>
      </c>
      <c r="H403" s="116"/>
      <c r="I403" s="116"/>
      <c r="L403" s="170">
        <v>42593</v>
      </c>
      <c r="M403" s="116">
        <v>1354.95</v>
      </c>
      <c r="N403" s="116">
        <v>1357.5</v>
      </c>
      <c r="O403" s="116">
        <v>1332.7750000000001</v>
      </c>
      <c r="P403" s="116">
        <v>1332.7750000000001</v>
      </c>
      <c r="Q403" s="116">
        <v>2709.9</v>
      </c>
      <c r="R403">
        <v>1116569</v>
      </c>
    </row>
    <row r="404" spans="1:18" x14ac:dyDescent="0.25">
      <c r="A404" s="170">
        <v>42594</v>
      </c>
      <c r="B404" s="116">
        <v>1370</v>
      </c>
      <c r="C404" s="116">
        <v>1366.175</v>
      </c>
      <c r="D404" s="116">
        <v>1352.9749999999999</v>
      </c>
      <c r="E404" s="116">
        <v>1353</v>
      </c>
      <c r="F404" s="116">
        <v>2732.35</v>
      </c>
      <c r="G404">
        <v>41590</v>
      </c>
      <c r="H404" s="116"/>
      <c r="I404" s="116"/>
      <c r="L404" s="170">
        <v>42594</v>
      </c>
      <c r="M404" s="116">
        <v>1369.2249999999999</v>
      </c>
      <c r="N404" s="116">
        <v>1372.4</v>
      </c>
      <c r="O404" s="116">
        <v>1351.0250000000001</v>
      </c>
      <c r="P404" s="116">
        <v>1352.5</v>
      </c>
      <c r="Q404" s="116">
        <v>2738.45</v>
      </c>
      <c r="R404">
        <v>1163679</v>
      </c>
    </row>
    <row r="405" spans="1:18" x14ac:dyDescent="0.25">
      <c r="A405" s="170">
        <v>42598</v>
      </c>
      <c r="B405" s="116">
        <v>1370</v>
      </c>
      <c r="C405" s="116">
        <v>1345.7249999999999</v>
      </c>
      <c r="D405" s="116">
        <v>1337</v>
      </c>
      <c r="E405" s="116">
        <v>1370</v>
      </c>
      <c r="F405" s="116">
        <v>2691.45</v>
      </c>
      <c r="G405">
        <v>34712</v>
      </c>
      <c r="H405" s="116"/>
      <c r="I405" s="116"/>
      <c r="L405" s="170">
        <v>42598</v>
      </c>
      <c r="M405" s="116">
        <v>1345.85</v>
      </c>
      <c r="N405" s="116">
        <v>1370</v>
      </c>
      <c r="O405" s="116">
        <v>1336.925</v>
      </c>
      <c r="P405" s="116">
        <v>1369</v>
      </c>
      <c r="Q405" s="116">
        <v>2691.7</v>
      </c>
      <c r="R405">
        <v>1591877</v>
      </c>
    </row>
    <row r="406" spans="1:18" x14ac:dyDescent="0.25">
      <c r="A406" s="170">
        <v>42599</v>
      </c>
      <c r="B406" s="116">
        <v>1347.5</v>
      </c>
      <c r="C406" s="116">
        <v>1311.95</v>
      </c>
      <c r="D406" s="116">
        <v>1309</v>
      </c>
      <c r="E406" s="116">
        <v>1347.5</v>
      </c>
      <c r="F406" s="116">
        <v>2623.9</v>
      </c>
      <c r="G406">
        <v>48596</v>
      </c>
      <c r="H406" s="116"/>
      <c r="I406" s="116"/>
      <c r="L406" s="170">
        <v>42599</v>
      </c>
      <c r="M406" s="116">
        <v>1312.2750000000001</v>
      </c>
      <c r="N406" s="116">
        <v>1349.5</v>
      </c>
      <c r="O406" s="116">
        <v>1309</v>
      </c>
      <c r="P406" s="116">
        <v>1349.5</v>
      </c>
      <c r="Q406" s="116">
        <v>2624.55</v>
      </c>
      <c r="R406">
        <v>924283</v>
      </c>
    </row>
    <row r="407" spans="1:18" x14ac:dyDescent="0.25">
      <c r="A407" s="170">
        <v>42600</v>
      </c>
      <c r="B407" s="116">
        <v>1328.5</v>
      </c>
      <c r="C407" s="116">
        <v>1318.35</v>
      </c>
      <c r="D407" s="116">
        <v>1315</v>
      </c>
      <c r="E407" s="116">
        <v>1315</v>
      </c>
      <c r="F407" s="116">
        <v>2636.7</v>
      </c>
      <c r="G407">
        <v>16659</v>
      </c>
      <c r="H407" s="116"/>
      <c r="I407" s="116"/>
      <c r="L407" s="170">
        <v>42600</v>
      </c>
      <c r="M407" s="116">
        <v>1319.2750000000001</v>
      </c>
      <c r="N407" s="116">
        <v>1328.7750000000001</v>
      </c>
      <c r="O407" s="116">
        <v>1315.05</v>
      </c>
      <c r="P407" s="116">
        <v>1317.5</v>
      </c>
      <c r="Q407" s="116">
        <v>2638.55</v>
      </c>
      <c r="R407">
        <v>646032</v>
      </c>
    </row>
    <row r="408" spans="1:18" x14ac:dyDescent="0.25">
      <c r="A408" s="170">
        <v>42601</v>
      </c>
      <c r="B408" s="116">
        <v>1323.9</v>
      </c>
      <c r="C408" s="116">
        <v>1301.9749999999999</v>
      </c>
      <c r="D408" s="116">
        <v>1300</v>
      </c>
      <c r="E408" s="116">
        <v>1318</v>
      </c>
      <c r="F408" s="116">
        <v>2603.9499999999998</v>
      </c>
      <c r="G408">
        <v>31879</v>
      </c>
      <c r="H408" s="116"/>
      <c r="I408" s="116"/>
      <c r="L408" s="170">
        <v>42601</v>
      </c>
      <c r="M408" s="116">
        <v>1301.75</v>
      </c>
      <c r="N408" s="116">
        <v>1323.2249999999999</v>
      </c>
      <c r="O408" s="116">
        <v>1300</v>
      </c>
      <c r="P408" s="116">
        <v>1320</v>
      </c>
      <c r="Q408" s="116">
        <v>2603.5</v>
      </c>
      <c r="R408">
        <v>1208122</v>
      </c>
    </row>
    <row r="409" spans="1:18" x14ac:dyDescent="0.25">
      <c r="A409" s="170">
        <v>42604</v>
      </c>
      <c r="B409" s="116">
        <v>1296.75</v>
      </c>
      <c r="C409" s="116">
        <v>1275.7249999999999</v>
      </c>
      <c r="D409" s="116">
        <v>1270</v>
      </c>
      <c r="E409" s="116">
        <v>1290.5</v>
      </c>
      <c r="F409" s="116">
        <v>2551.4499999999998</v>
      </c>
      <c r="G409">
        <v>42003</v>
      </c>
      <c r="H409" s="116"/>
      <c r="I409" s="116"/>
      <c r="L409" s="170">
        <v>42604</v>
      </c>
      <c r="M409" s="116">
        <v>1274.3499999999999</v>
      </c>
      <c r="N409" s="116">
        <v>1297.2249999999999</v>
      </c>
      <c r="O409" s="116">
        <v>1268.1500000000001</v>
      </c>
      <c r="P409" s="116">
        <v>1294</v>
      </c>
      <c r="Q409" s="116">
        <v>2548.6999999999998</v>
      </c>
      <c r="R409">
        <v>1132637</v>
      </c>
    </row>
    <row r="410" spans="1:18" x14ac:dyDescent="0.25">
      <c r="A410" s="170">
        <v>42605</v>
      </c>
      <c r="B410" s="116">
        <v>1303</v>
      </c>
      <c r="C410" s="116">
        <v>1301.5999999999999</v>
      </c>
      <c r="D410" s="116">
        <v>1268</v>
      </c>
      <c r="E410" s="116">
        <v>1268</v>
      </c>
      <c r="F410" s="116">
        <v>2603.1999999999998</v>
      </c>
      <c r="G410">
        <v>44824</v>
      </c>
      <c r="H410" s="116"/>
      <c r="I410" s="116"/>
      <c r="L410" s="170">
        <v>42605</v>
      </c>
      <c r="M410" s="116">
        <v>1300.5250000000001</v>
      </c>
      <c r="N410" s="116">
        <v>1302.4749999999999</v>
      </c>
      <c r="O410" s="116">
        <v>1270.0999999999999</v>
      </c>
      <c r="P410" s="116">
        <v>1272.4749999999999</v>
      </c>
      <c r="Q410" s="116">
        <v>2601.0500000000002</v>
      </c>
      <c r="R410">
        <v>751687</v>
      </c>
    </row>
    <row r="411" spans="1:18" x14ac:dyDescent="0.25">
      <c r="A411" s="170">
        <v>42606</v>
      </c>
      <c r="B411" s="116">
        <v>1300.5</v>
      </c>
      <c r="C411" s="116">
        <v>1285.95</v>
      </c>
      <c r="D411" s="116">
        <v>1284.05</v>
      </c>
      <c r="E411" s="116">
        <v>1300.5</v>
      </c>
      <c r="F411" s="116">
        <v>2571.9</v>
      </c>
      <c r="G411">
        <v>37781</v>
      </c>
      <c r="H411" s="116"/>
      <c r="I411" s="116"/>
      <c r="L411" s="170">
        <v>42606</v>
      </c>
      <c r="M411" s="116">
        <v>1286.0250000000001</v>
      </c>
      <c r="N411" s="116">
        <v>1301</v>
      </c>
      <c r="O411" s="116">
        <v>1284.5250000000001</v>
      </c>
      <c r="P411" s="116">
        <v>1294.9000000000001</v>
      </c>
      <c r="Q411" s="116">
        <v>2572.0500000000002</v>
      </c>
      <c r="R411">
        <v>558439</v>
      </c>
    </row>
    <row r="412" spans="1:18" x14ac:dyDescent="0.25">
      <c r="A412" s="170">
        <v>42607</v>
      </c>
      <c r="B412" s="116">
        <v>1294.5999999999999</v>
      </c>
      <c r="C412" s="116">
        <v>1275.05</v>
      </c>
      <c r="D412" s="116">
        <v>1264.5</v>
      </c>
      <c r="E412" s="116">
        <v>1288</v>
      </c>
      <c r="F412" s="116">
        <v>2550.1</v>
      </c>
      <c r="G412">
        <v>47947</v>
      </c>
      <c r="H412" s="116"/>
      <c r="I412" s="116"/>
      <c r="L412" s="170">
        <v>42607</v>
      </c>
      <c r="M412" s="116">
        <v>1275.5250000000001</v>
      </c>
      <c r="N412" s="116">
        <v>1294.8499999999999</v>
      </c>
      <c r="O412" s="116">
        <v>1263</v>
      </c>
      <c r="P412" s="116">
        <v>1290</v>
      </c>
      <c r="Q412" s="116">
        <v>2551.0500000000002</v>
      </c>
      <c r="R412">
        <v>969845</v>
      </c>
    </row>
    <row r="413" spans="1:18" x14ac:dyDescent="0.25">
      <c r="A413" s="170">
        <v>42608</v>
      </c>
      <c r="B413" s="116">
        <v>1285.7750000000001</v>
      </c>
      <c r="C413" s="116">
        <v>1264.575</v>
      </c>
      <c r="D413" s="116">
        <v>1260.5250000000001</v>
      </c>
      <c r="E413" s="116">
        <v>1277.55</v>
      </c>
      <c r="F413" s="116">
        <v>2529.15</v>
      </c>
      <c r="G413">
        <v>27476</v>
      </c>
      <c r="H413" s="116"/>
      <c r="I413" s="116"/>
      <c r="L413" s="170">
        <v>42608</v>
      </c>
      <c r="M413" s="116">
        <v>1262.4749999999999</v>
      </c>
      <c r="N413" s="116">
        <v>1286.2750000000001</v>
      </c>
      <c r="O413" s="116">
        <v>1258.5999999999999</v>
      </c>
      <c r="P413" s="116">
        <v>1279.9000000000001</v>
      </c>
      <c r="Q413" s="116">
        <v>2524.9499999999998</v>
      </c>
      <c r="R413">
        <v>625157</v>
      </c>
    </row>
    <row r="414" spans="1:18" x14ac:dyDescent="0.25">
      <c r="A414" s="170">
        <v>42611</v>
      </c>
      <c r="B414" s="116">
        <v>1266.9749999999999</v>
      </c>
      <c r="C414" s="116">
        <v>1250.8</v>
      </c>
      <c r="D414" s="116">
        <v>1235.575</v>
      </c>
      <c r="E414" s="116">
        <v>1265</v>
      </c>
      <c r="F414" s="116">
        <v>2501.6</v>
      </c>
      <c r="G414">
        <v>58686</v>
      </c>
      <c r="H414" s="116"/>
      <c r="I414" s="116"/>
      <c r="L414" s="170">
        <v>42611</v>
      </c>
      <c r="M414" s="116">
        <v>1250.2750000000001</v>
      </c>
      <c r="N414" s="116">
        <v>1267.4749999999999</v>
      </c>
      <c r="O414" s="116">
        <v>1233.375</v>
      </c>
      <c r="P414" s="116">
        <v>1267.4749999999999</v>
      </c>
      <c r="Q414" s="116">
        <v>2500.5500000000002</v>
      </c>
      <c r="R414">
        <v>744364</v>
      </c>
    </row>
    <row r="415" spans="1:18" x14ac:dyDescent="0.25">
      <c r="A415" s="170">
        <v>42612</v>
      </c>
      <c r="B415" s="116">
        <v>1287.375</v>
      </c>
      <c r="C415" s="116">
        <v>1274.3499999999999</v>
      </c>
      <c r="D415" s="116">
        <v>1250.8</v>
      </c>
      <c r="E415" s="116">
        <v>1255</v>
      </c>
      <c r="F415" s="116">
        <v>2548.6999999999998</v>
      </c>
      <c r="G415">
        <v>34075</v>
      </c>
      <c r="H415" s="116"/>
      <c r="I415" s="116"/>
      <c r="L415" s="170">
        <v>42612</v>
      </c>
      <c r="M415" s="116">
        <v>1272.075</v>
      </c>
      <c r="N415" s="116">
        <v>1274.9000000000001</v>
      </c>
      <c r="O415" s="116">
        <v>1250.625</v>
      </c>
      <c r="P415" s="116">
        <v>1255</v>
      </c>
      <c r="Q415" s="116">
        <v>2544.15</v>
      </c>
      <c r="R415">
        <v>722013</v>
      </c>
    </row>
    <row r="416" spans="1:18" x14ac:dyDescent="0.25">
      <c r="A416" s="170">
        <v>42613</v>
      </c>
      <c r="B416" s="116">
        <v>1273.5</v>
      </c>
      <c r="C416" s="116">
        <v>1256.2750000000001</v>
      </c>
      <c r="D416" s="116">
        <v>1250.5</v>
      </c>
      <c r="E416" s="116">
        <v>1273.5</v>
      </c>
      <c r="F416" s="116">
        <v>2512.5500000000002</v>
      </c>
      <c r="G416">
        <v>36748</v>
      </c>
      <c r="H416" s="116"/>
      <c r="I416" s="116"/>
      <c r="L416" s="170">
        <v>42613</v>
      </c>
      <c r="M416" s="116">
        <v>1255.6500000000001</v>
      </c>
      <c r="N416" s="116">
        <v>1275</v>
      </c>
      <c r="O416" s="116">
        <v>1250.425</v>
      </c>
      <c r="P416" s="116">
        <v>1275</v>
      </c>
      <c r="Q416" s="116">
        <v>2511.3000000000002</v>
      </c>
      <c r="R416">
        <v>1615834</v>
      </c>
    </row>
    <row r="417" spans="1:18" x14ac:dyDescent="0.25">
      <c r="A417" s="170">
        <v>42614</v>
      </c>
      <c r="B417" s="116">
        <v>1265</v>
      </c>
      <c r="C417" s="116">
        <v>1253.8</v>
      </c>
      <c r="D417" s="116">
        <v>1244.9749999999999</v>
      </c>
      <c r="E417" s="116">
        <v>1264.5</v>
      </c>
      <c r="F417" s="116">
        <v>2507.6</v>
      </c>
      <c r="G417">
        <v>25833</v>
      </c>
      <c r="H417" s="116"/>
      <c r="I417" s="116"/>
      <c r="L417" s="170">
        <v>42614</v>
      </c>
      <c r="M417" s="116">
        <v>1253.75</v>
      </c>
      <c r="N417" s="116">
        <v>1267.4749999999999</v>
      </c>
      <c r="O417" s="116">
        <v>1243.5250000000001</v>
      </c>
      <c r="P417" s="116">
        <v>1262.45</v>
      </c>
      <c r="Q417" s="116">
        <v>2507.5</v>
      </c>
      <c r="R417">
        <v>672868</v>
      </c>
    </row>
    <row r="418" spans="1:18" x14ac:dyDescent="0.25">
      <c r="A418" s="170">
        <v>42615</v>
      </c>
      <c r="B418" s="116">
        <v>1259.5</v>
      </c>
      <c r="C418" s="116">
        <v>1256.75</v>
      </c>
      <c r="D418" s="116">
        <v>1249.55</v>
      </c>
      <c r="E418" s="116">
        <v>1257.5</v>
      </c>
      <c r="F418" s="116">
        <v>2513.5</v>
      </c>
      <c r="G418">
        <v>31024</v>
      </c>
      <c r="H418" s="116"/>
      <c r="I418" s="116"/>
      <c r="L418" s="170">
        <v>42615</v>
      </c>
      <c r="M418" s="116">
        <v>1257.4000000000001</v>
      </c>
      <c r="N418" s="116">
        <v>1259.7</v>
      </c>
      <c r="O418" s="116">
        <v>1248.0250000000001</v>
      </c>
      <c r="P418" s="116">
        <v>1256</v>
      </c>
      <c r="Q418" s="116">
        <v>2514.8000000000002</v>
      </c>
      <c r="R418">
        <v>871165</v>
      </c>
    </row>
    <row r="419" spans="1:18" x14ac:dyDescent="0.25">
      <c r="A419" s="170">
        <v>42619</v>
      </c>
      <c r="B419" s="116">
        <v>1272</v>
      </c>
      <c r="C419" s="116">
        <v>1242.0250000000001</v>
      </c>
      <c r="D419" s="116">
        <v>1240.5</v>
      </c>
      <c r="E419" s="116">
        <v>1257</v>
      </c>
      <c r="F419" s="116">
        <v>2484.0500000000002</v>
      </c>
      <c r="G419">
        <v>260330</v>
      </c>
      <c r="H419" s="116"/>
      <c r="I419" s="116"/>
      <c r="L419" s="170">
        <v>42619</v>
      </c>
      <c r="M419" s="116">
        <v>1242.0250000000001</v>
      </c>
      <c r="N419" s="116">
        <v>1260.075</v>
      </c>
      <c r="O419" s="116">
        <v>1240</v>
      </c>
      <c r="P419" s="116">
        <v>1259.95</v>
      </c>
      <c r="Q419" s="116">
        <v>2484.0500000000002</v>
      </c>
      <c r="R419">
        <v>1119533</v>
      </c>
    </row>
    <row r="420" spans="1:18" x14ac:dyDescent="0.25">
      <c r="A420" s="170">
        <v>42620</v>
      </c>
      <c r="B420" s="116">
        <v>1254.5</v>
      </c>
      <c r="C420" s="116">
        <v>1223.5</v>
      </c>
      <c r="D420" s="116">
        <v>1212</v>
      </c>
      <c r="E420" s="116">
        <v>1254.5</v>
      </c>
      <c r="F420" s="116">
        <v>2447</v>
      </c>
      <c r="G420">
        <v>146564</v>
      </c>
      <c r="H420" s="116"/>
      <c r="I420" s="116"/>
      <c r="L420" s="170">
        <v>42620</v>
      </c>
      <c r="M420" s="116">
        <v>1220.2750000000001</v>
      </c>
      <c r="N420" s="116">
        <v>1249.8499999999999</v>
      </c>
      <c r="O420" s="116">
        <v>1211.5</v>
      </c>
      <c r="P420" s="116">
        <v>1249.8499999999999</v>
      </c>
      <c r="Q420" s="116">
        <v>2440.5500000000002</v>
      </c>
      <c r="R420">
        <v>1927020</v>
      </c>
    </row>
    <row r="421" spans="1:18" x14ac:dyDescent="0.25">
      <c r="A421" s="170">
        <v>42621</v>
      </c>
      <c r="B421" s="116">
        <v>1183.5</v>
      </c>
      <c r="C421" s="116">
        <v>1160.575</v>
      </c>
      <c r="D421" s="116">
        <v>1143.5</v>
      </c>
      <c r="E421" s="116">
        <v>1183.5</v>
      </c>
      <c r="F421" s="116">
        <v>2321.15</v>
      </c>
      <c r="G421">
        <v>301842</v>
      </c>
      <c r="H421" s="116"/>
      <c r="I421" s="116"/>
      <c r="L421" s="170">
        <v>42621</v>
      </c>
      <c r="M421" s="116">
        <v>1161.05</v>
      </c>
      <c r="N421" s="116">
        <v>1180</v>
      </c>
      <c r="O421" s="116">
        <v>1142.375</v>
      </c>
      <c r="P421" s="116">
        <v>1180</v>
      </c>
      <c r="Q421" s="116">
        <v>2322.1</v>
      </c>
      <c r="R421">
        <v>3510758</v>
      </c>
    </row>
    <row r="422" spans="1:18" x14ac:dyDescent="0.25">
      <c r="A422" s="170">
        <v>42622</v>
      </c>
      <c r="B422" s="116">
        <v>1183</v>
      </c>
      <c r="C422" s="116">
        <v>1176.25</v>
      </c>
      <c r="D422" s="116">
        <v>1160</v>
      </c>
      <c r="E422" s="116">
        <v>1162.5</v>
      </c>
      <c r="F422" s="116">
        <v>2352.5</v>
      </c>
      <c r="G422">
        <v>95555</v>
      </c>
      <c r="H422" s="116"/>
      <c r="I422" s="116"/>
      <c r="L422" s="170">
        <v>42622</v>
      </c>
      <c r="M422" s="116">
        <v>1176.2249999999999</v>
      </c>
      <c r="N422" s="116">
        <v>1183.325</v>
      </c>
      <c r="O422" s="116">
        <v>1160.0250000000001</v>
      </c>
      <c r="P422" s="116">
        <v>1164.8499999999999</v>
      </c>
      <c r="Q422" s="116">
        <v>2352.4499999999998</v>
      </c>
      <c r="R422">
        <v>1371219</v>
      </c>
    </row>
    <row r="423" spans="1:18" x14ac:dyDescent="0.25">
      <c r="A423" s="170">
        <v>42625</v>
      </c>
      <c r="B423" s="116">
        <v>1182.3</v>
      </c>
      <c r="C423" s="116">
        <v>1179.55</v>
      </c>
      <c r="D423" s="116">
        <v>1160</v>
      </c>
      <c r="E423" s="116">
        <v>1168.75</v>
      </c>
      <c r="F423" s="116">
        <v>2359.1</v>
      </c>
      <c r="G423">
        <v>70631</v>
      </c>
      <c r="H423" s="116"/>
      <c r="I423" s="116"/>
      <c r="L423" s="170">
        <v>42625</v>
      </c>
      <c r="M423" s="116">
        <v>1179.5250000000001</v>
      </c>
      <c r="N423" s="116">
        <v>1181.9749999999999</v>
      </c>
      <c r="O423" s="116">
        <v>1162</v>
      </c>
      <c r="P423" s="116">
        <v>1168.5</v>
      </c>
      <c r="Q423" s="116">
        <v>2359.0500000000002</v>
      </c>
      <c r="R423">
        <v>1012227</v>
      </c>
    </row>
    <row r="424" spans="1:18" x14ac:dyDescent="0.25">
      <c r="A424" s="170">
        <v>42627</v>
      </c>
      <c r="B424" s="116">
        <v>1187.4749999999999</v>
      </c>
      <c r="C424" s="116">
        <v>1164.2750000000001</v>
      </c>
      <c r="D424" s="116">
        <v>1155.5</v>
      </c>
      <c r="E424" s="116">
        <v>1179.55</v>
      </c>
      <c r="F424" s="116">
        <v>2328.5500000000002</v>
      </c>
      <c r="G424">
        <v>132832</v>
      </c>
      <c r="H424" s="116"/>
      <c r="I424" s="116"/>
      <c r="L424" s="170">
        <v>42627</v>
      </c>
      <c r="M424" s="116">
        <v>1164.2249999999999</v>
      </c>
      <c r="N424" s="116">
        <v>1188.8</v>
      </c>
      <c r="O424" s="116">
        <v>1155</v>
      </c>
      <c r="P424" s="116">
        <v>1181</v>
      </c>
      <c r="Q424" s="116">
        <v>2328.4499999999998</v>
      </c>
      <c r="R424">
        <v>1034929</v>
      </c>
    </row>
    <row r="425" spans="1:18" x14ac:dyDescent="0.25">
      <c r="A425" s="170">
        <v>42628</v>
      </c>
      <c r="B425" s="116">
        <v>1172.25</v>
      </c>
      <c r="C425" s="116">
        <v>1164.0250000000001</v>
      </c>
      <c r="D425" s="116">
        <v>1159</v>
      </c>
      <c r="E425" s="116">
        <v>1169.5</v>
      </c>
      <c r="F425" s="116">
        <v>2328.0500000000002</v>
      </c>
      <c r="G425">
        <v>121657</v>
      </c>
      <c r="H425" s="116"/>
      <c r="I425" s="116"/>
      <c r="L425" s="170">
        <v>42628</v>
      </c>
      <c r="M425" s="116">
        <v>1163.4749999999999</v>
      </c>
      <c r="N425" s="116">
        <v>1171.05</v>
      </c>
      <c r="O425" s="116">
        <v>1158.375</v>
      </c>
      <c r="P425" s="116">
        <v>1169.9749999999999</v>
      </c>
      <c r="Q425" s="116">
        <v>2326.9499999999998</v>
      </c>
      <c r="R425">
        <v>1409482</v>
      </c>
    </row>
    <row r="426" spans="1:18" x14ac:dyDescent="0.25">
      <c r="A426" s="170">
        <v>42629</v>
      </c>
      <c r="B426" s="116">
        <v>1188.4749999999999</v>
      </c>
      <c r="C426" s="116">
        <v>1180.575</v>
      </c>
      <c r="D426" s="116">
        <v>1160</v>
      </c>
      <c r="E426" s="116">
        <v>1172.5</v>
      </c>
      <c r="F426" s="116">
        <v>2361.15</v>
      </c>
      <c r="G426">
        <v>197657</v>
      </c>
      <c r="H426" s="116"/>
      <c r="I426" s="116"/>
      <c r="L426" s="170">
        <v>42629</v>
      </c>
      <c r="M426" s="116">
        <v>1180.8499999999999</v>
      </c>
      <c r="N426" s="116">
        <v>1188</v>
      </c>
      <c r="O426" s="116">
        <v>1160</v>
      </c>
      <c r="P426" s="116">
        <v>1168.3499999999999</v>
      </c>
      <c r="Q426" s="116">
        <v>2361.6999999999998</v>
      </c>
      <c r="R426">
        <v>2179002</v>
      </c>
    </row>
    <row r="427" spans="1:18" x14ac:dyDescent="0.25">
      <c r="A427" s="170">
        <v>42632</v>
      </c>
      <c r="B427" s="116">
        <v>1211.4749999999999</v>
      </c>
      <c r="C427" s="116">
        <v>1203.675</v>
      </c>
      <c r="D427" s="116">
        <v>1175.175</v>
      </c>
      <c r="E427" s="116">
        <v>1181.9000000000001</v>
      </c>
      <c r="F427" s="116">
        <v>2407.35</v>
      </c>
      <c r="G427">
        <v>85800</v>
      </c>
      <c r="H427" s="116"/>
      <c r="I427" s="116"/>
      <c r="L427" s="170">
        <v>42632</v>
      </c>
      <c r="M427" s="116">
        <v>1205.7249999999999</v>
      </c>
      <c r="N427" s="116">
        <v>1213.5</v>
      </c>
      <c r="O427" s="116">
        <v>1175</v>
      </c>
      <c r="P427" s="116">
        <v>1182.5</v>
      </c>
      <c r="Q427" s="116">
        <v>2411.4499999999998</v>
      </c>
      <c r="R427">
        <v>1401273</v>
      </c>
    </row>
    <row r="428" spans="1:18" x14ac:dyDescent="0.25">
      <c r="A428" s="170">
        <v>42633</v>
      </c>
      <c r="B428" s="116">
        <v>1209.95</v>
      </c>
      <c r="C428" s="116">
        <v>1205.55</v>
      </c>
      <c r="D428" s="116">
        <v>1192.5</v>
      </c>
      <c r="E428" s="116">
        <v>1203.675</v>
      </c>
      <c r="F428" s="116">
        <v>2411.1</v>
      </c>
      <c r="G428">
        <v>37554</v>
      </c>
      <c r="H428" s="116"/>
      <c r="I428" s="116"/>
      <c r="L428" s="170">
        <v>42633</v>
      </c>
      <c r="M428" s="116">
        <v>1203.25</v>
      </c>
      <c r="N428" s="116">
        <v>1208.45</v>
      </c>
      <c r="O428" s="116">
        <v>1192.7</v>
      </c>
      <c r="P428" s="116">
        <v>1205.5</v>
      </c>
      <c r="Q428" s="116">
        <v>2406.5</v>
      </c>
      <c r="R428">
        <v>592276</v>
      </c>
    </row>
    <row r="429" spans="1:18" x14ac:dyDescent="0.25">
      <c r="A429" s="170">
        <v>42634</v>
      </c>
      <c r="B429" s="116">
        <v>1210.7</v>
      </c>
      <c r="C429" s="116">
        <v>1206.75</v>
      </c>
      <c r="D429" s="116">
        <v>1200.5250000000001</v>
      </c>
      <c r="E429" s="116">
        <v>1203.25</v>
      </c>
      <c r="F429" s="116">
        <v>2413.5</v>
      </c>
      <c r="G429">
        <v>842921</v>
      </c>
      <c r="H429" s="116"/>
      <c r="I429" s="116"/>
      <c r="L429" s="170">
        <v>42634</v>
      </c>
      <c r="M429" s="116">
        <v>1206.7</v>
      </c>
      <c r="N429" s="116">
        <v>1212</v>
      </c>
      <c r="O429" s="116">
        <v>1200.3499999999999</v>
      </c>
      <c r="P429" s="116">
        <v>1203.8499999999999</v>
      </c>
      <c r="Q429" s="116">
        <v>2413.4</v>
      </c>
      <c r="R429">
        <v>839010</v>
      </c>
    </row>
    <row r="430" spans="1:18" x14ac:dyDescent="0.25">
      <c r="A430" s="170">
        <v>42635</v>
      </c>
      <c r="B430" s="116">
        <v>1214.25</v>
      </c>
      <c r="C430" s="116">
        <v>1188.825</v>
      </c>
      <c r="D430" s="116">
        <v>1185.5</v>
      </c>
      <c r="E430" s="116">
        <v>1214.25</v>
      </c>
      <c r="F430" s="116">
        <v>2377.65</v>
      </c>
      <c r="G430">
        <v>234530</v>
      </c>
      <c r="H430" s="116"/>
      <c r="I430" s="116"/>
      <c r="L430" s="170">
        <v>42635</v>
      </c>
      <c r="M430" s="116">
        <v>1189</v>
      </c>
      <c r="N430" s="116">
        <v>1214</v>
      </c>
      <c r="O430" s="116">
        <v>1185.55</v>
      </c>
      <c r="P430" s="116">
        <v>1212.625</v>
      </c>
      <c r="Q430" s="116">
        <v>2378</v>
      </c>
      <c r="R430">
        <v>1428787</v>
      </c>
    </row>
    <row r="431" spans="1:18" x14ac:dyDescent="0.25">
      <c r="A431" s="170">
        <v>42636</v>
      </c>
      <c r="B431" s="116">
        <v>1200.75</v>
      </c>
      <c r="C431" s="116">
        <v>1198.6500000000001</v>
      </c>
      <c r="D431" s="116">
        <v>1187.5</v>
      </c>
      <c r="E431" s="116">
        <v>1192</v>
      </c>
      <c r="F431" s="116">
        <v>2397.3000000000002</v>
      </c>
      <c r="G431">
        <v>441044</v>
      </c>
      <c r="H431" s="116"/>
      <c r="I431" s="116"/>
      <c r="L431" s="170">
        <v>42636</v>
      </c>
      <c r="M431" s="116">
        <v>1199.05</v>
      </c>
      <c r="N431" s="116">
        <v>1201.925</v>
      </c>
      <c r="O431" s="116">
        <v>1185.575</v>
      </c>
      <c r="P431" s="116">
        <v>1191</v>
      </c>
      <c r="Q431" s="116">
        <v>2398.1</v>
      </c>
      <c r="R431">
        <v>900363</v>
      </c>
    </row>
    <row r="432" spans="1:18" x14ac:dyDescent="0.25">
      <c r="A432" s="170">
        <v>42639</v>
      </c>
      <c r="B432" s="116">
        <v>1208.45</v>
      </c>
      <c r="C432" s="116">
        <v>1200.425</v>
      </c>
      <c r="D432" s="116">
        <v>1196.5</v>
      </c>
      <c r="E432" s="116">
        <v>1196.5</v>
      </c>
      <c r="F432" s="116">
        <v>2400.85</v>
      </c>
      <c r="G432">
        <v>279463</v>
      </c>
      <c r="H432" s="116"/>
      <c r="I432" s="116"/>
      <c r="L432" s="170">
        <v>42639</v>
      </c>
      <c r="M432" s="116">
        <v>1200.55</v>
      </c>
      <c r="N432" s="116">
        <v>1209.55</v>
      </c>
      <c r="O432" s="116">
        <v>1197.5</v>
      </c>
      <c r="P432" s="116">
        <v>1200.55</v>
      </c>
      <c r="Q432" s="116">
        <v>2401.1</v>
      </c>
      <c r="R432">
        <v>876738</v>
      </c>
    </row>
    <row r="433" spans="1:18" x14ac:dyDescent="0.25">
      <c r="A433" s="170">
        <v>42640</v>
      </c>
      <c r="B433" s="116">
        <v>1222.5</v>
      </c>
      <c r="C433" s="116">
        <v>1215.3499999999999</v>
      </c>
      <c r="D433" s="116">
        <v>1202.5</v>
      </c>
      <c r="E433" s="116">
        <v>1202.5</v>
      </c>
      <c r="F433" s="116">
        <v>2430.6999999999998</v>
      </c>
      <c r="G433">
        <v>39883</v>
      </c>
      <c r="H433" s="116"/>
      <c r="I433" s="116"/>
      <c r="L433" s="170">
        <v>42640</v>
      </c>
      <c r="M433" s="116">
        <v>1218.05</v>
      </c>
      <c r="N433" s="116">
        <v>1224</v>
      </c>
      <c r="O433" s="116">
        <v>1200.55</v>
      </c>
      <c r="P433" s="116">
        <v>1200.55</v>
      </c>
      <c r="Q433" s="116">
        <v>2436.1</v>
      </c>
      <c r="R433">
        <v>1019396</v>
      </c>
    </row>
    <row r="434" spans="1:18" x14ac:dyDescent="0.25">
      <c r="A434" s="170">
        <v>42641</v>
      </c>
      <c r="B434" s="116">
        <v>1218</v>
      </c>
      <c r="C434" s="116">
        <v>1211.7249999999999</v>
      </c>
      <c r="D434" s="116">
        <v>1207.5</v>
      </c>
      <c r="E434" s="116">
        <v>1215</v>
      </c>
      <c r="F434" s="116">
        <v>2423.4499999999998</v>
      </c>
      <c r="G434">
        <v>127256</v>
      </c>
      <c r="H434" s="116"/>
      <c r="I434" s="116"/>
      <c r="L434" s="170">
        <v>42641</v>
      </c>
      <c r="M434" s="116">
        <v>1211.5250000000001</v>
      </c>
      <c r="N434" s="116">
        <v>1218.75</v>
      </c>
      <c r="O434" s="116">
        <v>1207.5999999999999</v>
      </c>
      <c r="P434" s="116">
        <v>1215.5</v>
      </c>
      <c r="Q434" s="116">
        <v>2423.0500000000002</v>
      </c>
      <c r="R434">
        <v>865664</v>
      </c>
    </row>
    <row r="435" spans="1:18" x14ac:dyDescent="0.25">
      <c r="A435" s="170">
        <v>42642</v>
      </c>
      <c r="B435" s="116">
        <v>1224.8</v>
      </c>
      <c r="C435" s="116">
        <v>1217.3</v>
      </c>
      <c r="D435" s="116">
        <v>1209.7249999999999</v>
      </c>
      <c r="E435" s="116">
        <v>1214</v>
      </c>
      <c r="F435" s="116">
        <v>2434.6</v>
      </c>
      <c r="G435">
        <v>350364</v>
      </c>
      <c r="H435" s="116"/>
      <c r="I435" s="116"/>
      <c r="L435" s="170">
        <v>42642</v>
      </c>
      <c r="M435" s="116">
        <v>1218.9000000000001</v>
      </c>
      <c r="N435" s="116">
        <v>1228.25</v>
      </c>
      <c r="O435" s="116">
        <v>1209.8</v>
      </c>
      <c r="P435" s="116">
        <v>1217.5</v>
      </c>
      <c r="Q435" s="116">
        <v>2437.8000000000002</v>
      </c>
      <c r="R435">
        <v>1801979</v>
      </c>
    </row>
    <row r="436" spans="1:18" x14ac:dyDescent="0.25">
      <c r="A436" s="170">
        <v>42643</v>
      </c>
      <c r="B436" s="116">
        <v>1224</v>
      </c>
      <c r="C436" s="116">
        <v>1213.5999999999999</v>
      </c>
      <c r="D436" s="116">
        <v>1212.5</v>
      </c>
      <c r="E436" s="116">
        <v>1217.5</v>
      </c>
      <c r="F436" s="116">
        <v>2427.1999999999998</v>
      </c>
      <c r="G436">
        <v>174777</v>
      </c>
      <c r="H436" s="116"/>
      <c r="I436" s="116"/>
      <c r="L436" s="170">
        <v>42643</v>
      </c>
      <c r="M436" s="116">
        <v>1215.4000000000001</v>
      </c>
      <c r="N436" s="116">
        <v>1224.9000000000001</v>
      </c>
      <c r="O436" s="116">
        <v>1211.55</v>
      </c>
      <c r="P436" s="116">
        <v>1218.5250000000001</v>
      </c>
      <c r="Q436" s="116">
        <v>2430.8000000000002</v>
      </c>
      <c r="R436">
        <v>1087682</v>
      </c>
    </row>
    <row r="437" spans="1:18" x14ac:dyDescent="0.25">
      <c r="A437" s="170">
        <v>42646</v>
      </c>
      <c r="B437" s="116">
        <v>1227.5</v>
      </c>
      <c r="C437" s="116">
        <v>1205.9000000000001</v>
      </c>
      <c r="D437" s="116">
        <v>1200.6500000000001</v>
      </c>
      <c r="E437" s="116">
        <v>1220</v>
      </c>
      <c r="F437" s="116">
        <v>2411.8000000000002</v>
      </c>
      <c r="G437">
        <v>91746</v>
      </c>
      <c r="H437" s="116"/>
      <c r="I437" s="116"/>
      <c r="L437" s="170">
        <v>42646</v>
      </c>
      <c r="M437" s="116">
        <v>1205.8499999999999</v>
      </c>
      <c r="N437" s="116">
        <v>1228.825</v>
      </c>
      <c r="O437" s="116">
        <v>1200.55</v>
      </c>
      <c r="P437" s="116">
        <v>1225</v>
      </c>
      <c r="Q437" s="116">
        <v>2411.6999999999998</v>
      </c>
      <c r="R437">
        <v>909440</v>
      </c>
    </row>
    <row r="438" spans="1:18" x14ac:dyDescent="0.25">
      <c r="A438" s="170">
        <v>42647</v>
      </c>
      <c r="B438" s="116">
        <v>1211.1500000000001</v>
      </c>
      <c r="C438" s="116">
        <v>1200.55</v>
      </c>
      <c r="D438" s="116">
        <v>1197.5250000000001</v>
      </c>
      <c r="E438" s="116">
        <v>1206</v>
      </c>
      <c r="F438" s="116">
        <v>2401.1</v>
      </c>
      <c r="G438">
        <v>759550</v>
      </c>
      <c r="H438" s="116"/>
      <c r="I438" s="116"/>
      <c r="L438" s="170">
        <v>42647</v>
      </c>
      <c r="M438" s="116">
        <v>1202.575</v>
      </c>
      <c r="N438" s="116">
        <v>1212.5250000000001</v>
      </c>
      <c r="O438" s="116">
        <v>1199</v>
      </c>
      <c r="P438" s="116">
        <v>1210</v>
      </c>
      <c r="Q438" s="116">
        <v>2405.15</v>
      </c>
      <c r="R438">
        <v>890359</v>
      </c>
    </row>
    <row r="439" spans="1:18" x14ac:dyDescent="0.25">
      <c r="A439" s="170">
        <v>42648</v>
      </c>
      <c r="B439" s="116">
        <v>1206.7</v>
      </c>
      <c r="C439" s="116">
        <v>1191.2750000000001</v>
      </c>
      <c r="D439" s="116">
        <v>1188</v>
      </c>
      <c r="E439" s="116">
        <v>1203</v>
      </c>
      <c r="F439" s="116">
        <v>2382.5500000000002</v>
      </c>
      <c r="G439">
        <v>46401</v>
      </c>
      <c r="H439" s="116"/>
      <c r="I439" s="116"/>
      <c r="L439" s="170">
        <v>42648</v>
      </c>
      <c r="M439" s="116">
        <v>1193.175</v>
      </c>
      <c r="N439" s="116">
        <v>1207.7</v>
      </c>
      <c r="O439" s="116">
        <v>1188.05</v>
      </c>
      <c r="P439" s="116">
        <v>1204</v>
      </c>
      <c r="Q439" s="116">
        <v>2386.35</v>
      </c>
      <c r="R439">
        <v>588177</v>
      </c>
    </row>
    <row r="440" spans="1:18" x14ac:dyDescent="0.25">
      <c r="A440" s="170">
        <v>42649</v>
      </c>
      <c r="B440" s="116">
        <v>1198.7750000000001</v>
      </c>
      <c r="C440" s="116">
        <v>1192.125</v>
      </c>
      <c r="D440" s="116">
        <v>1186</v>
      </c>
      <c r="E440" s="116">
        <v>1195</v>
      </c>
      <c r="F440" s="116">
        <v>2384.25</v>
      </c>
      <c r="G440">
        <v>45572</v>
      </c>
      <c r="H440" s="116"/>
      <c r="I440" s="116"/>
      <c r="L440" s="170">
        <v>42649</v>
      </c>
      <c r="M440" s="116">
        <v>1194.375</v>
      </c>
      <c r="N440" s="116">
        <v>1201.2</v>
      </c>
      <c r="O440" s="116">
        <v>1186.375</v>
      </c>
      <c r="P440" s="116">
        <v>1197.5</v>
      </c>
      <c r="Q440" s="116">
        <v>2388.75</v>
      </c>
      <c r="R440">
        <v>1133786</v>
      </c>
    </row>
    <row r="441" spans="1:18" x14ac:dyDescent="0.25">
      <c r="A441" s="170">
        <v>42650</v>
      </c>
      <c r="B441" s="116">
        <v>1194</v>
      </c>
      <c r="C441" s="116">
        <v>1184.125</v>
      </c>
      <c r="D441" s="116">
        <v>1178.45</v>
      </c>
      <c r="E441" s="116">
        <v>1194</v>
      </c>
      <c r="F441" s="116">
        <v>2368.25</v>
      </c>
      <c r="G441">
        <v>44285</v>
      </c>
      <c r="H441" s="116"/>
      <c r="I441" s="116"/>
      <c r="L441" s="170">
        <v>42650</v>
      </c>
      <c r="M441" s="116">
        <v>1183.9000000000001</v>
      </c>
      <c r="N441" s="116">
        <v>1194</v>
      </c>
      <c r="O441" s="116">
        <v>1179.0999999999999</v>
      </c>
      <c r="P441" s="116">
        <v>1194</v>
      </c>
      <c r="Q441" s="116">
        <v>2367.8000000000002</v>
      </c>
      <c r="R441">
        <v>908256</v>
      </c>
    </row>
    <row r="442" spans="1:18" x14ac:dyDescent="0.25">
      <c r="A442" s="170">
        <v>42653</v>
      </c>
      <c r="B442" s="116">
        <v>1192.5</v>
      </c>
      <c r="C442" s="116">
        <v>1190.05</v>
      </c>
      <c r="D442" s="116">
        <v>1176.4000000000001</v>
      </c>
      <c r="E442" s="116">
        <v>1185</v>
      </c>
      <c r="F442" s="116">
        <v>2380.1</v>
      </c>
      <c r="G442">
        <v>82492</v>
      </c>
      <c r="H442" s="116"/>
      <c r="I442" s="116"/>
      <c r="L442" s="170">
        <v>42653</v>
      </c>
      <c r="M442" s="116">
        <v>1190.1500000000001</v>
      </c>
      <c r="N442" s="116">
        <v>1193.45</v>
      </c>
      <c r="O442" s="116">
        <v>1177.5250000000001</v>
      </c>
      <c r="P442" s="116">
        <v>1184.95</v>
      </c>
      <c r="Q442" s="116">
        <v>2380.3000000000002</v>
      </c>
      <c r="R442">
        <v>601071</v>
      </c>
    </row>
    <row r="443" spans="1:18" x14ac:dyDescent="0.25">
      <c r="A443" s="170">
        <v>42656</v>
      </c>
      <c r="B443" s="116">
        <v>1183.925</v>
      </c>
      <c r="C443" s="116">
        <v>1164.25</v>
      </c>
      <c r="D443" s="116">
        <v>1161.625</v>
      </c>
      <c r="E443" s="116">
        <v>1177.5</v>
      </c>
      <c r="F443" s="116">
        <v>2328.5</v>
      </c>
      <c r="G443">
        <v>396220</v>
      </c>
      <c r="H443" s="116"/>
      <c r="I443" s="116"/>
      <c r="L443" s="170">
        <v>42656</v>
      </c>
      <c r="M443" s="116">
        <v>1164.45</v>
      </c>
      <c r="N443" s="116">
        <v>1184.95</v>
      </c>
      <c r="O443" s="116">
        <v>1160.45</v>
      </c>
      <c r="P443" s="116">
        <v>1181.6500000000001</v>
      </c>
      <c r="Q443" s="116">
        <v>2328.9</v>
      </c>
      <c r="R443">
        <v>2586667</v>
      </c>
    </row>
    <row r="444" spans="1:18" x14ac:dyDescent="0.25">
      <c r="A444" s="170">
        <v>42657</v>
      </c>
      <c r="B444" s="116">
        <v>1192.2</v>
      </c>
      <c r="C444" s="116">
        <v>1182.95</v>
      </c>
      <c r="D444" s="116">
        <v>1149.425</v>
      </c>
      <c r="E444" s="116">
        <v>1161</v>
      </c>
      <c r="F444" s="116">
        <v>2365.9</v>
      </c>
      <c r="G444">
        <v>181819</v>
      </c>
      <c r="H444" s="116"/>
      <c r="I444" s="116"/>
      <c r="L444" s="170">
        <v>42657</v>
      </c>
      <c r="M444" s="116">
        <v>1183.0999999999999</v>
      </c>
      <c r="N444" s="116">
        <v>1193.5</v>
      </c>
      <c r="O444" s="116">
        <v>1145.5</v>
      </c>
      <c r="P444" s="116">
        <v>1157.5</v>
      </c>
      <c r="Q444" s="116">
        <v>2366.1999999999998</v>
      </c>
      <c r="R444">
        <v>3870607</v>
      </c>
    </row>
    <row r="445" spans="1:18" x14ac:dyDescent="0.25">
      <c r="A445" s="170">
        <v>42660</v>
      </c>
      <c r="B445" s="116">
        <v>1188.5</v>
      </c>
      <c r="C445" s="116">
        <v>1181.45</v>
      </c>
      <c r="D445" s="116">
        <v>1174.0250000000001</v>
      </c>
      <c r="E445" s="116">
        <v>1183.55</v>
      </c>
      <c r="F445" s="116">
        <v>2362.9</v>
      </c>
      <c r="G445">
        <v>57080</v>
      </c>
      <c r="H445" s="116"/>
      <c r="I445" s="116"/>
      <c r="L445" s="170">
        <v>42660</v>
      </c>
      <c r="M445" s="116">
        <v>1181.2249999999999</v>
      </c>
      <c r="N445" s="116">
        <v>1187.9000000000001</v>
      </c>
      <c r="O445" s="116">
        <v>1172.2</v>
      </c>
      <c r="P445" s="116">
        <v>1184.45</v>
      </c>
      <c r="Q445" s="116">
        <v>2362.4499999999998</v>
      </c>
      <c r="R445">
        <v>1364173</v>
      </c>
    </row>
    <row r="446" spans="1:18" x14ac:dyDescent="0.25">
      <c r="A446" s="170">
        <v>42661</v>
      </c>
      <c r="B446" s="116">
        <v>1205</v>
      </c>
      <c r="C446" s="116">
        <v>1199.1500000000001</v>
      </c>
      <c r="D446" s="116">
        <v>1177.5</v>
      </c>
      <c r="E446" s="116">
        <v>1185.5</v>
      </c>
      <c r="F446" s="116">
        <v>2398.3000000000002</v>
      </c>
      <c r="G446">
        <v>73582</v>
      </c>
      <c r="H446" s="116"/>
      <c r="I446" s="116"/>
      <c r="L446" s="170">
        <v>42661</v>
      </c>
      <c r="M446" s="116">
        <v>1200.0999999999999</v>
      </c>
      <c r="N446" s="116">
        <v>1207.8499999999999</v>
      </c>
      <c r="O446" s="116">
        <v>1177.4000000000001</v>
      </c>
      <c r="P446" s="116">
        <v>1188</v>
      </c>
      <c r="Q446" s="116">
        <v>2400.1999999999998</v>
      </c>
      <c r="R446">
        <v>1064316</v>
      </c>
    </row>
    <row r="447" spans="1:18" x14ac:dyDescent="0.25">
      <c r="A447" s="170">
        <v>42662</v>
      </c>
      <c r="B447" s="116">
        <v>1202.5</v>
      </c>
      <c r="C447" s="116">
        <v>1197.0999999999999</v>
      </c>
      <c r="D447" s="116">
        <v>1185.5999999999999</v>
      </c>
      <c r="E447" s="116">
        <v>1202.5</v>
      </c>
      <c r="F447" s="116">
        <v>2394.1999999999998</v>
      </c>
      <c r="G447">
        <v>54081</v>
      </c>
      <c r="H447" s="116"/>
      <c r="I447" s="116"/>
      <c r="L447" s="170">
        <v>42662</v>
      </c>
      <c r="M447" s="116">
        <v>1197.55</v>
      </c>
      <c r="N447" s="116">
        <v>1205</v>
      </c>
      <c r="O447" s="116">
        <v>1185.1500000000001</v>
      </c>
      <c r="P447" s="116">
        <v>1200.5</v>
      </c>
      <c r="Q447" s="116">
        <v>2395.1</v>
      </c>
      <c r="R447">
        <v>992529</v>
      </c>
    </row>
    <row r="448" spans="1:18" x14ac:dyDescent="0.25">
      <c r="A448" s="170">
        <v>42663</v>
      </c>
      <c r="B448" s="116">
        <v>1204.375</v>
      </c>
      <c r="C448" s="116">
        <v>1199.925</v>
      </c>
      <c r="D448" s="116">
        <v>1193</v>
      </c>
      <c r="E448" s="116">
        <v>1195.05</v>
      </c>
      <c r="F448" s="116">
        <v>2399.85</v>
      </c>
      <c r="G448">
        <v>27515</v>
      </c>
      <c r="H448" s="116"/>
      <c r="I448" s="116"/>
      <c r="L448" s="170">
        <v>42663</v>
      </c>
      <c r="M448" s="116">
        <v>1200.575</v>
      </c>
      <c r="N448" s="116">
        <v>1204.675</v>
      </c>
      <c r="O448" s="116">
        <v>1193</v>
      </c>
      <c r="P448" s="116">
        <v>1198.45</v>
      </c>
      <c r="Q448" s="116">
        <v>2401.15</v>
      </c>
      <c r="R448">
        <v>632927</v>
      </c>
    </row>
    <row r="449" spans="1:18" x14ac:dyDescent="0.25">
      <c r="A449" s="170">
        <v>42664</v>
      </c>
      <c r="B449" s="116">
        <v>1215.625</v>
      </c>
      <c r="C449" s="116">
        <v>1214.3499999999999</v>
      </c>
      <c r="D449" s="116">
        <v>1199</v>
      </c>
      <c r="E449" s="116">
        <v>1199</v>
      </c>
      <c r="F449" s="116">
        <v>2428.6999999999998</v>
      </c>
      <c r="G449">
        <v>43212</v>
      </c>
      <c r="H449" s="116"/>
      <c r="I449" s="116"/>
      <c r="L449" s="170">
        <v>42664</v>
      </c>
      <c r="M449" s="116">
        <v>1214.325</v>
      </c>
      <c r="N449" s="116">
        <v>1215.95</v>
      </c>
      <c r="O449" s="116">
        <v>1199.125</v>
      </c>
      <c r="P449" s="116">
        <v>1200</v>
      </c>
      <c r="Q449" s="116">
        <v>2428.65</v>
      </c>
      <c r="R449">
        <v>629830</v>
      </c>
    </row>
    <row r="450" spans="1:18" x14ac:dyDescent="0.25">
      <c r="A450" s="170">
        <v>42667</v>
      </c>
      <c r="B450" s="116">
        <v>1215.2750000000001</v>
      </c>
      <c r="C450" s="116">
        <v>1213.925</v>
      </c>
      <c r="D450" s="116">
        <v>1202</v>
      </c>
      <c r="E450" s="116">
        <v>1214</v>
      </c>
      <c r="F450" s="116">
        <v>2427.85</v>
      </c>
      <c r="G450">
        <v>20032</v>
      </c>
      <c r="H450" s="116"/>
      <c r="I450" s="116"/>
      <c r="L450" s="170">
        <v>42667</v>
      </c>
      <c r="M450" s="116">
        <v>1213.8499999999999</v>
      </c>
      <c r="N450" s="116">
        <v>1217.45</v>
      </c>
      <c r="O450" s="116">
        <v>1201.2750000000001</v>
      </c>
      <c r="P450" s="116">
        <v>1214.0999999999999</v>
      </c>
      <c r="Q450" s="116">
        <v>2427.6999999999998</v>
      </c>
      <c r="R450">
        <v>626595</v>
      </c>
    </row>
    <row r="451" spans="1:18" x14ac:dyDescent="0.25">
      <c r="A451" s="170">
        <v>42668</v>
      </c>
      <c r="B451" s="116">
        <v>1207.2</v>
      </c>
      <c r="C451" s="116">
        <v>1199.325</v>
      </c>
      <c r="D451" s="116">
        <v>1194.45</v>
      </c>
      <c r="E451" s="116">
        <v>1199</v>
      </c>
      <c r="F451" s="116">
        <v>2398.65</v>
      </c>
      <c r="G451">
        <v>34752</v>
      </c>
      <c r="H451" s="116"/>
      <c r="I451" s="116"/>
      <c r="L451" s="170">
        <v>42668</v>
      </c>
      <c r="M451" s="116">
        <v>1199.2249999999999</v>
      </c>
      <c r="N451" s="116">
        <v>1207.3</v>
      </c>
      <c r="O451" s="116">
        <v>1190.5</v>
      </c>
      <c r="P451" s="116">
        <v>1202.5</v>
      </c>
      <c r="Q451" s="116">
        <v>2398.4499999999998</v>
      </c>
      <c r="R451">
        <v>886233</v>
      </c>
    </row>
    <row r="452" spans="1:18" x14ac:dyDescent="0.25">
      <c r="A452" s="170">
        <v>42669</v>
      </c>
      <c r="B452" s="116">
        <v>1201.9749999999999</v>
      </c>
      <c r="C452" s="116">
        <v>1198.4749999999999</v>
      </c>
      <c r="D452" s="116">
        <v>1186.5</v>
      </c>
      <c r="E452" s="116">
        <v>1199.325</v>
      </c>
      <c r="F452" s="116">
        <v>2396.9499999999998</v>
      </c>
      <c r="G452">
        <v>41869</v>
      </c>
      <c r="H452" s="116"/>
      <c r="I452" s="116"/>
      <c r="L452" s="170">
        <v>42669</v>
      </c>
      <c r="M452" s="116">
        <v>1198.125</v>
      </c>
      <c r="N452" s="116">
        <v>1201.375</v>
      </c>
      <c r="O452" s="116">
        <v>1186.25</v>
      </c>
      <c r="P452" s="116">
        <v>1199.3</v>
      </c>
      <c r="Q452" s="116">
        <v>2396.25</v>
      </c>
      <c r="R452">
        <v>718565</v>
      </c>
    </row>
    <row r="453" spans="1:18" x14ac:dyDescent="0.25">
      <c r="A453" s="170">
        <v>42670</v>
      </c>
      <c r="B453" s="116">
        <v>1212.5</v>
      </c>
      <c r="C453" s="116">
        <v>1206.625</v>
      </c>
      <c r="D453" s="116">
        <v>1183.45</v>
      </c>
      <c r="E453" s="116">
        <v>1190</v>
      </c>
      <c r="F453" s="116">
        <v>2413.25</v>
      </c>
      <c r="G453">
        <v>54286</v>
      </c>
      <c r="H453" s="116"/>
      <c r="I453" s="116"/>
      <c r="L453" s="170">
        <v>42670</v>
      </c>
      <c r="M453" s="116">
        <v>1209.05</v>
      </c>
      <c r="N453" s="116">
        <v>1214.75</v>
      </c>
      <c r="O453" s="116">
        <v>1182.75</v>
      </c>
      <c r="P453" s="116">
        <v>1189.8499999999999</v>
      </c>
      <c r="Q453" s="116">
        <v>2418.1</v>
      </c>
      <c r="R453">
        <v>1470801</v>
      </c>
    </row>
    <row r="454" spans="1:18" x14ac:dyDescent="0.25">
      <c r="A454" s="170">
        <v>42671</v>
      </c>
      <c r="B454" s="116">
        <v>1207.5</v>
      </c>
      <c r="C454" s="116">
        <v>1199.625</v>
      </c>
      <c r="D454" s="116">
        <v>1191.5</v>
      </c>
      <c r="E454" s="116">
        <v>1206.625</v>
      </c>
      <c r="F454" s="116">
        <v>2399.25</v>
      </c>
      <c r="G454">
        <v>34619</v>
      </c>
      <c r="H454" s="116"/>
      <c r="I454" s="116"/>
      <c r="L454" s="170">
        <v>42671</v>
      </c>
      <c r="M454" s="116">
        <v>1199.3499999999999</v>
      </c>
      <c r="N454" s="116">
        <v>1207.55</v>
      </c>
      <c r="O454" s="116">
        <v>1194</v>
      </c>
      <c r="P454" s="116">
        <v>1205</v>
      </c>
      <c r="Q454" s="116">
        <v>2398.6999999999998</v>
      </c>
      <c r="R454">
        <v>876051</v>
      </c>
    </row>
    <row r="455" spans="1:18" x14ac:dyDescent="0.25">
      <c r="A455" s="170">
        <v>42673</v>
      </c>
      <c r="B455" s="116">
        <v>1212</v>
      </c>
      <c r="C455" s="116">
        <v>1197.3</v>
      </c>
      <c r="D455" s="116">
        <v>1195</v>
      </c>
      <c r="E455" s="116">
        <v>1200</v>
      </c>
      <c r="F455" s="116">
        <v>2394.6</v>
      </c>
      <c r="G455">
        <v>7364</v>
      </c>
      <c r="H455" s="116"/>
      <c r="I455" s="116"/>
      <c r="L455" s="170">
        <v>42673</v>
      </c>
      <c r="M455" s="116">
        <v>1195.5250000000001</v>
      </c>
      <c r="N455" s="116">
        <v>1204.4749999999999</v>
      </c>
      <c r="O455" s="116">
        <v>1191</v>
      </c>
      <c r="P455" s="116">
        <v>1199.3499999999999</v>
      </c>
      <c r="Q455" s="116">
        <v>2391.0500000000002</v>
      </c>
      <c r="R455">
        <v>42676</v>
      </c>
    </row>
    <row r="456" spans="1:18" x14ac:dyDescent="0.25">
      <c r="A456" s="170">
        <v>42675</v>
      </c>
      <c r="B456" s="116">
        <v>1197.3</v>
      </c>
      <c r="C456" s="116">
        <v>1173.8499999999999</v>
      </c>
      <c r="D456" s="116">
        <v>1167.5250000000001</v>
      </c>
      <c r="E456" s="116">
        <v>1197</v>
      </c>
      <c r="F456" s="116">
        <v>2347.6999999999998</v>
      </c>
      <c r="G456">
        <v>37602</v>
      </c>
      <c r="H456" s="116"/>
      <c r="I456" s="116"/>
      <c r="L456" s="170">
        <v>42675</v>
      </c>
      <c r="M456" s="116">
        <v>1175</v>
      </c>
      <c r="N456" s="116">
        <v>1199.8499999999999</v>
      </c>
      <c r="O456" s="116">
        <v>1167.075</v>
      </c>
      <c r="P456" s="116">
        <v>1199.8499999999999</v>
      </c>
      <c r="Q456" s="116">
        <v>2350</v>
      </c>
      <c r="R456">
        <v>1467388</v>
      </c>
    </row>
    <row r="457" spans="1:18" x14ac:dyDescent="0.25">
      <c r="A457" s="170">
        <v>42676</v>
      </c>
      <c r="B457" s="116">
        <v>1170</v>
      </c>
      <c r="C457" s="116">
        <v>1152.2249999999999</v>
      </c>
      <c r="D457" s="116">
        <v>1148.075</v>
      </c>
      <c r="E457" s="116">
        <v>1170</v>
      </c>
      <c r="F457" s="116">
        <v>2304.4499999999998</v>
      </c>
      <c r="G457">
        <v>662834</v>
      </c>
      <c r="H457" s="116"/>
      <c r="I457" s="116"/>
      <c r="L457" s="170">
        <v>42676</v>
      </c>
      <c r="M457" s="116">
        <v>1152.0250000000001</v>
      </c>
      <c r="N457" s="116">
        <v>1172</v>
      </c>
      <c r="O457" s="116">
        <v>1147.5</v>
      </c>
      <c r="P457" s="116">
        <v>1170.5</v>
      </c>
      <c r="Q457" s="116">
        <v>2304.0500000000002</v>
      </c>
      <c r="R457">
        <v>1162538</v>
      </c>
    </row>
    <row r="458" spans="1:18" x14ac:dyDescent="0.25">
      <c r="A458" s="170">
        <v>42677</v>
      </c>
      <c r="B458" s="116">
        <v>1166.7750000000001</v>
      </c>
      <c r="C458" s="116">
        <v>1159.9749999999999</v>
      </c>
      <c r="D458" s="116">
        <v>1142</v>
      </c>
      <c r="E458" s="116">
        <v>1147</v>
      </c>
      <c r="F458" s="116">
        <v>2319.9499999999998</v>
      </c>
      <c r="G458">
        <v>52003</v>
      </c>
      <c r="H458" s="116"/>
      <c r="I458" s="116"/>
      <c r="L458" s="170">
        <v>42677</v>
      </c>
      <c r="M458" s="116">
        <v>1159.7249999999999</v>
      </c>
      <c r="N458" s="116">
        <v>1167.5</v>
      </c>
      <c r="O458" s="116">
        <v>1142.25</v>
      </c>
      <c r="P458" s="116">
        <v>1147</v>
      </c>
      <c r="Q458" s="116">
        <v>2319.4499999999998</v>
      </c>
      <c r="R458">
        <v>731655</v>
      </c>
    </row>
    <row r="459" spans="1:18" x14ac:dyDescent="0.25">
      <c r="A459" s="170">
        <v>42678</v>
      </c>
      <c r="B459" s="116">
        <v>1168</v>
      </c>
      <c r="C459" s="116">
        <v>1165.05</v>
      </c>
      <c r="D459" s="116">
        <v>1147.4749999999999</v>
      </c>
      <c r="E459" s="116">
        <v>1150.5</v>
      </c>
      <c r="F459" s="116">
        <v>2330.1</v>
      </c>
      <c r="G459">
        <v>63244</v>
      </c>
      <c r="H459" s="116"/>
      <c r="I459" s="116"/>
      <c r="L459" s="170">
        <v>42678</v>
      </c>
      <c r="M459" s="116">
        <v>1165.2750000000001</v>
      </c>
      <c r="N459" s="116">
        <v>1168.075</v>
      </c>
      <c r="O459" s="116">
        <v>1147</v>
      </c>
      <c r="P459" s="116">
        <v>1160</v>
      </c>
      <c r="Q459" s="116">
        <v>2330.5500000000002</v>
      </c>
      <c r="R459">
        <v>591876</v>
      </c>
    </row>
    <row r="460" spans="1:18" x14ac:dyDescent="0.25">
      <c r="A460" s="170">
        <v>42681</v>
      </c>
      <c r="B460" s="116">
        <v>1169.5</v>
      </c>
      <c r="C460" s="116">
        <v>1139.675</v>
      </c>
      <c r="D460" s="116">
        <v>1131.55</v>
      </c>
      <c r="E460" s="116">
        <v>1165.75</v>
      </c>
      <c r="F460" s="116">
        <v>2279.35</v>
      </c>
      <c r="G460">
        <v>137469</v>
      </c>
      <c r="H460" s="116"/>
      <c r="I460" s="116"/>
      <c r="L460" s="170">
        <v>42681</v>
      </c>
      <c r="M460" s="116">
        <v>1138.5250000000001</v>
      </c>
      <c r="N460" s="116">
        <v>1172.45</v>
      </c>
      <c r="O460" s="116">
        <v>1130.0250000000001</v>
      </c>
      <c r="P460" s="116">
        <v>1168.95</v>
      </c>
      <c r="Q460" s="116">
        <v>2277.0500000000002</v>
      </c>
      <c r="R460">
        <v>1024026</v>
      </c>
    </row>
    <row r="461" spans="1:18" x14ac:dyDescent="0.25">
      <c r="A461" s="170">
        <v>42682</v>
      </c>
      <c r="B461" s="116">
        <v>1153.75</v>
      </c>
      <c r="C461" s="116">
        <v>1141.8499999999999</v>
      </c>
      <c r="D461" s="116">
        <v>1131.1500000000001</v>
      </c>
      <c r="E461" s="116">
        <v>1140</v>
      </c>
      <c r="F461" s="116">
        <v>2283.6999999999998</v>
      </c>
      <c r="G461">
        <v>66074</v>
      </c>
      <c r="H461" s="116"/>
      <c r="I461" s="116"/>
      <c r="L461" s="170">
        <v>42682</v>
      </c>
      <c r="M461" s="116">
        <v>1141.5999999999999</v>
      </c>
      <c r="N461" s="116">
        <v>1153.5</v>
      </c>
      <c r="O461" s="116">
        <v>1130</v>
      </c>
      <c r="P461" s="116">
        <v>1140.2249999999999</v>
      </c>
      <c r="Q461" s="116">
        <v>2283.1999999999998</v>
      </c>
      <c r="R461">
        <v>966817</v>
      </c>
    </row>
    <row r="462" spans="1:18" x14ac:dyDescent="0.25">
      <c r="A462" s="170">
        <v>42683</v>
      </c>
      <c r="B462" s="116">
        <v>1137.5</v>
      </c>
      <c r="C462" s="116">
        <v>1085.5250000000001</v>
      </c>
      <c r="D462" s="116">
        <v>1071.1500000000001</v>
      </c>
      <c r="E462" s="116">
        <v>1110.45</v>
      </c>
      <c r="F462" s="116">
        <v>2171.0500000000002</v>
      </c>
      <c r="G462">
        <v>378587</v>
      </c>
      <c r="H462" s="116"/>
      <c r="I462" s="116"/>
      <c r="L462" s="170">
        <v>42683</v>
      </c>
      <c r="M462" s="116">
        <v>1084.925</v>
      </c>
      <c r="N462" s="116">
        <v>1137.5</v>
      </c>
      <c r="O462" s="116">
        <v>1071.425</v>
      </c>
      <c r="P462" s="116">
        <v>1090</v>
      </c>
      <c r="Q462" s="116">
        <v>2169.85</v>
      </c>
      <c r="R462">
        <v>2250113</v>
      </c>
    </row>
    <row r="463" spans="1:18" x14ac:dyDescent="0.25">
      <c r="A463" s="170">
        <v>42684</v>
      </c>
      <c r="B463" s="116">
        <v>1109.5</v>
      </c>
      <c r="C463" s="116">
        <v>1079.0250000000001</v>
      </c>
      <c r="D463" s="116">
        <v>1071</v>
      </c>
      <c r="E463" s="116">
        <v>1100</v>
      </c>
      <c r="F463" s="116">
        <v>2158.0500000000002</v>
      </c>
      <c r="G463">
        <v>75830</v>
      </c>
      <c r="H463" s="116"/>
      <c r="I463" s="116"/>
      <c r="L463" s="170">
        <v>42684</v>
      </c>
      <c r="M463" s="116">
        <v>1077.7249999999999</v>
      </c>
      <c r="N463" s="116">
        <v>1108.75</v>
      </c>
      <c r="O463" s="116">
        <v>1070.4000000000001</v>
      </c>
      <c r="P463" s="116">
        <v>1102.4000000000001</v>
      </c>
      <c r="Q463" s="116">
        <v>2155.4499999999998</v>
      </c>
      <c r="R463">
        <v>1086213</v>
      </c>
    </row>
    <row r="464" spans="1:18" x14ac:dyDescent="0.25">
      <c r="A464" s="170">
        <v>42685</v>
      </c>
      <c r="B464" s="116">
        <v>1073</v>
      </c>
      <c r="C464" s="116">
        <v>1052.5250000000001</v>
      </c>
      <c r="D464" s="116">
        <v>1045.5</v>
      </c>
      <c r="E464" s="116">
        <v>1072.5</v>
      </c>
      <c r="F464" s="116">
        <v>2105.0500000000002</v>
      </c>
      <c r="G464">
        <v>85785</v>
      </c>
      <c r="H464" s="116"/>
      <c r="I464" s="116"/>
      <c r="L464" s="170">
        <v>42685</v>
      </c>
      <c r="M464" s="116">
        <v>1050.575</v>
      </c>
      <c r="N464" s="116">
        <v>1073.5250000000001</v>
      </c>
      <c r="O464" s="116">
        <v>1043.0999999999999</v>
      </c>
      <c r="P464" s="116">
        <v>1073.5250000000001</v>
      </c>
      <c r="Q464" s="116">
        <v>2101.15</v>
      </c>
      <c r="R464">
        <v>1199212</v>
      </c>
    </row>
    <row r="465" spans="1:18" x14ac:dyDescent="0.25">
      <c r="A465" s="170">
        <v>42689</v>
      </c>
      <c r="B465" s="116">
        <v>1078.2</v>
      </c>
      <c r="C465" s="116">
        <v>1061.05</v>
      </c>
      <c r="D465" s="116">
        <v>1027.3499999999999</v>
      </c>
      <c r="E465" s="116">
        <v>1057.5</v>
      </c>
      <c r="F465" s="116">
        <v>2122.1</v>
      </c>
      <c r="G465">
        <v>60569</v>
      </c>
      <c r="H465" s="116"/>
      <c r="I465" s="116"/>
      <c r="L465" s="170">
        <v>42689</v>
      </c>
      <c r="M465" s="116">
        <v>1060.6500000000001</v>
      </c>
      <c r="N465" s="116">
        <v>1078.7750000000001</v>
      </c>
      <c r="O465" s="116">
        <v>1025.95</v>
      </c>
      <c r="P465" s="116">
        <v>1058.45</v>
      </c>
      <c r="Q465" s="116">
        <v>2121.3000000000002</v>
      </c>
      <c r="R465">
        <v>3145162</v>
      </c>
    </row>
    <row r="466" spans="1:18" x14ac:dyDescent="0.25">
      <c r="A466" s="170">
        <v>42690</v>
      </c>
      <c r="B466" s="116">
        <v>1104.75</v>
      </c>
      <c r="C466" s="116">
        <v>1095.125</v>
      </c>
      <c r="D466" s="116">
        <v>1062.5</v>
      </c>
      <c r="E466" s="116">
        <v>1062.5</v>
      </c>
      <c r="F466" s="116">
        <v>2190.25</v>
      </c>
      <c r="G466">
        <v>509655</v>
      </c>
      <c r="H466" s="116"/>
      <c r="I466" s="116"/>
      <c r="L466" s="170">
        <v>42690</v>
      </c>
      <c r="M466" s="116">
        <v>1094.8</v>
      </c>
      <c r="N466" s="116">
        <v>1104.45</v>
      </c>
      <c r="O466" s="116">
        <v>1069</v>
      </c>
      <c r="P466" s="116">
        <v>1072.55</v>
      </c>
      <c r="Q466" s="116">
        <v>2189.6</v>
      </c>
      <c r="R466">
        <v>2009979</v>
      </c>
    </row>
    <row r="467" spans="1:18" x14ac:dyDescent="0.25">
      <c r="A467" s="170">
        <v>42691</v>
      </c>
      <c r="B467" s="116">
        <v>1102.3499999999999</v>
      </c>
      <c r="C467" s="116">
        <v>1071.075</v>
      </c>
      <c r="D467" s="116">
        <v>1067.5999999999999</v>
      </c>
      <c r="E467" s="116">
        <v>1094.5</v>
      </c>
      <c r="F467" s="116">
        <v>2142.15</v>
      </c>
      <c r="G467">
        <v>63285</v>
      </c>
      <c r="H467" s="116"/>
      <c r="I467" s="116"/>
      <c r="L467" s="170">
        <v>42691</v>
      </c>
      <c r="M467" s="116">
        <v>1068.5999999999999</v>
      </c>
      <c r="N467" s="116">
        <v>1104.3</v>
      </c>
      <c r="O467" s="116">
        <v>1065.075</v>
      </c>
      <c r="P467" s="116">
        <v>1092.5</v>
      </c>
      <c r="Q467" s="116">
        <v>2137.1999999999998</v>
      </c>
      <c r="R467">
        <v>1252344</v>
      </c>
    </row>
    <row r="468" spans="1:18" x14ac:dyDescent="0.25">
      <c r="A468" s="170">
        <v>42692</v>
      </c>
      <c r="B468" s="116">
        <v>1074.5250000000001</v>
      </c>
      <c r="C468" s="116">
        <v>1061.575</v>
      </c>
      <c r="D468" s="116">
        <v>1053.25</v>
      </c>
      <c r="E468" s="116">
        <v>1073</v>
      </c>
      <c r="F468" s="116">
        <v>2123.15</v>
      </c>
      <c r="G468">
        <v>47554</v>
      </c>
      <c r="H468" s="116"/>
      <c r="I468" s="116"/>
      <c r="L468" s="170">
        <v>42692</v>
      </c>
      <c r="M468" s="116">
        <v>1062.55</v>
      </c>
      <c r="N468" s="116">
        <v>1075</v>
      </c>
      <c r="O468" s="116">
        <v>1052.0999999999999</v>
      </c>
      <c r="P468" s="116">
        <v>1071</v>
      </c>
      <c r="Q468" s="116">
        <v>2125.1</v>
      </c>
      <c r="R468">
        <v>1070267</v>
      </c>
    </row>
    <row r="469" spans="1:18" x14ac:dyDescent="0.25">
      <c r="A469" s="170">
        <v>42695</v>
      </c>
      <c r="B469" s="116">
        <v>1070.5</v>
      </c>
      <c r="C469" s="116">
        <v>1066.2750000000001</v>
      </c>
      <c r="D469" s="116">
        <v>1053.5</v>
      </c>
      <c r="E469" s="116">
        <v>1065</v>
      </c>
      <c r="F469" s="116">
        <v>2132.5500000000002</v>
      </c>
      <c r="G469">
        <v>42384</v>
      </c>
      <c r="H469" s="116"/>
      <c r="I469" s="116"/>
      <c r="L469" s="170">
        <v>42695</v>
      </c>
      <c r="M469" s="116">
        <v>1066.45</v>
      </c>
      <c r="N469" s="116">
        <v>1070</v>
      </c>
      <c r="O469" s="116">
        <v>1052.5</v>
      </c>
      <c r="P469" s="116">
        <v>1063.0999999999999</v>
      </c>
      <c r="Q469" s="116">
        <v>2132.9</v>
      </c>
      <c r="R469">
        <v>896683</v>
      </c>
    </row>
    <row r="470" spans="1:18" x14ac:dyDescent="0.25">
      <c r="A470" s="170">
        <v>42696</v>
      </c>
      <c r="B470" s="116">
        <v>1087.45</v>
      </c>
      <c r="C470" s="116">
        <v>1067.1500000000001</v>
      </c>
      <c r="D470" s="116">
        <v>1060.825</v>
      </c>
      <c r="E470" s="116">
        <v>1066</v>
      </c>
      <c r="F470" s="116">
        <v>2134.3000000000002</v>
      </c>
      <c r="G470">
        <v>40345</v>
      </c>
      <c r="H470" s="116"/>
      <c r="I470" s="116"/>
      <c r="L470" s="170">
        <v>42696</v>
      </c>
      <c r="M470" s="116">
        <v>1067.5</v>
      </c>
      <c r="N470" s="116">
        <v>1088.7249999999999</v>
      </c>
      <c r="O470" s="116">
        <v>1061.0250000000001</v>
      </c>
      <c r="P470" s="116">
        <v>1066</v>
      </c>
      <c r="Q470" s="116">
        <v>2135</v>
      </c>
      <c r="R470">
        <v>659430</v>
      </c>
    </row>
    <row r="471" spans="1:18" x14ac:dyDescent="0.25">
      <c r="A471" s="170">
        <v>42697</v>
      </c>
      <c r="B471" s="116">
        <v>1081.1500000000001</v>
      </c>
      <c r="C471" s="116">
        <v>1078.3499999999999</v>
      </c>
      <c r="D471" s="116">
        <v>1064.8</v>
      </c>
      <c r="E471" s="116">
        <v>1070.575</v>
      </c>
      <c r="F471" s="116">
        <v>2156.6999999999998</v>
      </c>
      <c r="G471">
        <v>368854</v>
      </c>
      <c r="H471" s="116"/>
      <c r="I471" s="116"/>
      <c r="L471" s="170">
        <v>42697</v>
      </c>
      <c r="M471" s="116">
        <v>1078.175</v>
      </c>
      <c r="N471" s="116">
        <v>1081.4749999999999</v>
      </c>
      <c r="O471" s="116">
        <v>1063.5999999999999</v>
      </c>
      <c r="P471" s="116">
        <v>1074.5</v>
      </c>
      <c r="Q471" s="116">
        <v>2156.35</v>
      </c>
      <c r="R471">
        <v>637904</v>
      </c>
    </row>
    <row r="472" spans="1:18" x14ac:dyDescent="0.25">
      <c r="A472" s="170">
        <v>42698</v>
      </c>
      <c r="B472" s="116">
        <v>1104</v>
      </c>
      <c r="C472" s="116">
        <v>1093.25</v>
      </c>
      <c r="D472" s="116">
        <v>1070</v>
      </c>
      <c r="E472" s="116">
        <v>1077.5</v>
      </c>
      <c r="F472" s="116">
        <v>2186.5</v>
      </c>
      <c r="G472">
        <v>264532</v>
      </c>
      <c r="H472" s="116"/>
      <c r="I472" s="116"/>
      <c r="L472" s="170">
        <v>42698</v>
      </c>
      <c r="M472" s="116">
        <v>1094.2249999999999</v>
      </c>
      <c r="N472" s="116">
        <v>1103.8</v>
      </c>
      <c r="O472" s="116">
        <v>1068.5</v>
      </c>
      <c r="P472" s="116">
        <v>1077.45</v>
      </c>
      <c r="Q472" s="116">
        <v>2188.4499999999998</v>
      </c>
      <c r="R472">
        <v>1513117</v>
      </c>
    </row>
    <row r="473" spans="1:18" x14ac:dyDescent="0.25">
      <c r="A473" s="170">
        <v>42699</v>
      </c>
      <c r="B473" s="116">
        <v>1155</v>
      </c>
      <c r="C473" s="116">
        <v>1150.425</v>
      </c>
      <c r="D473" s="116">
        <v>1098.05</v>
      </c>
      <c r="E473" s="116">
        <v>1099.9749999999999</v>
      </c>
      <c r="F473" s="116">
        <v>2300.85</v>
      </c>
      <c r="G473">
        <v>153885</v>
      </c>
      <c r="H473" s="116"/>
      <c r="I473" s="116"/>
      <c r="L473" s="170">
        <v>42699</v>
      </c>
      <c r="M473" s="116">
        <v>1150.175</v>
      </c>
      <c r="N473" s="116">
        <v>1153.625</v>
      </c>
      <c r="O473" s="116">
        <v>1096.0999999999999</v>
      </c>
      <c r="P473" s="116">
        <v>1106</v>
      </c>
      <c r="Q473" s="116">
        <v>2300.35</v>
      </c>
      <c r="R473">
        <v>2138074</v>
      </c>
    </row>
    <row r="474" spans="1:18" x14ac:dyDescent="0.25">
      <c r="A474" s="170">
        <v>42702</v>
      </c>
      <c r="B474" s="116">
        <v>1158.8499999999999</v>
      </c>
      <c r="C474" s="116">
        <v>1138.6500000000001</v>
      </c>
      <c r="D474" s="116">
        <v>1127.2</v>
      </c>
      <c r="E474" s="116">
        <v>1150</v>
      </c>
      <c r="F474" s="116">
        <v>2277.3000000000002</v>
      </c>
      <c r="G474">
        <v>64442</v>
      </c>
      <c r="H474" s="116"/>
      <c r="I474" s="116"/>
      <c r="L474" s="170">
        <v>42702</v>
      </c>
      <c r="M474" s="116">
        <v>1141.3</v>
      </c>
      <c r="N474" s="116">
        <v>1159.7249999999999</v>
      </c>
      <c r="O474" s="116">
        <v>1125.95</v>
      </c>
      <c r="P474" s="116">
        <v>1147</v>
      </c>
      <c r="Q474" s="116">
        <v>2282.6</v>
      </c>
      <c r="R474">
        <v>962148</v>
      </c>
    </row>
    <row r="475" spans="1:18" x14ac:dyDescent="0.25">
      <c r="A475" s="170">
        <v>42703</v>
      </c>
      <c r="B475" s="116">
        <v>1145.125</v>
      </c>
      <c r="C475" s="116">
        <v>1129.2</v>
      </c>
      <c r="D475" s="116">
        <v>1125.675</v>
      </c>
      <c r="E475" s="116">
        <v>1140.25</v>
      </c>
      <c r="F475" s="116">
        <v>2258.4</v>
      </c>
      <c r="G475">
        <v>35405</v>
      </c>
      <c r="H475" s="116"/>
      <c r="I475" s="116"/>
      <c r="L475" s="170">
        <v>42703</v>
      </c>
      <c r="M475" s="116">
        <v>1129.925</v>
      </c>
      <c r="N475" s="116">
        <v>1146</v>
      </c>
      <c r="O475" s="116">
        <v>1126.2750000000001</v>
      </c>
      <c r="P475" s="116">
        <v>1137.5</v>
      </c>
      <c r="Q475" s="116">
        <v>2259.85</v>
      </c>
      <c r="R475">
        <v>721148</v>
      </c>
    </row>
    <row r="476" spans="1:18" x14ac:dyDescent="0.25">
      <c r="A476" s="170">
        <v>42704</v>
      </c>
      <c r="B476" s="116">
        <v>1147.5</v>
      </c>
      <c r="C476" s="116">
        <v>1138.375</v>
      </c>
      <c r="D476" s="116">
        <v>1122.0250000000001</v>
      </c>
      <c r="E476" s="116">
        <v>1131.25</v>
      </c>
      <c r="F476" s="116">
        <v>2276.75</v>
      </c>
      <c r="G476">
        <v>48142</v>
      </c>
      <c r="H476" s="116"/>
      <c r="I476" s="116"/>
      <c r="L476" s="170">
        <v>42704</v>
      </c>
      <c r="M476" s="116">
        <v>1138.0250000000001</v>
      </c>
      <c r="N476" s="116">
        <v>1147.375</v>
      </c>
      <c r="O476" s="116">
        <v>1121.1500000000001</v>
      </c>
      <c r="P476" s="116">
        <v>1132.5</v>
      </c>
      <c r="Q476" s="116">
        <v>2276.0500000000002</v>
      </c>
      <c r="R476">
        <v>1722916</v>
      </c>
    </row>
    <row r="477" spans="1:18" x14ac:dyDescent="0.25">
      <c r="A477" s="170">
        <v>42705</v>
      </c>
      <c r="B477" s="116">
        <v>1145</v>
      </c>
      <c r="C477" s="116">
        <v>1133.2249999999999</v>
      </c>
      <c r="D477" s="116">
        <v>1128.325</v>
      </c>
      <c r="E477" s="116">
        <v>1145</v>
      </c>
      <c r="F477" s="116">
        <v>2266.4499999999998</v>
      </c>
      <c r="G477">
        <v>34459</v>
      </c>
      <c r="H477" s="116"/>
      <c r="I477" s="116"/>
      <c r="L477" s="170">
        <v>42705</v>
      </c>
      <c r="M477" s="116">
        <v>1131.7249999999999</v>
      </c>
      <c r="N477" s="116">
        <v>1145</v>
      </c>
      <c r="O477" s="116">
        <v>1127.0250000000001</v>
      </c>
      <c r="P477" s="116">
        <v>1138.5</v>
      </c>
      <c r="Q477" s="116">
        <v>2263.4499999999998</v>
      </c>
      <c r="R477">
        <v>561526</v>
      </c>
    </row>
    <row r="478" spans="1:18" x14ac:dyDescent="0.25">
      <c r="A478" s="170">
        <v>42706</v>
      </c>
      <c r="B478" s="116">
        <v>1134.95</v>
      </c>
      <c r="C478" s="116">
        <v>1111.95</v>
      </c>
      <c r="D478" s="116">
        <v>1104</v>
      </c>
      <c r="E478" s="116">
        <v>1132.5</v>
      </c>
      <c r="F478" s="116">
        <v>2223.9</v>
      </c>
      <c r="G478">
        <v>40612</v>
      </c>
      <c r="H478" s="116"/>
      <c r="I478" s="116"/>
      <c r="L478" s="170">
        <v>42706</v>
      </c>
      <c r="M478" s="116">
        <v>1110.925</v>
      </c>
      <c r="N478" s="116">
        <v>1135.4000000000001</v>
      </c>
      <c r="O478" s="116">
        <v>1102.5999999999999</v>
      </c>
      <c r="P478" s="116">
        <v>1129</v>
      </c>
      <c r="Q478" s="116">
        <v>2221.85</v>
      </c>
      <c r="R478">
        <v>999016</v>
      </c>
    </row>
    <row r="479" spans="1:18" x14ac:dyDescent="0.25">
      <c r="A479" s="170">
        <v>42709</v>
      </c>
      <c r="B479" s="116">
        <v>1117.575</v>
      </c>
      <c r="C479" s="116">
        <v>1093.2249999999999</v>
      </c>
      <c r="D479" s="116">
        <v>1086.5</v>
      </c>
      <c r="E479" s="116">
        <v>1110.5</v>
      </c>
      <c r="F479" s="116">
        <v>2186.4499999999998</v>
      </c>
      <c r="G479">
        <v>37983</v>
      </c>
      <c r="H479" s="116"/>
      <c r="I479" s="116"/>
      <c r="L479" s="170">
        <v>42709</v>
      </c>
      <c r="M479" s="116">
        <v>1093</v>
      </c>
      <c r="N479" s="116">
        <v>1118.925</v>
      </c>
      <c r="O479" s="116">
        <v>1085</v>
      </c>
      <c r="P479" s="116">
        <v>1114.5</v>
      </c>
      <c r="Q479" s="116">
        <v>2186</v>
      </c>
      <c r="R479">
        <v>1124763</v>
      </c>
    </row>
    <row r="480" spans="1:18" x14ac:dyDescent="0.25">
      <c r="A480" s="170">
        <v>42710</v>
      </c>
      <c r="B480" s="116">
        <v>1102</v>
      </c>
      <c r="C480" s="116">
        <v>1095.2249999999999</v>
      </c>
      <c r="D480" s="116">
        <v>1088.5</v>
      </c>
      <c r="E480" s="116">
        <v>1097.5</v>
      </c>
      <c r="F480" s="116">
        <v>2190.4499999999998</v>
      </c>
      <c r="G480">
        <v>45754</v>
      </c>
      <c r="H480" s="116"/>
      <c r="I480" s="116"/>
      <c r="L480" s="170">
        <v>42710</v>
      </c>
      <c r="M480" s="116">
        <v>1091.175</v>
      </c>
      <c r="N480" s="116">
        <v>1101.9749999999999</v>
      </c>
      <c r="O480" s="116">
        <v>1084.95</v>
      </c>
      <c r="P480" s="116">
        <v>1095</v>
      </c>
      <c r="Q480" s="116">
        <v>2182.35</v>
      </c>
      <c r="R480">
        <v>796722</v>
      </c>
    </row>
    <row r="481" spans="1:18" x14ac:dyDescent="0.25">
      <c r="A481" s="170">
        <v>42711</v>
      </c>
      <c r="B481" s="116">
        <v>1095</v>
      </c>
      <c r="C481" s="116">
        <v>1079.0999999999999</v>
      </c>
      <c r="D481" s="116">
        <v>1075.5</v>
      </c>
      <c r="E481" s="116">
        <v>1095</v>
      </c>
      <c r="F481" s="116">
        <v>2158.1999999999998</v>
      </c>
      <c r="G481">
        <v>66096</v>
      </c>
      <c r="H481" s="116"/>
      <c r="I481" s="116"/>
      <c r="L481" s="170">
        <v>42711</v>
      </c>
      <c r="M481" s="116">
        <v>1077.2750000000001</v>
      </c>
      <c r="N481" s="116">
        <v>1092.2249999999999</v>
      </c>
      <c r="O481" s="116">
        <v>1072.825</v>
      </c>
      <c r="P481" s="116">
        <v>1091.0999999999999</v>
      </c>
      <c r="Q481" s="116">
        <v>2154.5500000000002</v>
      </c>
      <c r="R481">
        <v>1032853</v>
      </c>
    </row>
    <row r="482" spans="1:18" x14ac:dyDescent="0.25">
      <c r="A482" s="170">
        <v>42712</v>
      </c>
      <c r="B482" s="116">
        <v>1100</v>
      </c>
      <c r="C482" s="116">
        <v>1098.45</v>
      </c>
      <c r="D482" s="116">
        <v>1080</v>
      </c>
      <c r="E482" s="116">
        <v>1080</v>
      </c>
      <c r="F482" s="116">
        <v>2196.9</v>
      </c>
      <c r="G482">
        <v>62747</v>
      </c>
      <c r="H482" s="116"/>
      <c r="I482" s="116"/>
      <c r="L482" s="170">
        <v>42712</v>
      </c>
      <c r="M482" s="116">
        <v>1097.875</v>
      </c>
      <c r="N482" s="116">
        <v>1099.5</v>
      </c>
      <c r="O482" s="116">
        <v>1080</v>
      </c>
      <c r="P482" s="116">
        <v>1080.25</v>
      </c>
      <c r="Q482" s="116">
        <v>2195.75</v>
      </c>
      <c r="R482">
        <v>1619773</v>
      </c>
    </row>
    <row r="483" spans="1:18" x14ac:dyDescent="0.25">
      <c r="A483" s="170">
        <v>42713</v>
      </c>
      <c r="B483" s="116">
        <v>1110.4749999999999</v>
      </c>
      <c r="C483" s="116">
        <v>1096.7249999999999</v>
      </c>
      <c r="D483" s="116">
        <v>1087.5</v>
      </c>
      <c r="E483" s="116">
        <v>1100.7750000000001</v>
      </c>
      <c r="F483" s="116">
        <v>2193.4499999999998</v>
      </c>
      <c r="G483">
        <v>53142</v>
      </c>
      <c r="H483" s="116"/>
      <c r="I483" s="116"/>
      <c r="L483" s="170">
        <v>42713</v>
      </c>
      <c r="M483" s="116">
        <v>1097.625</v>
      </c>
      <c r="N483" s="116">
        <v>1109.95</v>
      </c>
      <c r="O483" s="116">
        <v>1086.6500000000001</v>
      </c>
      <c r="P483" s="116">
        <v>1102.5</v>
      </c>
      <c r="Q483" s="116">
        <v>2195.25</v>
      </c>
      <c r="R483">
        <v>794359</v>
      </c>
    </row>
    <row r="484" spans="1:18" x14ac:dyDescent="0.25">
      <c r="A484" s="170">
        <v>42716</v>
      </c>
      <c r="B484" s="116">
        <v>1107.75</v>
      </c>
      <c r="C484" s="116">
        <v>1103.125</v>
      </c>
      <c r="D484" s="116">
        <v>1083</v>
      </c>
      <c r="E484" s="116">
        <v>1097.5</v>
      </c>
      <c r="F484" s="116">
        <v>2206.25</v>
      </c>
      <c r="G484">
        <v>217687</v>
      </c>
      <c r="H484" s="116"/>
      <c r="I484" s="116"/>
      <c r="L484" s="170">
        <v>42716</v>
      </c>
      <c r="M484" s="116">
        <v>1104.0999999999999</v>
      </c>
      <c r="N484" s="116">
        <v>1108.8</v>
      </c>
      <c r="O484" s="116">
        <v>1081.5</v>
      </c>
      <c r="P484" s="116">
        <v>1097.4000000000001</v>
      </c>
      <c r="Q484" s="116">
        <v>2208.1999999999998</v>
      </c>
      <c r="R484">
        <v>655879</v>
      </c>
    </row>
    <row r="485" spans="1:18" x14ac:dyDescent="0.25">
      <c r="A485" s="170">
        <v>42717</v>
      </c>
      <c r="B485" s="116">
        <v>1122</v>
      </c>
      <c r="C485" s="116">
        <v>1100.425</v>
      </c>
      <c r="D485" s="116">
        <v>1092.5</v>
      </c>
      <c r="E485" s="116">
        <v>1122</v>
      </c>
      <c r="F485" s="116">
        <v>2200.85</v>
      </c>
      <c r="G485">
        <v>40748</v>
      </c>
      <c r="H485" s="116"/>
      <c r="I485" s="116"/>
      <c r="L485" s="170">
        <v>42717</v>
      </c>
      <c r="M485" s="116">
        <v>1100.1500000000001</v>
      </c>
      <c r="N485" s="116">
        <v>1109</v>
      </c>
      <c r="O485" s="116">
        <v>1091.5</v>
      </c>
      <c r="P485" s="116">
        <v>1109</v>
      </c>
      <c r="Q485" s="116">
        <v>2200.3000000000002</v>
      </c>
      <c r="R485">
        <v>1073767</v>
      </c>
    </row>
    <row r="486" spans="1:18" x14ac:dyDescent="0.25">
      <c r="A486" s="170">
        <v>42718</v>
      </c>
      <c r="B486" s="116">
        <v>1111.5</v>
      </c>
      <c r="C486" s="116">
        <v>1103.95</v>
      </c>
      <c r="D486" s="116">
        <v>1095</v>
      </c>
      <c r="E486" s="116">
        <v>1101</v>
      </c>
      <c r="F486" s="116">
        <v>2207.9</v>
      </c>
      <c r="G486">
        <v>56252</v>
      </c>
      <c r="H486" s="116"/>
      <c r="I486" s="116"/>
      <c r="L486" s="170">
        <v>42718</v>
      </c>
      <c r="M486" s="116">
        <v>1103.8</v>
      </c>
      <c r="N486" s="116">
        <v>1112.3499999999999</v>
      </c>
      <c r="O486" s="116">
        <v>1094.5</v>
      </c>
      <c r="P486" s="116">
        <v>1107</v>
      </c>
      <c r="Q486" s="116">
        <v>2207.6</v>
      </c>
      <c r="R486">
        <v>935183</v>
      </c>
    </row>
    <row r="487" spans="1:18" x14ac:dyDescent="0.25">
      <c r="A487" s="170">
        <v>42719</v>
      </c>
      <c r="B487" s="116">
        <v>1135.75</v>
      </c>
      <c r="C487" s="116">
        <v>1129.75</v>
      </c>
      <c r="D487" s="116">
        <v>1100.2750000000001</v>
      </c>
      <c r="E487" s="116">
        <v>1103.95</v>
      </c>
      <c r="F487" s="116">
        <v>2259.5</v>
      </c>
      <c r="G487">
        <v>106151</v>
      </c>
      <c r="H487" s="116"/>
      <c r="I487" s="116"/>
      <c r="L487" s="170">
        <v>42719</v>
      </c>
      <c r="M487" s="116">
        <v>1129.6500000000001</v>
      </c>
      <c r="N487" s="116">
        <v>1136.05</v>
      </c>
      <c r="O487" s="116">
        <v>1101</v>
      </c>
      <c r="P487" s="116">
        <v>1101</v>
      </c>
      <c r="Q487" s="116">
        <v>2259.3000000000002</v>
      </c>
      <c r="R487">
        <v>2147705</v>
      </c>
    </row>
    <row r="488" spans="1:18" x14ac:dyDescent="0.25">
      <c r="A488" s="170">
        <v>42720</v>
      </c>
      <c r="B488" s="116">
        <v>1143</v>
      </c>
      <c r="C488" s="116">
        <v>1140.875</v>
      </c>
      <c r="D488" s="116">
        <v>1128.8</v>
      </c>
      <c r="E488" s="116">
        <v>1135.05</v>
      </c>
      <c r="F488" s="116">
        <v>2281.75</v>
      </c>
      <c r="G488">
        <v>44648</v>
      </c>
      <c r="H488" s="116"/>
      <c r="I488" s="116"/>
      <c r="L488" s="170">
        <v>42720</v>
      </c>
      <c r="M488" s="116">
        <v>1141.325</v>
      </c>
      <c r="N488" s="116">
        <v>1145</v>
      </c>
      <c r="O488" s="116">
        <v>1126</v>
      </c>
      <c r="P488" s="116">
        <v>1138.5</v>
      </c>
      <c r="Q488" s="116">
        <v>2282.65</v>
      </c>
      <c r="R488">
        <v>993615</v>
      </c>
    </row>
    <row r="489" spans="1:18" x14ac:dyDescent="0.25">
      <c r="A489" s="170">
        <v>42723</v>
      </c>
      <c r="B489" s="116">
        <v>1148.0250000000001</v>
      </c>
      <c r="C489" s="116">
        <v>1143.75</v>
      </c>
      <c r="D489" s="116">
        <v>1131.45</v>
      </c>
      <c r="E489" s="116">
        <v>1144</v>
      </c>
      <c r="F489" s="116">
        <v>2287.5</v>
      </c>
      <c r="G489">
        <v>27513</v>
      </c>
      <c r="H489" s="116"/>
      <c r="I489" s="116"/>
      <c r="L489" s="170">
        <v>42723</v>
      </c>
      <c r="M489" s="116">
        <v>1144.45</v>
      </c>
      <c r="N489" s="116">
        <v>1148.8499999999999</v>
      </c>
      <c r="O489" s="116">
        <v>1130.6500000000001</v>
      </c>
      <c r="P489" s="116">
        <v>1140</v>
      </c>
      <c r="Q489" s="116">
        <v>2288.9</v>
      </c>
      <c r="R489">
        <v>667105</v>
      </c>
    </row>
    <row r="490" spans="1:18" x14ac:dyDescent="0.25">
      <c r="A490" s="170">
        <v>42724</v>
      </c>
      <c r="B490" s="116">
        <v>1172</v>
      </c>
      <c r="C490" s="116">
        <v>1168.875</v>
      </c>
      <c r="D490" s="116">
        <v>1143.7249999999999</v>
      </c>
      <c r="E490" s="116">
        <v>1145</v>
      </c>
      <c r="F490" s="116">
        <v>2337.75</v>
      </c>
      <c r="G490">
        <v>64670</v>
      </c>
      <c r="H490" s="116"/>
      <c r="I490" s="116"/>
      <c r="L490" s="170">
        <v>42724</v>
      </c>
      <c r="M490" s="116">
        <v>1169.6500000000001</v>
      </c>
      <c r="N490" s="116">
        <v>1172.5</v>
      </c>
      <c r="O490" s="116">
        <v>1143.5250000000001</v>
      </c>
      <c r="P490" s="116">
        <v>1146</v>
      </c>
      <c r="Q490" s="116">
        <v>2339.3000000000002</v>
      </c>
      <c r="R490">
        <v>1461380</v>
      </c>
    </row>
    <row r="491" spans="1:18" x14ac:dyDescent="0.25">
      <c r="A491" s="170">
        <v>42725</v>
      </c>
      <c r="B491" s="116">
        <v>1172.5</v>
      </c>
      <c r="C491" s="116">
        <v>1156.375</v>
      </c>
      <c r="D491" s="116">
        <v>1152.5</v>
      </c>
      <c r="E491" s="116">
        <v>1172.5</v>
      </c>
      <c r="F491" s="116">
        <v>2312.75</v>
      </c>
      <c r="G491">
        <v>31711</v>
      </c>
      <c r="H491" s="116"/>
      <c r="I491" s="116"/>
      <c r="L491" s="170">
        <v>42725</v>
      </c>
      <c r="M491" s="116">
        <v>1156.8</v>
      </c>
      <c r="N491" s="116">
        <v>1171.9000000000001</v>
      </c>
      <c r="O491" s="116">
        <v>1152.8</v>
      </c>
      <c r="P491" s="116">
        <v>1171.9000000000001</v>
      </c>
      <c r="Q491" s="116">
        <v>2313.6</v>
      </c>
      <c r="R491">
        <v>1017451</v>
      </c>
    </row>
    <row r="492" spans="1:18" x14ac:dyDescent="0.25">
      <c r="A492" s="170">
        <v>42726</v>
      </c>
      <c r="B492" s="116">
        <v>1162.3499999999999</v>
      </c>
      <c r="C492" s="116">
        <v>1154.925</v>
      </c>
      <c r="D492" s="116">
        <v>1143</v>
      </c>
      <c r="E492" s="116">
        <v>1156.375</v>
      </c>
      <c r="F492" s="116">
        <v>2309.85</v>
      </c>
      <c r="G492">
        <v>42989</v>
      </c>
      <c r="H492" s="116"/>
      <c r="I492" s="116"/>
      <c r="L492" s="170">
        <v>42726</v>
      </c>
      <c r="M492" s="116">
        <v>1153.8499999999999</v>
      </c>
      <c r="N492" s="116">
        <v>1162.5</v>
      </c>
      <c r="O492" s="116">
        <v>1143.0999999999999</v>
      </c>
      <c r="P492" s="116">
        <v>1153</v>
      </c>
      <c r="Q492" s="116">
        <v>2307.6999999999998</v>
      </c>
      <c r="R492">
        <v>934150</v>
      </c>
    </row>
    <row r="493" spans="1:18" x14ac:dyDescent="0.25">
      <c r="A493" s="170">
        <v>42727</v>
      </c>
      <c r="B493" s="116">
        <v>1157.8499999999999</v>
      </c>
      <c r="C493" s="116">
        <v>1145.0999999999999</v>
      </c>
      <c r="D493" s="116">
        <v>1140</v>
      </c>
      <c r="E493" s="116">
        <v>1154.5</v>
      </c>
      <c r="F493" s="116">
        <v>2290.1999999999998</v>
      </c>
      <c r="G493">
        <v>28276</v>
      </c>
      <c r="H493" s="116"/>
      <c r="I493" s="116"/>
      <c r="L493" s="170">
        <v>42727</v>
      </c>
      <c r="M493" s="116">
        <v>1144.05</v>
      </c>
      <c r="N493" s="116">
        <v>1158.875</v>
      </c>
      <c r="O493" s="116">
        <v>1139.4000000000001</v>
      </c>
      <c r="P493" s="116">
        <v>1150</v>
      </c>
      <c r="Q493" s="116">
        <v>2288.1</v>
      </c>
      <c r="R493">
        <v>559477</v>
      </c>
    </row>
    <row r="494" spans="1:18" x14ac:dyDescent="0.25">
      <c r="A494" s="170">
        <v>42730</v>
      </c>
      <c r="B494" s="116">
        <v>1150</v>
      </c>
      <c r="C494" s="116">
        <v>1146.05</v>
      </c>
      <c r="D494" s="116">
        <v>1136.25</v>
      </c>
      <c r="E494" s="116">
        <v>1140</v>
      </c>
      <c r="F494" s="116">
        <v>2292.1</v>
      </c>
      <c r="G494">
        <v>30731</v>
      </c>
      <c r="H494" s="116"/>
      <c r="I494" s="116"/>
      <c r="L494" s="170">
        <v>42730</v>
      </c>
      <c r="M494" s="116">
        <v>1146.55</v>
      </c>
      <c r="N494" s="116">
        <v>1150.8</v>
      </c>
      <c r="O494" s="116">
        <v>1133</v>
      </c>
      <c r="P494" s="116">
        <v>1133</v>
      </c>
      <c r="Q494" s="116">
        <v>2293.1</v>
      </c>
      <c r="R494">
        <v>448704</v>
      </c>
    </row>
    <row r="495" spans="1:18" x14ac:dyDescent="0.25">
      <c r="A495" s="170">
        <v>42731</v>
      </c>
      <c r="B495" s="116">
        <v>1164.5</v>
      </c>
      <c r="C495" s="116">
        <v>1160.925</v>
      </c>
      <c r="D495" s="116">
        <v>1144.425</v>
      </c>
      <c r="E495" s="116">
        <v>1145</v>
      </c>
      <c r="F495" s="116">
        <v>2321.85</v>
      </c>
      <c r="G495">
        <v>31085</v>
      </c>
      <c r="H495" s="116"/>
      <c r="I495" s="116"/>
      <c r="L495" s="170">
        <v>42731</v>
      </c>
      <c r="M495" s="116">
        <v>1161.7</v>
      </c>
      <c r="N495" s="116">
        <v>1165</v>
      </c>
      <c r="O495" s="116">
        <v>1140.75</v>
      </c>
      <c r="P495" s="116">
        <v>1140.75</v>
      </c>
      <c r="Q495" s="116">
        <v>2323.4</v>
      </c>
      <c r="R495">
        <v>647346</v>
      </c>
    </row>
    <row r="496" spans="1:18" x14ac:dyDescent="0.25">
      <c r="A496" s="170">
        <v>42732</v>
      </c>
      <c r="B496" s="116">
        <v>1174.5</v>
      </c>
      <c r="C496" s="116">
        <v>1157.9000000000001</v>
      </c>
      <c r="D496" s="116">
        <v>1154.0250000000001</v>
      </c>
      <c r="E496" s="116">
        <v>1162.5</v>
      </c>
      <c r="F496" s="116">
        <v>2315.8000000000002</v>
      </c>
      <c r="G496">
        <v>33696</v>
      </c>
      <c r="H496" s="116"/>
      <c r="I496" s="116"/>
      <c r="L496" s="170">
        <v>42732</v>
      </c>
      <c r="M496" s="116">
        <v>1156.7</v>
      </c>
      <c r="N496" s="116">
        <v>1174.95</v>
      </c>
      <c r="O496" s="116">
        <v>1151.575</v>
      </c>
      <c r="P496" s="116">
        <v>1163.3499999999999</v>
      </c>
      <c r="Q496" s="116">
        <v>2313.4</v>
      </c>
      <c r="R496">
        <v>675209</v>
      </c>
    </row>
    <row r="497" spans="1:18" x14ac:dyDescent="0.25">
      <c r="A497" s="170">
        <v>42733</v>
      </c>
      <c r="B497" s="116">
        <v>1177.5</v>
      </c>
      <c r="C497" s="116">
        <v>1175.375</v>
      </c>
      <c r="D497" s="116">
        <v>1152.45</v>
      </c>
      <c r="E497" s="116">
        <v>1152.45</v>
      </c>
      <c r="F497" s="116">
        <v>2350.75</v>
      </c>
      <c r="G497">
        <v>41571</v>
      </c>
      <c r="H497" s="116"/>
      <c r="I497" s="116"/>
      <c r="L497" s="170">
        <v>42733</v>
      </c>
      <c r="M497" s="116">
        <v>1175.8499999999999</v>
      </c>
      <c r="N497" s="116">
        <v>1179.95</v>
      </c>
      <c r="O497" s="116">
        <v>1151.5</v>
      </c>
      <c r="P497" s="116">
        <v>1151.5</v>
      </c>
      <c r="Q497" s="116">
        <v>2351.6999999999998</v>
      </c>
      <c r="R497">
        <v>981758</v>
      </c>
    </row>
    <row r="498" spans="1:18" x14ac:dyDescent="0.25">
      <c r="A498" s="170">
        <v>42734</v>
      </c>
      <c r="B498" s="116">
        <v>1187.95</v>
      </c>
      <c r="C498" s="116">
        <v>1180.9749999999999</v>
      </c>
      <c r="D498" s="116">
        <v>1175.95</v>
      </c>
      <c r="E498" s="116">
        <v>1175.95</v>
      </c>
      <c r="F498" s="116">
        <v>2361.9499999999998</v>
      </c>
      <c r="G498">
        <v>41479</v>
      </c>
      <c r="H498" s="116"/>
      <c r="I498" s="116"/>
      <c r="L498" s="170">
        <v>42734</v>
      </c>
      <c r="M498" s="116">
        <v>1182.7750000000001</v>
      </c>
      <c r="N498" s="116">
        <v>1189.3</v>
      </c>
      <c r="O498" s="116">
        <v>1172.825</v>
      </c>
      <c r="P498" s="116">
        <v>1177.45</v>
      </c>
      <c r="Q498" s="116">
        <v>2365.5500000000002</v>
      </c>
      <c r="R498">
        <v>702874</v>
      </c>
    </row>
    <row r="499" spans="1:18" x14ac:dyDescent="0.25">
      <c r="A499" s="170">
        <v>42737</v>
      </c>
      <c r="B499" s="116">
        <v>1187.5</v>
      </c>
      <c r="C499" s="116">
        <v>1179.5250000000001</v>
      </c>
      <c r="D499" s="116">
        <v>1176.45</v>
      </c>
      <c r="E499" s="116">
        <v>1182.5</v>
      </c>
      <c r="F499" s="116">
        <v>2359.0500000000002</v>
      </c>
      <c r="G499">
        <v>25130</v>
      </c>
      <c r="H499" s="116"/>
      <c r="I499" s="116"/>
      <c r="L499" s="170">
        <v>42737</v>
      </c>
      <c r="M499" s="116">
        <v>1180.675</v>
      </c>
      <c r="N499" s="116">
        <v>1187.55</v>
      </c>
      <c r="O499" s="116">
        <v>1176.2</v>
      </c>
      <c r="P499" s="116">
        <v>1183.3</v>
      </c>
      <c r="Q499" s="116">
        <v>2361.35</v>
      </c>
      <c r="R499">
        <v>411566</v>
      </c>
    </row>
    <row r="500" spans="1:18" x14ac:dyDescent="0.25">
      <c r="A500" s="170">
        <v>42738</v>
      </c>
      <c r="B500" s="116">
        <v>1185.675</v>
      </c>
      <c r="C500" s="116">
        <v>1184.25</v>
      </c>
      <c r="D500" s="116">
        <v>1172.0250000000001</v>
      </c>
      <c r="E500" s="116">
        <v>1180.5</v>
      </c>
      <c r="F500" s="116">
        <v>2368.5</v>
      </c>
      <c r="G500">
        <v>49246</v>
      </c>
      <c r="H500" s="116"/>
      <c r="I500" s="116"/>
      <c r="L500" s="170">
        <v>42738</v>
      </c>
      <c r="M500" s="116">
        <v>1184.125</v>
      </c>
      <c r="N500" s="116">
        <v>1185.8499999999999</v>
      </c>
      <c r="O500" s="116">
        <v>1171.6500000000001</v>
      </c>
      <c r="P500" s="116">
        <v>1180.625</v>
      </c>
      <c r="Q500" s="116">
        <v>2368.25</v>
      </c>
      <c r="R500">
        <v>737662</v>
      </c>
    </row>
    <row r="501" spans="1:18" x14ac:dyDescent="0.25">
      <c r="A501" s="170">
        <v>42739</v>
      </c>
      <c r="B501" s="116">
        <v>1193</v>
      </c>
      <c r="C501" s="116">
        <v>1189.2750000000001</v>
      </c>
      <c r="D501" s="116">
        <v>1179.25</v>
      </c>
      <c r="E501" s="116">
        <v>1184.55</v>
      </c>
      <c r="F501" s="116">
        <v>2378.5500000000002</v>
      </c>
      <c r="G501">
        <v>25671</v>
      </c>
      <c r="H501" s="116"/>
      <c r="I501" s="116"/>
      <c r="L501" s="170">
        <v>42739</v>
      </c>
      <c r="M501" s="116">
        <v>1189.75</v>
      </c>
      <c r="N501" s="116">
        <v>1194.425</v>
      </c>
      <c r="O501" s="116">
        <v>1179.1500000000001</v>
      </c>
      <c r="P501" s="116">
        <v>1184.8499999999999</v>
      </c>
      <c r="Q501" s="116">
        <v>2379.5</v>
      </c>
      <c r="R501">
        <v>710033</v>
      </c>
    </row>
    <row r="502" spans="1:18" x14ac:dyDescent="0.25">
      <c r="A502" s="170">
        <v>42740</v>
      </c>
      <c r="B502" s="116">
        <v>1193.5</v>
      </c>
      <c r="C502" s="116">
        <v>1167.2750000000001</v>
      </c>
      <c r="D502" s="116">
        <v>1162.5</v>
      </c>
      <c r="E502" s="116">
        <v>1189.2750000000001</v>
      </c>
      <c r="F502" s="116">
        <v>2334.5500000000002</v>
      </c>
      <c r="G502">
        <v>58559</v>
      </c>
      <c r="H502" s="116"/>
      <c r="I502" s="116"/>
      <c r="L502" s="170">
        <v>42740</v>
      </c>
      <c r="M502" s="116">
        <v>1167.2</v>
      </c>
      <c r="N502" s="116">
        <v>1194.9749999999999</v>
      </c>
      <c r="O502" s="116">
        <v>1160.2</v>
      </c>
      <c r="P502" s="116">
        <v>1192</v>
      </c>
      <c r="Q502" s="116">
        <v>2334.4</v>
      </c>
      <c r="R502">
        <v>1108202</v>
      </c>
    </row>
    <row r="503" spans="1:18" x14ac:dyDescent="0.25">
      <c r="A503" s="170">
        <v>42741</v>
      </c>
      <c r="B503" s="116">
        <v>1164.9000000000001</v>
      </c>
      <c r="C503" s="116">
        <v>1141.8</v>
      </c>
      <c r="D503" s="116">
        <v>1128.5</v>
      </c>
      <c r="E503" s="116">
        <v>1160</v>
      </c>
      <c r="F503" s="116">
        <v>2283.6</v>
      </c>
      <c r="G503">
        <v>264484</v>
      </c>
      <c r="H503" s="116"/>
      <c r="I503" s="116"/>
      <c r="L503" s="170">
        <v>42741</v>
      </c>
      <c r="M503" s="116">
        <v>1140.7</v>
      </c>
      <c r="N503" s="116">
        <v>1164.675</v>
      </c>
      <c r="O503" s="116">
        <v>1128.55</v>
      </c>
      <c r="P503" s="116">
        <v>1160.5</v>
      </c>
      <c r="Q503" s="116">
        <v>2281.4</v>
      </c>
      <c r="R503">
        <v>1504948</v>
      </c>
    </row>
    <row r="504" spans="1:18" x14ac:dyDescent="0.25">
      <c r="A504" s="170">
        <v>42744</v>
      </c>
      <c r="B504" s="116">
        <v>1155</v>
      </c>
      <c r="C504" s="116">
        <v>1151.875</v>
      </c>
      <c r="D504" s="116">
        <v>1128.5250000000001</v>
      </c>
      <c r="E504" s="116">
        <v>1144</v>
      </c>
      <c r="F504" s="116">
        <v>2303.75</v>
      </c>
      <c r="G504">
        <v>40435</v>
      </c>
      <c r="H504" s="116"/>
      <c r="I504" s="116"/>
      <c r="L504" s="170">
        <v>42744</v>
      </c>
      <c r="M504" s="116">
        <v>1151.8499999999999</v>
      </c>
      <c r="N504" s="116">
        <v>1155.6500000000001</v>
      </c>
      <c r="O504" s="116">
        <v>1128.5</v>
      </c>
      <c r="P504" s="116">
        <v>1137.5</v>
      </c>
      <c r="Q504" s="116">
        <v>2303.6999999999998</v>
      </c>
      <c r="R504">
        <v>927289</v>
      </c>
    </row>
    <row r="505" spans="1:18" x14ac:dyDescent="0.25">
      <c r="A505" s="170">
        <v>42745</v>
      </c>
      <c r="B505" s="116">
        <v>1164.1500000000001</v>
      </c>
      <c r="C505" s="116">
        <v>1157.7249999999999</v>
      </c>
      <c r="D505" s="116">
        <v>1144.5</v>
      </c>
      <c r="E505" s="116">
        <v>1159.5</v>
      </c>
      <c r="F505" s="116">
        <v>2315.4499999999998</v>
      </c>
      <c r="G505">
        <v>106618</v>
      </c>
      <c r="H505" s="116"/>
      <c r="I505" s="116"/>
      <c r="L505" s="170">
        <v>42745</v>
      </c>
      <c r="M505" s="116">
        <v>1157.675</v>
      </c>
      <c r="N505" s="116">
        <v>1164.9000000000001</v>
      </c>
      <c r="O505" s="116">
        <v>1145.75</v>
      </c>
      <c r="P505" s="116">
        <v>1152</v>
      </c>
      <c r="Q505" s="116">
        <v>2315.35</v>
      </c>
      <c r="R505">
        <v>766957</v>
      </c>
    </row>
    <row r="506" spans="1:18" x14ac:dyDescent="0.25">
      <c r="A506" s="170">
        <v>42746</v>
      </c>
      <c r="B506" s="116">
        <v>1164</v>
      </c>
      <c r="C506" s="116">
        <v>1161.5250000000001</v>
      </c>
      <c r="D506" s="116">
        <v>1141</v>
      </c>
      <c r="E506" s="116">
        <v>1157.7249999999999</v>
      </c>
      <c r="F506" s="116">
        <v>2323.0500000000002</v>
      </c>
      <c r="G506">
        <v>47233</v>
      </c>
      <c r="H506" s="116"/>
      <c r="I506" s="116"/>
      <c r="L506" s="170">
        <v>42746</v>
      </c>
      <c r="M506" s="116">
        <v>1162.2</v>
      </c>
      <c r="N506" s="116">
        <v>1164.8</v>
      </c>
      <c r="O506" s="116">
        <v>1140.0999999999999</v>
      </c>
      <c r="P506" s="116">
        <v>1157.5</v>
      </c>
      <c r="Q506" s="116">
        <v>2324.4</v>
      </c>
      <c r="R506">
        <v>965648</v>
      </c>
    </row>
    <row r="507" spans="1:18" x14ac:dyDescent="0.25">
      <c r="A507" s="170">
        <v>42747</v>
      </c>
      <c r="B507" s="116">
        <v>1179.875</v>
      </c>
      <c r="C507" s="116">
        <v>1171.6500000000001</v>
      </c>
      <c r="D507" s="116">
        <v>1151.5</v>
      </c>
      <c r="E507" s="116">
        <v>1169.95</v>
      </c>
      <c r="F507" s="116">
        <v>2343.3000000000002</v>
      </c>
      <c r="G507">
        <v>107161</v>
      </c>
      <c r="H507" s="116"/>
      <c r="I507" s="116"/>
      <c r="L507" s="170">
        <v>42747</v>
      </c>
      <c r="M507" s="116">
        <v>1172.175</v>
      </c>
      <c r="N507" s="116">
        <v>1180</v>
      </c>
      <c r="O507" s="116">
        <v>1152</v>
      </c>
      <c r="P507" s="116">
        <v>1162.2</v>
      </c>
      <c r="Q507" s="116">
        <v>2344.35</v>
      </c>
      <c r="R507">
        <v>1285187</v>
      </c>
    </row>
    <row r="508" spans="1:18" x14ac:dyDescent="0.25">
      <c r="A508" s="170">
        <v>42748</v>
      </c>
      <c r="B508" s="116">
        <v>1184</v>
      </c>
      <c r="C508" s="116">
        <v>1126</v>
      </c>
      <c r="D508" s="116">
        <v>1120.75</v>
      </c>
      <c r="E508" s="116">
        <v>1175</v>
      </c>
      <c r="F508" s="116">
        <v>2252</v>
      </c>
      <c r="G508">
        <v>456961</v>
      </c>
      <c r="H508" s="116"/>
      <c r="I508" s="116"/>
      <c r="L508" s="170">
        <v>42748</v>
      </c>
      <c r="M508" s="116">
        <v>1124.6500000000001</v>
      </c>
      <c r="N508" s="116">
        <v>1178.9749999999999</v>
      </c>
      <c r="O508" s="116">
        <v>1118.925</v>
      </c>
      <c r="P508" s="116">
        <v>1174</v>
      </c>
      <c r="Q508" s="116">
        <v>2249.3000000000002</v>
      </c>
      <c r="R508">
        <v>5117790</v>
      </c>
    </row>
    <row r="509" spans="1:18" x14ac:dyDescent="0.25">
      <c r="A509" s="170">
        <v>42751</v>
      </c>
      <c r="B509" s="116">
        <v>1136.95</v>
      </c>
      <c r="C509" s="116">
        <v>1129.2750000000001</v>
      </c>
      <c r="D509" s="116">
        <v>1115</v>
      </c>
      <c r="E509" s="116">
        <v>1126</v>
      </c>
      <c r="F509" s="116">
        <v>2258.5500000000002</v>
      </c>
      <c r="G509">
        <v>144740</v>
      </c>
      <c r="H509" s="116"/>
      <c r="I509" s="116"/>
      <c r="L509" s="170">
        <v>42751</v>
      </c>
      <c r="M509" s="116">
        <v>1129.2750000000001</v>
      </c>
      <c r="N509" s="116">
        <v>1136.95</v>
      </c>
      <c r="O509" s="116">
        <v>1114</v>
      </c>
      <c r="P509" s="116">
        <v>1125</v>
      </c>
      <c r="Q509" s="116">
        <v>2258.5500000000002</v>
      </c>
      <c r="R509">
        <v>1682404</v>
      </c>
    </row>
    <row r="510" spans="1:18" x14ac:dyDescent="0.25">
      <c r="A510" s="170">
        <v>42752</v>
      </c>
      <c r="B510" s="116">
        <v>1143.5</v>
      </c>
      <c r="C510" s="116">
        <v>1138.825</v>
      </c>
      <c r="D510" s="116">
        <v>1126.2750000000001</v>
      </c>
      <c r="E510" s="116">
        <v>1130</v>
      </c>
      <c r="F510" s="116">
        <v>2277.65</v>
      </c>
      <c r="G510">
        <v>37969</v>
      </c>
      <c r="H510" s="116"/>
      <c r="I510" s="116"/>
      <c r="L510" s="170">
        <v>42752</v>
      </c>
      <c r="M510" s="116">
        <v>1139.375</v>
      </c>
      <c r="N510" s="116">
        <v>1143.9000000000001</v>
      </c>
      <c r="O510" s="116">
        <v>1126.4000000000001</v>
      </c>
      <c r="P510" s="116">
        <v>1127.45</v>
      </c>
      <c r="Q510" s="116">
        <v>2278.75</v>
      </c>
      <c r="R510">
        <v>1504978</v>
      </c>
    </row>
    <row r="511" spans="1:18" x14ac:dyDescent="0.25">
      <c r="A511" s="170">
        <v>42753</v>
      </c>
      <c r="B511" s="116">
        <v>1148.5</v>
      </c>
      <c r="C511" s="116">
        <v>1147.5</v>
      </c>
      <c r="D511" s="116">
        <v>1133.5</v>
      </c>
      <c r="E511" s="116">
        <v>1142.3</v>
      </c>
      <c r="F511" s="116">
        <v>2295</v>
      </c>
      <c r="G511">
        <v>119113</v>
      </c>
      <c r="H511" s="116"/>
      <c r="I511" s="116"/>
      <c r="L511" s="170">
        <v>42753</v>
      </c>
      <c r="M511" s="116">
        <v>1147.55</v>
      </c>
      <c r="N511" s="116">
        <v>1149</v>
      </c>
      <c r="O511" s="116">
        <v>1132.7249999999999</v>
      </c>
      <c r="P511" s="116">
        <v>1139</v>
      </c>
      <c r="Q511" s="116">
        <v>2295.1</v>
      </c>
      <c r="R511">
        <v>1568287</v>
      </c>
    </row>
    <row r="512" spans="1:18" x14ac:dyDescent="0.25">
      <c r="A512" s="170">
        <v>42754</v>
      </c>
      <c r="B512" s="116">
        <v>1148.5</v>
      </c>
      <c r="C512" s="116">
        <v>1145.1500000000001</v>
      </c>
      <c r="D512" s="116">
        <v>1141.5</v>
      </c>
      <c r="E512" s="116">
        <v>1147.5</v>
      </c>
      <c r="F512" s="116">
        <v>2290.3000000000002</v>
      </c>
      <c r="G512">
        <v>67029</v>
      </c>
      <c r="H512" s="116"/>
      <c r="I512" s="116"/>
      <c r="L512" s="170">
        <v>42754</v>
      </c>
      <c r="M512" s="116">
        <v>1145.5</v>
      </c>
      <c r="N512" s="116">
        <v>1147.575</v>
      </c>
      <c r="O512" s="116">
        <v>1141.4749999999999</v>
      </c>
      <c r="P512" s="116">
        <v>1147.5</v>
      </c>
      <c r="Q512" s="116">
        <v>2291</v>
      </c>
      <c r="R512">
        <v>1125838</v>
      </c>
    </row>
    <row r="513" spans="1:18" x14ac:dyDescent="0.25">
      <c r="A513" s="170">
        <v>42755</v>
      </c>
      <c r="B513" s="116">
        <v>1150</v>
      </c>
      <c r="C513" s="116">
        <v>1143.7249999999999</v>
      </c>
      <c r="D513" s="116">
        <v>1133</v>
      </c>
      <c r="E513" s="116">
        <v>1145.5</v>
      </c>
      <c r="F513" s="116">
        <v>2287.4499999999998</v>
      </c>
      <c r="G513">
        <v>30986</v>
      </c>
      <c r="H513" s="116"/>
      <c r="I513" s="116"/>
      <c r="L513" s="170">
        <v>42755</v>
      </c>
      <c r="M513" s="116">
        <v>1142.675</v>
      </c>
      <c r="N513" s="116">
        <v>1150</v>
      </c>
      <c r="O513" s="116">
        <v>1132.5</v>
      </c>
      <c r="P513" s="116">
        <v>1143.5</v>
      </c>
      <c r="Q513" s="116">
        <v>2285.35</v>
      </c>
      <c r="R513">
        <v>1018623</v>
      </c>
    </row>
    <row r="514" spans="1:18" x14ac:dyDescent="0.25">
      <c r="A514" s="170">
        <v>42758</v>
      </c>
      <c r="B514" s="116">
        <v>1155.5</v>
      </c>
      <c r="C514" s="116">
        <v>1152.8499999999999</v>
      </c>
      <c r="D514" s="116">
        <v>1129.5</v>
      </c>
      <c r="E514" s="116">
        <v>1129.5</v>
      </c>
      <c r="F514" s="116">
        <v>2305.6999999999998</v>
      </c>
      <c r="G514">
        <v>85630</v>
      </c>
      <c r="H514" s="116"/>
      <c r="I514" s="116"/>
      <c r="L514" s="170">
        <v>42758</v>
      </c>
      <c r="M514" s="116">
        <v>1153.3499999999999</v>
      </c>
      <c r="N514" s="116">
        <v>1156.75</v>
      </c>
      <c r="O514" s="116">
        <v>1129.9000000000001</v>
      </c>
      <c r="P514" s="116">
        <v>1132.5</v>
      </c>
      <c r="Q514" s="116">
        <v>2306.6999999999998</v>
      </c>
      <c r="R514">
        <v>1159273</v>
      </c>
    </row>
    <row r="515" spans="1:18" x14ac:dyDescent="0.25">
      <c r="A515" s="170">
        <v>42759</v>
      </c>
      <c r="B515" s="116">
        <v>1162</v>
      </c>
      <c r="C515" s="116">
        <v>1159</v>
      </c>
      <c r="D515" s="116">
        <v>1147.25</v>
      </c>
      <c r="E515" s="116">
        <v>1155</v>
      </c>
      <c r="F515" s="116">
        <v>2318</v>
      </c>
      <c r="G515">
        <v>116887</v>
      </c>
      <c r="H515" s="116"/>
      <c r="I515" s="116"/>
      <c r="L515" s="170">
        <v>42759</v>
      </c>
      <c r="M515" s="116">
        <v>1159.175</v>
      </c>
      <c r="N515" s="116">
        <v>1161.5</v>
      </c>
      <c r="O515" s="116">
        <v>1145</v>
      </c>
      <c r="P515" s="116">
        <v>1152</v>
      </c>
      <c r="Q515" s="116">
        <v>2318.35</v>
      </c>
      <c r="R515">
        <v>1141319</v>
      </c>
    </row>
    <row r="516" spans="1:18" x14ac:dyDescent="0.25">
      <c r="A516" s="170">
        <v>42760</v>
      </c>
      <c r="B516" s="116">
        <v>1179.9749999999999</v>
      </c>
      <c r="C516" s="116">
        <v>1176.3499999999999</v>
      </c>
      <c r="D516" s="116">
        <v>1159</v>
      </c>
      <c r="E516" s="116">
        <v>1159</v>
      </c>
      <c r="F516" s="116">
        <v>2352.6999999999998</v>
      </c>
      <c r="G516">
        <v>57398</v>
      </c>
      <c r="H516" s="116"/>
      <c r="I516" s="116"/>
      <c r="L516" s="170">
        <v>42760</v>
      </c>
      <c r="M516" s="116">
        <v>1176.5</v>
      </c>
      <c r="N516" s="116">
        <v>1180</v>
      </c>
      <c r="O516" s="116">
        <v>1159.0250000000001</v>
      </c>
      <c r="P516" s="116">
        <v>1161.3</v>
      </c>
      <c r="Q516" s="116">
        <v>2353</v>
      </c>
      <c r="R516">
        <v>2055824</v>
      </c>
    </row>
    <row r="517" spans="1:18" x14ac:dyDescent="0.25">
      <c r="A517" s="170">
        <v>42762</v>
      </c>
      <c r="B517" s="116">
        <v>1188.6500000000001</v>
      </c>
      <c r="C517" s="116">
        <v>1179.0250000000001</v>
      </c>
      <c r="D517" s="116">
        <v>1173.75</v>
      </c>
      <c r="E517" s="116">
        <v>1175</v>
      </c>
      <c r="F517" s="116">
        <v>2358.0500000000002</v>
      </c>
      <c r="G517">
        <v>44868</v>
      </c>
      <c r="H517" s="116"/>
      <c r="I517" s="116"/>
      <c r="L517" s="170">
        <v>42762</v>
      </c>
      <c r="M517" s="116">
        <v>1178.9000000000001</v>
      </c>
      <c r="N517" s="116">
        <v>1189.375</v>
      </c>
      <c r="O517" s="116">
        <v>1172.5250000000001</v>
      </c>
      <c r="P517" s="116">
        <v>1172.5250000000001</v>
      </c>
      <c r="Q517" s="116">
        <v>2357.8000000000002</v>
      </c>
      <c r="R517">
        <v>1435829</v>
      </c>
    </row>
    <row r="518" spans="1:18" x14ac:dyDescent="0.25">
      <c r="A518" s="170">
        <v>42765</v>
      </c>
      <c r="B518" s="116">
        <v>1174.0250000000001</v>
      </c>
      <c r="C518" s="116">
        <v>1167.0999999999999</v>
      </c>
      <c r="D518" s="116">
        <v>1161.0250000000001</v>
      </c>
      <c r="E518" s="116">
        <v>1170</v>
      </c>
      <c r="F518" s="116">
        <v>2334.1999999999998</v>
      </c>
      <c r="G518">
        <v>90386</v>
      </c>
      <c r="H518" s="116"/>
      <c r="I518" s="116"/>
      <c r="L518" s="170">
        <v>42765</v>
      </c>
      <c r="M518" s="116">
        <v>1166.45</v>
      </c>
      <c r="N518" s="116">
        <v>1175.9749999999999</v>
      </c>
      <c r="O518" s="116">
        <v>1159.075</v>
      </c>
      <c r="P518" s="116">
        <v>1170.5</v>
      </c>
      <c r="Q518" s="116">
        <v>2332.9</v>
      </c>
      <c r="R518">
        <v>1288978</v>
      </c>
    </row>
    <row r="519" spans="1:18" x14ac:dyDescent="0.25">
      <c r="A519" s="170">
        <v>42766</v>
      </c>
      <c r="B519" s="116">
        <v>1167</v>
      </c>
      <c r="C519" s="116">
        <v>1114.95</v>
      </c>
      <c r="D519" s="116">
        <v>1103.2750000000001</v>
      </c>
      <c r="E519" s="116">
        <v>1167</v>
      </c>
      <c r="F519" s="116">
        <v>2229.9</v>
      </c>
      <c r="G519">
        <v>223883</v>
      </c>
      <c r="H519" s="116"/>
      <c r="I519" s="116"/>
      <c r="L519" s="170">
        <v>42766</v>
      </c>
      <c r="M519" s="116">
        <v>1114.9000000000001</v>
      </c>
      <c r="N519" s="116">
        <v>1166.0250000000001</v>
      </c>
      <c r="O519" s="116">
        <v>1100.0250000000001</v>
      </c>
      <c r="P519" s="116">
        <v>1160</v>
      </c>
      <c r="Q519" s="116">
        <v>2229.8000000000002</v>
      </c>
      <c r="R519">
        <v>2333402</v>
      </c>
    </row>
    <row r="520" spans="1:18" x14ac:dyDescent="0.25">
      <c r="A520" s="170">
        <v>42767</v>
      </c>
      <c r="B520" s="116">
        <v>1119.9749999999999</v>
      </c>
      <c r="C520" s="116">
        <v>1084.7249999999999</v>
      </c>
      <c r="D520" s="116">
        <v>1081</v>
      </c>
      <c r="E520" s="116">
        <v>1112.175</v>
      </c>
      <c r="F520" s="116">
        <v>2169.4499999999998</v>
      </c>
      <c r="G520">
        <v>304718</v>
      </c>
      <c r="H520" s="116"/>
      <c r="I520" s="116"/>
      <c r="L520" s="170">
        <v>42767</v>
      </c>
      <c r="M520" s="116">
        <v>1083.95</v>
      </c>
      <c r="N520" s="116">
        <v>1119.9749999999999</v>
      </c>
      <c r="O520" s="116">
        <v>1077.7750000000001</v>
      </c>
      <c r="P520" s="116">
        <v>1110</v>
      </c>
      <c r="Q520" s="116">
        <v>2167.9</v>
      </c>
      <c r="R520">
        <v>2432076</v>
      </c>
    </row>
    <row r="521" spans="1:18" x14ac:dyDescent="0.25">
      <c r="A521" s="170">
        <v>42768</v>
      </c>
      <c r="B521" s="116">
        <v>1109.45</v>
      </c>
      <c r="C521" s="116">
        <v>1102.9000000000001</v>
      </c>
      <c r="D521" s="116">
        <v>1077.1500000000001</v>
      </c>
      <c r="E521" s="116">
        <v>1085</v>
      </c>
      <c r="F521" s="116">
        <v>2205.8000000000002</v>
      </c>
      <c r="G521">
        <v>146440</v>
      </c>
      <c r="H521" s="116"/>
      <c r="I521" s="116"/>
      <c r="L521" s="170">
        <v>42768</v>
      </c>
      <c r="M521" s="116">
        <v>1103.825</v>
      </c>
      <c r="N521" s="116">
        <v>1109.5</v>
      </c>
      <c r="O521" s="116">
        <v>1076.5</v>
      </c>
      <c r="P521" s="116">
        <v>1085.0250000000001</v>
      </c>
      <c r="Q521" s="116">
        <v>2207.65</v>
      </c>
      <c r="R521">
        <v>3004741</v>
      </c>
    </row>
    <row r="522" spans="1:18" x14ac:dyDescent="0.25">
      <c r="A522" s="170">
        <v>42769</v>
      </c>
      <c r="B522" s="116">
        <v>1121</v>
      </c>
      <c r="C522" s="116">
        <v>1116.875</v>
      </c>
      <c r="D522" s="116">
        <v>1096</v>
      </c>
      <c r="E522" s="116">
        <v>1102.9000000000001</v>
      </c>
      <c r="F522" s="116">
        <v>2233.75</v>
      </c>
      <c r="G522">
        <v>80242</v>
      </c>
      <c r="H522" s="116"/>
      <c r="I522" s="116"/>
      <c r="L522" s="170">
        <v>42769</v>
      </c>
      <c r="M522" s="116">
        <v>1116.2750000000001</v>
      </c>
      <c r="N522" s="116">
        <v>1121.5</v>
      </c>
      <c r="O522" s="116">
        <v>1095.5</v>
      </c>
      <c r="P522" s="116">
        <v>1104.8499999999999</v>
      </c>
      <c r="Q522" s="116">
        <v>2232.5500000000002</v>
      </c>
      <c r="R522">
        <v>1076686</v>
      </c>
    </row>
    <row r="523" spans="1:18" x14ac:dyDescent="0.25">
      <c r="A523" s="170">
        <v>42772</v>
      </c>
      <c r="B523" s="116">
        <v>1127.2</v>
      </c>
      <c r="C523" s="116">
        <v>1120.2750000000001</v>
      </c>
      <c r="D523" s="116">
        <v>1108</v>
      </c>
      <c r="E523" s="116">
        <v>1124.0999999999999</v>
      </c>
      <c r="F523" s="116">
        <v>2240.5500000000002</v>
      </c>
      <c r="G523">
        <v>68526</v>
      </c>
      <c r="H523" s="116"/>
      <c r="I523" s="116"/>
      <c r="L523" s="170">
        <v>42772</v>
      </c>
      <c r="M523" s="116">
        <v>1120.375</v>
      </c>
      <c r="N523" s="116">
        <v>1129.25</v>
      </c>
      <c r="O523" s="116">
        <v>1107.4749999999999</v>
      </c>
      <c r="P523" s="116">
        <v>1129</v>
      </c>
      <c r="Q523" s="116">
        <v>2240.75</v>
      </c>
      <c r="R523">
        <v>1204455</v>
      </c>
    </row>
    <row r="524" spans="1:18" x14ac:dyDescent="0.25">
      <c r="A524" s="170">
        <v>42773</v>
      </c>
      <c r="B524" s="116">
        <v>1125</v>
      </c>
      <c r="C524" s="116">
        <v>1122.4000000000001</v>
      </c>
      <c r="D524" s="116">
        <v>1113</v>
      </c>
      <c r="E524" s="116">
        <v>1120.5</v>
      </c>
      <c r="F524" s="116">
        <v>2244.8000000000002</v>
      </c>
      <c r="G524">
        <v>61122</v>
      </c>
      <c r="H524" s="116"/>
      <c r="I524" s="116"/>
      <c r="L524" s="170">
        <v>42773</v>
      </c>
      <c r="M524" s="116">
        <v>1122.3</v>
      </c>
      <c r="N524" s="116">
        <v>1126.3</v>
      </c>
      <c r="O524" s="116">
        <v>1113</v>
      </c>
      <c r="P524" s="116">
        <v>1122</v>
      </c>
      <c r="Q524" s="116">
        <v>2244.6</v>
      </c>
      <c r="R524">
        <v>907319</v>
      </c>
    </row>
    <row r="525" spans="1:18" x14ac:dyDescent="0.25">
      <c r="A525" s="170">
        <v>42774</v>
      </c>
      <c r="B525" s="116">
        <v>1140.5</v>
      </c>
      <c r="C525" s="116">
        <v>1131.325</v>
      </c>
      <c r="D525" s="116">
        <v>1120</v>
      </c>
      <c r="E525" s="116">
        <v>1120</v>
      </c>
      <c r="F525" s="116">
        <v>2262.65</v>
      </c>
      <c r="G525">
        <v>86098</v>
      </c>
      <c r="H525" s="116"/>
      <c r="I525" s="116"/>
      <c r="L525" s="170">
        <v>42774</v>
      </c>
      <c r="M525" s="116">
        <v>1135.4749999999999</v>
      </c>
      <c r="N525" s="116">
        <v>1141.3</v>
      </c>
      <c r="O525" s="116">
        <v>1122.0250000000001</v>
      </c>
      <c r="P525" s="116">
        <v>1122.45</v>
      </c>
      <c r="Q525" s="116">
        <v>2270.9499999999998</v>
      </c>
      <c r="R525">
        <v>1106292</v>
      </c>
    </row>
    <row r="526" spans="1:18" x14ac:dyDescent="0.25">
      <c r="A526" s="170">
        <v>42775</v>
      </c>
      <c r="B526" s="116">
        <v>1165.45</v>
      </c>
      <c r="C526" s="116">
        <v>1162.125</v>
      </c>
      <c r="D526" s="116">
        <v>1134.5</v>
      </c>
      <c r="E526" s="116">
        <v>1135</v>
      </c>
      <c r="F526" s="116">
        <v>2324.25</v>
      </c>
      <c r="G526">
        <v>492207</v>
      </c>
      <c r="H526" s="116"/>
      <c r="I526" s="116"/>
      <c r="L526" s="170">
        <v>42775</v>
      </c>
      <c r="M526" s="116">
        <v>1158.6500000000001</v>
      </c>
      <c r="N526" s="116">
        <v>1164</v>
      </c>
      <c r="O526" s="116">
        <v>1135.0999999999999</v>
      </c>
      <c r="P526" s="116">
        <v>1137.5</v>
      </c>
      <c r="Q526" s="116">
        <v>2317.3000000000002</v>
      </c>
      <c r="R526">
        <v>2016601</v>
      </c>
    </row>
    <row r="527" spans="1:18" x14ac:dyDescent="0.25">
      <c r="A527" s="170">
        <v>42776</v>
      </c>
      <c r="B527" s="116">
        <v>1210.45</v>
      </c>
      <c r="C527" s="116">
        <v>1198.3499999999999</v>
      </c>
      <c r="D527" s="116">
        <v>1152</v>
      </c>
      <c r="E527" s="116">
        <v>1152</v>
      </c>
      <c r="F527" s="116">
        <v>2396.6999999999998</v>
      </c>
      <c r="G527">
        <v>121516</v>
      </c>
      <c r="H527" s="116"/>
      <c r="I527" s="116"/>
      <c r="L527" s="170">
        <v>42776</v>
      </c>
      <c r="M527" s="116">
        <v>1198.9749999999999</v>
      </c>
      <c r="N527" s="116">
        <v>1212.2249999999999</v>
      </c>
      <c r="O527" s="116">
        <v>1155.5</v>
      </c>
      <c r="P527" s="116">
        <v>1155.5</v>
      </c>
      <c r="Q527" s="116">
        <v>2397.9499999999998</v>
      </c>
      <c r="R527">
        <v>2891080</v>
      </c>
    </row>
    <row r="528" spans="1:18" x14ac:dyDescent="0.25">
      <c r="A528" s="170">
        <v>42779</v>
      </c>
      <c r="B528" s="116">
        <v>1212.5</v>
      </c>
      <c r="C528" s="116">
        <v>1205.1500000000001</v>
      </c>
      <c r="D528" s="116">
        <v>1191.375</v>
      </c>
      <c r="E528" s="116">
        <v>1201.6500000000001</v>
      </c>
      <c r="F528" s="116">
        <v>2410.3000000000002</v>
      </c>
      <c r="G528">
        <v>89326</v>
      </c>
      <c r="H528" s="116"/>
      <c r="I528" s="116"/>
      <c r="L528" s="170">
        <v>42779</v>
      </c>
      <c r="M528" s="116">
        <v>1207.125</v>
      </c>
      <c r="N528" s="116">
        <v>1214.5</v>
      </c>
      <c r="O528" s="116">
        <v>1191.175</v>
      </c>
      <c r="P528" s="116">
        <v>1198</v>
      </c>
      <c r="Q528" s="116">
        <v>2414.25</v>
      </c>
      <c r="R528">
        <v>1909906</v>
      </c>
    </row>
    <row r="529" spans="1:18" x14ac:dyDescent="0.25">
      <c r="A529" s="170">
        <v>42780</v>
      </c>
      <c r="B529" s="116">
        <v>1207.5</v>
      </c>
      <c r="C529" s="116">
        <v>1201.4749999999999</v>
      </c>
      <c r="D529" s="116">
        <v>1198.25</v>
      </c>
      <c r="E529" s="116">
        <v>1207</v>
      </c>
      <c r="F529" s="116">
        <v>2402.9499999999998</v>
      </c>
      <c r="G529">
        <v>57099</v>
      </c>
      <c r="H529" s="116"/>
      <c r="I529" s="116"/>
      <c r="L529" s="170">
        <v>42780</v>
      </c>
      <c r="M529" s="116">
        <v>1203.125</v>
      </c>
      <c r="N529" s="116">
        <v>1209.825</v>
      </c>
      <c r="O529" s="116">
        <v>1199</v>
      </c>
      <c r="P529" s="116">
        <v>1209.825</v>
      </c>
      <c r="Q529" s="116">
        <v>2406.25</v>
      </c>
      <c r="R529">
        <v>1016664</v>
      </c>
    </row>
    <row r="530" spans="1:18" x14ac:dyDescent="0.25">
      <c r="A530" s="170">
        <v>42781</v>
      </c>
      <c r="B530" s="116">
        <v>1213.5</v>
      </c>
      <c r="C530" s="116">
        <v>1207.8499999999999</v>
      </c>
      <c r="D530" s="116">
        <v>1189.175</v>
      </c>
      <c r="E530" s="116">
        <v>1200</v>
      </c>
      <c r="F530" s="116">
        <v>2415.6999999999998</v>
      </c>
      <c r="G530">
        <v>62426</v>
      </c>
      <c r="H530" s="116"/>
      <c r="I530" s="116"/>
      <c r="L530" s="170">
        <v>42781</v>
      </c>
      <c r="M530" s="116">
        <v>1206.8499999999999</v>
      </c>
      <c r="N530" s="116">
        <v>1214</v>
      </c>
      <c r="O530" s="116">
        <v>1187.55</v>
      </c>
      <c r="P530" s="116">
        <v>1198.5</v>
      </c>
      <c r="Q530" s="116">
        <v>2413.6999999999998</v>
      </c>
      <c r="R530">
        <v>962486</v>
      </c>
    </row>
    <row r="531" spans="1:18" x14ac:dyDescent="0.25">
      <c r="A531" s="170">
        <v>42782</v>
      </c>
      <c r="B531" s="116">
        <v>1238.75</v>
      </c>
      <c r="C531" s="116">
        <v>1223.45</v>
      </c>
      <c r="D531" s="116">
        <v>1218.1500000000001</v>
      </c>
      <c r="E531" s="116">
        <v>1225</v>
      </c>
      <c r="F531" s="116">
        <v>2446.9</v>
      </c>
      <c r="G531">
        <v>151010</v>
      </c>
      <c r="H531" s="116"/>
      <c r="I531" s="116"/>
      <c r="L531" s="170">
        <v>42782</v>
      </c>
      <c r="M531" s="116">
        <v>1223.875</v>
      </c>
      <c r="N531" s="116">
        <v>1239</v>
      </c>
      <c r="O531" s="116">
        <v>1217.8</v>
      </c>
      <c r="P531" s="116">
        <v>1230</v>
      </c>
      <c r="Q531" s="116">
        <v>2447.75</v>
      </c>
      <c r="R531">
        <v>2087840</v>
      </c>
    </row>
    <row r="532" spans="1:18" x14ac:dyDescent="0.25">
      <c r="A532" s="170">
        <v>42783</v>
      </c>
      <c r="B532" s="116">
        <v>1237</v>
      </c>
      <c r="C532" s="116">
        <v>1204.075</v>
      </c>
      <c r="D532" s="116">
        <v>1201.075</v>
      </c>
      <c r="E532" s="116">
        <v>1226.0250000000001</v>
      </c>
      <c r="F532" s="116">
        <v>2408.15</v>
      </c>
      <c r="G532">
        <v>85954</v>
      </c>
      <c r="H532" s="116"/>
      <c r="I532" s="116"/>
      <c r="L532" s="170">
        <v>42783</v>
      </c>
      <c r="M532" s="116">
        <v>1203.95</v>
      </c>
      <c r="N532" s="116">
        <v>1237.8</v>
      </c>
      <c r="O532" s="116">
        <v>1201</v>
      </c>
      <c r="P532" s="116">
        <v>1236</v>
      </c>
      <c r="Q532" s="116">
        <v>2407.9</v>
      </c>
      <c r="R532">
        <v>1361662</v>
      </c>
    </row>
    <row r="533" spans="1:18" x14ac:dyDescent="0.25">
      <c r="A533" s="170">
        <v>42786</v>
      </c>
      <c r="B533" s="116">
        <v>1277.5</v>
      </c>
      <c r="C533" s="116">
        <v>1253.25</v>
      </c>
      <c r="D533" s="116">
        <v>1206</v>
      </c>
      <c r="E533" s="116">
        <v>1209.5</v>
      </c>
      <c r="F533" s="116">
        <v>2506.5</v>
      </c>
      <c r="G533">
        <v>198006</v>
      </c>
      <c r="H533" s="116"/>
      <c r="I533" s="116"/>
      <c r="L533" s="170">
        <v>42786</v>
      </c>
      <c r="M533" s="116">
        <v>1251.0999999999999</v>
      </c>
      <c r="N533" s="116">
        <v>1277.5</v>
      </c>
      <c r="O533" s="116">
        <v>1204.05</v>
      </c>
      <c r="P533" s="116">
        <v>1212.5</v>
      </c>
      <c r="Q533" s="116">
        <v>2502.1999999999998</v>
      </c>
      <c r="R533">
        <v>1986974</v>
      </c>
    </row>
    <row r="534" spans="1:18" x14ac:dyDescent="0.25">
      <c r="A534" s="170">
        <v>42787</v>
      </c>
      <c r="B534" s="116">
        <v>1262.5</v>
      </c>
      <c r="C534" s="116">
        <v>1232.1500000000001</v>
      </c>
      <c r="D534" s="116">
        <v>1227.5999999999999</v>
      </c>
      <c r="E534" s="116">
        <v>1258</v>
      </c>
      <c r="F534" s="116">
        <v>2464.3000000000002</v>
      </c>
      <c r="G534">
        <v>323885</v>
      </c>
      <c r="H534" s="116"/>
      <c r="I534" s="116"/>
      <c r="L534" s="170">
        <v>42787</v>
      </c>
      <c r="M534" s="116">
        <v>1232.675</v>
      </c>
      <c r="N534" s="116">
        <v>1262.95</v>
      </c>
      <c r="O534" s="116">
        <v>1227.575</v>
      </c>
      <c r="P534" s="116">
        <v>1257</v>
      </c>
      <c r="Q534" s="116">
        <v>2465.35</v>
      </c>
      <c r="R534">
        <v>2750556</v>
      </c>
    </row>
    <row r="535" spans="1:18" x14ac:dyDescent="0.25">
      <c r="A535" s="170">
        <v>42788</v>
      </c>
      <c r="B535" s="116">
        <v>1235.7249999999999</v>
      </c>
      <c r="C535" s="116">
        <v>1204.7750000000001</v>
      </c>
      <c r="D535" s="116">
        <v>1201</v>
      </c>
      <c r="E535" s="116">
        <v>1232.5</v>
      </c>
      <c r="F535" s="116">
        <v>2409.5500000000002</v>
      </c>
      <c r="G535">
        <v>128759</v>
      </c>
      <c r="H535" s="116"/>
      <c r="I535" s="116"/>
      <c r="L535" s="170">
        <v>42788</v>
      </c>
      <c r="M535" s="116">
        <v>1205.75</v>
      </c>
      <c r="N535" s="116">
        <v>1235</v>
      </c>
      <c r="O535" s="116">
        <v>1200.075</v>
      </c>
      <c r="P535" s="116">
        <v>1232.95</v>
      </c>
      <c r="Q535" s="116">
        <v>2411.5</v>
      </c>
      <c r="R535">
        <v>2252748</v>
      </c>
    </row>
    <row r="536" spans="1:18" x14ac:dyDescent="0.25">
      <c r="A536" s="170">
        <v>42789</v>
      </c>
      <c r="B536" s="116">
        <v>1245.5</v>
      </c>
      <c r="C536" s="116">
        <v>1240.825</v>
      </c>
      <c r="D536" s="116">
        <v>1205</v>
      </c>
      <c r="E536" s="116">
        <v>1205</v>
      </c>
      <c r="F536" s="116">
        <v>2481.65</v>
      </c>
      <c r="G536">
        <v>115318</v>
      </c>
      <c r="H536" s="116"/>
      <c r="I536" s="116"/>
      <c r="L536" s="170">
        <v>42789</v>
      </c>
      <c r="M536" s="116">
        <v>1240.9000000000001</v>
      </c>
      <c r="N536" s="116">
        <v>1246.625</v>
      </c>
      <c r="O536" s="116">
        <v>1207.5</v>
      </c>
      <c r="P536" s="116">
        <v>1207.5</v>
      </c>
      <c r="Q536" s="116">
        <v>2481.8000000000002</v>
      </c>
      <c r="R536">
        <v>2426676</v>
      </c>
    </row>
    <row r="537" spans="1:18" x14ac:dyDescent="0.25">
      <c r="A537" s="170">
        <v>42793</v>
      </c>
      <c r="B537" s="116">
        <v>1250</v>
      </c>
      <c r="C537" s="116">
        <v>1244.45</v>
      </c>
      <c r="D537" s="116">
        <v>1236.5250000000001</v>
      </c>
      <c r="E537" s="116">
        <v>1240.5</v>
      </c>
      <c r="F537" s="116">
        <v>2488.9</v>
      </c>
      <c r="G537">
        <v>60956</v>
      </c>
      <c r="H537" s="116"/>
      <c r="I537" s="116"/>
      <c r="L537" s="170">
        <v>42793</v>
      </c>
      <c r="M537" s="116">
        <v>1244.925</v>
      </c>
      <c r="N537" s="116">
        <v>1251</v>
      </c>
      <c r="O537" s="116">
        <v>1235.0250000000001</v>
      </c>
      <c r="P537" s="116">
        <v>1239.55</v>
      </c>
      <c r="Q537" s="116">
        <v>2489.85</v>
      </c>
      <c r="R537">
        <v>1069946</v>
      </c>
    </row>
    <row r="538" spans="1:18" x14ac:dyDescent="0.25">
      <c r="A538" s="170">
        <v>42794</v>
      </c>
      <c r="B538" s="116">
        <v>1245.625</v>
      </c>
      <c r="C538" s="116">
        <v>1233.25</v>
      </c>
      <c r="D538" s="116">
        <v>1225.7750000000001</v>
      </c>
      <c r="E538" s="116">
        <v>1244.45</v>
      </c>
      <c r="F538" s="116">
        <v>2466.5</v>
      </c>
      <c r="G538">
        <v>37777</v>
      </c>
      <c r="H538" s="116"/>
      <c r="I538" s="116"/>
      <c r="L538" s="170">
        <v>42794</v>
      </c>
      <c r="M538" s="116">
        <v>1233.125</v>
      </c>
      <c r="N538" s="116">
        <v>1245</v>
      </c>
      <c r="O538" s="116">
        <v>1225</v>
      </c>
      <c r="P538" s="116">
        <v>1244.75</v>
      </c>
      <c r="Q538" s="116">
        <v>2466.25</v>
      </c>
      <c r="R538">
        <v>1177414</v>
      </c>
    </row>
    <row r="539" spans="1:18" x14ac:dyDescent="0.25">
      <c r="A539" s="170">
        <v>42795</v>
      </c>
      <c r="B539" s="116">
        <v>1250.5</v>
      </c>
      <c r="C539" s="116">
        <v>1240.0250000000001</v>
      </c>
      <c r="D539" s="116">
        <v>1235.7</v>
      </c>
      <c r="E539" s="116">
        <v>1242</v>
      </c>
      <c r="F539" s="116">
        <v>2480.0500000000002</v>
      </c>
      <c r="G539">
        <v>39981</v>
      </c>
      <c r="H539" s="116"/>
      <c r="I539" s="116"/>
      <c r="L539" s="170">
        <v>42795</v>
      </c>
      <c r="M539" s="116">
        <v>1239.7750000000001</v>
      </c>
      <c r="N539" s="116">
        <v>1250.95</v>
      </c>
      <c r="O539" s="116">
        <v>1235</v>
      </c>
      <c r="P539" s="116">
        <v>1239.95</v>
      </c>
      <c r="Q539" s="116">
        <v>2479.5500000000002</v>
      </c>
      <c r="R539">
        <v>565187</v>
      </c>
    </row>
    <row r="540" spans="1:18" x14ac:dyDescent="0.25">
      <c r="A540" s="170">
        <v>42796</v>
      </c>
      <c r="B540" s="116">
        <v>1255</v>
      </c>
      <c r="C540" s="116">
        <v>1250.575</v>
      </c>
      <c r="D540" s="116">
        <v>1239.55</v>
      </c>
      <c r="E540" s="116">
        <v>1240</v>
      </c>
      <c r="F540" s="116">
        <v>2501.15</v>
      </c>
      <c r="G540">
        <v>110077</v>
      </c>
      <c r="H540" s="116"/>
      <c r="I540" s="116"/>
      <c r="L540" s="170">
        <v>42796</v>
      </c>
      <c r="M540" s="116">
        <v>1250.7249999999999</v>
      </c>
      <c r="N540" s="116">
        <v>1255</v>
      </c>
      <c r="O540" s="116">
        <v>1235.0250000000001</v>
      </c>
      <c r="P540" s="116">
        <v>1243.3499999999999</v>
      </c>
      <c r="Q540" s="116">
        <v>2501.4499999999998</v>
      </c>
      <c r="R540">
        <v>772471</v>
      </c>
    </row>
    <row r="541" spans="1:18" x14ac:dyDescent="0.25">
      <c r="A541" s="170">
        <v>42797</v>
      </c>
      <c r="B541" s="116">
        <v>1250.5</v>
      </c>
      <c r="C541" s="116">
        <v>1246.175</v>
      </c>
      <c r="D541" s="116">
        <v>1238</v>
      </c>
      <c r="E541" s="116">
        <v>1250.5</v>
      </c>
      <c r="F541" s="116">
        <v>2492.35</v>
      </c>
      <c r="G541">
        <v>34818</v>
      </c>
      <c r="H541" s="116"/>
      <c r="I541" s="116"/>
      <c r="L541" s="170">
        <v>42797</v>
      </c>
      <c r="M541" s="116">
        <v>1247.0250000000001</v>
      </c>
      <c r="N541" s="116">
        <v>1249.8499999999999</v>
      </c>
      <c r="O541" s="116">
        <v>1237.7</v>
      </c>
      <c r="P541" s="116">
        <v>1246</v>
      </c>
      <c r="Q541" s="116">
        <v>2494.0500000000002</v>
      </c>
      <c r="R541">
        <v>506985</v>
      </c>
    </row>
    <row r="542" spans="1:18" x14ac:dyDescent="0.25">
      <c r="A542" s="170">
        <v>42800</v>
      </c>
      <c r="B542" s="116">
        <v>1241.2249999999999</v>
      </c>
      <c r="C542" s="116">
        <v>1235.325</v>
      </c>
      <c r="D542" s="116">
        <v>1227.45</v>
      </c>
      <c r="E542" s="116">
        <v>1237.5</v>
      </c>
      <c r="F542" s="116">
        <v>2470.65</v>
      </c>
      <c r="G542">
        <v>208634</v>
      </c>
      <c r="H542" s="116"/>
      <c r="I542" s="116"/>
      <c r="L542" s="170">
        <v>42800</v>
      </c>
      <c r="M542" s="116">
        <v>1236.25</v>
      </c>
      <c r="N542" s="116">
        <v>1242</v>
      </c>
      <c r="O542" s="116">
        <v>1227.2750000000001</v>
      </c>
      <c r="P542" s="116">
        <v>1240</v>
      </c>
      <c r="Q542" s="116">
        <v>2472.5</v>
      </c>
      <c r="R542">
        <v>700347</v>
      </c>
    </row>
    <row r="543" spans="1:18" x14ac:dyDescent="0.25">
      <c r="A543" s="170">
        <v>42801</v>
      </c>
      <c r="B543" s="116">
        <v>1253.7249999999999</v>
      </c>
      <c r="C543" s="116">
        <v>1250.3499999999999</v>
      </c>
      <c r="D543" s="116">
        <v>1236</v>
      </c>
      <c r="E543" s="116">
        <v>1236</v>
      </c>
      <c r="F543" s="116">
        <v>2500.6999999999998</v>
      </c>
      <c r="G543">
        <v>48798</v>
      </c>
      <c r="H543" s="116"/>
      <c r="I543" s="116"/>
      <c r="L543" s="170">
        <v>42801</v>
      </c>
      <c r="M543" s="116">
        <v>1249.9000000000001</v>
      </c>
      <c r="N543" s="116">
        <v>1252.5</v>
      </c>
      <c r="O543" s="116">
        <v>1237.5250000000001</v>
      </c>
      <c r="P543" s="116">
        <v>1241.45</v>
      </c>
      <c r="Q543" s="116">
        <v>2499.8000000000002</v>
      </c>
      <c r="R543">
        <v>755836</v>
      </c>
    </row>
    <row r="544" spans="1:18" x14ac:dyDescent="0.25">
      <c r="A544" s="170">
        <v>42802</v>
      </c>
      <c r="B544" s="116">
        <v>1260</v>
      </c>
      <c r="C544" s="116">
        <v>1256.95</v>
      </c>
      <c r="D544" s="116">
        <v>1246</v>
      </c>
      <c r="E544" s="116">
        <v>1249.5</v>
      </c>
      <c r="F544" s="116">
        <v>2513.9</v>
      </c>
      <c r="G544">
        <v>79532</v>
      </c>
      <c r="H544" s="116"/>
      <c r="I544" s="116"/>
      <c r="L544" s="170">
        <v>42802</v>
      </c>
      <c r="M544" s="116">
        <v>1256.0999999999999</v>
      </c>
      <c r="N544" s="116">
        <v>1260</v>
      </c>
      <c r="O544" s="116">
        <v>1246.0999999999999</v>
      </c>
      <c r="P544" s="116">
        <v>1251</v>
      </c>
      <c r="Q544" s="116">
        <v>2512.1999999999998</v>
      </c>
      <c r="R544">
        <v>895755</v>
      </c>
    </row>
    <row r="545" spans="1:18" x14ac:dyDescent="0.25">
      <c r="A545" s="170">
        <v>42803</v>
      </c>
      <c r="B545" s="116">
        <v>1262.45</v>
      </c>
      <c r="C545" s="116">
        <v>1259.7750000000001</v>
      </c>
      <c r="D545" s="116">
        <v>1251.75</v>
      </c>
      <c r="E545" s="116">
        <v>1256.95</v>
      </c>
      <c r="F545" s="116">
        <v>2519.5500000000002</v>
      </c>
      <c r="G545">
        <v>77480</v>
      </c>
      <c r="H545" s="116"/>
      <c r="I545" s="116"/>
      <c r="L545" s="170">
        <v>42803</v>
      </c>
      <c r="M545" s="116">
        <v>1259.875</v>
      </c>
      <c r="N545" s="116">
        <v>1262</v>
      </c>
      <c r="O545" s="116">
        <v>1252.0250000000001</v>
      </c>
      <c r="P545" s="116">
        <v>1257.075</v>
      </c>
      <c r="Q545" s="116">
        <v>2519.75</v>
      </c>
      <c r="R545">
        <v>429234</v>
      </c>
    </row>
    <row r="546" spans="1:18" x14ac:dyDescent="0.25">
      <c r="A546" s="170">
        <v>42804</v>
      </c>
      <c r="B546" s="116">
        <v>1274.25</v>
      </c>
      <c r="C546" s="116">
        <v>1270.9000000000001</v>
      </c>
      <c r="D546" s="116">
        <v>1259.75</v>
      </c>
      <c r="E546" s="116">
        <v>1262.5</v>
      </c>
      <c r="F546" s="116">
        <v>2541.8000000000002</v>
      </c>
      <c r="G546">
        <v>67029</v>
      </c>
      <c r="H546" s="116"/>
      <c r="I546" s="116"/>
      <c r="L546" s="170">
        <v>42804</v>
      </c>
      <c r="M546" s="116">
        <v>1271.125</v>
      </c>
      <c r="N546" s="116">
        <v>1274.7750000000001</v>
      </c>
      <c r="O546" s="116">
        <v>1256.9749999999999</v>
      </c>
      <c r="P546" s="116">
        <v>1259.8</v>
      </c>
      <c r="Q546" s="116">
        <v>2542.25</v>
      </c>
      <c r="R546">
        <v>585710</v>
      </c>
    </row>
    <row r="547" spans="1:18" x14ac:dyDescent="0.25">
      <c r="A547" s="170">
        <v>42808</v>
      </c>
      <c r="B547" s="116">
        <v>1292</v>
      </c>
      <c r="C547" s="116">
        <v>1281.175</v>
      </c>
      <c r="D547" s="116">
        <v>1275</v>
      </c>
      <c r="E547" s="116">
        <v>1275</v>
      </c>
      <c r="F547" s="116">
        <v>2562.35</v>
      </c>
      <c r="G547">
        <v>395661</v>
      </c>
      <c r="H547" s="116"/>
      <c r="I547" s="116"/>
      <c r="L547" s="170">
        <v>42808</v>
      </c>
      <c r="M547" s="116">
        <v>1283.75</v>
      </c>
      <c r="N547" s="116">
        <v>1293.575</v>
      </c>
      <c r="O547" s="116">
        <v>1275.5250000000001</v>
      </c>
      <c r="P547" s="116">
        <v>1278.4000000000001</v>
      </c>
      <c r="Q547" s="116">
        <v>2567.5</v>
      </c>
      <c r="R547">
        <v>1701147</v>
      </c>
    </row>
    <row r="548" spans="1:18" x14ac:dyDescent="0.25">
      <c r="A548" s="170">
        <v>42809</v>
      </c>
      <c r="B548" s="116">
        <v>1285</v>
      </c>
      <c r="C548" s="116">
        <v>1250.1500000000001</v>
      </c>
      <c r="D548" s="116">
        <v>1248.0250000000001</v>
      </c>
      <c r="E548" s="116">
        <v>1282.5</v>
      </c>
      <c r="F548" s="116">
        <v>2500.3000000000002</v>
      </c>
      <c r="G548">
        <v>60544</v>
      </c>
      <c r="H548" s="116"/>
      <c r="I548" s="116"/>
      <c r="L548" s="170">
        <v>42809</v>
      </c>
      <c r="M548" s="116">
        <v>1249.1500000000001</v>
      </c>
      <c r="N548" s="116">
        <v>1286.075</v>
      </c>
      <c r="O548" s="116">
        <v>1246.925</v>
      </c>
      <c r="P548" s="116">
        <v>1286</v>
      </c>
      <c r="Q548" s="116">
        <v>2498.3000000000002</v>
      </c>
      <c r="R548">
        <v>1511248</v>
      </c>
    </row>
    <row r="549" spans="1:18" x14ac:dyDescent="0.25">
      <c r="A549" s="170">
        <v>42810</v>
      </c>
      <c r="B549" s="116">
        <v>1262.5</v>
      </c>
      <c r="C549" s="116">
        <v>1259.4749999999999</v>
      </c>
      <c r="D549" s="116">
        <v>1250.5</v>
      </c>
      <c r="E549" s="116">
        <v>1250.5</v>
      </c>
      <c r="F549" s="116">
        <v>2518.9499999999998</v>
      </c>
      <c r="G549">
        <v>33932</v>
      </c>
      <c r="H549" s="116"/>
      <c r="I549" s="116"/>
      <c r="L549" s="170">
        <v>42810</v>
      </c>
      <c r="M549" s="116">
        <v>1260.45</v>
      </c>
      <c r="N549" s="116">
        <v>1263.5</v>
      </c>
      <c r="O549" s="116">
        <v>1253</v>
      </c>
      <c r="P549" s="116">
        <v>1253</v>
      </c>
      <c r="Q549" s="116">
        <v>2520.9</v>
      </c>
      <c r="R549">
        <v>785909</v>
      </c>
    </row>
    <row r="550" spans="1:18" x14ac:dyDescent="0.25">
      <c r="A550" s="170">
        <v>42811</v>
      </c>
      <c r="B550" s="116">
        <v>1274</v>
      </c>
      <c r="C550" s="116">
        <v>1263.425</v>
      </c>
      <c r="D550" s="116">
        <v>1256.2249999999999</v>
      </c>
      <c r="E550" s="116">
        <v>1274</v>
      </c>
      <c r="F550" s="116">
        <v>2526.85</v>
      </c>
      <c r="G550">
        <v>179229</v>
      </c>
      <c r="H550" s="116"/>
      <c r="I550" s="116"/>
      <c r="L550" s="170">
        <v>42811</v>
      </c>
      <c r="M550" s="116">
        <v>1262.875</v>
      </c>
      <c r="N550" s="116">
        <v>1273</v>
      </c>
      <c r="O550" s="116">
        <v>1254.875</v>
      </c>
      <c r="P550" s="116">
        <v>1273</v>
      </c>
      <c r="Q550" s="116">
        <v>2525.75</v>
      </c>
      <c r="R550">
        <v>1296576</v>
      </c>
    </row>
    <row r="551" spans="1:18" x14ac:dyDescent="0.25">
      <c r="A551" s="170">
        <v>42814</v>
      </c>
      <c r="B551" s="116">
        <v>1261.7</v>
      </c>
      <c r="C551" s="116">
        <v>1240.4000000000001</v>
      </c>
      <c r="D551" s="116">
        <v>1233.5250000000001</v>
      </c>
      <c r="E551" s="116">
        <v>1259</v>
      </c>
      <c r="F551" s="116">
        <v>2480.8000000000002</v>
      </c>
      <c r="G551">
        <v>54189</v>
      </c>
      <c r="H551" s="116"/>
      <c r="I551" s="116"/>
      <c r="L551" s="170">
        <v>42814</v>
      </c>
      <c r="M551" s="116">
        <v>1240</v>
      </c>
      <c r="N551" s="116">
        <v>1262.9749999999999</v>
      </c>
      <c r="O551" s="116">
        <v>1233</v>
      </c>
      <c r="P551" s="116">
        <v>1262.9749999999999</v>
      </c>
      <c r="Q551" s="116">
        <v>2480</v>
      </c>
      <c r="R551">
        <v>1743770</v>
      </c>
    </row>
    <row r="552" spans="1:18" x14ac:dyDescent="0.25">
      <c r="A552" s="170">
        <v>42815</v>
      </c>
      <c r="B552" s="116">
        <v>1246.95</v>
      </c>
      <c r="C552" s="116">
        <v>1243.075</v>
      </c>
      <c r="D552" s="116">
        <v>1233</v>
      </c>
      <c r="E552" s="116">
        <v>1241</v>
      </c>
      <c r="F552" s="116">
        <v>2486.15</v>
      </c>
      <c r="G552">
        <v>47808</v>
      </c>
      <c r="H552" s="116"/>
      <c r="I552" s="116"/>
      <c r="L552" s="170">
        <v>42815</v>
      </c>
      <c r="M552" s="116">
        <v>1243.3499999999999</v>
      </c>
      <c r="N552" s="116">
        <v>1246</v>
      </c>
      <c r="O552" s="116">
        <v>1232.5</v>
      </c>
      <c r="P552" s="116">
        <v>1241</v>
      </c>
      <c r="Q552" s="116">
        <v>2486.6999999999998</v>
      </c>
      <c r="R552">
        <v>1686850</v>
      </c>
    </row>
    <row r="553" spans="1:18" x14ac:dyDescent="0.25">
      <c r="A553" s="170">
        <v>42816</v>
      </c>
      <c r="B553" s="116">
        <v>1247.5</v>
      </c>
      <c r="C553" s="116">
        <v>1239.55</v>
      </c>
      <c r="D553" s="116">
        <v>1235</v>
      </c>
      <c r="E553" s="116">
        <v>1243.5</v>
      </c>
      <c r="F553" s="116">
        <v>2479.1</v>
      </c>
      <c r="G553">
        <v>55740</v>
      </c>
      <c r="H553" s="116"/>
      <c r="I553" s="116"/>
      <c r="L553" s="170">
        <v>42816</v>
      </c>
      <c r="M553" s="116">
        <v>1239.4749999999999</v>
      </c>
      <c r="N553" s="116">
        <v>1248</v>
      </c>
      <c r="O553" s="116">
        <v>1234.9749999999999</v>
      </c>
      <c r="P553" s="116">
        <v>1240.075</v>
      </c>
      <c r="Q553" s="116">
        <v>2478.9499999999998</v>
      </c>
      <c r="R553">
        <v>944358</v>
      </c>
    </row>
    <row r="554" spans="1:18" x14ac:dyDescent="0.25">
      <c r="A554" s="170">
        <v>42817</v>
      </c>
      <c r="B554" s="116">
        <v>1243</v>
      </c>
      <c r="C554" s="116">
        <v>1229.45</v>
      </c>
      <c r="D554" s="116">
        <v>1224.25</v>
      </c>
      <c r="E554" s="116">
        <v>1239</v>
      </c>
      <c r="F554" s="116">
        <v>2458.9</v>
      </c>
      <c r="G554">
        <v>64358</v>
      </c>
      <c r="H554" s="116"/>
      <c r="I554" s="116"/>
      <c r="L554" s="170">
        <v>42817</v>
      </c>
      <c r="M554" s="116">
        <v>1230.175</v>
      </c>
      <c r="N554" s="116">
        <v>1242.5250000000001</v>
      </c>
      <c r="O554" s="116">
        <v>1223.5999999999999</v>
      </c>
      <c r="P554" s="116">
        <v>1241</v>
      </c>
      <c r="Q554" s="116">
        <v>2460.35</v>
      </c>
      <c r="R554">
        <v>1310319</v>
      </c>
    </row>
    <row r="555" spans="1:18" x14ac:dyDescent="0.25">
      <c r="A555" s="170">
        <v>42818</v>
      </c>
      <c r="B555" s="116">
        <v>1235</v>
      </c>
      <c r="C555" s="116">
        <v>1213.375</v>
      </c>
      <c r="D555" s="116">
        <v>1211.8499999999999</v>
      </c>
      <c r="E555" s="116">
        <v>1232.5</v>
      </c>
      <c r="F555" s="116">
        <v>2426.75</v>
      </c>
      <c r="G555">
        <v>152812</v>
      </c>
      <c r="H555" s="116"/>
      <c r="I555" s="116"/>
      <c r="L555" s="170">
        <v>42818</v>
      </c>
      <c r="M555" s="116">
        <v>1213.5999999999999</v>
      </c>
      <c r="N555" s="116">
        <v>1234.9000000000001</v>
      </c>
      <c r="O555" s="116">
        <v>1211.6500000000001</v>
      </c>
      <c r="P555" s="116">
        <v>1234.9000000000001</v>
      </c>
      <c r="Q555" s="116">
        <v>2427.1999999999998</v>
      </c>
      <c r="R555">
        <v>2549907</v>
      </c>
    </row>
    <row r="556" spans="1:18" x14ac:dyDescent="0.25">
      <c r="A556" s="170">
        <v>42821</v>
      </c>
      <c r="B556" s="116">
        <v>1220.5</v>
      </c>
      <c r="C556" s="116">
        <v>1206.05</v>
      </c>
      <c r="D556" s="116">
        <v>1203.5</v>
      </c>
      <c r="E556" s="116">
        <v>1214</v>
      </c>
      <c r="F556" s="116">
        <v>2412.1</v>
      </c>
      <c r="G556">
        <v>81744</v>
      </c>
      <c r="H556" s="116"/>
      <c r="I556" s="116"/>
      <c r="L556" s="170">
        <v>42821</v>
      </c>
      <c r="M556" s="116">
        <v>1206.0250000000001</v>
      </c>
      <c r="N556" s="116">
        <v>1220</v>
      </c>
      <c r="O556" s="116">
        <v>1203</v>
      </c>
      <c r="P556" s="116">
        <v>1213.4749999999999</v>
      </c>
      <c r="Q556" s="116">
        <v>2412.0500000000002</v>
      </c>
      <c r="R556">
        <v>1090635</v>
      </c>
    </row>
    <row r="557" spans="1:18" x14ac:dyDescent="0.25">
      <c r="A557" s="170">
        <v>42822</v>
      </c>
      <c r="B557" s="116">
        <v>1220.925</v>
      </c>
      <c r="C557" s="116">
        <v>1214.925</v>
      </c>
      <c r="D557" s="116">
        <v>1206.05</v>
      </c>
      <c r="E557" s="116">
        <v>1206.05</v>
      </c>
      <c r="F557" s="116">
        <v>2429.85</v>
      </c>
      <c r="G557">
        <v>31020</v>
      </c>
      <c r="H557" s="116"/>
      <c r="I557" s="116"/>
      <c r="L557" s="170">
        <v>42822</v>
      </c>
      <c r="M557" s="116">
        <v>1214.9749999999999</v>
      </c>
      <c r="N557" s="116">
        <v>1221.7</v>
      </c>
      <c r="O557" s="116">
        <v>1205</v>
      </c>
      <c r="P557" s="116">
        <v>1205</v>
      </c>
      <c r="Q557" s="116">
        <v>2429.9499999999998</v>
      </c>
      <c r="R557">
        <v>576579</v>
      </c>
    </row>
    <row r="558" spans="1:18" x14ac:dyDescent="0.25">
      <c r="A558" s="170">
        <v>42823</v>
      </c>
      <c r="B558" s="116">
        <v>1223.95</v>
      </c>
      <c r="C558" s="116">
        <v>1221.875</v>
      </c>
      <c r="D558" s="116">
        <v>1213.2750000000001</v>
      </c>
      <c r="E558" s="116">
        <v>1215.625</v>
      </c>
      <c r="F558" s="116">
        <v>2443.75</v>
      </c>
      <c r="G558">
        <v>30172</v>
      </c>
      <c r="H558" s="116"/>
      <c r="I558" s="116"/>
      <c r="L558" s="170">
        <v>42823</v>
      </c>
      <c r="M558" s="116">
        <v>1222.3</v>
      </c>
      <c r="N558" s="116">
        <v>1225.4000000000001</v>
      </c>
      <c r="O558" s="116">
        <v>1212.8</v>
      </c>
      <c r="P558" s="116">
        <v>1218</v>
      </c>
      <c r="Q558" s="116">
        <v>2444.6</v>
      </c>
      <c r="R558">
        <v>858882</v>
      </c>
    </row>
    <row r="559" spans="1:18" x14ac:dyDescent="0.25">
      <c r="A559" s="170">
        <v>42824</v>
      </c>
      <c r="B559" s="116">
        <v>1232.5</v>
      </c>
      <c r="C559" s="116">
        <v>1221.875</v>
      </c>
      <c r="D559" s="116">
        <v>1217.5</v>
      </c>
      <c r="E559" s="116">
        <v>1220</v>
      </c>
      <c r="F559" s="116">
        <v>2443.75</v>
      </c>
      <c r="G559">
        <v>61961</v>
      </c>
      <c r="H559" s="116"/>
      <c r="I559" s="116"/>
      <c r="L559" s="170">
        <v>42824</v>
      </c>
      <c r="M559" s="116">
        <v>1220.5</v>
      </c>
      <c r="N559" s="116">
        <v>1232.5</v>
      </c>
      <c r="O559" s="116">
        <v>1217.5</v>
      </c>
      <c r="P559" s="116">
        <v>1222.45</v>
      </c>
      <c r="Q559" s="116">
        <v>2441</v>
      </c>
      <c r="R559">
        <v>1493043</v>
      </c>
    </row>
    <row r="560" spans="1:18" x14ac:dyDescent="0.25">
      <c r="A560" s="170">
        <v>42825</v>
      </c>
      <c r="B560" s="116">
        <v>1220</v>
      </c>
      <c r="C560" s="116">
        <v>1215.55</v>
      </c>
      <c r="D560" s="116">
        <v>1207.425</v>
      </c>
      <c r="E560" s="116">
        <v>1219.5</v>
      </c>
      <c r="F560" s="116">
        <v>2431.1</v>
      </c>
      <c r="G560">
        <v>83943</v>
      </c>
      <c r="H560" s="116"/>
      <c r="I560" s="116"/>
      <c r="L560" s="170">
        <v>42825</v>
      </c>
      <c r="M560" s="116">
        <v>1215.9000000000001</v>
      </c>
      <c r="N560" s="116">
        <v>1220.425</v>
      </c>
      <c r="O560" s="116">
        <v>1207.5</v>
      </c>
      <c r="P560" s="116">
        <v>1219.2</v>
      </c>
      <c r="Q560" s="116">
        <v>2431.8000000000002</v>
      </c>
      <c r="R560">
        <v>933522</v>
      </c>
    </row>
    <row r="561" spans="1:18" x14ac:dyDescent="0.25">
      <c r="A561" s="170">
        <v>42828</v>
      </c>
      <c r="B561" s="116">
        <v>1217.5</v>
      </c>
      <c r="C561" s="116">
        <v>1206.6500000000001</v>
      </c>
      <c r="D561" s="116">
        <v>1205</v>
      </c>
      <c r="E561" s="116">
        <v>1217.5</v>
      </c>
      <c r="F561" s="116">
        <v>2413.3000000000002</v>
      </c>
      <c r="G561">
        <v>28358</v>
      </c>
      <c r="H561" s="116"/>
      <c r="I561" s="116"/>
      <c r="L561" s="170">
        <v>42828</v>
      </c>
      <c r="M561" s="116">
        <v>1205.8499999999999</v>
      </c>
      <c r="N561" s="116">
        <v>1217.5</v>
      </c>
      <c r="O561" s="116">
        <v>1204.0999999999999</v>
      </c>
      <c r="P561" s="116">
        <v>1217.5</v>
      </c>
      <c r="Q561" s="116">
        <v>2411.6999999999998</v>
      </c>
      <c r="R561">
        <v>598444</v>
      </c>
    </row>
    <row r="562" spans="1:18" x14ac:dyDescent="0.25">
      <c r="A562" s="170">
        <v>42830</v>
      </c>
      <c r="B562" s="116">
        <v>1209.25</v>
      </c>
      <c r="C562" s="116">
        <v>1201.425</v>
      </c>
      <c r="D562" s="116">
        <v>1197.5</v>
      </c>
      <c r="E562" s="116">
        <v>1208.5</v>
      </c>
      <c r="F562" s="116">
        <v>2402.85</v>
      </c>
      <c r="G562">
        <v>39272</v>
      </c>
      <c r="H562" s="116"/>
      <c r="I562" s="116"/>
      <c r="L562" s="170">
        <v>42830</v>
      </c>
      <c r="M562" s="116">
        <v>1200.625</v>
      </c>
      <c r="N562" s="116">
        <v>1209.95</v>
      </c>
      <c r="O562" s="116">
        <v>1197.5</v>
      </c>
      <c r="P562" s="116">
        <v>1209.95</v>
      </c>
      <c r="Q562" s="116">
        <v>2401.25</v>
      </c>
      <c r="R562">
        <v>1452784</v>
      </c>
    </row>
    <row r="563" spans="1:18" x14ac:dyDescent="0.25">
      <c r="A563" s="170">
        <v>42831</v>
      </c>
      <c r="B563" s="116">
        <v>1205.0250000000001</v>
      </c>
      <c r="C563" s="116">
        <v>1199.875</v>
      </c>
      <c r="D563" s="116">
        <v>1195</v>
      </c>
      <c r="E563" s="116">
        <v>1200.5999999999999</v>
      </c>
      <c r="F563" s="116">
        <v>2399.75</v>
      </c>
      <c r="G563">
        <v>23060</v>
      </c>
      <c r="H563" s="116"/>
      <c r="I563" s="116"/>
      <c r="L563" s="170">
        <v>42831</v>
      </c>
      <c r="M563" s="116">
        <v>1200.0250000000001</v>
      </c>
      <c r="N563" s="116">
        <v>1205</v>
      </c>
      <c r="O563" s="116">
        <v>1196.2750000000001</v>
      </c>
      <c r="P563" s="116">
        <v>1200</v>
      </c>
      <c r="Q563" s="116">
        <v>2400.0500000000002</v>
      </c>
      <c r="R563">
        <v>860352</v>
      </c>
    </row>
    <row r="564" spans="1:18" x14ac:dyDescent="0.25">
      <c r="A564" s="170">
        <v>42832</v>
      </c>
      <c r="B564" s="116">
        <v>1215</v>
      </c>
      <c r="C564" s="116">
        <v>1213.55</v>
      </c>
      <c r="D564" s="116">
        <v>1197.2</v>
      </c>
      <c r="E564" s="116">
        <v>1200</v>
      </c>
      <c r="F564" s="116">
        <v>2427.1</v>
      </c>
      <c r="G564">
        <v>37905</v>
      </c>
      <c r="H564" s="116"/>
      <c r="I564" s="116"/>
      <c r="L564" s="170">
        <v>42832</v>
      </c>
      <c r="M564" s="116">
        <v>1214.5250000000001</v>
      </c>
      <c r="N564" s="116">
        <v>1216.625</v>
      </c>
      <c r="O564" s="116">
        <v>1196.075</v>
      </c>
      <c r="P564" s="116">
        <v>1197.45</v>
      </c>
      <c r="Q564" s="116">
        <v>2429.0500000000002</v>
      </c>
      <c r="R564">
        <v>1138506</v>
      </c>
    </row>
    <row r="565" spans="1:18" x14ac:dyDescent="0.25">
      <c r="A565" s="170">
        <v>42835</v>
      </c>
      <c r="B565" s="116">
        <v>1224</v>
      </c>
      <c r="C565" s="116">
        <v>1210.575</v>
      </c>
      <c r="D565" s="116">
        <v>1204.05</v>
      </c>
      <c r="E565" s="116">
        <v>1215</v>
      </c>
      <c r="F565" s="116">
        <v>2421.15</v>
      </c>
      <c r="G565">
        <v>48766</v>
      </c>
      <c r="H565" s="116"/>
      <c r="I565" s="116"/>
      <c r="L565" s="170">
        <v>42835</v>
      </c>
      <c r="M565" s="116">
        <v>1211.125</v>
      </c>
      <c r="N565" s="116">
        <v>1224.5</v>
      </c>
      <c r="O565" s="116">
        <v>1202.5</v>
      </c>
      <c r="P565" s="116">
        <v>1216</v>
      </c>
      <c r="Q565" s="116">
        <v>2422.25</v>
      </c>
      <c r="R565">
        <v>1271632</v>
      </c>
    </row>
    <row r="566" spans="1:18" x14ac:dyDescent="0.25">
      <c r="A566" s="170">
        <v>42836</v>
      </c>
      <c r="B566" s="116">
        <v>1221</v>
      </c>
      <c r="C566" s="116">
        <v>1210.4000000000001</v>
      </c>
      <c r="D566" s="116">
        <v>1205</v>
      </c>
      <c r="E566" s="116">
        <v>1210</v>
      </c>
      <c r="F566" s="116">
        <v>2420.8000000000002</v>
      </c>
      <c r="G566">
        <v>24265</v>
      </c>
      <c r="H566" s="116"/>
      <c r="I566" s="116"/>
      <c r="L566" s="170">
        <v>42836</v>
      </c>
      <c r="M566" s="116">
        <v>1209.6500000000001</v>
      </c>
      <c r="N566" s="116">
        <v>1221.55</v>
      </c>
      <c r="O566" s="116">
        <v>1203</v>
      </c>
      <c r="P566" s="116">
        <v>1208.6500000000001</v>
      </c>
      <c r="Q566" s="116">
        <v>2419.3000000000002</v>
      </c>
      <c r="R566">
        <v>778892</v>
      </c>
    </row>
    <row r="567" spans="1:18" x14ac:dyDescent="0.25">
      <c r="A567" s="170">
        <v>42837</v>
      </c>
      <c r="B567" s="116">
        <v>1213.5</v>
      </c>
      <c r="C567" s="116">
        <v>1197.0999999999999</v>
      </c>
      <c r="D567" s="116">
        <v>1190.3</v>
      </c>
      <c r="E567" s="116">
        <v>1209.575</v>
      </c>
      <c r="F567" s="116">
        <v>2394.1999999999998</v>
      </c>
      <c r="G567">
        <v>30762</v>
      </c>
      <c r="H567" s="116"/>
      <c r="I567" s="116"/>
      <c r="L567" s="170">
        <v>42837</v>
      </c>
      <c r="M567" s="116">
        <v>1196.625</v>
      </c>
      <c r="N567" s="116">
        <v>1214</v>
      </c>
      <c r="O567" s="116">
        <v>1191.5</v>
      </c>
      <c r="P567" s="116">
        <v>1211.25</v>
      </c>
      <c r="Q567" s="116">
        <v>2393.25</v>
      </c>
      <c r="R567">
        <v>525269</v>
      </c>
    </row>
    <row r="568" spans="1:18" x14ac:dyDescent="0.25">
      <c r="A568" s="170">
        <v>42838</v>
      </c>
      <c r="B568" s="116">
        <v>1204</v>
      </c>
      <c r="C568" s="116">
        <v>1163.925</v>
      </c>
      <c r="D568" s="116">
        <v>1160.675</v>
      </c>
      <c r="E568" s="116">
        <v>1200</v>
      </c>
      <c r="F568" s="116">
        <v>2327.85</v>
      </c>
      <c r="G568">
        <v>108494</v>
      </c>
      <c r="H568" s="116"/>
      <c r="I568" s="116"/>
      <c r="L568" s="170">
        <v>42838</v>
      </c>
      <c r="M568" s="116">
        <v>1164.325</v>
      </c>
      <c r="N568" s="116">
        <v>1204.5</v>
      </c>
      <c r="O568" s="116">
        <v>1160.5250000000001</v>
      </c>
      <c r="P568" s="116">
        <v>1200</v>
      </c>
      <c r="Q568" s="116">
        <v>2328.65</v>
      </c>
      <c r="R568">
        <v>1250236</v>
      </c>
    </row>
    <row r="569" spans="1:18" x14ac:dyDescent="0.25">
      <c r="A569" s="170">
        <v>42842</v>
      </c>
      <c r="B569" s="116">
        <v>1166.5250000000001</v>
      </c>
      <c r="C569" s="116">
        <v>1160.425</v>
      </c>
      <c r="D569" s="116">
        <v>1150</v>
      </c>
      <c r="E569" s="116">
        <v>1166.25</v>
      </c>
      <c r="F569" s="116">
        <v>2320.85</v>
      </c>
      <c r="G569">
        <v>47801</v>
      </c>
      <c r="H569" s="116"/>
      <c r="I569" s="116"/>
      <c r="L569" s="170">
        <v>42842</v>
      </c>
      <c r="M569" s="116">
        <v>1157.425</v>
      </c>
      <c r="N569" s="116">
        <v>1166.45</v>
      </c>
      <c r="O569" s="116">
        <v>1147.575</v>
      </c>
      <c r="P569" s="116">
        <v>1165.2</v>
      </c>
      <c r="Q569" s="116">
        <v>2314.85</v>
      </c>
      <c r="R569">
        <v>1135441</v>
      </c>
    </row>
    <row r="570" spans="1:18" x14ac:dyDescent="0.25">
      <c r="A570" s="170">
        <v>42843</v>
      </c>
      <c r="B570" s="116">
        <v>1169.4749999999999</v>
      </c>
      <c r="C570" s="116">
        <v>1154.325</v>
      </c>
      <c r="D570" s="116">
        <v>1151.25</v>
      </c>
      <c r="E570" s="116">
        <v>1162.5</v>
      </c>
      <c r="F570" s="116">
        <v>2308.65</v>
      </c>
      <c r="G570">
        <v>77726</v>
      </c>
      <c r="H570" s="116"/>
      <c r="I570" s="116"/>
      <c r="L570" s="170">
        <v>42843</v>
      </c>
      <c r="M570" s="116">
        <v>1154.4000000000001</v>
      </c>
      <c r="N570" s="116">
        <v>1167.0999999999999</v>
      </c>
      <c r="O570" s="116">
        <v>1151.0250000000001</v>
      </c>
      <c r="P570" s="116">
        <v>1165</v>
      </c>
      <c r="Q570" s="116">
        <v>2308.8000000000002</v>
      </c>
      <c r="R570">
        <v>865310</v>
      </c>
    </row>
    <row r="571" spans="1:18" x14ac:dyDescent="0.25">
      <c r="A571" s="170">
        <v>42844</v>
      </c>
      <c r="B571" s="116">
        <v>1174.2249999999999</v>
      </c>
      <c r="C571" s="116">
        <v>1150.875</v>
      </c>
      <c r="D571" s="116">
        <v>1127.5</v>
      </c>
      <c r="E571" s="116">
        <v>1142.5</v>
      </c>
      <c r="F571" s="116">
        <v>2301.75</v>
      </c>
      <c r="G571">
        <v>217145</v>
      </c>
      <c r="H571" s="116"/>
      <c r="I571" s="116"/>
      <c r="L571" s="170">
        <v>42844</v>
      </c>
      <c r="M571" s="116">
        <v>1149.575</v>
      </c>
      <c r="N571" s="116">
        <v>1174.3499999999999</v>
      </c>
      <c r="O571" s="116">
        <v>1126.4000000000001</v>
      </c>
      <c r="P571" s="116">
        <v>1131.75</v>
      </c>
      <c r="Q571" s="116">
        <v>2299.15</v>
      </c>
      <c r="R571">
        <v>2813406</v>
      </c>
    </row>
    <row r="572" spans="1:18" x14ac:dyDescent="0.25">
      <c r="A572" s="170">
        <v>42845</v>
      </c>
      <c r="B572" s="116">
        <v>1167</v>
      </c>
      <c r="C572" s="116">
        <v>1164.175</v>
      </c>
      <c r="D572" s="116">
        <v>1146</v>
      </c>
      <c r="E572" s="116">
        <v>1159.45</v>
      </c>
      <c r="F572" s="116">
        <v>2328.35</v>
      </c>
      <c r="G572">
        <v>60531</v>
      </c>
      <c r="H572" s="116"/>
      <c r="I572" s="116"/>
      <c r="L572" s="170">
        <v>42845</v>
      </c>
      <c r="M572" s="116">
        <v>1162.75</v>
      </c>
      <c r="N572" s="116">
        <v>1166</v>
      </c>
      <c r="O572" s="116">
        <v>1145.4749999999999</v>
      </c>
      <c r="P572" s="116">
        <v>1152.6500000000001</v>
      </c>
      <c r="Q572" s="116">
        <v>2325.5</v>
      </c>
      <c r="R572">
        <v>634421</v>
      </c>
    </row>
    <row r="573" spans="1:18" x14ac:dyDescent="0.25">
      <c r="A573" s="170">
        <v>42846</v>
      </c>
      <c r="B573" s="116">
        <v>1167.7249999999999</v>
      </c>
      <c r="C573" s="116">
        <v>1155.5999999999999</v>
      </c>
      <c r="D573" s="116">
        <v>1150.95</v>
      </c>
      <c r="E573" s="116">
        <v>1165</v>
      </c>
      <c r="F573" s="116">
        <v>2311.1999999999998</v>
      </c>
      <c r="G573">
        <v>23329</v>
      </c>
      <c r="H573" s="116"/>
      <c r="I573" s="116"/>
      <c r="L573" s="170">
        <v>42846</v>
      </c>
      <c r="M573" s="116">
        <v>1155.4000000000001</v>
      </c>
      <c r="N573" s="116">
        <v>1167.825</v>
      </c>
      <c r="O573" s="116">
        <v>1150.5</v>
      </c>
      <c r="P573" s="116">
        <v>1164.55</v>
      </c>
      <c r="Q573" s="116">
        <v>2310.8000000000002</v>
      </c>
      <c r="R573">
        <v>580577</v>
      </c>
    </row>
    <row r="574" spans="1:18" x14ac:dyDescent="0.25">
      <c r="A574" s="170">
        <v>42849</v>
      </c>
      <c r="B574" s="116">
        <v>1168.5250000000001</v>
      </c>
      <c r="C574" s="116">
        <v>1164.55</v>
      </c>
      <c r="D574" s="116">
        <v>1141.95</v>
      </c>
      <c r="E574" s="116">
        <v>1150</v>
      </c>
      <c r="F574" s="116">
        <v>2329.1</v>
      </c>
      <c r="G574">
        <v>54651</v>
      </c>
      <c r="H574" s="116"/>
      <c r="I574" s="116"/>
      <c r="L574" s="170">
        <v>42849</v>
      </c>
      <c r="M574" s="116">
        <v>1164.05</v>
      </c>
      <c r="N574" s="116">
        <v>1169.825</v>
      </c>
      <c r="O574" s="116">
        <v>1141.25</v>
      </c>
      <c r="P574" s="116">
        <v>1150</v>
      </c>
      <c r="Q574" s="116">
        <v>2328.1</v>
      </c>
      <c r="R574">
        <v>1000010</v>
      </c>
    </row>
    <row r="575" spans="1:18" x14ac:dyDescent="0.25">
      <c r="A575" s="170">
        <v>42850</v>
      </c>
      <c r="B575" s="116">
        <v>1171.6500000000001</v>
      </c>
      <c r="C575" s="116">
        <v>1155.6500000000001</v>
      </c>
      <c r="D575" s="116">
        <v>1151.5</v>
      </c>
      <c r="E575" s="116">
        <v>1165.5</v>
      </c>
      <c r="F575" s="116">
        <v>2311.3000000000002</v>
      </c>
      <c r="G575">
        <v>43042</v>
      </c>
      <c r="H575" s="116"/>
      <c r="I575" s="116"/>
      <c r="L575" s="170">
        <v>42850</v>
      </c>
      <c r="M575" s="116">
        <v>1155.75</v>
      </c>
      <c r="N575" s="116">
        <v>1172.2249999999999</v>
      </c>
      <c r="O575" s="116">
        <v>1151.3499999999999</v>
      </c>
      <c r="P575" s="116">
        <v>1164</v>
      </c>
      <c r="Q575" s="116">
        <v>2311.5</v>
      </c>
      <c r="R575">
        <v>1574355</v>
      </c>
    </row>
    <row r="576" spans="1:18" x14ac:dyDescent="0.25">
      <c r="A576" s="170">
        <v>42851</v>
      </c>
      <c r="B576" s="116">
        <v>1170.5</v>
      </c>
      <c r="C576" s="116">
        <v>1155.2249999999999</v>
      </c>
      <c r="D576" s="116">
        <v>1152</v>
      </c>
      <c r="E576" s="116">
        <v>1165.125</v>
      </c>
      <c r="F576" s="116">
        <v>2310.4499999999998</v>
      </c>
      <c r="G576">
        <v>153958</v>
      </c>
      <c r="H576" s="116"/>
      <c r="I576" s="116"/>
      <c r="L576" s="170">
        <v>42851</v>
      </c>
      <c r="M576" s="116">
        <v>1155.175</v>
      </c>
      <c r="N576" s="116">
        <v>1171.9749999999999</v>
      </c>
      <c r="O576" s="116">
        <v>1151.5250000000001</v>
      </c>
      <c r="P576" s="116">
        <v>1170</v>
      </c>
      <c r="Q576" s="116">
        <v>2310.35</v>
      </c>
      <c r="R576">
        <v>1093719</v>
      </c>
    </row>
    <row r="577" spans="1:18" x14ac:dyDescent="0.25">
      <c r="A577" s="170">
        <v>42852</v>
      </c>
      <c r="B577" s="116">
        <v>1164.825</v>
      </c>
      <c r="C577" s="116">
        <v>1150.7</v>
      </c>
      <c r="D577" s="116">
        <v>1142.5250000000001</v>
      </c>
      <c r="E577" s="116">
        <v>1160</v>
      </c>
      <c r="F577" s="116">
        <v>2301.4</v>
      </c>
      <c r="G577">
        <v>158805</v>
      </c>
      <c r="H577" s="116"/>
      <c r="I577" s="116"/>
      <c r="L577" s="170">
        <v>42852</v>
      </c>
      <c r="M577" s="116">
        <v>1151.325</v>
      </c>
      <c r="N577" s="116">
        <v>1163.9000000000001</v>
      </c>
      <c r="O577" s="116">
        <v>1138.825</v>
      </c>
      <c r="P577" s="116">
        <v>1153.0250000000001</v>
      </c>
      <c r="Q577" s="116">
        <v>2302.65</v>
      </c>
      <c r="R577">
        <v>2886593</v>
      </c>
    </row>
    <row r="578" spans="1:18" x14ac:dyDescent="0.25">
      <c r="A578" s="170">
        <v>42853</v>
      </c>
      <c r="B578" s="116">
        <v>1151</v>
      </c>
      <c r="C578" s="116">
        <v>1136.05</v>
      </c>
      <c r="D578" s="116">
        <v>1132.6500000000001</v>
      </c>
      <c r="E578" s="116">
        <v>1150.7</v>
      </c>
      <c r="F578" s="116">
        <v>2272.1</v>
      </c>
      <c r="G578">
        <v>100693</v>
      </c>
      <c r="H578" s="116"/>
      <c r="I578" s="116"/>
      <c r="L578" s="170">
        <v>42853</v>
      </c>
      <c r="M578" s="116">
        <v>1136.575</v>
      </c>
      <c r="N578" s="116">
        <v>1149.375</v>
      </c>
      <c r="O578" s="116">
        <v>1134</v>
      </c>
      <c r="P578" s="116">
        <v>1147</v>
      </c>
      <c r="Q578" s="116">
        <v>2273.15</v>
      </c>
      <c r="R578">
        <v>1270255</v>
      </c>
    </row>
    <row r="579" spans="1:18" x14ac:dyDescent="0.25">
      <c r="A579" s="170">
        <v>42857</v>
      </c>
      <c r="B579" s="116">
        <v>1150.75</v>
      </c>
      <c r="C579" s="116">
        <v>1145.9749999999999</v>
      </c>
      <c r="D579" s="116">
        <v>1140.05</v>
      </c>
      <c r="E579" s="116">
        <v>1148.5</v>
      </c>
      <c r="F579" s="116">
        <v>2291.9499999999998</v>
      </c>
      <c r="G579">
        <v>138870</v>
      </c>
      <c r="H579" s="116"/>
      <c r="I579" s="116"/>
      <c r="L579" s="170">
        <v>42857</v>
      </c>
      <c r="M579" s="116">
        <v>1144.95</v>
      </c>
      <c r="N579" s="116">
        <v>1151</v>
      </c>
      <c r="O579" s="116">
        <v>1140</v>
      </c>
      <c r="P579" s="116">
        <v>1147</v>
      </c>
      <c r="Q579" s="116">
        <v>2289.9</v>
      </c>
      <c r="R579">
        <v>1191348</v>
      </c>
    </row>
    <row r="580" spans="1:18" x14ac:dyDescent="0.25">
      <c r="A580" s="170">
        <v>42858</v>
      </c>
      <c r="B580" s="116">
        <v>1171.75</v>
      </c>
      <c r="C580" s="116">
        <v>1168.7</v>
      </c>
      <c r="D580" s="116">
        <v>1135.7249999999999</v>
      </c>
      <c r="E580" s="116">
        <v>1149.5</v>
      </c>
      <c r="F580" s="116">
        <v>2337.4</v>
      </c>
      <c r="G580">
        <v>127612</v>
      </c>
      <c r="H580" s="116"/>
      <c r="I580" s="116"/>
      <c r="L580" s="170">
        <v>42858</v>
      </c>
      <c r="M580" s="116">
        <v>1168.6500000000001</v>
      </c>
      <c r="N580" s="116">
        <v>1172.5</v>
      </c>
      <c r="O580" s="116">
        <v>1134.25</v>
      </c>
      <c r="P580" s="116">
        <v>1147.5</v>
      </c>
      <c r="Q580" s="116">
        <v>2337.3000000000002</v>
      </c>
      <c r="R580">
        <v>1757203</v>
      </c>
    </row>
    <row r="581" spans="1:18" x14ac:dyDescent="0.25">
      <c r="A581" s="170">
        <v>42859</v>
      </c>
      <c r="B581" s="116">
        <v>1174</v>
      </c>
      <c r="C581" s="116">
        <v>1163.55</v>
      </c>
      <c r="D581" s="116">
        <v>1155.5</v>
      </c>
      <c r="E581" s="116">
        <v>1172.5</v>
      </c>
      <c r="F581" s="116">
        <v>2327.1</v>
      </c>
      <c r="G581">
        <v>334408</v>
      </c>
      <c r="H581" s="116"/>
      <c r="I581" s="116"/>
      <c r="L581" s="170">
        <v>42859</v>
      </c>
      <c r="M581" s="116">
        <v>1165.05</v>
      </c>
      <c r="N581" s="116">
        <v>1175</v>
      </c>
      <c r="O581" s="116">
        <v>1154.4000000000001</v>
      </c>
      <c r="P581" s="116">
        <v>1174.9749999999999</v>
      </c>
      <c r="Q581" s="116">
        <v>2330.1</v>
      </c>
      <c r="R581">
        <v>1354104</v>
      </c>
    </row>
    <row r="582" spans="1:18" x14ac:dyDescent="0.25">
      <c r="A582" s="170">
        <v>42860</v>
      </c>
      <c r="B582" s="116">
        <v>1165.9000000000001</v>
      </c>
      <c r="C582" s="116">
        <v>1159.9749999999999</v>
      </c>
      <c r="D582" s="116">
        <v>1151</v>
      </c>
      <c r="E582" s="116">
        <v>1151</v>
      </c>
      <c r="F582" s="116">
        <v>2319.9499999999998</v>
      </c>
      <c r="G582">
        <v>171537</v>
      </c>
      <c r="H582" s="116"/>
      <c r="I582" s="116"/>
      <c r="L582" s="170">
        <v>42860</v>
      </c>
      <c r="M582" s="116">
        <v>1160.25</v>
      </c>
      <c r="N582" s="116">
        <v>1166.25</v>
      </c>
      <c r="O582" s="116">
        <v>1151.25</v>
      </c>
      <c r="P582" s="116">
        <v>1154</v>
      </c>
      <c r="Q582" s="116">
        <v>2320.5</v>
      </c>
      <c r="R582">
        <v>841237</v>
      </c>
    </row>
    <row r="583" spans="1:18" x14ac:dyDescent="0.25">
      <c r="A583" s="170">
        <v>42863</v>
      </c>
      <c r="B583" s="116">
        <v>1173.45</v>
      </c>
      <c r="C583" s="116">
        <v>1170.95</v>
      </c>
      <c r="D583" s="116">
        <v>1159</v>
      </c>
      <c r="E583" s="116">
        <v>1162.5</v>
      </c>
      <c r="F583" s="116">
        <v>2341.9</v>
      </c>
      <c r="G583">
        <v>34139</v>
      </c>
      <c r="H583" s="116"/>
      <c r="I583" s="116"/>
      <c r="L583" s="170">
        <v>42863</v>
      </c>
      <c r="M583" s="116">
        <v>1171.2249999999999</v>
      </c>
      <c r="N583" s="116">
        <v>1173.7</v>
      </c>
      <c r="O583" s="116">
        <v>1158.8499999999999</v>
      </c>
      <c r="P583" s="116">
        <v>1160.5</v>
      </c>
      <c r="Q583" s="116">
        <v>2342.4499999999998</v>
      </c>
      <c r="R583">
        <v>535891</v>
      </c>
    </row>
    <row r="584" spans="1:18" x14ac:dyDescent="0.25">
      <c r="A584" s="170">
        <v>42864</v>
      </c>
      <c r="B584" s="116">
        <v>1181</v>
      </c>
      <c r="C584" s="116">
        <v>1176.375</v>
      </c>
      <c r="D584" s="116">
        <v>1166.8</v>
      </c>
      <c r="E584" s="116">
        <v>1171.2249999999999</v>
      </c>
      <c r="F584" s="116">
        <v>2352.75</v>
      </c>
      <c r="G584">
        <v>41714</v>
      </c>
      <c r="H584" s="116"/>
      <c r="I584" s="116"/>
      <c r="L584" s="170">
        <v>42864</v>
      </c>
      <c r="M584" s="116">
        <v>1176.2750000000001</v>
      </c>
      <c r="N584" s="116">
        <v>1180.5</v>
      </c>
      <c r="O584" s="116">
        <v>1166.2750000000001</v>
      </c>
      <c r="P584" s="116">
        <v>1171.9749999999999</v>
      </c>
      <c r="Q584" s="116">
        <v>2352.5500000000002</v>
      </c>
      <c r="R584">
        <v>895135</v>
      </c>
    </row>
    <row r="585" spans="1:18" x14ac:dyDescent="0.25">
      <c r="A585" s="170">
        <v>42865</v>
      </c>
      <c r="B585" s="116">
        <v>1178</v>
      </c>
      <c r="C585" s="116">
        <v>1166.25</v>
      </c>
      <c r="D585" s="116">
        <v>1158</v>
      </c>
      <c r="E585" s="116">
        <v>1176.375</v>
      </c>
      <c r="F585" s="116">
        <v>2332.5</v>
      </c>
      <c r="G585">
        <v>35943</v>
      </c>
      <c r="H585" s="116"/>
      <c r="I585" s="116"/>
      <c r="L585" s="170">
        <v>42865</v>
      </c>
      <c r="M585" s="116">
        <v>1166.2249999999999</v>
      </c>
      <c r="N585" s="116">
        <v>1178.075</v>
      </c>
      <c r="O585" s="116">
        <v>1158</v>
      </c>
      <c r="P585" s="116">
        <v>1177.5</v>
      </c>
      <c r="Q585" s="116">
        <v>2332.4499999999998</v>
      </c>
      <c r="R585">
        <v>603194</v>
      </c>
    </row>
    <row r="586" spans="1:18" x14ac:dyDescent="0.25">
      <c r="A586" s="170">
        <v>42866</v>
      </c>
      <c r="B586" s="116">
        <v>1179.825</v>
      </c>
      <c r="C586" s="116">
        <v>1175.625</v>
      </c>
      <c r="D586" s="116">
        <v>1161.8</v>
      </c>
      <c r="E586" s="116">
        <v>1170</v>
      </c>
      <c r="F586" s="116">
        <v>2351.25</v>
      </c>
      <c r="G586">
        <v>32181</v>
      </c>
      <c r="H586" s="116"/>
      <c r="I586" s="116"/>
      <c r="L586" s="170">
        <v>42866</v>
      </c>
      <c r="M586" s="116">
        <v>1174.7249999999999</v>
      </c>
      <c r="N586" s="116">
        <v>1180</v>
      </c>
      <c r="O586" s="116">
        <v>1161.375</v>
      </c>
      <c r="P586" s="116">
        <v>1173.6500000000001</v>
      </c>
      <c r="Q586" s="116">
        <v>2349.4499999999998</v>
      </c>
      <c r="R586">
        <v>1035651</v>
      </c>
    </row>
    <row r="587" spans="1:18" x14ac:dyDescent="0.25">
      <c r="A587" s="170">
        <v>42867</v>
      </c>
      <c r="B587" s="116">
        <v>1184.5</v>
      </c>
      <c r="C587" s="116">
        <v>1179.75</v>
      </c>
      <c r="D587" s="116">
        <v>1161.3499999999999</v>
      </c>
      <c r="E587" s="116">
        <v>1174.5</v>
      </c>
      <c r="F587" s="116">
        <v>2359.5</v>
      </c>
      <c r="G587">
        <v>168383</v>
      </c>
      <c r="H587" s="116"/>
      <c r="I587" s="116"/>
      <c r="L587" s="170">
        <v>42867</v>
      </c>
      <c r="M587" s="116">
        <v>1180.325</v>
      </c>
      <c r="N587" s="116">
        <v>1184.95</v>
      </c>
      <c r="O587" s="116">
        <v>1160.0250000000001</v>
      </c>
      <c r="P587" s="116">
        <v>1171.6500000000001</v>
      </c>
      <c r="Q587" s="116">
        <v>2360.65</v>
      </c>
      <c r="R587">
        <v>1157223</v>
      </c>
    </row>
    <row r="588" spans="1:18" x14ac:dyDescent="0.25">
      <c r="A588" s="170">
        <v>42870</v>
      </c>
      <c r="B588" s="116">
        <v>1187.5</v>
      </c>
      <c r="C588" s="116">
        <v>1182.2</v>
      </c>
      <c r="D588" s="116">
        <v>1170.375</v>
      </c>
      <c r="E588" s="116">
        <v>1182.25</v>
      </c>
      <c r="F588" s="116">
        <v>2364.4</v>
      </c>
      <c r="G588">
        <v>26340</v>
      </c>
      <c r="H588" s="116"/>
      <c r="I588" s="116"/>
      <c r="L588" s="170">
        <v>42870</v>
      </c>
      <c r="M588" s="116">
        <v>1182.55</v>
      </c>
      <c r="N588" s="116">
        <v>1188.9749999999999</v>
      </c>
      <c r="O588" s="116">
        <v>1170.8</v>
      </c>
      <c r="P588" s="116">
        <v>1187.55</v>
      </c>
      <c r="Q588" s="116">
        <v>2365.1</v>
      </c>
      <c r="R588">
        <v>908802</v>
      </c>
    </row>
    <row r="589" spans="1:18" x14ac:dyDescent="0.25">
      <c r="A589" s="170">
        <v>42871</v>
      </c>
      <c r="B589" s="116">
        <v>1217.4000000000001</v>
      </c>
      <c r="C589" s="116">
        <v>1213.625</v>
      </c>
      <c r="D589" s="116">
        <v>1187.75</v>
      </c>
      <c r="E589" s="116">
        <v>1189.3499999999999</v>
      </c>
      <c r="F589" s="116">
        <v>2427.25</v>
      </c>
      <c r="G589">
        <v>589310</v>
      </c>
      <c r="H589" s="116"/>
      <c r="I589" s="116"/>
      <c r="L589" s="170">
        <v>42871</v>
      </c>
      <c r="M589" s="116">
        <v>1214.575</v>
      </c>
      <c r="N589" s="116">
        <v>1217.5</v>
      </c>
      <c r="O589" s="116">
        <v>1186.7249999999999</v>
      </c>
      <c r="P589" s="116">
        <v>1190</v>
      </c>
      <c r="Q589" s="116">
        <v>2429.15</v>
      </c>
      <c r="R589">
        <v>1800513</v>
      </c>
    </row>
    <row r="590" spans="1:18" x14ac:dyDescent="0.25">
      <c r="A590" s="170">
        <v>42872</v>
      </c>
      <c r="B590" s="116">
        <v>1230</v>
      </c>
      <c r="C590" s="116">
        <v>1225.675</v>
      </c>
      <c r="D590" s="116">
        <v>1212</v>
      </c>
      <c r="E590" s="116">
        <v>1215.95</v>
      </c>
      <c r="F590" s="116">
        <v>2451.35</v>
      </c>
      <c r="G590">
        <v>124640</v>
      </c>
      <c r="H590" s="116"/>
      <c r="I590" s="116"/>
      <c r="L590" s="170">
        <v>42872</v>
      </c>
      <c r="M590" s="116">
        <v>1227.675</v>
      </c>
      <c r="N590" s="116">
        <v>1230.375</v>
      </c>
      <c r="O590" s="116">
        <v>1211.5</v>
      </c>
      <c r="P590" s="116">
        <v>1216.75</v>
      </c>
      <c r="Q590" s="116">
        <v>2455.35</v>
      </c>
      <c r="R590">
        <v>1438099</v>
      </c>
    </row>
    <row r="591" spans="1:18" x14ac:dyDescent="0.25">
      <c r="A591" s="170">
        <v>42873</v>
      </c>
      <c r="B591" s="116">
        <v>1282.875</v>
      </c>
      <c r="C591" s="116">
        <v>1267.05</v>
      </c>
      <c r="D591" s="116">
        <v>1221.5250000000001</v>
      </c>
      <c r="E591" s="116">
        <v>1225.5</v>
      </c>
      <c r="F591" s="116">
        <v>2534.1</v>
      </c>
      <c r="G591">
        <v>288156</v>
      </c>
      <c r="H591" s="116"/>
      <c r="I591" s="116"/>
      <c r="L591" s="170">
        <v>42873</v>
      </c>
      <c r="M591" s="116">
        <v>1268.0999999999999</v>
      </c>
      <c r="N591" s="116">
        <v>1286</v>
      </c>
      <c r="O591" s="116">
        <v>1221.125</v>
      </c>
      <c r="P591" s="116">
        <v>1225</v>
      </c>
      <c r="Q591" s="116">
        <v>2536.1999999999998</v>
      </c>
      <c r="R591">
        <v>2569297</v>
      </c>
    </row>
    <row r="592" spans="1:18" x14ac:dyDescent="0.25">
      <c r="A592" s="170">
        <v>42874</v>
      </c>
      <c r="B592" s="116">
        <v>1275</v>
      </c>
      <c r="C592" s="116">
        <v>1253.4000000000001</v>
      </c>
      <c r="D592" s="116">
        <v>1242.5999999999999</v>
      </c>
      <c r="E592" s="116">
        <v>1273</v>
      </c>
      <c r="F592" s="116">
        <v>2506.8000000000002</v>
      </c>
      <c r="G592">
        <v>53123</v>
      </c>
      <c r="H592" s="116"/>
      <c r="I592" s="116"/>
      <c r="L592" s="170">
        <v>42874</v>
      </c>
      <c r="M592" s="116">
        <v>1253.575</v>
      </c>
      <c r="N592" s="116">
        <v>1270.2750000000001</v>
      </c>
      <c r="O592" s="116">
        <v>1243</v>
      </c>
      <c r="P592" s="116">
        <v>1268.0999999999999</v>
      </c>
      <c r="Q592" s="116">
        <v>2507.15</v>
      </c>
      <c r="R592">
        <v>893022</v>
      </c>
    </row>
    <row r="593" spans="1:18" x14ac:dyDescent="0.25">
      <c r="A593" s="170">
        <v>42877</v>
      </c>
      <c r="B593" s="116">
        <v>1275</v>
      </c>
      <c r="C593" s="116">
        <v>1264.6500000000001</v>
      </c>
      <c r="D593" s="116">
        <v>1253.5</v>
      </c>
      <c r="E593" s="116">
        <v>1253.5</v>
      </c>
      <c r="F593" s="116">
        <v>2529.3000000000002</v>
      </c>
      <c r="G593">
        <v>48257</v>
      </c>
      <c r="H593" s="116"/>
      <c r="I593" s="116"/>
      <c r="L593" s="170">
        <v>42877</v>
      </c>
      <c r="M593" s="116">
        <v>1265.675</v>
      </c>
      <c r="N593" s="116">
        <v>1276.875</v>
      </c>
      <c r="O593" s="116">
        <v>1255</v>
      </c>
      <c r="P593" s="116">
        <v>1255</v>
      </c>
      <c r="Q593" s="116">
        <v>2531.35</v>
      </c>
      <c r="R593">
        <v>831970</v>
      </c>
    </row>
    <row r="594" spans="1:18" x14ac:dyDescent="0.25">
      <c r="A594" s="170">
        <v>42878</v>
      </c>
      <c r="B594" s="116">
        <v>1280.3</v>
      </c>
      <c r="C594" s="116">
        <v>1260.2249999999999</v>
      </c>
      <c r="D594" s="116">
        <v>1257</v>
      </c>
      <c r="E594" s="116">
        <v>1264.75</v>
      </c>
      <c r="F594" s="116">
        <v>2520.4499999999998</v>
      </c>
      <c r="G594">
        <v>49589</v>
      </c>
      <c r="H594" s="116"/>
      <c r="I594" s="116"/>
      <c r="L594" s="170">
        <v>42878</v>
      </c>
      <c r="M594" s="116">
        <v>1260.8499999999999</v>
      </c>
      <c r="N594" s="116">
        <v>1282.075</v>
      </c>
      <c r="O594" s="116">
        <v>1257</v>
      </c>
      <c r="P594" s="116">
        <v>1266.5999999999999</v>
      </c>
      <c r="Q594" s="116">
        <v>2521.6999999999998</v>
      </c>
      <c r="R594">
        <v>1374298</v>
      </c>
    </row>
    <row r="595" spans="1:18" x14ac:dyDescent="0.25">
      <c r="A595" s="170">
        <v>42879</v>
      </c>
      <c r="B595" s="116">
        <v>1285</v>
      </c>
      <c r="C595" s="116">
        <v>1278.9000000000001</v>
      </c>
      <c r="D595" s="116">
        <v>1261.2249999999999</v>
      </c>
      <c r="E595" s="116">
        <v>1261.2249999999999</v>
      </c>
      <c r="F595" s="116">
        <v>2557.8000000000002</v>
      </c>
      <c r="G595">
        <v>137191</v>
      </c>
      <c r="H595" s="116"/>
      <c r="I595" s="116"/>
      <c r="L595" s="170">
        <v>42879</v>
      </c>
      <c r="M595" s="116">
        <v>1279.575</v>
      </c>
      <c r="N595" s="116">
        <v>1285</v>
      </c>
      <c r="O595" s="116">
        <v>1264.825</v>
      </c>
      <c r="P595" s="116">
        <v>1267.4000000000001</v>
      </c>
      <c r="Q595" s="116">
        <v>2559.15</v>
      </c>
      <c r="R595">
        <v>1267274</v>
      </c>
    </row>
    <row r="596" spans="1:18" x14ac:dyDescent="0.25">
      <c r="A596" s="170">
        <v>42880</v>
      </c>
      <c r="B596" s="116">
        <v>1316.5</v>
      </c>
      <c r="C596" s="116">
        <v>1309.9749999999999</v>
      </c>
      <c r="D596" s="116">
        <v>1283.7750000000001</v>
      </c>
      <c r="E596" s="116">
        <v>1286</v>
      </c>
      <c r="F596" s="116">
        <v>2619.9499999999998</v>
      </c>
      <c r="G596">
        <v>395469</v>
      </c>
      <c r="H596" s="116"/>
      <c r="I596" s="116"/>
      <c r="L596" s="170">
        <v>42880</v>
      </c>
      <c r="M596" s="116">
        <v>1312.3</v>
      </c>
      <c r="N596" s="116">
        <v>1318.7750000000001</v>
      </c>
      <c r="O596" s="116">
        <v>1284</v>
      </c>
      <c r="P596" s="116">
        <v>1288.5</v>
      </c>
      <c r="Q596" s="116">
        <v>2624.6</v>
      </c>
      <c r="R596">
        <v>2047047</v>
      </c>
    </row>
    <row r="597" spans="1:18" x14ac:dyDescent="0.25">
      <c r="A597" s="170">
        <v>42881</v>
      </c>
      <c r="B597" s="116">
        <v>1318</v>
      </c>
      <c r="C597" s="116">
        <v>1289.6500000000001</v>
      </c>
      <c r="D597" s="116">
        <v>1285.5250000000001</v>
      </c>
      <c r="E597" s="116">
        <v>1312</v>
      </c>
      <c r="F597" s="116">
        <v>2579.3000000000002</v>
      </c>
      <c r="G597">
        <v>346966</v>
      </c>
      <c r="H597" s="116"/>
      <c r="I597" s="116"/>
      <c r="L597" s="170">
        <v>42881</v>
      </c>
      <c r="M597" s="116">
        <v>1289.125</v>
      </c>
      <c r="N597" s="116">
        <v>1313.425</v>
      </c>
      <c r="O597" s="116">
        <v>1282.325</v>
      </c>
      <c r="P597" s="116">
        <v>1312.5</v>
      </c>
      <c r="Q597" s="116">
        <v>2578.25</v>
      </c>
      <c r="R597">
        <v>681275</v>
      </c>
    </row>
    <row r="598" spans="1:18" x14ac:dyDescent="0.25">
      <c r="A598" s="170">
        <v>42884</v>
      </c>
      <c r="B598" s="116">
        <v>1297.925</v>
      </c>
      <c r="C598" s="116">
        <v>1285.75</v>
      </c>
      <c r="D598" s="116">
        <v>1281.1500000000001</v>
      </c>
      <c r="E598" s="116">
        <v>1289.5</v>
      </c>
      <c r="F598" s="116">
        <v>2571.5</v>
      </c>
      <c r="G598">
        <v>50066</v>
      </c>
      <c r="H598" s="116"/>
      <c r="I598" s="116"/>
      <c r="L598" s="170">
        <v>42884</v>
      </c>
      <c r="M598" s="116">
        <v>1286.425</v>
      </c>
      <c r="N598" s="116">
        <v>1298.25</v>
      </c>
      <c r="O598" s="116">
        <v>1282</v>
      </c>
      <c r="P598" s="116">
        <v>1289.5</v>
      </c>
      <c r="Q598" s="116">
        <v>2572.85</v>
      </c>
      <c r="R598">
        <v>874645</v>
      </c>
    </row>
    <row r="599" spans="1:18" x14ac:dyDescent="0.25">
      <c r="A599" s="170">
        <v>42885</v>
      </c>
      <c r="B599" s="116">
        <v>1287.5</v>
      </c>
      <c r="C599" s="116">
        <v>1275.8499999999999</v>
      </c>
      <c r="D599" s="116">
        <v>1262.8</v>
      </c>
      <c r="E599" s="116">
        <v>1286.425</v>
      </c>
      <c r="F599" s="116">
        <v>2551.6999999999998</v>
      </c>
      <c r="G599">
        <v>48794</v>
      </c>
      <c r="H599" s="116"/>
      <c r="I599" s="116"/>
      <c r="L599" s="170">
        <v>42885</v>
      </c>
      <c r="M599" s="116">
        <v>1275.55</v>
      </c>
      <c r="N599" s="116">
        <v>1287.9749999999999</v>
      </c>
      <c r="O599" s="116">
        <v>1262.5</v>
      </c>
      <c r="P599" s="116">
        <v>1280</v>
      </c>
      <c r="Q599" s="116">
        <v>2551.1</v>
      </c>
      <c r="R599">
        <v>463817</v>
      </c>
    </row>
    <row r="600" spans="1:18" x14ac:dyDescent="0.25">
      <c r="A600" s="170">
        <v>42886</v>
      </c>
      <c r="B600" s="116">
        <v>1285.7750000000001</v>
      </c>
      <c r="C600" s="116">
        <v>1272.175</v>
      </c>
      <c r="D600" s="116">
        <v>1264.5250000000001</v>
      </c>
      <c r="E600" s="116">
        <v>1265.5</v>
      </c>
      <c r="F600" s="116">
        <v>2544.35</v>
      </c>
      <c r="G600">
        <v>50116</v>
      </c>
      <c r="H600" s="116"/>
      <c r="I600" s="116"/>
      <c r="L600" s="170">
        <v>42886</v>
      </c>
      <c r="M600" s="116">
        <v>1273.3</v>
      </c>
      <c r="N600" s="116">
        <v>1286.25</v>
      </c>
      <c r="O600" s="116">
        <v>1264</v>
      </c>
      <c r="P600" s="116">
        <v>1266.5</v>
      </c>
      <c r="Q600" s="116">
        <v>2546.6</v>
      </c>
      <c r="R600">
        <v>1251365</v>
      </c>
    </row>
    <row r="601" spans="1:18" x14ac:dyDescent="0.25">
      <c r="A601" s="170">
        <v>42887</v>
      </c>
      <c r="B601" s="116">
        <v>1281.0999999999999</v>
      </c>
      <c r="C601" s="116">
        <v>1275.425</v>
      </c>
      <c r="D601" s="116">
        <v>1265</v>
      </c>
      <c r="E601" s="116">
        <v>1265</v>
      </c>
      <c r="F601" s="116">
        <v>2550.85</v>
      </c>
      <c r="G601">
        <v>47144</v>
      </c>
      <c r="H601" s="116"/>
      <c r="I601" s="116"/>
      <c r="L601" s="170">
        <v>42887</v>
      </c>
      <c r="M601" s="116">
        <v>1276.8</v>
      </c>
      <c r="N601" s="116">
        <v>1282</v>
      </c>
      <c r="O601" s="116">
        <v>1265</v>
      </c>
      <c r="P601" s="116">
        <v>1265</v>
      </c>
      <c r="Q601" s="116">
        <v>2553.6</v>
      </c>
      <c r="R601">
        <v>540032</v>
      </c>
    </row>
    <row r="602" spans="1:18" x14ac:dyDescent="0.25">
      <c r="A602" s="170">
        <v>42888</v>
      </c>
      <c r="B602" s="116">
        <v>1294.5</v>
      </c>
      <c r="C602" s="116">
        <v>1280.925</v>
      </c>
      <c r="D602" s="116">
        <v>1271.125</v>
      </c>
      <c r="E602" s="116">
        <v>1271.125</v>
      </c>
      <c r="F602" s="116">
        <v>2561.85</v>
      </c>
      <c r="G602">
        <v>41968</v>
      </c>
      <c r="H602" s="116"/>
      <c r="I602" s="116"/>
      <c r="L602" s="170">
        <v>42888</v>
      </c>
      <c r="M602" s="116">
        <v>1282.45</v>
      </c>
      <c r="N602" s="116">
        <v>1295.925</v>
      </c>
      <c r="O602" s="116">
        <v>1276.25</v>
      </c>
      <c r="P602" s="116">
        <v>1278.125</v>
      </c>
      <c r="Q602" s="116">
        <v>2564.9</v>
      </c>
      <c r="R602">
        <v>677824</v>
      </c>
    </row>
    <row r="603" spans="1:18" x14ac:dyDescent="0.25">
      <c r="A603" s="170">
        <v>42891</v>
      </c>
      <c r="B603" s="116">
        <v>1310</v>
      </c>
      <c r="C603" s="116">
        <v>1300.5250000000001</v>
      </c>
      <c r="D603" s="116">
        <v>1280</v>
      </c>
      <c r="E603" s="116">
        <v>1282.5</v>
      </c>
      <c r="F603" s="116">
        <v>2601.0500000000002</v>
      </c>
      <c r="G603">
        <v>72209</v>
      </c>
      <c r="H603" s="116"/>
      <c r="I603" s="116"/>
      <c r="L603" s="170">
        <v>42891</v>
      </c>
      <c r="M603" s="116">
        <v>1301.9749999999999</v>
      </c>
      <c r="N603" s="116">
        <v>1309.95</v>
      </c>
      <c r="O603" s="116">
        <v>1280.075</v>
      </c>
      <c r="P603" s="116">
        <v>1282.5</v>
      </c>
      <c r="Q603" s="116">
        <v>2603.9499999999998</v>
      </c>
      <c r="R603">
        <v>750094</v>
      </c>
    </row>
    <row r="604" spans="1:18" x14ac:dyDescent="0.25">
      <c r="A604" s="170">
        <v>42892</v>
      </c>
      <c r="B604" s="116">
        <v>1353.7</v>
      </c>
      <c r="C604" s="116">
        <v>1347.7</v>
      </c>
      <c r="D604" s="116">
        <v>1315</v>
      </c>
      <c r="E604" s="116">
        <v>1322</v>
      </c>
      <c r="F604" s="116">
        <v>2695.4</v>
      </c>
      <c r="G604">
        <v>153692</v>
      </c>
      <c r="H604" s="116"/>
      <c r="I604" s="116"/>
      <c r="L604" s="170">
        <v>42892</v>
      </c>
      <c r="M604" s="116">
        <v>1348</v>
      </c>
      <c r="N604" s="116">
        <v>1354.4749999999999</v>
      </c>
      <c r="O604" s="116">
        <v>1315</v>
      </c>
      <c r="P604" s="116">
        <v>1315.5</v>
      </c>
      <c r="Q604" s="116">
        <v>2696</v>
      </c>
      <c r="R604">
        <v>2973360</v>
      </c>
    </row>
    <row r="605" spans="1:18" x14ac:dyDescent="0.25">
      <c r="A605" s="170">
        <v>42893</v>
      </c>
      <c r="B605" s="116">
        <v>1350</v>
      </c>
      <c r="C605" s="116">
        <v>1307.675</v>
      </c>
      <c r="D605" s="116">
        <v>1290.5</v>
      </c>
      <c r="E605" s="116">
        <v>1350</v>
      </c>
      <c r="F605" s="116">
        <v>2615.35</v>
      </c>
      <c r="G605">
        <v>195399</v>
      </c>
      <c r="H605" s="116"/>
      <c r="I605" s="116"/>
      <c r="L605" s="170">
        <v>42893</v>
      </c>
      <c r="M605" s="116">
        <v>1307.625</v>
      </c>
      <c r="N605" s="116">
        <v>1350</v>
      </c>
      <c r="O605" s="116">
        <v>1288.2750000000001</v>
      </c>
      <c r="P605" s="116">
        <v>1348.5</v>
      </c>
      <c r="Q605" s="116">
        <v>2615.25</v>
      </c>
      <c r="R605">
        <v>2463888</v>
      </c>
    </row>
    <row r="606" spans="1:18" x14ac:dyDescent="0.25">
      <c r="A606" s="170">
        <v>42894</v>
      </c>
      <c r="B606" s="116">
        <v>1305</v>
      </c>
      <c r="C606" s="116">
        <v>1260.75</v>
      </c>
      <c r="D606" s="116">
        <v>1258.8499999999999</v>
      </c>
      <c r="E606" s="116">
        <v>1305</v>
      </c>
      <c r="F606" s="116">
        <v>2521.5</v>
      </c>
      <c r="G606">
        <v>181203</v>
      </c>
      <c r="H606" s="116"/>
      <c r="I606" s="116"/>
      <c r="L606" s="170">
        <v>42894</v>
      </c>
      <c r="M606" s="116">
        <v>1260.8</v>
      </c>
      <c r="N606" s="116">
        <v>1302.4749999999999</v>
      </c>
      <c r="O606" s="116">
        <v>1257.75</v>
      </c>
      <c r="P606" s="116">
        <v>1299</v>
      </c>
      <c r="Q606" s="116">
        <v>2521.6</v>
      </c>
      <c r="R606">
        <v>1665357</v>
      </c>
    </row>
    <row r="607" spans="1:18" x14ac:dyDescent="0.25">
      <c r="A607" s="170">
        <v>42895</v>
      </c>
      <c r="B607" s="116">
        <v>1272.75</v>
      </c>
      <c r="C607" s="116">
        <v>1255.125</v>
      </c>
      <c r="D607" s="116">
        <v>1244.5</v>
      </c>
      <c r="E607" s="116">
        <v>1258</v>
      </c>
      <c r="F607" s="116">
        <v>2510.25</v>
      </c>
      <c r="G607">
        <v>102892</v>
      </c>
      <c r="H607" s="116"/>
      <c r="I607" s="116"/>
      <c r="L607" s="170">
        <v>42895</v>
      </c>
      <c r="M607" s="116">
        <v>1253.5</v>
      </c>
      <c r="N607" s="116">
        <v>1273.7</v>
      </c>
      <c r="O607" s="116">
        <v>1243</v>
      </c>
      <c r="P607" s="116">
        <v>1260</v>
      </c>
      <c r="Q607" s="116">
        <v>2507</v>
      </c>
      <c r="R607">
        <v>1574017</v>
      </c>
    </row>
    <row r="608" spans="1:18" x14ac:dyDescent="0.25">
      <c r="A608" s="170">
        <v>42898</v>
      </c>
      <c r="B608" s="116">
        <v>1257</v>
      </c>
      <c r="C608" s="116">
        <v>1244.95</v>
      </c>
      <c r="D608" s="116">
        <v>1236.2</v>
      </c>
      <c r="E608" s="116">
        <v>1250</v>
      </c>
      <c r="F608" s="116">
        <v>2489.9</v>
      </c>
      <c r="G608">
        <v>837196</v>
      </c>
      <c r="H608" s="116"/>
      <c r="I608" s="116"/>
      <c r="L608" s="170">
        <v>42898</v>
      </c>
      <c r="M608" s="116">
        <v>1243.5999999999999</v>
      </c>
      <c r="N608" s="116">
        <v>1256.45</v>
      </c>
      <c r="O608" s="116">
        <v>1235.2</v>
      </c>
      <c r="P608" s="116">
        <v>1248.5</v>
      </c>
      <c r="Q608" s="116">
        <v>2487.1999999999998</v>
      </c>
      <c r="R608">
        <v>813253</v>
      </c>
    </row>
    <row r="609" spans="1:18" x14ac:dyDescent="0.25">
      <c r="A609" s="170">
        <v>42899</v>
      </c>
      <c r="B609" s="116">
        <v>1241.2249999999999</v>
      </c>
      <c r="C609" s="116">
        <v>1226.7</v>
      </c>
      <c r="D609" s="116">
        <v>1225</v>
      </c>
      <c r="E609" s="116">
        <v>1233.125</v>
      </c>
      <c r="F609" s="116">
        <v>2453.4</v>
      </c>
      <c r="G609">
        <v>58017</v>
      </c>
      <c r="H609" s="116"/>
      <c r="I609" s="116"/>
      <c r="L609" s="170">
        <v>42899</v>
      </c>
      <c r="M609" s="116">
        <v>1225.7750000000001</v>
      </c>
      <c r="N609" s="116">
        <v>1240.55</v>
      </c>
      <c r="O609" s="116">
        <v>1223.5</v>
      </c>
      <c r="P609" s="116">
        <v>1232.5</v>
      </c>
      <c r="Q609" s="116">
        <v>2451.5500000000002</v>
      </c>
      <c r="R609">
        <v>587707</v>
      </c>
    </row>
    <row r="610" spans="1:18" x14ac:dyDescent="0.25">
      <c r="A610" s="170">
        <v>42900</v>
      </c>
      <c r="B610" s="116">
        <v>1238.5</v>
      </c>
      <c r="C610" s="116">
        <v>1235.4000000000001</v>
      </c>
      <c r="D610" s="116">
        <v>1225.0250000000001</v>
      </c>
      <c r="E610" s="116">
        <v>1225.0250000000001</v>
      </c>
      <c r="F610" s="116">
        <v>2470.8000000000002</v>
      </c>
      <c r="G610">
        <v>63778</v>
      </c>
      <c r="H610" s="116"/>
      <c r="I610" s="116"/>
      <c r="L610" s="170">
        <v>42900</v>
      </c>
      <c r="M610" s="116">
        <v>1235.0999999999999</v>
      </c>
      <c r="N610" s="116">
        <v>1238</v>
      </c>
      <c r="O610" s="116">
        <v>1227.5</v>
      </c>
      <c r="P610" s="116">
        <v>1227.5</v>
      </c>
      <c r="Q610" s="116">
        <v>2470.1999999999998</v>
      </c>
      <c r="R610">
        <v>744571</v>
      </c>
    </row>
    <row r="611" spans="1:18" x14ac:dyDescent="0.25">
      <c r="A611" s="170">
        <v>42901</v>
      </c>
      <c r="B611" s="116">
        <v>1234.9749999999999</v>
      </c>
      <c r="C611" s="116">
        <v>1205.55</v>
      </c>
      <c r="D611" s="116">
        <v>1203.0250000000001</v>
      </c>
      <c r="E611" s="116">
        <v>1232.5250000000001</v>
      </c>
      <c r="F611" s="116">
        <v>2411.1</v>
      </c>
      <c r="G611">
        <v>77680</v>
      </c>
      <c r="H611" s="116"/>
      <c r="I611" s="116"/>
      <c r="L611" s="170">
        <v>42901</v>
      </c>
      <c r="M611" s="116">
        <v>1205.5999999999999</v>
      </c>
      <c r="N611" s="116">
        <v>1234.8499999999999</v>
      </c>
      <c r="O611" s="116">
        <v>1202.5</v>
      </c>
      <c r="P611" s="116">
        <v>1234.5</v>
      </c>
      <c r="Q611" s="116">
        <v>2411.1999999999998</v>
      </c>
      <c r="R611">
        <v>1498599</v>
      </c>
    </row>
    <row r="612" spans="1:18" x14ac:dyDescent="0.25">
      <c r="A612" s="170">
        <v>42902</v>
      </c>
      <c r="B612" s="116">
        <v>1217.45</v>
      </c>
      <c r="C612" s="116">
        <v>1198.7249999999999</v>
      </c>
      <c r="D612" s="116">
        <v>1194.75</v>
      </c>
      <c r="E612" s="116">
        <v>1205.55</v>
      </c>
      <c r="F612" s="116">
        <v>2397.4499999999998</v>
      </c>
      <c r="G612">
        <v>72810</v>
      </c>
      <c r="H612" s="116"/>
      <c r="I612" s="116"/>
      <c r="L612" s="170">
        <v>42902</v>
      </c>
      <c r="M612" s="116">
        <v>1199.8499999999999</v>
      </c>
      <c r="N612" s="116">
        <v>1217.5</v>
      </c>
      <c r="O612" s="116">
        <v>1193.25</v>
      </c>
      <c r="P612" s="116">
        <v>1207.4749999999999</v>
      </c>
      <c r="Q612" s="116">
        <v>2399.6999999999998</v>
      </c>
      <c r="R612">
        <v>1225213</v>
      </c>
    </row>
    <row r="613" spans="1:18" x14ac:dyDescent="0.25">
      <c r="A613" s="170">
        <v>42905</v>
      </c>
      <c r="B613" s="116">
        <v>1221.425</v>
      </c>
      <c r="C613" s="116">
        <v>1215.95</v>
      </c>
      <c r="D613" s="116">
        <v>1203.2750000000001</v>
      </c>
      <c r="E613" s="116">
        <v>1204.25</v>
      </c>
      <c r="F613" s="116">
        <v>2431.9</v>
      </c>
      <c r="G613">
        <v>48128</v>
      </c>
      <c r="H613" s="116"/>
      <c r="I613" s="116"/>
      <c r="L613" s="170">
        <v>42905</v>
      </c>
      <c r="M613" s="116">
        <v>1215.8499999999999</v>
      </c>
      <c r="N613" s="116">
        <v>1223.175</v>
      </c>
      <c r="O613" s="116">
        <v>1202.575</v>
      </c>
      <c r="P613" s="116">
        <v>1208.45</v>
      </c>
      <c r="Q613" s="116">
        <v>2431.6999999999998</v>
      </c>
      <c r="R613">
        <v>822371</v>
      </c>
    </row>
    <row r="614" spans="1:18" x14ac:dyDescent="0.25">
      <c r="A614" s="170">
        <v>42906</v>
      </c>
      <c r="B614" s="116">
        <v>1222.5</v>
      </c>
      <c r="C614" s="116">
        <v>1220.75</v>
      </c>
      <c r="D614" s="116">
        <v>1191.55</v>
      </c>
      <c r="E614" s="116">
        <v>1214.9749999999999</v>
      </c>
      <c r="F614" s="116">
        <v>2441.5</v>
      </c>
      <c r="G614">
        <v>39445</v>
      </c>
      <c r="H614" s="116"/>
      <c r="I614" s="116"/>
      <c r="L614" s="170">
        <v>42906</v>
      </c>
      <c r="M614" s="116">
        <v>1222.5</v>
      </c>
      <c r="N614" s="116">
        <v>1224.5</v>
      </c>
      <c r="O614" s="116">
        <v>1190.1500000000001</v>
      </c>
      <c r="P614" s="116">
        <v>1215.5</v>
      </c>
      <c r="Q614" s="116">
        <v>2445</v>
      </c>
      <c r="R614">
        <v>835479</v>
      </c>
    </row>
    <row r="615" spans="1:18" x14ac:dyDescent="0.25">
      <c r="A615" s="170">
        <v>42907</v>
      </c>
      <c r="B615" s="116">
        <v>1220.5</v>
      </c>
      <c r="C615" s="116">
        <v>1203.0250000000001</v>
      </c>
      <c r="D615" s="116">
        <v>1199</v>
      </c>
      <c r="E615" s="116">
        <v>1220.5</v>
      </c>
      <c r="F615" s="116">
        <v>2406.0500000000002</v>
      </c>
      <c r="G615">
        <v>46130</v>
      </c>
      <c r="H615" s="116"/>
      <c r="I615" s="116"/>
      <c r="L615" s="170">
        <v>42907</v>
      </c>
      <c r="M615" s="116">
        <v>1203.1500000000001</v>
      </c>
      <c r="N615" s="116">
        <v>1221.075</v>
      </c>
      <c r="O615" s="116">
        <v>1198.5999999999999</v>
      </c>
      <c r="P615" s="116">
        <v>1220</v>
      </c>
      <c r="Q615" s="116">
        <v>2406.3000000000002</v>
      </c>
      <c r="R615">
        <v>828909</v>
      </c>
    </row>
    <row r="616" spans="1:18" x14ac:dyDescent="0.25">
      <c r="A616" s="170">
        <v>42908</v>
      </c>
      <c r="B616" s="116">
        <v>1215.05</v>
      </c>
      <c r="C616" s="116">
        <v>1197.875</v>
      </c>
      <c r="D616" s="116">
        <v>1194.45</v>
      </c>
      <c r="E616" s="116">
        <v>1205</v>
      </c>
      <c r="F616" s="116">
        <v>2395.75</v>
      </c>
      <c r="G616">
        <v>57759</v>
      </c>
      <c r="H616" s="116"/>
      <c r="I616" s="116"/>
      <c r="L616" s="170">
        <v>42908</v>
      </c>
      <c r="M616" s="116">
        <v>1197.425</v>
      </c>
      <c r="N616" s="116">
        <v>1215.5</v>
      </c>
      <c r="O616" s="116">
        <v>1192.5</v>
      </c>
      <c r="P616" s="116">
        <v>1204.5</v>
      </c>
      <c r="Q616" s="116">
        <v>2394.85</v>
      </c>
      <c r="R616">
        <v>2887941</v>
      </c>
    </row>
    <row r="617" spans="1:18" x14ac:dyDescent="0.25">
      <c r="A617" s="170">
        <v>42909</v>
      </c>
      <c r="B617" s="116">
        <v>1206.5</v>
      </c>
      <c r="C617" s="116">
        <v>1180.325</v>
      </c>
      <c r="D617" s="116">
        <v>1176.5</v>
      </c>
      <c r="E617" s="116">
        <v>1201.5</v>
      </c>
      <c r="F617" s="116">
        <v>2360.65</v>
      </c>
      <c r="G617">
        <v>46733</v>
      </c>
      <c r="H617" s="116"/>
      <c r="I617" s="116"/>
      <c r="L617" s="170">
        <v>42909</v>
      </c>
      <c r="M617" s="116">
        <v>1180.8499999999999</v>
      </c>
      <c r="N617" s="116">
        <v>1206.9749999999999</v>
      </c>
      <c r="O617" s="116">
        <v>1177</v>
      </c>
      <c r="P617" s="116">
        <v>1199.7</v>
      </c>
      <c r="Q617" s="116">
        <v>2361.6999999999998</v>
      </c>
      <c r="R617">
        <v>712378</v>
      </c>
    </row>
    <row r="618" spans="1:18" x14ac:dyDescent="0.25">
      <c r="A618" s="170">
        <v>42913</v>
      </c>
      <c r="B618" s="116">
        <v>1193.175</v>
      </c>
      <c r="C618" s="116">
        <v>1172.95</v>
      </c>
      <c r="D618" s="116">
        <v>1167.5</v>
      </c>
      <c r="E618" s="116">
        <v>1179.375</v>
      </c>
      <c r="F618" s="116">
        <v>2345.9</v>
      </c>
      <c r="G618">
        <v>47798</v>
      </c>
      <c r="H618" s="116"/>
      <c r="I618" s="116"/>
      <c r="L618" s="170">
        <v>42913</v>
      </c>
      <c r="M618" s="116">
        <v>1171.425</v>
      </c>
      <c r="N618" s="116">
        <v>1192.3499999999999</v>
      </c>
      <c r="O618" s="116">
        <v>1165.8</v>
      </c>
      <c r="P618" s="116">
        <v>1175.3</v>
      </c>
      <c r="Q618" s="116">
        <v>2342.85</v>
      </c>
      <c r="R618">
        <v>987165</v>
      </c>
    </row>
    <row r="619" spans="1:18" x14ac:dyDescent="0.25">
      <c r="A619" s="170">
        <v>42914</v>
      </c>
      <c r="B619" s="116">
        <v>1179.1500000000001</v>
      </c>
      <c r="C619" s="116">
        <v>1175.5999999999999</v>
      </c>
      <c r="D619" s="116">
        <v>1167.575</v>
      </c>
      <c r="E619" s="116">
        <v>1172.5</v>
      </c>
      <c r="F619" s="116">
        <v>2351.1999999999998</v>
      </c>
      <c r="G619">
        <v>41424</v>
      </c>
      <c r="H619" s="116"/>
      <c r="I619" s="116"/>
      <c r="L619" s="170">
        <v>42914</v>
      </c>
      <c r="M619" s="116">
        <v>1175.0250000000001</v>
      </c>
      <c r="N619" s="116">
        <v>1179</v>
      </c>
      <c r="O619" s="116">
        <v>1167.5</v>
      </c>
      <c r="P619" s="116">
        <v>1174.95</v>
      </c>
      <c r="Q619" s="116">
        <v>2350.0500000000002</v>
      </c>
      <c r="R619">
        <v>894863</v>
      </c>
    </row>
    <row r="620" spans="1:18" x14ac:dyDescent="0.25">
      <c r="A620" s="170">
        <v>42915</v>
      </c>
      <c r="B620" s="116">
        <v>1185.4000000000001</v>
      </c>
      <c r="C620" s="116">
        <v>1167.325</v>
      </c>
      <c r="D620" s="116">
        <v>1162.5</v>
      </c>
      <c r="E620" s="116">
        <v>1176.5</v>
      </c>
      <c r="F620" s="116">
        <v>2334.65</v>
      </c>
      <c r="G620">
        <v>40484</v>
      </c>
      <c r="H620" s="116"/>
      <c r="I620" s="116"/>
      <c r="L620" s="170">
        <v>42915</v>
      </c>
      <c r="M620" s="116">
        <v>1166.625</v>
      </c>
      <c r="N620" s="116">
        <v>1186.0250000000001</v>
      </c>
      <c r="O620" s="116">
        <v>1161.55</v>
      </c>
      <c r="P620" s="116">
        <v>1179.5</v>
      </c>
      <c r="Q620" s="116">
        <v>2333.25</v>
      </c>
      <c r="R620">
        <v>1235913</v>
      </c>
    </row>
    <row r="621" spans="1:18" x14ac:dyDescent="0.25">
      <c r="A621" s="170">
        <v>42916</v>
      </c>
      <c r="B621" s="116">
        <v>1188.925</v>
      </c>
      <c r="C621" s="116">
        <v>1182.175</v>
      </c>
      <c r="D621" s="116">
        <v>1163</v>
      </c>
      <c r="E621" s="116">
        <v>1165</v>
      </c>
      <c r="F621" s="116">
        <v>2364.35</v>
      </c>
      <c r="G621">
        <v>54736</v>
      </c>
      <c r="H621" s="116"/>
      <c r="I621" s="116"/>
      <c r="L621" s="170">
        <v>42916</v>
      </c>
      <c r="M621" s="116">
        <v>1181.175</v>
      </c>
      <c r="N621" s="116">
        <v>1188.5</v>
      </c>
      <c r="O621" s="116">
        <v>1161.55</v>
      </c>
      <c r="P621" s="116">
        <v>1162.2</v>
      </c>
      <c r="Q621" s="116">
        <v>2362.35</v>
      </c>
      <c r="R621">
        <v>876924</v>
      </c>
    </row>
    <row r="622" spans="1:18" x14ac:dyDescent="0.25">
      <c r="A622" s="170">
        <v>42919</v>
      </c>
      <c r="B622" s="116">
        <v>1191.4749999999999</v>
      </c>
      <c r="C622" s="116">
        <v>1186.7</v>
      </c>
      <c r="D622" s="116">
        <v>1172.75</v>
      </c>
      <c r="E622" s="116">
        <v>1182</v>
      </c>
      <c r="F622" s="116">
        <v>2373.4</v>
      </c>
      <c r="G622">
        <v>36183</v>
      </c>
      <c r="H622" s="116"/>
      <c r="I622" s="116"/>
      <c r="L622" s="170">
        <v>42919</v>
      </c>
      <c r="M622" s="116">
        <v>1186.8</v>
      </c>
      <c r="N622" s="116">
        <v>1191.5250000000001</v>
      </c>
      <c r="O622" s="116">
        <v>1171.55</v>
      </c>
      <c r="P622" s="116">
        <v>1178.7</v>
      </c>
      <c r="Q622" s="116">
        <v>2373.6</v>
      </c>
      <c r="R622">
        <v>737978</v>
      </c>
    </row>
    <row r="623" spans="1:18" x14ac:dyDescent="0.25">
      <c r="A623" s="170">
        <v>42920</v>
      </c>
      <c r="B623" s="116">
        <v>1190.7</v>
      </c>
      <c r="C623" s="116">
        <v>1182</v>
      </c>
      <c r="D623" s="116">
        <v>1175.55</v>
      </c>
      <c r="E623" s="116">
        <v>1186.7</v>
      </c>
      <c r="F623" s="116">
        <v>2364</v>
      </c>
      <c r="G623">
        <v>28089</v>
      </c>
      <c r="H623" s="116"/>
      <c r="I623" s="116"/>
      <c r="L623" s="170">
        <v>42920</v>
      </c>
      <c r="M623" s="116">
        <v>1183.425</v>
      </c>
      <c r="N623" s="116">
        <v>1190.2249999999999</v>
      </c>
      <c r="O623" s="116">
        <v>1175.0250000000001</v>
      </c>
      <c r="P623" s="116">
        <v>1186.6500000000001</v>
      </c>
      <c r="Q623" s="116">
        <v>2366.85</v>
      </c>
      <c r="R623">
        <v>607567</v>
      </c>
    </row>
    <row r="624" spans="1:18" x14ac:dyDescent="0.25">
      <c r="A624" s="170">
        <v>42921</v>
      </c>
      <c r="B624" s="116">
        <v>1182</v>
      </c>
      <c r="C624" s="116">
        <v>1178.875</v>
      </c>
      <c r="D624" s="116">
        <v>1173.1500000000001</v>
      </c>
      <c r="E624" s="116">
        <v>1182</v>
      </c>
      <c r="F624" s="116">
        <v>2357.75</v>
      </c>
      <c r="G624">
        <v>20786</v>
      </c>
      <c r="H624" s="116"/>
      <c r="I624" s="116"/>
      <c r="L624" s="170">
        <v>42921</v>
      </c>
      <c r="M624" s="116">
        <v>1178</v>
      </c>
      <c r="N624" s="116">
        <v>1182.5</v>
      </c>
      <c r="O624" s="116">
        <v>1172.5</v>
      </c>
      <c r="P624" s="116">
        <v>1180.4000000000001</v>
      </c>
      <c r="Q624" s="116">
        <v>2356</v>
      </c>
      <c r="R624">
        <v>407928</v>
      </c>
    </row>
    <row r="625" spans="1:18" x14ac:dyDescent="0.25">
      <c r="A625" s="170">
        <v>42922</v>
      </c>
      <c r="B625" s="116">
        <v>1180.6500000000001</v>
      </c>
      <c r="C625" s="116">
        <v>1172.4000000000001</v>
      </c>
      <c r="D625" s="116">
        <v>1170</v>
      </c>
      <c r="E625" s="116">
        <v>1175.0250000000001</v>
      </c>
      <c r="F625" s="116">
        <v>2344.8000000000002</v>
      </c>
      <c r="G625">
        <v>31134</v>
      </c>
      <c r="H625" s="116"/>
      <c r="I625" s="116"/>
      <c r="L625" s="170">
        <v>42922</v>
      </c>
      <c r="M625" s="116">
        <v>1173.7750000000001</v>
      </c>
      <c r="N625" s="116">
        <v>1180.95</v>
      </c>
      <c r="O625" s="116">
        <v>1170.05</v>
      </c>
      <c r="P625" s="116">
        <v>1179.5</v>
      </c>
      <c r="Q625" s="116">
        <v>2347.5500000000002</v>
      </c>
      <c r="R625">
        <v>513394</v>
      </c>
    </row>
    <row r="626" spans="1:18" x14ac:dyDescent="0.25">
      <c r="A626" s="170">
        <v>42923</v>
      </c>
      <c r="B626" s="116">
        <v>1178</v>
      </c>
      <c r="C626" s="116">
        <v>1166.0999999999999</v>
      </c>
      <c r="D626" s="116">
        <v>1162.5</v>
      </c>
      <c r="E626" s="116">
        <v>1177.3</v>
      </c>
      <c r="F626" s="116">
        <v>2332.1999999999998</v>
      </c>
      <c r="G626">
        <v>54909</v>
      </c>
      <c r="H626" s="116"/>
      <c r="I626" s="116"/>
      <c r="L626" s="170">
        <v>42923</v>
      </c>
      <c r="M626" s="116">
        <v>1165.9749999999999</v>
      </c>
      <c r="N626" s="116">
        <v>1178.2249999999999</v>
      </c>
      <c r="O626" s="116">
        <v>1162.75</v>
      </c>
      <c r="P626" s="116">
        <v>1175</v>
      </c>
      <c r="Q626" s="116">
        <v>2331.9499999999998</v>
      </c>
      <c r="R626">
        <v>616045</v>
      </c>
    </row>
    <row r="627" spans="1:18" x14ac:dyDescent="0.25">
      <c r="A627" s="170">
        <v>42926</v>
      </c>
      <c r="B627" s="116">
        <v>1226</v>
      </c>
      <c r="C627" s="116">
        <v>1220.425</v>
      </c>
      <c r="D627" s="116">
        <v>1166.5</v>
      </c>
      <c r="E627" s="116">
        <v>1166.5</v>
      </c>
      <c r="F627" s="116">
        <v>2440.85</v>
      </c>
      <c r="G627">
        <v>675366</v>
      </c>
      <c r="H627" s="116"/>
      <c r="I627" s="116"/>
      <c r="L627" s="170">
        <v>42926</v>
      </c>
      <c r="M627" s="116">
        <v>1217.4749999999999</v>
      </c>
      <c r="N627" s="116">
        <v>1222.45</v>
      </c>
      <c r="O627" s="116">
        <v>1170.5</v>
      </c>
      <c r="P627" s="116">
        <v>1170.5</v>
      </c>
      <c r="Q627" s="116">
        <v>2434.9499999999998</v>
      </c>
      <c r="R627">
        <v>398392</v>
      </c>
    </row>
    <row r="628" spans="1:18" x14ac:dyDescent="0.25">
      <c r="A628" s="170">
        <v>42927</v>
      </c>
      <c r="B628" s="116">
        <v>1256.7</v>
      </c>
      <c r="C628" s="116">
        <v>1235.95</v>
      </c>
      <c r="D628" s="116">
        <v>1213.425</v>
      </c>
      <c r="E628" s="116">
        <v>1219.4000000000001</v>
      </c>
      <c r="F628" s="116">
        <v>2471.9</v>
      </c>
      <c r="G628">
        <v>144813</v>
      </c>
      <c r="H628" s="116"/>
      <c r="I628" s="116"/>
      <c r="L628" s="170">
        <v>42927</v>
      </c>
      <c r="M628" s="116">
        <v>1237.9000000000001</v>
      </c>
      <c r="N628" s="116">
        <v>1257.4000000000001</v>
      </c>
      <c r="O628" s="116">
        <v>1213</v>
      </c>
      <c r="P628" s="116">
        <v>1213</v>
      </c>
      <c r="Q628" s="116">
        <v>2475.8000000000002</v>
      </c>
      <c r="R628">
        <v>1768752</v>
      </c>
    </row>
    <row r="629" spans="1:18" x14ac:dyDescent="0.25">
      <c r="A629" s="170">
        <v>42928</v>
      </c>
      <c r="B629" s="116">
        <v>1244</v>
      </c>
      <c r="C629" s="116">
        <v>1219.55</v>
      </c>
      <c r="D629" s="116">
        <v>1215.6500000000001</v>
      </c>
      <c r="E629" s="116">
        <v>1243.9749999999999</v>
      </c>
      <c r="F629" s="116">
        <v>2439.1</v>
      </c>
      <c r="G629">
        <v>45757</v>
      </c>
      <c r="H629" s="116"/>
      <c r="I629" s="116"/>
      <c r="L629" s="170">
        <v>42928</v>
      </c>
      <c r="M629" s="116">
        <v>1219.7249999999999</v>
      </c>
      <c r="N629" s="116">
        <v>1241.6500000000001</v>
      </c>
      <c r="O629" s="116">
        <v>1215.05</v>
      </c>
      <c r="P629" s="116">
        <v>1241.25</v>
      </c>
      <c r="Q629" s="116">
        <v>2439.4499999999998</v>
      </c>
      <c r="R629">
        <v>1323225</v>
      </c>
    </row>
    <row r="630" spans="1:18" x14ac:dyDescent="0.25">
      <c r="A630" s="170">
        <v>42929</v>
      </c>
      <c r="B630" s="116">
        <v>1235.5</v>
      </c>
      <c r="C630" s="116">
        <v>1222.0250000000001</v>
      </c>
      <c r="D630" s="116">
        <v>1213.55</v>
      </c>
      <c r="E630" s="116">
        <v>1224.95</v>
      </c>
      <c r="F630" s="116">
        <v>2444.0500000000002</v>
      </c>
      <c r="G630">
        <v>68457</v>
      </c>
      <c r="H630" s="116"/>
      <c r="I630" s="116"/>
      <c r="L630" s="170">
        <v>42929</v>
      </c>
      <c r="M630" s="116">
        <v>1223.2</v>
      </c>
      <c r="N630" s="116">
        <v>1236</v>
      </c>
      <c r="O630" s="116">
        <v>1213.3</v>
      </c>
      <c r="P630" s="116">
        <v>1222.5</v>
      </c>
      <c r="Q630" s="116">
        <v>2446.4</v>
      </c>
      <c r="R630">
        <v>1565980</v>
      </c>
    </row>
    <row r="631" spans="1:18" x14ac:dyDescent="0.25">
      <c r="A631" s="170">
        <v>42930</v>
      </c>
      <c r="B631" s="116">
        <v>1211.325</v>
      </c>
      <c r="C631" s="116">
        <v>1199.4000000000001</v>
      </c>
      <c r="D631" s="116">
        <v>1188.05</v>
      </c>
      <c r="E631" s="116">
        <v>1194.5</v>
      </c>
      <c r="F631" s="116">
        <v>2398.8000000000002</v>
      </c>
      <c r="G631">
        <v>210052</v>
      </c>
      <c r="H631" s="116"/>
      <c r="I631" s="116"/>
      <c r="L631" s="170">
        <v>42930</v>
      </c>
      <c r="M631" s="116">
        <v>1198.7249999999999</v>
      </c>
      <c r="N631" s="116">
        <v>1212.5</v>
      </c>
      <c r="O631" s="116">
        <v>1187.5</v>
      </c>
      <c r="P631" s="116">
        <v>1191.5</v>
      </c>
      <c r="Q631" s="116">
        <v>2397.4499999999998</v>
      </c>
      <c r="R631">
        <v>2254216</v>
      </c>
    </row>
    <row r="632" spans="1:18" x14ac:dyDescent="0.25">
      <c r="A632" s="170">
        <v>42933</v>
      </c>
      <c r="B632" s="116">
        <v>1210.325</v>
      </c>
      <c r="C632" s="116">
        <v>1197.8499999999999</v>
      </c>
      <c r="D632" s="116">
        <v>1192</v>
      </c>
      <c r="E632" s="116">
        <v>1200</v>
      </c>
      <c r="F632" s="116">
        <v>2395.6999999999998</v>
      </c>
      <c r="G632">
        <v>34568</v>
      </c>
      <c r="H632" s="116"/>
      <c r="I632" s="116"/>
      <c r="L632" s="170">
        <v>42933</v>
      </c>
      <c r="M632" s="116">
        <v>1197.7249999999999</v>
      </c>
      <c r="N632" s="116">
        <v>1211.05</v>
      </c>
      <c r="O632" s="116">
        <v>1191.0999999999999</v>
      </c>
      <c r="P632" s="116">
        <v>1198.8499999999999</v>
      </c>
      <c r="Q632" s="116">
        <v>2395.4499999999998</v>
      </c>
      <c r="R632">
        <v>1105911</v>
      </c>
    </row>
    <row r="633" spans="1:18" x14ac:dyDescent="0.25">
      <c r="A633" s="170">
        <v>42934</v>
      </c>
      <c r="B633" s="116">
        <v>1220</v>
      </c>
      <c r="C633" s="116">
        <v>1202.625</v>
      </c>
      <c r="D633" s="116">
        <v>1198.5</v>
      </c>
      <c r="E633" s="116">
        <v>1198.5</v>
      </c>
      <c r="F633" s="116">
        <v>2405.25</v>
      </c>
      <c r="G633">
        <v>88534</v>
      </c>
      <c r="H633" s="116"/>
      <c r="I633" s="116"/>
      <c r="L633" s="170">
        <v>42934</v>
      </c>
      <c r="M633" s="116">
        <v>1204.175</v>
      </c>
      <c r="N633" s="116">
        <v>1221.5</v>
      </c>
      <c r="O633" s="116">
        <v>1198.075</v>
      </c>
      <c r="P633" s="116">
        <v>1198.075</v>
      </c>
      <c r="Q633" s="116">
        <v>2408.35</v>
      </c>
      <c r="R633">
        <v>954001</v>
      </c>
    </row>
    <row r="634" spans="1:18" x14ac:dyDescent="0.25">
      <c r="A634" s="170">
        <v>42935</v>
      </c>
      <c r="B634" s="116">
        <v>1228.95</v>
      </c>
      <c r="C634" s="116">
        <v>1225.2249999999999</v>
      </c>
      <c r="D634" s="116">
        <v>1208.6500000000001</v>
      </c>
      <c r="E634" s="116">
        <v>1209</v>
      </c>
      <c r="F634" s="116">
        <v>2450.4499999999998</v>
      </c>
      <c r="G634">
        <v>41898</v>
      </c>
      <c r="H634" s="116"/>
      <c r="I634" s="116"/>
      <c r="L634" s="170">
        <v>42935</v>
      </c>
      <c r="M634" s="116">
        <v>1224.8</v>
      </c>
      <c r="N634" s="116">
        <v>1230</v>
      </c>
      <c r="O634" s="116">
        <v>1207.55</v>
      </c>
      <c r="P634" s="116">
        <v>1207.75</v>
      </c>
      <c r="Q634" s="116">
        <v>2449.6</v>
      </c>
      <c r="R634">
        <v>1957788</v>
      </c>
    </row>
    <row r="635" spans="1:18" x14ac:dyDescent="0.25">
      <c r="A635" s="170">
        <v>42936</v>
      </c>
      <c r="B635" s="116">
        <v>1228.7</v>
      </c>
      <c r="C635" s="116">
        <v>1222.5999999999999</v>
      </c>
      <c r="D635" s="116">
        <v>1215.5</v>
      </c>
      <c r="E635" s="116">
        <v>1225</v>
      </c>
      <c r="F635" s="116">
        <v>2445.1999999999998</v>
      </c>
      <c r="G635">
        <v>23092</v>
      </c>
      <c r="H635" s="116"/>
      <c r="I635" s="116"/>
      <c r="L635" s="170">
        <v>42936</v>
      </c>
      <c r="M635" s="116">
        <v>1222.3499999999999</v>
      </c>
      <c r="N635" s="116">
        <v>1228.45</v>
      </c>
      <c r="O635" s="116">
        <v>1215.25</v>
      </c>
      <c r="P635" s="116">
        <v>1224.625</v>
      </c>
      <c r="Q635" s="116">
        <v>2444.6999999999998</v>
      </c>
      <c r="R635">
        <v>591252</v>
      </c>
    </row>
    <row r="636" spans="1:18" x14ac:dyDescent="0.25">
      <c r="A636" s="170">
        <v>42937</v>
      </c>
      <c r="B636" s="116">
        <v>1249.5</v>
      </c>
      <c r="C636" s="116">
        <v>1245.45</v>
      </c>
      <c r="D636" s="116">
        <v>1219.9000000000001</v>
      </c>
      <c r="E636" s="116">
        <v>1222.5999999999999</v>
      </c>
      <c r="F636" s="116">
        <v>2490.9</v>
      </c>
      <c r="G636">
        <v>43547</v>
      </c>
      <c r="H636" s="116"/>
      <c r="I636" s="116"/>
      <c r="L636" s="170">
        <v>42937</v>
      </c>
      <c r="M636" s="116">
        <v>1245.5999999999999</v>
      </c>
      <c r="N636" s="116">
        <v>1250</v>
      </c>
      <c r="O636" s="116">
        <v>1217.2750000000001</v>
      </c>
      <c r="P636" s="116">
        <v>1217.45</v>
      </c>
      <c r="Q636" s="116">
        <v>2491.1999999999998</v>
      </c>
      <c r="R636">
        <v>1074208</v>
      </c>
    </row>
    <row r="637" spans="1:18" x14ac:dyDescent="0.25">
      <c r="A637" s="170">
        <v>42940</v>
      </c>
      <c r="B637" s="116">
        <v>1269.5999999999999</v>
      </c>
      <c r="C637" s="116">
        <v>1266.325</v>
      </c>
      <c r="D637" s="116">
        <v>1239.95</v>
      </c>
      <c r="E637" s="116">
        <v>1240</v>
      </c>
      <c r="F637" s="116">
        <v>2532.65</v>
      </c>
      <c r="G637">
        <v>57594</v>
      </c>
      <c r="H637" s="116"/>
      <c r="I637" s="116"/>
      <c r="L637" s="170">
        <v>42940</v>
      </c>
      <c r="M637" s="116">
        <v>1265.3499999999999</v>
      </c>
      <c r="N637" s="116">
        <v>1270</v>
      </c>
      <c r="O637" s="116">
        <v>1241</v>
      </c>
      <c r="P637" s="116">
        <v>1241</v>
      </c>
      <c r="Q637" s="116">
        <v>2530.6999999999998</v>
      </c>
      <c r="R637">
        <v>1135701</v>
      </c>
    </row>
    <row r="638" spans="1:18" x14ac:dyDescent="0.25">
      <c r="A638" s="170">
        <v>42941</v>
      </c>
      <c r="B638" s="116">
        <v>1290</v>
      </c>
      <c r="C638" s="116">
        <v>1285.325</v>
      </c>
      <c r="D638" s="116">
        <v>1258.8499999999999</v>
      </c>
      <c r="E638" s="116">
        <v>1265</v>
      </c>
      <c r="F638" s="116">
        <v>2570.65</v>
      </c>
      <c r="G638">
        <v>51526</v>
      </c>
      <c r="H638" s="116"/>
      <c r="I638" s="116"/>
      <c r="L638" s="170">
        <v>42941</v>
      </c>
      <c r="M638" s="116">
        <v>1285.75</v>
      </c>
      <c r="N638" s="116">
        <v>1290</v>
      </c>
      <c r="O638" s="116">
        <v>1259.2</v>
      </c>
      <c r="P638" s="116">
        <v>1262.875</v>
      </c>
      <c r="Q638" s="116">
        <v>2571.5</v>
      </c>
      <c r="R638">
        <v>1339416</v>
      </c>
    </row>
    <row r="639" spans="1:18" x14ac:dyDescent="0.25">
      <c r="A639" s="170">
        <v>42942</v>
      </c>
      <c r="B639" s="116">
        <v>1286.5</v>
      </c>
      <c r="C639" s="116">
        <v>1277.4000000000001</v>
      </c>
      <c r="D639" s="116">
        <v>1273.5</v>
      </c>
      <c r="E639" s="116">
        <v>1277.5</v>
      </c>
      <c r="F639" s="116">
        <v>2554.8000000000002</v>
      </c>
      <c r="G639">
        <v>37625</v>
      </c>
      <c r="H639" s="116"/>
      <c r="I639" s="116"/>
      <c r="L639" s="170">
        <v>42942</v>
      </c>
      <c r="M639" s="116">
        <v>1278</v>
      </c>
      <c r="N639" s="116">
        <v>1287.5</v>
      </c>
      <c r="O639" s="116">
        <v>1273.5</v>
      </c>
      <c r="P639" s="116">
        <v>1280</v>
      </c>
      <c r="Q639" s="116">
        <v>2556</v>
      </c>
      <c r="R639">
        <v>729913</v>
      </c>
    </row>
    <row r="640" spans="1:18" x14ac:dyDescent="0.25">
      <c r="A640" s="170">
        <v>42943</v>
      </c>
      <c r="B640" s="116">
        <v>1291.8499999999999</v>
      </c>
      <c r="C640" s="116">
        <v>1242.175</v>
      </c>
      <c r="D640" s="116">
        <v>1234.5250000000001</v>
      </c>
      <c r="E640" s="116">
        <v>1275</v>
      </c>
      <c r="F640" s="116">
        <v>2484.35</v>
      </c>
      <c r="G640">
        <v>59988</v>
      </c>
      <c r="H640" s="116"/>
      <c r="I640" s="116"/>
      <c r="L640" s="170">
        <v>42943</v>
      </c>
      <c r="M640" s="116">
        <v>1240.8499999999999</v>
      </c>
      <c r="N640" s="116">
        <v>1292.4000000000001</v>
      </c>
      <c r="O640" s="116">
        <v>1233.25</v>
      </c>
      <c r="P640" s="116">
        <v>1271.0999999999999</v>
      </c>
      <c r="Q640" s="116">
        <v>2481.6999999999998</v>
      </c>
      <c r="R640">
        <v>2127652</v>
      </c>
    </row>
    <row r="641" spans="1:18" x14ac:dyDescent="0.25">
      <c r="A641" s="170">
        <v>42944</v>
      </c>
      <c r="B641" s="116">
        <v>1244.2750000000001</v>
      </c>
      <c r="C641" s="116">
        <v>1241.375</v>
      </c>
      <c r="D641" s="116">
        <v>1221.925</v>
      </c>
      <c r="E641" s="116">
        <v>1239.7</v>
      </c>
      <c r="F641" s="116">
        <v>2482.75</v>
      </c>
      <c r="G641">
        <v>42530</v>
      </c>
      <c r="H641" s="116"/>
      <c r="I641" s="116"/>
      <c r="L641" s="170">
        <v>42944</v>
      </c>
      <c r="M641" s="116">
        <v>1242.1500000000001</v>
      </c>
      <c r="N641" s="116">
        <v>1246.5250000000001</v>
      </c>
      <c r="O641" s="116">
        <v>1221</v>
      </c>
      <c r="P641" s="116">
        <v>1240.5</v>
      </c>
      <c r="Q641" s="116">
        <v>2484.3000000000002</v>
      </c>
      <c r="R641">
        <v>691376</v>
      </c>
    </row>
    <row r="642" spans="1:18" x14ac:dyDescent="0.25">
      <c r="A642" s="170">
        <v>42947</v>
      </c>
      <c r="B642" s="116">
        <v>1258</v>
      </c>
      <c r="C642" s="116">
        <v>1247.0250000000001</v>
      </c>
      <c r="D642" s="116">
        <v>1232.45</v>
      </c>
      <c r="E642" s="116">
        <v>1235</v>
      </c>
      <c r="F642" s="116">
        <v>2494.0500000000002</v>
      </c>
      <c r="G642">
        <v>42427</v>
      </c>
      <c r="H642" s="116"/>
      <c r="I642" s="116"/>
      <c r="L642" s="170">
        <v>42947</v>
      </c>
      <c r="M642" s="116">
        <v>1245.9000000000001</v>
      </c>
      <c r="N642" s="116">
        <v>1259.5</v>
      </c>
      <c r="O642" s="116">
        <v>1231.5</v>
      </c>
      <c r="P642" s="116">
        <v>1235.5</v>
      </c>
      <c r="Q642" s="116">
        <v>2491.8000000000002</v>
      </c>
      <c r="R642">
        <v>1009831</v>
      </c>
    </row>
    <row r="643" spans="1:18" x14ac:dyDescent="0.25">
      <c r="A643" s="170">
        <v>42948</v>
      </c>
      <c r="B643" s="116">
        <v>1259.45</v>
      </c>
      <c r="C643" s="116">
        <v>1249.9749999999999</v>
      </c>
      <c r="D643" s="116">
        <v>1244.1500000000001</v>
      </c>
      <c r="E643" s="116">
        <v>1247.0250000000001</v>
      </c>
      <c r="F643" s="116">
        <v>2499.9499999999998</v>
      </c>
      <c r="G643">
        <v>26028</v>
      </c>
      <c r="H643" s="116"/>
      <c r="I643" s="116"/>
      <c r="L643" s="170">
        <v>42948</v>
      </c>
      <c r="M643" s="116">
        <v>1250.825</v>
      </c>
      <c r="N643" s="116">
        <v>1260.375</v>
      </c>
      <c r="O643" s="116">
        <v>1245.5</v>
      </c>
      <c r="P643" s="116">
        <v>1250</v>
      </c>
      <c r="Q643" s="116">
        <v>2501.65</v>
      </c>
      <c r="R643">
        <v>873730</v>
      </c>
    </row>
    <row r="644" spans="1:18" x14ac:dyDescent="0.25">
      <c r="A644" s="170">
        <v>42949</v>
      </c>
      <c r="B644" s="116">
        <v>1250.925</v>
      </c>
      <c r="C644" s="116">
        <v>1233.675</v>
      </c>
      <c r="D644" s="116">
        <v>1229</v>
      </c>
      <c r="E644" s="116">
        <v>1249.5</v>
      </c>
      <c r="F644" s="116">
        <v>2467.35</v>
      </c>
      <c r="G644">
        <v>21266</v>
      </c>
      <c r="H644" s="116"/>
      <c r="I644" s="116"/>
      <c r="L644" s="170">
        <v>42949</v>
      </c>
      <c r="M644" s="116">
        <v>1236.9000000000001</v>
      </c>
      <c r="N644" s="116">
        <v>1254</v>
      </c>
      <c r="O644" s="116">
        <v>1231</v>
      </c>
      <c r="P644" s="116">
        <v>1250</v>
      </c>
      <c r="Q644" s="116">
        <v>2473.8000000000002</v>
      </c>
      <c r="R644">
        <v>625512</v>
      </c>
    </row>
    <row r="645" spans="1:18" x14ac:dyDescent="0.25">
      <c r="A645" s="170">
        <v>42950</v>
      </c>
      <c r="B645" s="116">
        <v>1250.7249999999999</v>
      </c>
      <c r="C645" s="116">
        <v>1244.7750000000001</v>
      </c>
      <c r="D645" s="116">
        <v>1236</v>
      </c>
      <c r="E645" s="116">
        <v>1239.5</v>
      </c>
      <c r="F645" s="116">
        <v>2489.5500000000002</v>
      </c>
      <c r="G645">
        <v>453594</v>
      </c>
      <c r="H645" s="116"/>
      <c r="I645" s="116"/>
      <c r="L645" s="170">
        <v>42950</v>
      </c>
      <c r="M645" s="116">
        <v>1244.7249999999999</v>
      </c>
      <c r="N645" s="116">
        <v>1251</v>
      </c>
      <c r="O645" s="116">
        <v>1233.2249999999999</v>
      </c>
      <c r="P645" s="116">
        <v>1240</v>
      </c>
      <c r="Q645" s="116">
        <v>2489.4499999999998</v>
      </c>
      <c r="R645">
        <v>941274</v>
      </c>
    </row>
    <row r="646" spans="1:18" x14ac:dyDescent="0.25">
      <c r="A646" s="170">
        <v>42951</v>
      </c>
      <c r="B646" s="116">
        <v>1264</v>
      </c>
      <c r="C646" s="116">
        <v>1261.375</v>
      </c>
      <c r="D646" s="116">
        <v>1243.7249999999999</v>
      </c>
      <c r="E646" s="116">
        <v>1245</v>
      </c>
      <c r="F646" s="116">
        <v>2522.75</v>
      </c>
      <c r="G646">
        <v>29340</v>
      </c>
      <c r="H646" s="116"/>
      <c r="I646" s="116"/>
      <c r="L646" s="170">
        <v>42951</v>
      </c>
      <c r="M646" s="116">
        <v>1261.4000000000001</v>
      </c>
      <c r="N646" s="116">
        <v>1264.1500000000001</v>
      </c>
      <c r="O646" s="116">
        <v>1244</v>
      </c>
      <c r="P646" s="116">
        <v>1245.4000000000001</v>
      </c>
      <c r="Q646" s="116">
        <v>2522.8000000000002</v>
      </c>
      <c r="R646">
        <v>693945</v>
      </c>
    </row>
    <row r="647" spans="1:18" x14ac:dyDescent="0.25">
      <c r="A647" s="170">
        <v>42954</v>
      </c>
      <c r="B647" s="116">
        <v>1261.375</v>
      </c>
      <c r="C647" s="116">
        <v>1252.3</v>
      </c>
      <c r="D647" s="116">
        <v>1242</v>
      </c>
      <c r="E647" s="116">
        <v>1261</v>
      </c>
      <c r="F647" s="116">
        <v>2504.6</v>
      </c>
      <c r="G647">
        <v>31012</v>
      </c>
      <c r="H647" s="116"/>
      <c r="I647" s="116"/>
      <c r="L647" s="170">
        <v>42954</v>
      </c>
      <c r="M647" s="116">
        <v>1251.7249999999999</v>
      </c>
      <c r="N647" s="116">
        <v>1260</v>
      </c>
      <c r="O647" s="116">
        <v>1240.5999999999999</v>
      </c>
      <c r="P647" s="116">
        <v>1258.25</v>
      </c>
      <c r="Q647" s="116">
        <v>2503.4499999999998</v>
      </c>
      <c r="R647">
        <v>942760</v>
      </c>
    </row>
    <row r="648" spans="1:18" x14ac:dyDescent="0.25">
      <c r="A648" s="170">
        <v>42955</v>
      </c>
      <c r="B648" s="116">
        <v>1263</v>
      </c>
      <c r="C648" s="116">
        <v>1248.9000000000001</v>
      </c>
      <c r="D648" s="116">
        <v>1243</v>
      </c>
      <c r="E648" s="116">
        <v>1262.5</v>
      </c>
      <c r="F648" s="116">
        <v>2497.8000000000002</v>
      </c>
      <c r="G648">
        <v>20792</v>
      </c>
      <c r="H648" s="116"/>
      <c r="I648" s="116"/>
      <c r="L648" s="170">
        <v>42955</v>
      </c>
      <c r="M648" s="116">
        <v>1251.5250000000001</v>
      </c>
      <c r="N648" s="116">
        <v>1264.3</v>
      </c>
      <c r="O648" s="116">
        <v>1248.1500000000001</v>
      </c>
      <c r="P648" s="116">
        <v>1256</v>
      </c>
      <c r="Q648" s="116">
        <v>2503.0500000000002</v>
      </c>
      <c r="R648">
        <v>536979</v>
      </c>
    </row>
    <row r="649" spans="1:18" x14ac:dyDescent="0.25">
      <c r="A649" s="170">
        <v>42956</v>
      </c>
      <c r="B649" s="116">
        <v>1260.7249999999999</v>
      </c>
      <c r="C649" s="116">
        <v>1250.9749999999999</v>
      </c>
      <c r="D649" s="116">
        <v>1247.55</v>
      </c>
      <c r="E649" s="116">
        <v>1247.9749999999999</v>
      </c>
      <c r="F649" s="116">
        <v>2501.9499999999998</v>
      </c>
      <c r="G649">
        <v>18445</v>
      </c>
      <c r="H649" s="116"/>
      <c r="I649" s="116"/>
      <c r="L649" s="170">
        <v>42956</v>
      </c>
      <c r="M649" s="116">
        <v>1256</v>
      </c>
      <c r="N649" s="116">
        <v>1261.425</v>
      </c>
      <c r="O649" s="116">
        <v>1246.6500000000001</v>
      </c>
      <c r="P649" s="116">
        <v>1250</v>
      </c>
      <c r="Q649" s="116">
        <v>2512</v>
      </c>
      <c r="R649">
        <v>496473</v>
      </c>
    </row>
    <row r="650" spans="1:18" x14ac:dyDescent="0.25">
      <c r="A650" s="170">
        <v>42957</v>
      </c>
      <c r="B650" s="116">
        <v>1260</v>
      </c>
      <c r="C650" s="116">
        <v>1255.625</v>
      </c>
      <c r="D650" s="116">
        <v>1243.25</v>
      </c>
      <c r="E650" s="116">
        <v>1249.2</v>
      </c>
      <c r="F650" s="116">
        <v>2511.25</v>
      </c>
      <c r="G650">
        <v>23630</v>
      </c>
      <c r="H650" s="116"/>
      <c r="I650" s="116"/>
      <c r="L650" s="170">
        <v>42957</v>
      </c>
      <c r="M650" s="116">
        <v>1255.7249999999999</v>
      </c>
      <c r="N650" s="116">
        <v>1260.3</v>
      </c>
      <c r="O650" s="116">
        <v>1243.175</v>
      </c>
      <c r="P650" s="116">
        <v>1254.5</v>
      </c>
      <c r="Q650" s="116">
        <v>2511.4499999999998</v>
      </c>
      <c r="R650">
        <v>763086</v>
      </c>
    </row>
    <row r="651" spans="1:18" x14ac:dyDescent="0.25">
      <c r="A651" s="170">
        <v>42958</v>
      </c>
      <c r="B651" s="116">
        <v>1266.6500000000001</v>
      </c>
      <c r="C651" s="116">
        <v>1247</v>
      </c>
      <c r="D651" s="116">
        <v>1242.5</v>
      </c>
      <c r="E651" s="116">
        <v>1257</v>
      </c>
      <c r="F651" s="116">
        <v>2494</v>
      </c>
      <c r="G651">
        <v>38473</v>
      </c>
      <c r="H651" s="116"/>
      <c r="I651" s="116"/>
      <c r="L651" s="170">
        <v>42958</v>
      </c>
      <c r="M651" s="116">
        <v>1248.0250000000001</v>
      </c>
      <c r="N651" s="116">
        <v>1267.5</v>
      </c>
      <c r="O651" s="116">
        <v>1241.5</v>
      </c>
      <c r="P651" s="116">
        <v>1249.95</v>
      </c>
      <c r="Q651" s="116">
        <v>2496.0500000000002</v>
      </c>
      <c r="R651">
        <v>697368</v>
      </c>
    </row>
    <row r="652" spans="1:18" x14ac:dyDescent="0.25">
      <c r="A652" s="170">
        <v>42961</v>
      </c>
      <c r="B652" s="116">
        <v>1252.8</v>
      </c>
      <c r="C652" s="116">
        <v>1234.575</v>
      </c>
      <c r="D652" s="116">
        <v>1230.0250000000001</v>
      </c>
      <c r="E652" s="116">
        <v>1250.5</v>
      </c>
      <c r="F652" s="116">
        <v>2469.15</v>
      </c>
      <c r="G652">
        <v>14490</v>
      </c>
      <c r="H652" s="116"/>
      <c r="I652" s="116"/>
      <c r="L652" s="170">
        <v>42961</v>
      </c>
      <c r="M652" s="116">
        <v>1234.7</v>
      </c>
      <c r="N652" s="116">
        <v>1254.95</v>
      </c>
      <c r="O652" s="116">
        <v>1231.5</v>
      </c>
      <c r="P652" s="116">
        <v>1251.5</v>
      </c>
      <c r="Q652" s="116">
        <v>2469.4</v>
      </c>
      <c r="R652">
        <v>393252</v>
      </c>
    </row>
    <row r="653" spans="1:18" x14ac:dyDescent="0.25">
      <c r="A653" s="170">
        <v>42963</v>
      </c>
      <c r="B653" s="116">
        <v>1273.5</v>
      </c>
      <c r="C653" s="116">
        <v>1245.5250000000001</v>
      </c>
      <c r="D653" s="116">
        <v>1233.425</v>
      </c>
      <c r="E653" s="116">
        <v>1248.5</v>
      </c>
      <c r="F653" s="116">
        <v>2491.0500000000002</v>
      </c>
      <c r="G653">
        <v>36332</v>
      </c>
      <c r="H653" s="116"/>
      <c r="I653" s="116"/>
      <c r="L653" s="170">
        <v>42963</v>
      </c>
      <c r="M653" s="116">
        <v>1246.175</v>
      </c>
      <c r="N653" s="116">
        <v>1271.9000000000001</v>
      </c>
      <c r="O653" s="116">
        <v>1232.5999999999999</v>
      </c>
      <c r="P653" s="116">
        <v>1242</v>
      </c>
      <c r="Q653" s="116">
        <v>2492.35</v>
      </c>
      <c r="R653">
        <v>686670</v>
      </c>
    </row>
    <row r="654" spans="1:18" x14ac:dyDescent="0.25">
      <c r="A654" s="170">
        <v>42964</v>
      </c>
      <c r="B654" s="116">
        <v>1250</v>
      </c>
      <c r="C654" s="116">
        <v>1240.075</v>
      </c>
      <c r="D654" s="116">
        <v>1231</v>
      </c>
      <c r="E654" s="116">
        <v>1250</v>
      </c>
      <c r="F654" s="116">
        <v>2480.15</v>
      </c>
      <c r="G654">
        <v>21642</v>
      </c>
      <c r="H654" s="116"/>
      <c r="I654" s="116"/>
      <c r="L654" s="170">
        <v>42964</v>
      </c>
      <c r="M654" s="116">
        <v>1242.825</v>
      </c>
      <c r="N654" s="116">
        <v>1252.5</v>
      </c>
      <c r="O654" s="116">
        <v>1231.05</v>
      </c>
      <c r="P654" s="116">
        <v>1250.3499999999999</v>
      </c>
      <c r="Q654" s="116">
        <v>2485.65</v>
      </c>
      <c r="R654">
        <v>876187</v>
      </c>
    </row>
    <row r="655" spans="1:18" x14ac:dyDescent="0.25">
      <c r="A655" s="170">
        <v>42965</v>
      </c>
      <c r="B655" s="116">
        <v>1273.2249999999999</v>
      </c>
      <c r="C655" s="116">
        <v>1256.425</v>
      </c>
      <c r="D655" s="116">
        <v>1235.4749999999999</v>
      </c>
      <c r="E655" s="116">
        <v>1237.5</v>
      </c>
      <c r="F655" s="116">
        <v>2512.85</v>
      </c>
      <c r="G655">
        <v>141937</v>
      </c>
      <c r="H655" s="116"/>
      <c r="I655" s="116"/>
      <c r="L655" s="170">
        <v>42965</v>
      </c>
      <c r="M655" s="116">
        <v>1256.9000000000001</v>
      </c>
      <c r="N655" s="116">
        <v>1274.95</v>
      </c>
      <c r="O655" s="116">
        <v>1235.7</v>
      </c>
      <c r="P655" s="116">
        <v>1237</v>
      </c>
      <c r="Q655" s="116">
        <v>2513.8000000000002</v>
      </c>
      <c r="R655">
        <v>1418678</v>
      </c>
    </row>
    <row r="656" spans="1:18" x14ac:dyDescent="0.25">
      <c r="A656" s="170">
        <v>42968</v>
      </c>
      <c r="B656" s="116">
        <v>1271</v>
      </c>
      <c r="C656" s="116">
        <v>1260.7</v>
      </c>
      <c r="D656" s="116">
        <v>1247.5</v>
      </c>
      <c r="E656" s="116">
        <v>1256.425</v>
      </c>
      <c r="F656" s="116">
        <v>2521.4</v>
      </c>
      <c r="G656">
        <v>35705</v>
      </c>
      <c r="H656" s="116"/>
      <c r="I656" s="116"/>
      <c r="L656" s="170">
        <v>42968</v>
      </c>
      <c r="M656" s="116">
        <v>1264.4000000000001</v>
      </c>
      <c r="N656" s="116">
        <v>1274.5</v>
      </c>
      <c r="O656" s="116">
        <v>1247.1500000000001</v>
      </c>
      <c r="P656" s="116">
        <v>1252.75</v>
      </c>
      <c r="Q656" s="116">
        <v>2528.8000000000002</v>
      </c>
      <c r="R656">
        <v>1152417</v>
      </c>
    </row>
    <row r="657" spans="1:18" x14ac:dyDescent="0.25">
      <c r="A657" s="170">
        <v>42969</v>
      </c>
      <c r="B657" s="116">
        <v>1269</v>
      </c>
      <c r="C657" s="116">
        <v>1248.0250000000001</v>
      </c>
      <c r="D657" s="116">
        <v>1245.5</v>
      </c>
      <c r="E657" s="116">
        <v>1259.95</v>
      </c>
      <c r="F657" s="116">
        <v>2496.0500000000002</v>
      </c>
      <c r="G657">
        <v>18022</v>
      </c>
      <c r="H657" s="116"/>
      <c r="I657" s="116"/>
      <c r="L657" s="170">
        <v>42969</v>
      </c>
      <c r="M657" s="116">
        <v>1248.7750000000001</v>
      </c>
      <c r="N657" s="116">
        <v>1269.75</v>
      </c>
      <c r="O657" s="116">
        <v>1246</v>
      </c>
      <c r="P657" s="116">
        <v>1261.5</v>
      </c>
      <c r="Q657" s="116">
        <v>2497.5500000000002</v>
      </c>
      <c r="R657">
        <v>565663</v>
      </c>
    </row>
    <row r="658" spans="1:18" x14ac:dyDescent="0.25">
      <c r="A658" s="170">
        <v>42970</v>
      </c>
      <c r="B658" s="116">
        <v>1260</v>
      </c>
      <c r="C658" s="116">
        <v>1246.5</v>
      </c>
      <c r="D658" s="116">
        <v>1237.825</v>
      </c>
      <c r="E658" s="116">
        <v>1250</v>
      </c>
      <c r="F658" s="116">
        <v>2493</v>
      </c>
      <c r="G658">
        <v>12770</v>
      </c>
      <c r="H658" s="116"/>
      <c r="I658" s="116"/>
      <c r="L658" s="170">
        <v>42970</v>
      </c>
      <c r="M658" s="116">
        <v>1244.7249999999999</v>
      </c>
      <c r="N658" s="116">
        <v>1258.4000000000001</v>
      </c>
      <c r="O658" s="116">
        <v>1236.575</v>
      </c>
      <c r="P658" s="116">
        <v>1252.5</v>
      </c>
      <c r="Q658" s="116">
        <v>2489.4499999999998</v>
      </c>
      <c r="R658">
        <v>781136</v>
      </c>
    </row>
    <row r="659" spans="1:18" x14ac:dyDescent="0.25">
      <c r="A659" s="170">
        <v>42971</v>
      </c>
      <c r="B659" s="116">
        <v>1257.5</v>
      </c>
      <c r="C659" s="116">
        <v>1247.6500000000001</v>
      </c>
      <c r="D659" s="116">
        <v>1237.6500000000001</v>
      </c>
      <c r="E659" s="116">
        <v>1237.6500000000001</v>
      </c>
      <c r="F659" s="116">
        <v>2495.3000000000002</v>
      </c>
      <c r="G659">
        <v>13847</v>
      </c>
      <c r="H659" s="116"/>
      <c r="I659" s="116"/>
      <c r="L659" s="170">
        <v>42971</v>
      </c>
      <c r="M659" s="116">
        <v>1248.3</v>
      </c>
      <c r="N659" s="116">
        <v>1258.9749999999999</v>
      </c>
      <c r="O659" s="116">
        <v>1243.075</v>
      </c>
      <c r="P659" s="116">
        <v>1248.8499999999999</v>
      </c>
      <c r="Q659" s="116">
        <v>2496.6</v>
      </c>
      <c r="R659">
        <v>811954</v>
      </c>
    </row>
    <row r="660" spans="1:18" x14ac:dyDescent="0.25">
      <c r="A660" s="170">
        <v>42975</v>
      </c>
      <c r="B660" s="116">
        <v>1250.9749999999999</v>
      </c>
      <c r="C660" s="116">
        <v>1242.925</v>
      </c>
      <c r="D660" s="116">
        <v>1232</v>
      </c>
      <c r="E660" s="116">
        <v>1248</v>
      </c>
      <c r="F660" s="116">
        <v>2485.85</v>
      </c>
      <c r="G660">
        <v>21433</v>
      </c>
      <c r="H660" s="116"/>
      <c r="I660" s="116"/>
      <c r="L660" s="170">
        <v>42975</v>
      </c>
      <c r="M660" s="116">
        <v>1243.6500000000001</v>
      </c>
      <c r="N660" s="116">
        <v>1252.7</v>
      </c>
      <c r="O660" s="116">
        <v>1230.5</v>
      </c>
      <c r="P660" s="116">
        <v>1252.3</v>
      </c>
      <c r="Q660" s="116">
        <v>2487.3000000000002</v>
      </c>
      <c r="R660">
        <v>1018398</v>
      </c>
    </row>
    <row r="661" spans="1:18" x14ac:dyDescent="0.25">
      <c r="A661" s="170">
        <v>42976</v>
      </c>
      <c r="B661" s="116">
        <v>1246.95</v>
      </c>
      <c r="C661" s="116">
        <v>1237.4749999999999</v>
      </c>
      <c r="D661" s="116">
        <v>1233</v>
      </c>
      <c r="E661" s="116">
        <v>1242.925</v>
      </c>
      <c r="F661" s="116">
        <v>2474.9499999999998</v>
      </c>
      <c r="G661">
        <v>17771</v>
      </c>
      <c r="H661" s="116"/>
      <c r="I661" s="116"/>
      <c r="L661" s="170">
        <v>42976</v>
      </c>
      <c r="M661" s="116">
        <v>1235.425</v>
      </c>
      <c r="N661" s="116">
        <v>1248</v>
      </c>
      <c r="O661" s="116">
        <v>1231.9749999999999</v>
      </c>
      <c r="P661" s="116">
        <v>1241</v>
      </c>
      <c r="Q661" s="116">
        <v>2470.85</v>
      </c>
      <c r="R661">
        <v>656301</v>
      </c>
    </row>
    <row r="662" spans="1:18" x14ac:dyDescent="0.25">
      <c r="A662" s="170">
        <v>42977</v>
      </c>
      <c r="B662" s="116">
        <v>1245.7249999999999</v>
      </c>
      <c r="C662" s="116">
        <v>1243.375</v>
      </c>
      <c r="D662" s="116">
        <v>1230.5</v>
      </c>
      <c r="E662" s="116">
        <v>1243.75</v>
      </c>
      <c r="F662" s="116">
        <v>2486.75</v>
      </c>
      <c r="G662">
        <v>19972</v>
      </c>
      <c r="H662" s="116"/>
      <c r="I662" s="116"/>
      <c r="L662" s="170">
        <v>42977</v>
      </c>
      <c r="M662" s="116">
        <v>1242.2750000000001</v>
      </c>
      <c r="N662" s="116">
        <v>1245</v>
      </c>
      <c r="O662" s="116">
        <v>1230.05</v>
      </c>
      <c r="P662" s="116">
        <v>1240.5</v>
      </c>
      <c r="Q662" s="116">
        <v>2484.5500000000002</v>
      </c>
      <c r="R662">
        <v>485391</v>
      </c>
    </row>
    <row r="663" spans="1:18" x14ac:dyDescent="0.25">
      <c r="A663" s="170">
        <v>42978</v>
      </c>
      <c r="B663" s="116">
        <v>1250</v>
      </c>
      <c r="C663" s="116">
        <v>1248.375</v>
      </c>
      <c r="D663" s="116">
        <v>1234</v>
      </c>
      <c r="E663" s="116">
        <v>1246</v>
      </c>
      <c r="F663" s="116">
        <v>2496.75</v>
      </c>
      <c r="G663">
        <v>228279</v>
      </c>
      <c r="H663" s="116"/>
      <c r="I663" s="116"/>
      <c r="L663" s="170">
        <v>42978</v>
      </c>
      <c r="M663" s="116">
        <v>1248.175</v>
      </c>
      <c r="N663" s="116">
        <v>1252.2</v>
      </c>
      <c r="O663" s="116">
        <v>1233.325</v>
      </c>
      <c r="P663" s="116">
        <v>1242.5</v>
      </c>
      <c r="Q663" s="116">
        <v>2496.35</v>
      </c>
      <c r="R663">
        <v>892332</v>
      </c>
    </row>
    <row r="664" spans="1:18" x14ac:dyDescent="0.25">
      <c r="A664" s="170">
        <v>42979</v>
      </c>
      <c r="B664" s="116">
        <v>1238.5</v>
      </c>
      <c r="C664" s="116">
        <v>1231.5999999999999</v>
      </c>
      <c r="D664" s="116">
        <v>1220</v>
      </c>
      <c r="E664" s="116">
        <v>1237.5</v>
      </c>
      <c r="F664" s="116">
        <v>2463.1999999999998</v>
      </c>
      <c r="G664">
        <v>38617</v>
      </c>
      <c r="H664" s="116"/>
      <c r="I664" s="116"/>
      <c r="L664" s="170">
        <v>42979</v>
      </c>
      <c r="M664" s="116">
        <v>1228.2249999999999</v>
      </c>
      <c r="N664" s="116">
        <v>1249.0250000000001</v>
      </c>
      <c r="O664" s="116">
        <v>1218.2750000000001</v>
      </c>
      <c r="P664" s="116">
        <v>1240</v>
      </c>
      <c r="Q664" s="116">
        <v>2456.4499999999998</v>
      </c>
      <c r="R664">
        <v>851165</v>
      </c>
    </row>
    <row r="665" spans="1:18" x14ac:dyDescent="0.25">
      <c r="A665" s="170">
        <v>42982</v>
      </c>
      <c r="B665" s="116">
        <v>1231.375</v>
      </c>
      <c r="C665" s="116">
        <v>1228.9000000000001</v>
      </c>
      <c r="D665" s="116">
        <v>1220.0999999999999</v>
      </c>
      <c r="E665" s="116">
        <v>1228.2249999999999</v>
      </c>
      <c r="F665" s="116">
        <v>2457.8000000000002</v>
      </c>
      <c r="G665">
        <v>62768</v>
      </c>
      <c r="H665" s="116"/>
      <c r="I665" s="116"/>
      <c r="L665" s="170">
        <v>42982</v>
      </c>
      <c r="M665" s="116">
        <v>1228.0999999999999</v>
      </c>
      <c r="N665" s="116">
        <v>1230.5</v>
      </c>
      <c r="O665" s="116">
        <v>1219</v>
      </c>
      <c r="P665" s="116">
        <v>1226.55</v>
      </c>
      <c r="Q665" s="116">
        <v>2456.1999999999998</v>
      </c>
      <c r="R665">
        <v>531272</v>
      </c>
    </row>
    <row r="666" spans="1:18" x14ac:dyDescent="0.25">
      <c r="A666" s="170">
        <v>42983</v>
      </c>
      <c r="B666" s="116">
        <v>1241.25</v>
      </c>
      <c r="C666" s="116">
        <v>1238.825</v>
      </c>
      <c r="D666" s="116">
        <v>1220</v>
      </c>
      <c r="E666" s="116">
        <v>1228.9000000000001</v>
      </c>
      <c r="F666" s="116">
        <v>2477.65</v>
      </c>
      <c r="G666">
        <v>27606</v>
      </c>
      <c r="H666" s="116"/>
      <c r="I666" s="116"/>
      <c r="L666" s="170">
        <v>42983</v>
      </c>
      <c r="M666" s="116">
        <v>1242.175</v>
      </c>
      <c r="N666" s="116">
        <v>1245</v>
      </c>
      <c r="O666" s="116">
        <v>1218.5250000000001</v>
      </c>
      <c r="P666" s="116">
        <v>1230</v>
      </c>
      <c r="Q666" s="116">
        <v>2484.35</v>
      </c>
      <c r="R666">
        <v>582997</v>
      </c>
    </row>
    <row r="667" spans="1:18" x14ac:dyDescent="0.25">
      <c r="A667" s="170">
        <v>42984</v>
      </c>
      <c r="B667" s="116">
        <v>1237.4749999999999</v>
      </c>
      <c r="C667" s="116">
        <v>1228.2249999999999</v>
      </c>
      <c r="D667" s="116">
        <v>1226</v>
      </c>
      <c r="E667" s="116">
        <v>1235</v>
      </c>
      <c r="F667" s="116">
        <v>2456.4499999999998</v>
      </c>
      <c r="G667">
        <v>14382</v>
      </c>
      <c r="H667" s="116"/>
      <c r="I667" s="116"/>
      <c r="L667" s="170">
        <v>42984</v>
      </c>
      <c r="M667" s="116">
        <v>1226.5999999999999</v>
      </c>
      <c r="N667" s="116">
        <v>1237.425</v>
      </c>
      <c r="O667" s="116">
        <v>1225</v>
      </c>
      <c r="P667" s="116">
        <v>1234.075</v>
      </c>
      <c r="Q667" s="116">
        <v>2453.1999999999998</v>
      </c>
      <c r="R667">
        <v>614382</v>
      </c>
    </row>
    <row r="668" spans="1:18" x14ac:dyDescent="0.25">
      <c r="A668" s="170">
        <v>42985</v>
      </c>
      <c r="B668" s="116">
        <v>1233.5</v>
      </c>
      <c r="C668" s="116">
        <v>1229.4749999999999</v>
      </c>
      <c r="D668" s="116">
        <v>1226.175</v>
      </c>
      <c r="E668" s="116">
        <v>1228</v>
      </c>
      <c r="F668" s="116">
        <v>2458.9499999999998</v>
      </c>
      <c r="G668">
        <v>18997</v>
      </c>
      <c r="H668" s="116"/>
      <c r="I668" s="116"/>
      <c r="L668" s="170">
        <v>42985</v>
      </c>
      <c r="M668" s="116">
        <v>1230.05</v>
      </c>
      <c r="N668" s="116">
        <v>1234.2</v>
      </c>
      <c r="O668" s="116">
        <v>1225.5250000000001</v>
      </c>
      <c r="P668" s="116">
        <v>1229</v>
      </c>
      <c r="Q668" s="116">
        <v>2460.1</v>
      </c>
      <c r="R668">
        <v>435318</v>
      </c>
    </row>
    <row r="669" spans="1:18" x14ac:dyDescent="0.25">
      <c r="A669" s="170">
        <v>42986</v>
      </c>
      <c r="B669" s="116">
        <v>1237.5</v>
      </c>
      <c r="C669" s="116">
        <v>1235.075</v>
      </c>
      <c r="D669" s="116">
        <v>1226.9749999999999</v>
      </c>
      <c r="E669" s="116">
        <v>1231.5</v>
      </c>
      <c r="F669" s="116">
        <v>2470.15</v>
      </c>
      <c r="G669">
        <v>28066</v>
      </c>
      <c r="H669" s="116"/>
      <c r="I669" s="116"/>
      <c r="L669" s="170">
        <v>42986</v>
      </c>
      <c r="M669" s="116">
        <v>1235.3</v>
      </c>
      <c r="N669" s="116">
        <v>1237</v>
      </c>
      <c r="O669" s="116">
        <v>1226.2750000000001</v>
      </c>
      <c r="P669" s="116">
        <v>1226.875</v>
      </c>
      <c r="Q669" s="116">
        <v>2470.6</v>
      </c>
      <c r="R669">
        <v>510567</v>
      </c>
    </row>
    <row r="670" spans="1:18" x14ac:dyDescent="0.25">
      <c r="A670" s="170">
        <v>42989</v>
      </c>
      <c r="B670" s="116">
        <v>1240.2750000000001</v>
      </c>
      <c r="C670" s="116">
        <v>1231.7750000000001</v>
      </c>
      <c r="D670" s="116">
        <v>1228.0999999999999</v>
      </c>
      <c r="E670" s="116">
        <v>1237</v>
      </c>
      <c r="F670" s="116">
        <v>2463.5500000000002</v>
      </c>
      <c r="G670">
        <v>49710</v>
      </c>
      <c r="H670" s="116"/>
      <c r="I670" s="116"/>
      <c r="L670" s="170">
        <v>42989</v>
      </c>
      <c r="M670" s="116">
        <v>1227.2249999999999</v>
      </c>
      <c r="N670" s="116">
        <v>1241.4749999999999</v>
      </c>
      <c r="O670" s="116">
        <v>1225</v>
      </c>
      <c r="P670" s="116">
        <v>1235.5999999999999</v>
      </c>
      <c r="Q670" s="116">
        <v>2454.4499999999998</v>
      </c>
      <c r="R670">
        <v>366382</v>
      </c>
    </row>
    <row r="671" spans="1:18" x14ac:dyDescent="0.25">
      <c r="A671" s="170">
        <v>42990</v>
      </c>
      <c r="B671" s="116">
        <v>1247.2249999999999</v>
      </c>
      <c r="C671" s="116">
        <v>1243.4000000000001</v>
      </c>
      <c r="D671" s="116">
        <v>1228.5</v>
      </c>
      <c r="E671" s="116">
        <v>1232.5</v>
      </c>
      <c r="F671" s="116">
        <v>2486.8000000000002</v>
      </c>
      <c r="G671">
        <v>26016</v>
      </c>
      <c r="H671" s="116"/>
      <c r="I671" s="116"/>
      <c r="L671" s="170">
        <v>42990</v>
      </c>
      <c r="M671" s="116">
        <v>1244.2249999999999</v>
      </c>
      <c r="N671" s="116">
        <v>1248.5</v>
      </c>
      <c r="O671" s="116">
        <v>1228.5</v>
      </c>
      <c r="P671" s="116">
        <v>1236.95</v>
      </c>
      <c r="Q671" s="116">
        <v>2488.4499999999998</v>
      </c>
      <c r="R671">
        <v>698230</v>
      </c>
    </row>
    <row r="672" spans="1:18" x14ac:dyDescent="0.25">
      <c r="A672" s="170">
        <v>42991</v>
      </c>
      <c r="B672" s="116">
        <v>1264.0250000000001</v>
      </c>
      <c r="C672" s="116">
        <v>1244.05</v>
      </c>
      <c r="D672" s="116">
        <v>1237.675</v>
      </c>
      <c r="E672" s="116">
        <v>1250</v>
      </c>
      <c r="F672" s="116">
        <v>2488.1</v>
      </c>
      <c r="G672">
        <v>62997</v>
      </c>
      <c r="H672" s="116"/>
      <c r="I672" s="116"/>
      <c r="L672" s="170">
        <v>42991</v>
      </c>
      <c r="M672" s="116">
        <v>1244.5999999999999</v>
      </c>
      <c r="N672" s="116">
        <v>1265.825</v>
      </c>
      <c r="O672" s="116">
        <v>1237.5999999999999</v>
      </c>
      <c r="P672" s="116">
        <v>1250</v>
      </c>
      <c r="Q672" s="116">
        <v>2489.1999999999998</v>
      </c>
      <c r="R672">
        <v>639490</v>
      </c>
    </row>
    <row r="673" spans="1:18" x14ac:dyDescent="0.25">
      <c r="A673" s="170">
        <v>42992</v>
      </c>
      <c r="B673" s="116">
        <v>1248.7249999999999</v>
      </c>
      <c r="C673" s="116">
        <v>1242.5250000000001</v>
      </c>
      <c r="D673" s="116">
        <v>1236.5</v>
      </c>
      <c r="E673" s="116">
        <v>1245</v>
      </c>
      <c r="F673" s="116">
        <v>2485.0500000000002</v>
      </c>
      <c r="G673">
        <v>35434</v>
      </c>
      <c r="H673" s="116"/>
      <c r="I673" s="116"/>
      <c r="L673" s="170">
        <v>42992</v>
      </c>
      <c r="M673" s="116">
        <v>1243.4749999999999</v>
      </c>
      <c r="N673" s="116">
        <v>1248.8</v>
      </c>
      <c r="O673" s="116">
        <v>1235.95</v>
      </c>
      <c r="P673" s="116">
        <v>1241</v>
      </c>
      <c r="Q673" s="116">
        <v>2486.9499999999998</v>
      </c>
      <c r="R673">
        <v>540755</v>
      </c>
    </row>
    <row r="674" spans="1:18" x14ac:dyDescent="0.25">
      <c r="A674" s="170">
        <v>42993</v>
      </c>
      <c r="B674" s="116">
        <v>1257.2249999999999</v>
      </c>
      <c r="C674" s="116">
        <v>1249.2750000000001</v>
      </c>
      <c r="D674" s="116">
        <v>1243.8</v>
      </c>
      <c r="E674" s="116">
        <v>1246</v>
      </c>
      <c r="F674" s="116">
        <v>2498.5500000000002</v>
      </c>
      <c r="G674">
        <v>48080</v>
      </c>
      <c r="H674" s="116"/>
      <c r="I674" s="116"/>
      <c r="L674" s="170">
        <v>42993</v>
      </c>
      <c r="M674" s="116">
        <v>1253.0250000000001</v>
      </c>
      <c r="N674" s="116">
        <v>1258.5</v>
      </c>
      <c r="O674" s="116">
        <v>1242.5</v>
      </c>
      <c r="P674" s="116">
        <v>1249.5</v>
      </c>
      <c r="Q674" s="116">
        <v>2506.0500000000002</v>
      </c>
      <c r="R674">
        <v>1472036</v>
      </c>
    </row>
    <row r="675" spans="1:18" x14ac:dyDescent="0.25">
      <c r="A675" s="170">
        <v>42996</v>
      </c>
      <c r="B675" s="116">
        <v>1258.45</v>
      </c>
      <c r="C675" s="116">
        <v>1249.5250000000001</v>
      </c>
      <c r="D675" s="116">
        <v>1245.55</v>
      </c>
      <c r="E675" s="116">
        <v>1253.5</v>
      </c>
      <c r="F675" s="116">
        <v>2499.0500000000002</v>
      </c>
      <c r="G675">
        <v>22330</v>
      </c>
      <c r="H675" s="116"/>
      <c r="I675" s="116"/>
      <c r="L675" s="170">
        <v>42996</v>
      </c>
      <c r="M675" s="116">
        <v>1249.5250000000001</v>
      </c>
      <c r="N675" s="116">
        <v>1259.4749999999999</v>
      </c>
      <c r="O675" s="116">
        <v>1244.625</v>
      </c>
      <c r="P675" s="116">
        <v>1252.4749999999999</v>
      </c>
      <c r="Q675" s="116">
        <v>2499.0500000000002</v>
      </c>
      <c r="R675">
        <v>363300</v>
      </c>
    </row>
    <row r="676" spans="1:18" x14ac:dyDescent="0.25">
      <c r="A676" s="170">
        <v>42997</v>
      </c>
      <c r="B676" s="116">
        <v>1251.675</v>
      </c>
      <c r="C676" s="116">
        <v>1249.1500000000001</v>
      </c>
      <c r="D676" s="116">
        <v>1246.25</v>
      </c>
      <c r="E676" s="116">
        <v>1249.5250000000001</v>
      </c>
      <c r="F676" s="116">
        <v>2498.3000000000002</v>
      </c>
      <c r="G676">
        <v>13318</v>
      </c>
      <c r="H676" s="116"/>
      <c r="I676" s="116"/>
      <c r="L676" s="170">
        <v>42997</v>
      </c>
      <c r="M676" s="116">
        <v>1249.125</v>
      </c>
      <c r="N676" s="116">
        <v>1252.5</v>
      </c>
      <c r="O676" s="116">
        <v>1245.75</v>
      </c>
      <c r="P676" s="116">
        <v>1252.5</v>
      </c>
      <c r="Q676" s="116">
        <v>2498.25</v>
      </c>
      <c r="R676">
        <v>391377</v>
      </c>
    </row>
    <row r="677" spans="1:18" x14ac:dyDescent="0.25">
      <c r="A677" s="170">
        <v>42998</v>
      </c>
      <c r="B677" s="116">
        <v>1252.5</v>
      </c>
      <c r="C677" s="116">
        <v>1246.2</v>
      </c>
      <c r="D677" s="116">
        <v>1239.0250000000001</v>
      </c>
      <c r="E677" s="116">
        <v>1249.1500000000001</v>
      </c>
      <c r="F677" s="116">
        <v>2492.4</v>
      </c>
      <c r="G677">
        <v>17967</v>
      </c>
      <c r="H677" s="116"/>
      <c r="I677" s="116"/>
      <c r="L677" s="170">
        <v>42998</v>
      </c>
      <c r="M677" s="116">
        <v>1246.7750000000001</v>
      </c>
      <c r="N677" s="116">
        <v>1257</v>
      </c>
      <c r="O677" s="116">
        <v>1237.1500000000001</v>
      </c>
      <c r="P677" s="116">
        <v>1257</v>
      </c>
      <c r="Q677" s="116">
        <v>2493.5500000000002</v>
      </c>
      <c r="R677">
        <v>667321</v>
      </c>
    </row>
    <row r="678" spans="1:18" x14ac:dyDescent="0.25">
      <c r="A678" s="170">
        <v>42999</v>
      </c>
      <c r="B678" s="116">
        <v>1269.8499999999999</v>
      </c>
      <c r="C678" s="116">
        <v>1262.925</v>
      </c>
      <c r="D678" s="116">
        <v>1239.9749999999999</v>
      </c>
      <c r="E678" s="116">
        <v>1243.75</v>
      </c>
      <c r="F678" s="116">
        <v>2525.85</v>
      </c>
      <c r="G678">
        <v>29874</v>
      </c>
      <c r="H678" s="116"/>
      <c r="I678" s="116"/>
      <c r="L678" s="170">
        <v>42999</v>
      </c>
      <c r="M678" s="116">
        <v>1262.45</v>
      </c>
      <c r="N678" s="116">
        <v>1270.5</v>
      </c>
      <c r="O678" s="116">
        <v>1240</v>
      </c>
      <c r="P678" s="116">
        <v>1245.5250000000001</v>
      </c>
      <c r="Q678" s="116">
        <v>2524.9</v>
      </c>
      <c r="R678">
        <v>1219370</v>
      </c>
    </row>
    <row r="679" spans="1:18" x14ac:dyDescent="0.25">
      <c r="A679" s="170">
        <v>43000</v>
      </c>
      <c r="B679" s="116">
        <v>1262.95</v>
      </c>
      <c r="C679" s="116">
        <v>1251.175</v>
      </c>
      <c r="D679" s="116">
        <v>1247.5999999999999</v>
      </c>
      <c r="E679" s="116">
        <v>1262.5</v>
      </c>
      <c r="F679" s="116">
        <v>2502.35</v>
      </c>
      <c r="G679">
        <v>25498</v>
      </c>
      <c r="H679" s="116"/>
      <c r="I679" s="116"/>
      <c r="L679" s="170">
        <v>43000</v>
      </c>
      <c r="M679" s="116">
        <v>1251.8</v>
      </c>
      <c r="N679" s="116">
        <v>1263.45</v>
      </c>
      <c r="O679" s="116">
        <v>1246</v>
      </c>
      <c r="P679" s="116">
        <v>1259.95</v>
      </c>
      <c r="Q679" s="116">
        <v>2503.6</v>
      </c>
      <c r="R679">
        <v>1217698</v>
      </c>
    </row>
    <row r="680" spans="1:18" x14ac:dyDescent="0.25">
      <c r="A680" s="170">
        <v>43003</v>
      </c>
      <c r="B680" s="116">
        <v>1266.5</v>
      </c>
      <c r="C680" s="116">
        <v>1254.0999999999999</v>
      </c>
      <c r="D680" s="116">
        <v>1247.5</v>
      </c>
      <c r="E680" s="116">
        <v>1264.4000000000001</v>
      </c>
      <c r="F680" s="116">
        <v>2508.1999999999998</v>
      </c>
      <c r="G680">
        <v>43117</v>
      </c>
      <c r="H680" s="116"/>
      <c r="I680" s="116"/>
      <c r="L680" s="170">
        <v>43003</v>
      </c>
      <c r="M680" s="116">
        <v>1255.375</v>
      </c>
      <c r="N680" s="116">
        <v>1267</v>
      </c>
      <c r="O680" s="116">
        <v>1246.375</v>
      </c>
      <c r="P680" s="116">
        <v>1248.2750000000001</v>
      </c>
      <c r="Q680" s="116">
        <v>2510.75</v>
      </c>
      <c r="R680">
        <v>799779</v>
      </c>
    </row>
    <row r="681" spans="1:18" x14ac:dyDescent="0.25">
      <c r="A681" s="170">
        <v>43004</v>
      </c>
      <c r="B681" s="116">
        <v>1263</v>
      </c>
      <c r="C681" s="116">
        <v>1237.45</v>
      </c>
      <c r="D681" s="116">
        <v>1234</v>
      </c>
      <c r="E681" s="116">
        <v>1254.0999999999999</v>
      </c>
      <c r="F681" s="116">
        <v>2474.9</v>
      </c>
      <c r="G681">
        <v>62103</v>
      </c>
      <c r="H681" s="116"/>
      <c r="I681" s="116"/>
      <c r="L681" s="170">
        <v>43004</v>
      </c>
      <c r="M681" s="116">
        <v>1237.325</v>
      </c>
      <c r="N681" s="116">
        <v>1263.2</v>
      </c>
      <c r="O681" s="116">
        <v>1233</v>
      </c>
      <c r="P681" s="116">
        <v>1255</v>
      </c>
      <c r="Q681" s="116">
        <v>2474.65</v>
      </c>
      <c r="R681">
        <v>724615</v>
      </c>
    </row>
    <row r="682" spans="1:18" x14ac:dyDescent="0.25">
      <c r="A682" s="170">
        <v>43005</v>
      </c>
      <c r="B682" s="116">
        <v>1253.9749999999999</v>
      </c>
      <c r="C682" s="116">
        <v>1245.075</v>
      </c>
      <c r="D682" s="116">
        <v>1237.05</v>
      </c>
      <c r="E682" s="116">
        <v>1245</v>
      </c>
      <c r="F682" s="116">
        <v>2490.15</v>
      </c>
      <c r="G682">
        <v>331057</v>
      </c>
      <c r="H682" s="116"/>
      <c r="I682" s="116"/>
      <c r="L682" s="170">
        <v>43005</v>
      </c>
      <c r="M682" s="116">
        <v>1247.5</v>
      </c>
      <c r="N682" s="116">
        <v>1256.0999999999999</v>
      </c>
      <c r="O682" s="116">
        <v>1236.875</v>
      </c>
      <c r="P682" s="116">
        <v>1245</v>
      </c>
      <c r="Q682" s="116">
        <v>2495</v>
      </c>
      <c r="R682">
        <v>1005178</v>
      </c>
    </row>
    <row r="683" spans="1:18" x14ac:dyDescent="0.25">
      <c r="A683" s="170">
        <v>43006</v>
      </c>
      <c r="B683" s="116">
        <v>1255.5250000000001</v>
      </c>
      <c r="C683" s="116">
        <v>1239.2249999999999</v>
      </c>
      <c r="D683" s="116">
        <v>1226.425</v>
      </c>
      <c r="E683" s="116">
        <v>1247.5</v>
      </c>
      <c r="F683" s="116">
        <v>2478.4499999999998</v>
      </c>
      <c r="G683">
        <v>107850</v>
      </c>
      <c r="H683" s="116"/>
      <c r="I683" s="116"/>
      <c r="L683" s="170">
        <v>43006</v>
      </c>
      <c r="M683" s="116">
        <v>1238.2249999999999</v>
      </c>
      <c r="N683" s="116">
        <v>1257</v>
      </c>
      <c r="O683" s="116">
        <v>1226</v>
      </c>
      <c r="P683" s="116">
        <v>1247.3499999999999</v>
      </c>
      <c r="Q683" s="116">
        <v>2476.4499999999998</v>
      </c>
      <c r="R683">
        <v>2166433</v>
      </c>
    </row>
    <row r="684" spans="1:18" x14ac:dyDescent="0.25">
      <c r="A684" s="170">
        <v>43007</v>
      </c>
      <c r="B684" s="116">
        <v>1241.7249999999999</v>
      </c>
      <c r="C684" s="116">
        <v>1218.5</v>
      </c>
      <c r="D684" s="116">
        <v>1210.325</v>
      </c>
      <c r="E684" s="116">
        <v>1239.2249999999999</v>
      </c>
      <c r="F684" s="116">
        <v>2437</v>
      </c>
      <c r="G684">
        <v>95364</v>
      </c>
      <c r="H684" s="116"/>
      <c r="I684" s="116"/>
      <c r="L684" s="170">
        <v>43007</v>
      </c>
      <c r="M684" s="116">
        <v>1217.9749999999999</v>
      </c>
      <c r="N684" s="116">
        <v>1242</v>
      </c>
      <c r="O684" s="116">
        <v>1210.75</v>
      </c>
      <c r="P684" s="116">
        <v>1239.5</v>
      </c>
      <c r="Q684" s="116">
        <v>2435.9499999999998</v>
      </c>
      <c r="R684">
        <v>992507</v>
      </c>
    </row>
    <row r="685" spans="1:18" x14ac:dyDescent="0.25">
      <c r="A685" s="170">
        <v>43011</v>
      </c>
      <c r="B685" s="116">
        <v>1227.7249999999999</v>
      </c>
      <c r="C685" s="116">
        <v>1223.5250000000001</v>
      </c>
      <c r="D685" s="116">
        <v>1214</v>
      </c>
      <c r="E685" s="116">
        <v>1217.5</v>
      </c>
      <c r="F685" s="116">
        <v>2447.0500000000002</v>
      </c>
      <c r="G685">
        <v>166457</v>
      </c>
      <c r="H685" s="116"/>
      <c r="I685" s="116"/>
      <c r="L685" s="170">
        <v>43011</v>
      </c>
      <c r="M685" s="116">
        <v>1224.2249999999999</v>
      </c>
      <c r="N685" s="116">
        <v>1227.1500000000001</v>
      </c>
      <c r="O685" s="116">
        <v>1213.5250000000001</v>
      </c>
      <c r="P685" s="116">
        <v>1220</v>
      </c>
      <c r="Q685" s="116">
        <v>2448.4499999999998</v>
      </c>
      <c r="R685">
        <v>961503</v>
      </c>
    </row>
    <row r="686" spans="1:18" x14ac:dyDescent="0.25">
      <c r="A686" s="170">
        <v>43012</v>
      </c>
      <c r="B686" s="116">
        <v>1235</v>
      </c>
      <c r="C686" s="116">
        <v>1221.2750000000001</v>
      </c>
      <c r="D686" s="116">
        <v>1214.5</v>
      </c>
      <c r="E686" s="116">
        <v>1235</v>
      </c>
      <c r="F686" s="116">
        <v>2442.5500000000002</v>
      </c>
      <c r="G686">
        <v>132440</v>
      </c>
      <c r="H686" s="116"/>
      <c r="I686" s="116"/>
      <c r="L686" s="170">
        <v>43012</v>
      </c>
      <c r="M686" s="116">
        <v>1221.1500000000001</v>
      </c>
      <c r="N686" s="116">
        <v>1227</v>
      </c>
      <c r="O686" s="116">
        <v>1212.5</v>
      </c>
      <c r="P686" s="116">
        <v>1224.8</v>
      </c>
      <c r="Q686" s="116">
        <v>2442.3000000000002</v>
      </c>
      <c r="R686">
        <v>650389</v>
      </c>
    </row>
    <row r="687" spans="1:18" x14ac:dyDescent="0.25">
      <c r="A687" s="170">
        <v>43013</v>
      </c>
      <c r="B687" s="116">
        <v>1221.2750000000001</v>
      </c>
      <c r="C687" s="116">
        <v>1215.075</v>
      </c>
      <c r="D687" s="116">
        <v>1212.5</v>
      </c>
      <c r="E687" s="116">
        <v>1221</v>
      </c>
      <c r="F687" s="116">
        <v>2430.15</v>
      </c>
      <c r="G687">
        <v>112284</v>
      </c>
      <c r="H687" s="116"/>
      <c r="I687" s="116"/>
      <c r="L687" s="170">
        <v>43013</v>
      </c>
      <c r="M687" s="116">
        <v>1214.8</v>
      </c>
      <c r="N687" s="116">
        <v>1221.7249999999999</v>
      </c>
      <c r="O687" s="116">
        <v>1212.2</v>
      </c>
      <c r="P687" s="116">
        <v>1220.5</v>
      </c>
      <c r="Q687" s="116">
        <v>2429.6</v>
      </c>
      <c r="R687">
        <v>842343</v>
      </c>
    </row>
    <row r="688" spans="1:18" x14ac:dyDescent="0.25">
      <c r="A688" s="170">
        <v>43014</v>
      </c>
      <c r="B688" s="116">
        <v>1227.0250000000001</v>
      </c>
      <c r="C688" s="116">
        <v>1222.575</v>
      </c>
      <c r="D688" s="116">
        <v>1213.8</v>
      </c>
      <c r="E688" s="116">
        <v>1214</v>
      </c>
      <c r="F688" s="116">
        <v>2445.15</v>
      </c>
      <c r="G688">
        <v>24208</v>
      </c>
      <c r="H688" s="116"/>
      <c r="I688" s="116"/>
      <c r="L688" s="170">
        <v>43014</v>
      </c>
      <c r="M688" s="116">
        <v>1223.325</v>
      </c>
      <c r="N688" s="116">
        <v>1227.5</v>
      </c>
      <c r="O688" s="116">
        <v>1214.0250000000001</v>
      </c>
      <c r="P688" s="116">
        <v>1215</v>
      </c>
      <c r="Q688" s="116">
        <v>2446.65</v>
      </c>
      <c r="R688">
        <v>694594</v>
      </c>
    </row>
    <row r="689" spans="1:18" x14ac:dyDescent="0.25">
      <c r="A689" s="170">
        <v>43017</v>
      </c>
      <c r="B689" s="116">
        <v>1233.5</v>
      </c>
      <c r="C689" s="116">
        <v>1226.2750000000001</v>
      </c>
      <c r="D689" s="116">
        <v>1221.3</v>
      </c>
      <c r="E689" s="116">
        <v>1224</v>
      </c>
      <c r="F689" s="116">
        <v>2452.5500000000002</v>
      </c>
      <c r="G689">
        <v>20459</v>
      </c>
      <c r="H689" s="116"/>
      <c r="I689" s="116"/>
      <c r="L689" s="170">
        <v>43017</v>
      </c>
      <c r="M689" s="116">
        <v>1227.05</v>
      </c>
      <c r="N689" s="116">
        <v>1233.9749999999999</v>
      </c>
      <c r="O689" s="116">
        <v>1220.5250000000001</v>
      </c>
      <c r="P689" s="116">
        <v>1220.5250000000001</v>
      </c>
      <c r="Q689" s="116">
        <v>2454.1</v>
      </c>
      <c r="R689">
        <v>886808</v>
      </c>
    </row>
    <row r="690" spans="1:18" x14ac:dyDescent="0.25">
      <c r="A690" s="170">
        <v>43018</v>
      </c>
      <c r="B690" s="116">
        <v>1235.3</v>
      </c>
      <c r="C690" s="116">
        <v>1229.7750000000001</v>
      </c>
      <c r="D690" s="116">
        <v>1226.05</v>
      </c>
      <c r="E690" s="116">
        <v>1230</v>
      </c>
      <c r="F690" s="116">
        <v>2459.5500000000002</v>
      </c>
      <c r="G690">
        <v>144372</v>
      </c>
      <c r="H690" s="116"/>
      <c r="I690" s="116"/>
      <c r="L690" s="170">
        <v>43018</v>
      </c>
      <c r="M690" s="116">
        <v>1229.625</v>
      </c>
      <c r="N690" s="116">
        <v>1234.9749999999999</v>
      </c>
      <c r="O690" s="116">
        <v>1225.625</v>
      </c>
      <c r="P690" s="116">
        <v>1227.5</v>
      </c>
      <c r="Q690" s="116">
        <v>2459.25</v>
      </c>
      <c r="R690">
        <v>611005</v>
      </c>
    </row>
    <row r="691" spans="1:18" x14ac:dyDescent="0.25">
      <c r="A691" s="170">
        <v>43019</v>
      </c>
      <c r="B691" s="116">
        <v>1256.675</v>
      </c>
      <c r="C691" s="116">
        <v>1250.25</v>
      </c>
      <c r="D691" s="116">
        <v>1228.8499999999999</v>
      </c>
      <c r="E691" s="116">
        <v>1230</v>
      </c>
      <c r="F691" s="116">
        <v>2500.5</v>
      </c>
      <c r="G691">
        <v>127184</v>
      </c>
      <c r="H691" s="116"/>
      <c r="I691" s="116"/>
      <c r="L691" s="170">
        <v>43019</v>
      </c>
      <c r="M691" s="116">
        <v>1250.175</v>
      </c>
      <c r="N691" s="116">
        <v>1257.2249999999999</v>
      </c>
      <c r="O691" s="116">
        <v>1228.375</v>
      </c>
      <c r="P691" s="116">
        <v>1230</v>
      </c>
      <c r="Q691" s="116">
        <v>2500.35</v>
      </c>
      <c r="R691">
        <v>763873</v>
      </c>
    </row>
    <row r="692" spans="1:18" x14ac:dyDescent="0.25">
      <c r="A692" s="170">
        <v>43020</v>
      </c>
      <c r="B692" s="116">
        <v>1277.5</v>
      </c>
      <c r="C692" s="116">
        <v>1274.2750000000001</v>
      </c>
      <c r="D692" s="116">
        <v>1250.5250000000001</v>
      </c>
      <c r="E692" s="116">
        <v>1250.5250000000001</v>
      </c>
      <c r="F692" s="116">
        <v>2548.5500000000002</v>
      </c>
      <c r="G692">
        <v>186877</v>
      </c>
      <c r="H692" s="116"/>
      <c r="I692" s="116"/>
      <c r="L692" s="170">
        <v>43020</v>
      </c>
      <c r="M692" s="116">
        <v>1274.0999999999999</v>
      </c>
      <c r="N692" s="116">
        <v>1277.5</v>
      </c>
      <c r="O692" s="116">
        <v>1253.5</v>
      </c>
      <c r="P692" s="116">
        <v>1256.5</v>
      </c>
      <c r="Q692" s="116">
        <v>2548.1999999999998</v>
      </c>
      <c r="R692">
        <v>2503178</v>
      </c>
    </row>
    <row r="693" spans="1:18" x14ac:dyDescent="0.25">
      <c r="A693" s="170">
        <v>43021</v>
      </c>
      <c r="B693" s="116">
        <v>1302.8</v>
      </c>
      <c r="C693" s="116">
        <v>1278.375</v>
      </c>
      <c r="D693" s="116">
        <v>1262.5</v>
      </c>
      <c r="E693" s="116">
        <v>1274.95</v>
      </c>
      <c r="F693" s="116">
        <v>2556.75</v>
      </c>
      <c r="G693">
        <v>93513</v>
      </c>
      <c r="H693" s="116"/>
      <c r="I693" s="116"/>
      <c r="L693" s="170">
        <v>43021</v>
      </c>
      <c r="M693" s="116">
        <v>1279.3</v>
      </c>
      <c r="N693" s="116">
        <v>1304.4749999999999</v>
      </c>
      <c r="O693" s="116">
        <v>1261.5</v>
      </c>
      <c r="P693" s="116">
        <v>1274.0999999999999</v>
      </c>
      <c r="Q693" s="116">
        <v>2558.6</v>
      </c>
      <c r="R693">
        <v>2033160</v>
      </c>
    </row>
    <row r="694" spans="1:18" x14ac:dyDescent="0.25">
      <c r="A694" s="170">
        <v>43024</v>
      </c>
      <c r="B694" s="116">
        <v>1295</v>
      </c>
      <c r="C694" s="116">
        <v>1292.55</v>
      </c>
      <c r="D694" s="116">
        <v>1278</v>
      </c>
      <c r="E694" s="116">
        <v>1278.375</v>
      </c>
      <c r="F694" s="116">
        <v>2585.1</v>
      </c>
      <c r="G694">
        <v>42996</v>
      </c>
      <c r="H694" s="116"/>
      <c r="I694" s="116"/>
      <c r="L694" s="170">
        <v>43024</v>
      </c>
      <c r="M694" s="116">
        <v>1292.2</v>
      </c>
      <c r="N694" s="116">
        <v>1295</v>
      </c>
      <c r="O694" s="116">
        <v>1277.5250000000001</v>
      </c>
      <c r="P694" s="116">
        <v>1277.5250000000001</v>
      </c>
      <c r="Q694" s="116">
        <v>2584.4</v>
      </c>
      <c r="R694">
        <v>609295</v>
      </c>
    </row>
    <row r="695" spans="1:18" x14ac:dyDescent="0.25">
      <c r="A695" s="170">
        <v>43025</v>
      </c>
      <c r="B695" s="116">
        <v>1306.4749999999999</v>
      </c>
      <c r="C695" s="116">
        <v>1297.425</v>
      </c>
      <c r="D695" s="116">
        <v>1290.55</v>
      </c>
      <c r="E695" s="116">
        <v>1293</v>
      </c>
      <c r="F695" s="116">
        <v>2594.85</v>
      </c>
      <c r="G695">
        <v>31166</v>
      </c>
      <c r="H695" s="116"/>
      <c r="I695" s="116"/>
      <c r="L695" s="170">
        <v>43025</v>
      </c>
      <c r="M695" s="116">
        <v>1297.2750000000001</v>
      </c>
      <c r="N695" s="116">
        <v>1307.4749999999999</v>
      </c>
      <c r="O695" s="116">
        <v>1288.7750000000001</v>
      </c>
      <c r="P695" s="116">
        <v>1292.5</v>
      </c>
      <c r="Q695" s="116">
        <v>2594.5500000000002</v>
      </c>
      <c r="R695">
        <v>721508</v>
      </c>
    </row>
    <row r="696" spans="1:18" x14ac:dyDescent="0.25">
      <c r="A696" s="170">
        <v>43026</v>
      </c>
      <c r="B696" s="116">
        <v>1305.95</v>
      </c>
      <c r="C696" s="116">
        <v>1294.5250000000001</v>
      </c>
      <c r="D696" s="116">
        <v>1290</v>
      </c>
      <c r="E696" s="116">
        <v>1295</v>
      </c>
      <c r="F696" s="116">
        <v>2589.0500000000002</v>
      </c>
      <c r="G696">
        <v>16133</v>
      </c>
      <c r="H696" s="116"/>
      <c r="I696" s="116"/>
      <c r="L696" s="170">
        <v>43026</v>
      </c>
      <c r="M696" s="116">
        <v>1293.3</v>
      </c>
      <c r="N696" s="116">
        <v>1306.825</v>
      </c>
      <c r="O696" s="116">
        <v>1290</v>
      </c>
      <c r="P696" s="116">
        <v>1297.5</v>
      </c>
      <c r="Q696" s="116">
        <v>2586.6</v>
      </c>
      <c r="R696">
        <v>757072</v>
      </c>
    </row>
    <row r="697" spans="1:18" x14ac:dyDescent="0.25">
      <c r="A697" s="170">
        <v>43027</v>
      </c>
      <c r="B697" s="116">
        <v>1297.4749999999999</v>
      </c>
      <c r="C697" s="116">
        <v>1290.4749999999999</v>
      </c>
      <c r="D697" s="116">
        <v>1285.425</v>
      </c>
      <c r="E697" s="116">
        <v>1294.5250000000001</v>
      </c>
      <c r="F697" s="116">
        <v>2580.9499999999998</v>
      </c>
      <c r="G697">
        <v>5143</v>
      </c>
      <c r="H697" s="116"/>
      <c r="I697" s="116"/>
      <c r="L697" s="170">
        <v>43027</v>
      </c>
      <c r="M697" s="116">
        <v>1291.95</v>
      </c>
      <c r="N697" s="116">
        <v>1297.9000000000001</v>
      </c>
      <c r="O697" s="116">
        <v>1285.5</v>
      </c>
      <c r="P697" s="116">
        <v>1296</v>
      </c>
      <c r="Q697" s="116">
        <v>2583.9</v>
      </c>
      <c r="R697">
        <v>43411</v>
      </c>
    </row>
    <row r="698" spans="1:18" x14ac:dyDescent="0.25">
      <c r="A698" s="170">
        <v>43031</v>
      </c>
      <c r="B698" s="116">
        <v>1312.5250000000001</v>
      </c>
      <c r="C698" s="116">
        <v>1292.9749999999999</v>
      </c>
      <c r="D698" s="116">
        <v>1277.5</v>
      </c>
      <c r="E698" s="116">
        <v>1290.5</v>
      </c>
      <c r="F698" s="116">
        <v>2585.9499999999998</v>
      </c>
      <c r="G698">
        <v>91430</v>
      </c>
      <c r="H698" s="116"/>
      <c r="I698" s="116"/>
      <c r="L698" s="170">
        <v>43031</v>
      </c>
      <c r="M698" s="116">
        <v>1293.95</v>
      </c>
      <c r="N698" s="116">
        <v>1314.5</v>
      </c>
      <c r="O698" s="116">
        <v>1273.7249999999999</v>
      </c>
      <c r="P698" s="116">
        <v>1292</v>
      </c>
      <c r="Q698" s="116">
        <v>2587.9</v>
      </c>
      <c r="R698">
        <v>943044</v>
      </c>
    </row>
    <row r="699" spans="1:18" x14ac:dyDescent="0.25">
      <c r="A699" s="170">
        <v>43032</v>
      </c>
      <c r="B699" s="116">
        <v>1309.5</v>
      </c>
      <c r="C699" s="116">
        <v>1290.3</v>
      </c>
      <c r="D699" s="116">
        <v>1285.2249999999999</v>
      </c>
      <c r="E699" s="116">
        <v>1305</v>
      </c>
      <c r="F699" s="116">
        <v>2580.6</v>
      </c>
      <c r="G699">
        <v>14593</v>
      </c>
      <c r="H699" s="116"/>
      <c r="I699" s="116"/>
      <c r="L699" s="170">
        <v>43032</v>
      </c>
      <c r="M699" s="116">
        <v>1289.2</v>
      </c>
      <c r="N699" s="116">
        <v>1310.45</v>
      </c>
      <c r="O699" s="116">
        <v>1284.5250000000001</v>
      </c>
      <c r="P699" s="116">
        <v>1310</v>
      </c>
      <c r="Q699" s="116">
        <v>2578.4</v>
      </c>
      <c r="R699">
        <v>669510</v>
      </c>
    </row>
    <row r="700" spans="1:18" x14ac:dyDescent="0.25">
      <c r="A700" s="170">
        <v>43033</v>
      </c>
      <c r="B700" s="116">
        <v>1305.5</v>
      </c>
      <c r="C700" s="116">
        <v>1280.875</v>
      </c>
      <c r="D700" s="116">
        <v>1279.375</v>
      </c>
      <c r="E700" s="116">
        <v>1291</v>
      </c>
      <c r="F700" s="116">
        <v>2561.75</v>
      </c>
      <c r="G700">
        <v>13157</v>
      </c>
      <c r="H700" s="116"/>
      <c r="I700" s="116"/>
      <c r="L700" s="170">
        <v>43033</v>
      </c>
      <c r="M700" s="116">
        <v>1279.95</v>
      </c>
      <c r="N700" s="116">
        <v>1307</v>
      </c>
      <c r="O700" s="116">
        <v>1277.5</v>
      </c>
      <c r="P700" s="116">
        <v>1289.25</v>
      </c>
      <c r="Q700" s="116">
        <v>2559.9</v>
      </c>
      <c r="R700">
        <v>552553</v>
      </c>
    </row>
    <row r="701" spans="1:18" x14ac:dyDescent="0.25">
      <c r="A701" s="170">
        <v>43034</v>
      </c>
      <c r="B701" s="116">
        <v>1283.2</v>
      </c>
      <c r="C701" s="116">
        <v>1271.5</v>
      </c>
      <c r="D701" s="116">
        <v>1262.8</v>
      </c>
      <c r="E701" s="116">
        <v>1280</v>
      </c>
      <c r="F701" s="116">
        <v>2543</v>
      </c>
      <c r="G701">
        <v>23932</v>
      </c>
      <c r="H701" s="116"/>
      <c r="I701" s="116"/>
      <c r="L701" s="170">
        <v>43034</v>
      </c>
      <c r="M701" s="116">
        <v>1269.425</v>
      </c>
      <c r="N701" s="116">
        <v>1284.575</v>
      </c>
      <c r="O701" s="116">
        <v>1258.95</v>
      </c>
      <c r="P701" s="116">
        <v>1267.55</v>
      </c>
      <c r="Q701" s="116">
        <v>2538.85</v>
      </c>
      <c r="R701">
        <v>1503776</v>
      </c>
    </row>
    <row r="702" spans="1:18" x14ac:dyDescent="0.25">
      <c r="A702" s="170">
        <v>43035</v>
      </c>
      <c r="B702" s="116">
        <v>1295</v>
      </c>
      <c r="C702" s="116">
        <v>1289.5999999999999</v>
      </c>
      <c r="D702" s="116">
        <v>1267.2</v>
      </c>
      <c r="E702" s="116">
        <v>1272.5</v>
      </c>
      <c r="F702" s="116">
        <v>2579.1999999999998</v>
      </c>
      <c r="G702">
        <v>29661</v>
      </c>
      <c r="H702" s="116"/>
      <c r="I702" s="116"/>
      <c r="L702" s="170">
        <v>43035</v>
      </c>
      <c r="M702" s="116">
        <v>1292.1500000000001</v>
      </c>
      <c r="N702" s="116">
        <v>1296.575</v>
      </c>
      <c r="O702" s="116">
        <v>1265.1500000000001</v>
      </c>
      <c r="P702" s="116">
        <v>1269</v>
      </c>
      <c r="Q702" s="116">
        <v>2584.3000000000002</v>
      </c>
      <c r="R702">
        <v>704635</v>
      </c>
    </row>
    <row r="703" spans="1:18" x14ac:dyDescent="0.25">
      <c r="A703" s="170">
        <v>43038</v>
      </c>
      <c r="B703" s="116">
        <v>1309</v>
      </c>
      <c r="C703" s="116">
        <v>1306.5</v>
      </c>
      <c r="D703" s="116">
        <v>1290</v>
      </c>
      <c r="E703" s="116">
        <v>1290</v>
      </c>
      <c r="F703" s="116">
        <v>2613</v>
      </c>
      <c r="G703">
        <v>42757</v>
      </c>
      <c r="H703" s="116"/>
      <c r="I703" s="116"/>
      <c r="L703" s="170">
        <v>43038</v>
      </c>
      <c r="M703" s="116">
        <v>1308.0999999999999</v>
      </c>
      <c r="N703" s="116">
        <v>1310</v>
      </c>
      <c r="O703" s="116">
        <v>1290.8499999999999</v>
      </c>
      <c r="P703" s="116">
        <v>1293</v>
      </c>
      <c r="Q703" s="116">
        <v>2616.1999999999998</v>
      </c>
      <c r="R703">
        <v>568626</v>
      </c>
    </row>
    <row r="704" spans="1:18" x14ac:dyDescent="0.25">
      <c r="A704" s="170">
        <v>43039</v>
      </c>
      <c r="B704" s="116">
        <v>1317.45</v>
      </c>
      <c r="C704" s="116">
        <v>1308.1500000000001</v>
      </c>
      <c r="D704" s="116">
        <v>1297.5250000000001</v>
      </c>
      <c r="E704" s="116">
        <v>1297.5250000000001</v>
      </c>
      <c r="F704" s="116">
        <v>2616.3000000000002</v>
      </c>
      <c r="G704">
        <v>35800</v>
      </c>
      <c r="H704" s="116"/>
      <c r="I704" s="116"/>
      <c r="L704" s="170">
        <v>43039</v>
      </c>
      <c r="M704" s="116">
        <v>1312</v>
      </c>
      <c r="N704" s="116">
        <v>1320</v>
      </c>
      <c r="O704" s="116">
        <v>1300.6500000000001</v>
      </c>
      <c r="P704" s="116">
        <v>1300.6500000000001</v>
      </c>
      <c r="Q704" s="116">
        <v>2624</v>
      </c>
      <c r="R704">
        <v>796317</v>
      </c>
    </row>
    <row r="705" spans="1:18" x14ac:dyDescent="0.25">
      <c r="A705" s="170">
        <v>43040</v>
      </c>
      <c r="B705" s="116">
        <v>1311</v>
      </c>
      <c r="C705" s="116">
        <v>1301.25</v>
      </c>
      <c r="D705" s="116">
        <v>1290.55</v>
      </c>
      <c r="E705" s="116">
        <v>1311</v>
      </c>
      <c r="F705" s="116">
        <v>2602.5</v>
      </c>
      <c r="G705">
        <v>25353</v>
      </c>
      <c r="H705" s="116"/>
      <c r="I705" s="116"/>
      <c r="L705" s="170">
        <v>43040</v>
      </c>
      <c r="M705" s="116">
        <v>1301.425</v>
      </c>
      <c r="N705" s="116">
        <v>1313.425</v>
      </c>
      <c r="O705" s="116">
        <v>1289.425</v>
      </c>
      <c r="P705" s="116">
        <v>1312</v>
      </c>
      <c r="Q705" s="116">
        <v>2602.85</v>
      </c>
      <c r="R705">
        <v>370941</v>
      </c>
    </row>
    <row r="706" spans="1:18" x14ac:dyDescent="0.25">
      <c r="A706" s="170">
        <v>43041</v>
      </c>
      <c r="B706" s="116">
        <v>1335</v>
      </c>
      <c r="C706" s="116">
        <v>1312.9</v>
      </c>
      <c r="D706" s="116">
        <v>1293.25</v>
      </c>
      <c r="E706" s="116">
        <v>1293.25</v>
      </c>
      <c r="F706" s="116">
        <v>2625.8</v>
      </c>
      <c r="G706">
        <v>40438</v>
      </c>
      <c r="H706" s="116"/>
      <c r="I706" s="116"/>
      <c r="L706" s="170">
        <v>43041</v>
      </c>
      <c r="M706" s="116">
        <v>1313.075</v>
      </c>
      <c r="N706" s="116">
        <v>1337</v>
      </c>
      <c r="O706" s="116">
        <v>1303.375</v>
      </c>
      <c r="P706" s="116">
        <v>1304.25</v>
      </c>
      <c r="Q706" s="116">
        <v>2626.15</v>
      </c>
      <c r="R706">
        <v>734211</v>
      </c>
    </row>
    <row r="707" spans="1:18" x14ac:dyDescent="0.25">
      <c r="A707" s="170">
        <v>43042</v>
      </c>
      <c r="B707" s="116">
        <v>1317.5</v>
      </c>
      <c r="C707" s="116">
        <v>1306.3499999999999</v>
      </c>
      <c r="D707" s="116">
        <v>1302.125</v>
      </c>
      <c r="E707" s="116">
        <v>1315</v>
      </c>
      <c r="F707" s="116">
        <v>2612.6999999999998</v>
      </c>
      <c r="G707">
        <v>17951</v>
      </c>
      <c r="H707" s="116"/>
      <c r="I707" s="116"/>
      <c r="L707" s="170">
        <v>43042</v>
      </c>
      <c r="M707" s="116">
        <v>1310.05</v>
      </c>
      <c r="N707" s="116">
        <v>1318.35</v>
      </c>
      <c r="O707" s="116">
        <v>1301.4000000000001</v>
      </c>
      <c r="P707" s="116">
        <v>1316.2</v>
      </c>
      <c r="Q707" s="116">
        <v>2620.1</v>
      </c>
      <c r="R707">
        <v>333443</v>
      </c>
    </row>
    <row r="708" spans="1:18" x14ac:dyDescent="0.25">
      <c r="A708" s="170">
        <v>43045</v>
      </c>
      <c r="B708" s="116">
        <v>1336.4749999999999</v>
      </c>
      <c r="C708" s="116">
        <v>1333.5</v>
      </c>
      <c r="D708" s="116">
        <v>1305</v>
      </c>
      <c r="E708" s="116">
        <v>1305</v>
      </c>
      <c r="F708" s="116">
        <v>2667</v>
      </c>
      <c r="G708">
        <v>37160</v>
      </c>
      <c r="H708" s="116"/>
      <c r="I708" s="116"/>
      <c r="L708" s="170">
        <v>43045</v>
      </c>
      <c r="M708" s="116">
        <v>1332.7750000000001</v>
      </c>
      <c r="N708" s="116">
        <v>1335.9</v>
      </c>
      <c r="O708" s="116">
        <v>1305.875</v>
      </c>
      <c r="P708" s="116">
        <v>1310</v>
      </c>
      <c r="Q708" s="116">
        <v>2665.55</v>
      </c>
      <c r="R708">
        <v>688500</v>
      </c>
    </row>
    <row r="709" spans="1:18" x14ac:dyDescent="0.25">
      <c r="A709" s="170">
        <v>43046</v>
      </c>
      <c r="B709" s="116">
        <v>1371.8</v>
      </c>
      <c r="C709" s="116">
        <v>1354.175</v>
      </c>
      <c r="D709" s="116">
        <v>1334</v>
      </c>
      <c r="E709" s="116">
        <v>1335.5</v>
      </c>
      <c r="F709" s="116">
        <v>2708.35</v>
      </c>
      <c r="G709">
        <v>116044</v>
      </c>
      <c r="H709" s="116"/>
      <c r="I709" s="116"/>
      <c r="L709" s="170">
        <v>43046</v>
      </c>
      <c r="M709" s="116">
        <v>1355.0250000000001</v>
      </c>
      <c r="N709" s="116">
        <v>1384</v>
      </c>
      <c r="O709" s="116">
        <v>1333.0250000000001</v>
      </c>
      <c r="P709" s="116">
        <v>1335</v>
      </c>
      <c r="Q709" s="116">
        <v>2710.05</v>
      </c>
      <c r="R709">
        <v>1348446</v>
      </c>
    </row>
    <row r="710" spans="1:18" x14ac:dyDescent="0.25">
      <c r="A710" s="170">
        <v>43047</v>
      </c>
      <c r="B710" s="116">
        <v>1376.55</v>
      </c>
      <c r="C710" s="116">
        <v>1365.2249999999999</v>
      </c>
      <c r="D710" s="116">
        <v>1359.825</v>
      </c>
      <c r="E710" s="116">
        <v>1364</v>
      </c>
      <c r="F710" s="116">
        <v>2730.45</v>
      </c>
      <c r="G710">
        <v>30591</v>
      </c>
      <c r="H710" s="116"/>
      <c r="I710" s="116"/>
      <c r="L710" s="170">
        <v>43047</v>
      </c>
      <c r="M710" s="116">
        <v>1367.5</v>
      </c>
      <c r="N710" s="116">
        <v>1379.5</v>
      </c>
      <c r="O710" s="116">
        <v>1359.125</v>
      </c>
      <c r="P710" s="116">
        <v>1361.5</v>
      </c>
      <c r="Q710" s="116">
        <v>2735</v>
      </c>
      <c r="R710">
        <v>701126</v>
      </c>
    </row>
    <row r="711" spans="1:18" x14ac:dyDescent="0.25">
      <c r="A711" s="170">
        <v>43048</v>
      </c>
      <c r="B711" s="116">
        <v>1375</v>
      </c>
      <c r="C711" s="116">
        <v>1366.925</v>
      </c>
      <c r="D711" s="116">
        <v>1356.7750000000001</v>
      </c>
      <c r="E711" s="116">
        <v>1375</v>
      </c>
      <c r="F711" s="116">
        <v>2733.85</v>
      </c>
      <c r="G711">
        <v>31389</v>
      </c>
      <c r="H711" s="116"/>
      <c r="I711" s="116"/>
      <c r="L711" s="170">
        <v>43048</v>
      </c>
      <c r="M711" s="116">
        <v>1368.2</v>
      </c>
      <c r="N711" s="116">
        <v>1375</v>
      </c>
      <c r="O711" s="116">
        <v>1359.65</v>
      </c>
      <c r="P711" s="116">
        <v>1375</v>
      </c>
      <c r="Q711" s="116">
        <v>2736.4</v>
      </c>
      <c r="R711">
        <v>576216</v>
      </c>
    </row>
    <row r="712" spans="1:18" x14ac:dyDescent="0.25">
      <c r="A712" s="170">
        <v>43049</v>
      </c>
      <c r="B712" s="116">
        <v>1364.9749999999999</v>
      </c>
      <c r="C712" s="116">
        <v>1351.65</v>
      </c>
      <c r="D712" s="116">
        <v>1347.75</v>
      </c>
      <c r="E712" s="116">
        <v>1358.5</v>
      </c>
      <c r="F712" s="116">
        <v>2703.3</v>
      </c>
      <c r="G712">
        <v>9064</v>
      </c>
      <c r="H712" s="116"/>
      <c r="I712" s="116"/>
      <c r="L712" s="170">
        <v>43049</v>
      </c>
      <c r="M712" s="116">
        <v>1354.375</v>
      </c>
      <c r="N712" s="116">
        <v>1363</v>
      </c>
      <c r="O712" s="116">
        <v>1346.675</v>
      </c>
      <c r="P712" s="116">
        <v>1361.1</v>
      </c>
      <c r="Q712" s="116">
        <v>2708.75</v>
      </c>
      <c r="R712">
        <v>678283</v>
      </c>
    </row>
    <row r="713" spans="1:18" x14ac:dyDescent="0.25">
      <c r="A713" s="170">
        <v>43052</v>
      </c>
      <c r="B713" s="116">
        <v>1387</v>
      </c>
      <c r="C713" s="116">
        <v>1379.45</v>
      </c>
      <c r="D713" s="116">
        <v>1350</v>
      </c>
      <c r="E713" s="116">
        <v>1351.5</v>
      </c>
      <c r="F713" s="116">
        <v>2758.9</v>
      </c>
      <c r="G713">
        <v>67364</v>
      </c>
      <c r="H713" s="116"/>
      <c r="I713" s="116"/>
      <c r="L713" s="170">
        <v>43052</v>
      </c>
      <c r="M713" s="116">
        <v>1379.4749999999999</v>
      </c>
      <c r="N713" s="116">
        <v>1388.7</v>
      </c>
      <c r="O713" s="116">
        <v>1351.0250000000001</v>
      </c>
      <c r="P713" s="116">
        <v>1351.0250000000001</v>
      </c>
      <c r="Q713" s="116">
        <v>2758.95</v>
      </c>
      <c r="R713">
        <v>748498</v>
      </c>
    </row>
    <row r="714" spans="1:18" x14ac:dyDescent="0.25">
      <c r="A714" s="170">
        <v>43053</v>
      </c>
      <c r="B714" s="116">
        <v>1379</v>
      </c>
      <c r="C714" s="116">
        <v>1358.375</v>
      </c>
      <c r="D714" s="116">
        <v>1353.2750000000001</v>
      </c>
      <c r="E714" s="116">
        <v>1379</v>
      </c>
      <c r="F714" s="116">
        <v>2716.75</v>
      </c>
      <c r="G714">
        <v>29722</v>
      </c>
      <c r="H714" s="116"/>
      <c r="I714" s="116"/>
      <c r="L714" s="170">
        <v>43053</v>
      </c>
      <c r="M714" s="116">
        <v>1357.3</v>
      </c>
      <c r="N714" s="116">
        <v>1378.2750000000001</v>
      </c>
      <c r="O714" s="116">
        <v>1353.75</v>
      </c>
      <c r="P714" s="116">
        <v>1378.2750000000001</v>
      </c>
      <c r="Q714" s="116">
        <v>2714.6</v>
      </c>
      <c r="R714">
        <v>828626</v>
      </c>
    </row>
    <row r="715" spans="1:18" x14ac:dyDescent="0.25">
      <c r="A715" s="170">
        <v>43054</v>
      </c>
      <c r="B715" s="116">
        <v>1374.9749999999999</v>
      </c>
      <c r="C715" s="116">
        <v>1353.075</v>
      </c>
      <c r="D715" s="116">
        <v>1351.4</v>
      </c>
      <c r="E715" s="116">
        <v>1357.5</v>
      </c>
      <c r="F715" s="116">
        <v>2706.15</v>
      </c>
      <c r="G715">
        <v>24591</v>
      </c>
      <c r="H715" s="116"/>
      <c r="I715" s="116"/>
      <c r="L715" s="170">
        <v>43054</v>
      </c>
      <c r="M715" s="116">
        <v>1352.65</v>
      </c>
      <c r="N715" s="116">
        <v>1377.5</v>
      </c>
      <c r="O715" s="116">
        <v>1350.675</v>
      </c>
      <c r="P715" s="116">
        <v>1353</v>
      </c>
      <c r="Q715" s="116">
        <v>2705.3</v>
      </c>
      <c r="R715">
        <v>3335417</v>
      </c>
    </row>
    <row r="716" spans="1:18" x14ac:dyDescent="0.25">
      <c r="A716" s="170">
        <v>43055</v>
      </c>
      <c r="B716" s="116">
        <v>1380.5</v>
      </c>
      <c r="C716" s="116">
        <v>1373.3</v>
      </c>
      <c r="D716" s="116">
        <v>1345</v>
      </c>
      <c r="E716" s="116">
        <v>1353.5</v>
      </c>
      <c r="F716" s="116">
        <v>2746.6</v>
      </c>
      <c r="G716">
        <v>66179</v>
      </c>
      <c r="H716" s="116"/>
      <c r="I716" s="116"/>
      <c r="L716" s="170">
        <v>43055</v>
      </c>
      <c r="M716" s="116">
        <v>1373.325</v>
      </c>
      <c r="N716" s="116">
        <v>1381.5</v>
      </c>
      <c r="O716" s="116">
        <v>1343.4749999999999</v>
      </c>
      <c r="P716" s="116">
        <v>1355</v>
      </c>
      <c r="Q716" s="116">
        <v>2746.65</v>
      </c>
      <c r="R716">
        <v>826741</v>
      </c>
    </row>
    <row r="717" spans="1:18" x14ac:dyDescent="0.25">
      <c r="A717" s="170">
        <v>43056</v>
      </c>
      <c r="B717" s="116">
        <v>1379.5</v>
      </c>
      <c r="C717" s="116">
        <v>1355.05</v>
      </c>
      <c r="D717" s="116">
        <v>1353</v>
      </c>
      <c r="E717" s="116">
        <v>1379.5</v>
      </c>
      <c r="F717" s="116">
        <v>2710.1</v>
      </c>
      <c r="G717">
        <v>15068</v>
      </c>
      <c r="H717" s="116"/>
      <c r="I717" s="116"/>
      <c r="L717" s="170">
        <v>43056</v>
      </c>
      <c r="M717" s="116">
        <v>1353.65</v>
      </c>
      <c r="N717" s="116">
        <v>1374.05</v>
      </c>
      <c r="O717" s="116">
        <v>1351.8</v>
      </c>
      <c r="P717" s="116">
        <v>1374.05</v>
      </c>
      <c r="Q717" s="116">
        <v>2707.3</v>
      </c>
      <c r="R717">
        <v>662732</v>
      </c>
    </row>
    <row r="718" spans="1:18" x14ac:dyDescent="0.25">
      <c r="A718" s="170">
        <v>43059</v>
      </c>
      <c r="B718" s="116">
        <v>1362.825</v>
      </c>
      <c r="C718" s="116">
        <v>1352.325</v>
      </c>
      <c r="D718" s="116">
        <v>1348.4749999999999</v>
      </c>
      <c r="E718" s="116">
        <v>1359.05</v>
      </c>
      <c r="F718" s="116">
        <v>2704.65</v>
      </c>
      <c r="G718">
        <v>24222</v>
      </c>
      <c r="H718" s="116"/>
      <c r="I718" s="116"/>
      <c r="L718" s="170">
        <v>43059</v>
      </c>
      <c r="M718" s="116">
        <v>1351.7249999999999</v>
      </c>
      <c r="N718" s="116">
        <v>1363.45</v>
      </c>
      <c r="O718" s="116">
        <v>1347.65</v>
      </c>
      <c r="P718" s="116">
        <v>1357.5</v>
      </c>
      <c r="Q718" s="116">
        <v>2703.45</v>
      </c>
      <c r="R718">
        <v>507249</v>
      </c>
    </row>
    <row r="719" spans="1:18" x14ac:dyDescent="0.25">
      <c r="A719" s="170">
        <v>43060</v>
      </c>
      <c r="B719" s="116">
        <v>1352.375</v>
      </c>
      <c r="C719" s="116">
        <v>1338.325</v>
      </c>
      <c r="D719" s="116">
        <v>1335</v>
      </c>
      <c r="E719" s="116">
        <v>1352.375</v>
      </c>
      <c r="F719" s="116">
        <v>2676.65</v>
      </c>
      <c r="G719">
        <v>16157</v>
      </c>
      <c r="H719" s="116"/>
      <c r="I719" s="116"/>
      <c r="L719" s="170">
        <v>43060</v>
      </c>
      <c r="M719" s="116">
        <v>1336.4749999999999</v>
      </c>
      <c r="N719" s="116">
        <v>1350.5</v>
      </c>
      <c r="O719" s="116">
        <v>1333</v>
      </c>
      <c r="P719" s="116">
        <v>1350.5</v>
      </c>
      <c r="Q719" s="116">
        <v>2672.95</v>
      </c>
      <c r="R719">
        <v>763870</v>
      </c>
    </row>
    <row r="720" spans="1:18" x14ac:dyDescent="0.25">
      <c r="A720" s="170">
        <v>43061</v>
      </c>
      <c r="B720" s="116">
        <v>1354.7</v>
      </c>
      <c r="C720" s="116">
        <v>1341.6</v>
      </c>
      <c r="D720" s="116">
        <v>1335</v>
      </c>
      <c r="E720" s="116">
        <v>1335</v>
      </c>
      <c r="F720" s="116">
        <v>2683.2</v>
      </c>
      <c r="G720">
        <v>73742</v>
      </c>
      <c r="H720" s="116"/>
      <c r="I720" s="116"/>
      <c r="L720" s="170">
        <v>43061</v>
      </c>
      <c r="M720" s="116">
        <v>1340.325</v>
      </c>
      <c r="N720" s="116">
        <v>1354.85</v>
      </c>
      <c r="O720" s="116">
        <v>1336.2</v>
      </c>
      <c r="P720" s="116">
        <v>1336.5</v>
      </c>
      <c r="Q720" s="116">
        <v>2680.65</v>
      </c>
      <c r="R720">
        <v>911312</v>
      </c>
    </row>
    <row r="721" spans="1:18" x14ac:dyDescent="0.25">
      <c r="A721" s="170">
        <v>43062</v>
      </c>
      <c r="B721" s="116">
        <v>1347.125</v>
      </c>
      <c r="C721" s="116">
        <v>1341.375</v>
      </c>
      <c r="D721" s="116">
        <v>1336.325</v>
      </c>
      <c r="E721" s="116">
        <v>1342.05</v>
      </c>
      <c r="F721" s="116">
        <v>2682.75</v>
      </c>
      <c r="G721">
        <v>16585</v>
      </c>
      <c r="H721" s="116"/>
      <c r="I721" s="116"/>
      <c r="L721" s="170">
        <v>43062</v>
      </c>
      <c r="M721" s="116">
        <v>1340.625</v>
      </c>
      <c r="N721" s="116">
        <v>1346.5</v>
      </c>
      <c r="O721" s="116">
        <v>1334.5</v>
      </c>
      <c r="P721" s="116">
        <v>1340.5</v>
      </c>
      <c r="Q721" s="116">
        <v>2681.25</v>
      </c>
      <c r="R721">
        <v>396735</v>
      </c>
    </row>
    <row r="722" spans="1:18" x14ac:dyDescent="0.25">
      <c r="A722" s="170">
        <v>43063</v>
      </c>
      <c r="B722" s="116">
        <v>1353</v>
      </c>
      <c r="C722" s="116">
        <v>1344.375</v>
      </c>
      <c r="D722" s="116">
        <v>1337</v>
      </c>
      <c r="E722" s="116">
        <v>1337</v>
      </c>
      <c r="F722" s="116">
        <v>2688.75</v>
      </c>
      <c r="G722">
        <v>21173</v>
      </c>
      <c r="H722" s="116"/>
      <c r="I722" s="116"/>
      <c r="L722" s="170">
        <v>43063</v>
      </c>
      <c r="M722" s="116">
        <v>1344.0250000000001</v>
      </c>
      <c r="N722" s="116">
        <v>1351.45</v>
      </c>
      <c r="O722" s="116">
        <v>1336.55</v>
      </c>
      <c r="P722" s="116">
        <v>1341</v>
      </c>
      <c r="Q722" s="116">
        <v>2688.05</v>
      </c>
      <c r="R722">
        <v>1143756</v>
      </c>
    </row>
    <row r="723" spans="1:18" x14ac:dyDescent="0.25">
      <c r="A723" s="170">
        <v>43066</v>
      </c>
      <c r="B723" s="116">
        <v>1345.7</v>
      </c>
      <c r="C723" s="116">
        <v>1343.5250000000001</v>
      </c>
      <c r="D723" s="116">
        <v>1332.6</v>
      </c>
      <c r="E723" s="116">
        <v>1338.5</v>
      </c>
      <c r="F723" s="116">
        <v>2687.05</v>
      </c>
      <c r="G723">
        <v>17735</v>
      </c>
      <c r="H723" s="116"/>
      <c r="I723" s="116"/>
      <c r="L723" s="170">
        <v>43066</v>
      </c>
      <c r="M723" s="116">
        <v>1342.925</v>
      </c>
      <c r="N723" s="116">
        <v>1347.95</v>
      </c>
      <c r="O723" s="116">
        <v>1331.1</v>
      </c>
      <c r="P723" s="116">
        <v>1344</v>
      </c>
      <c r="Q723" s="116">
        <v>2685.85</v>
      </c>
      <c r="R723">
        <v>928393</v>
      </c>
    </row>
    <row r="724" spans="1:18" x14ac:dyDescent="0.25">
      <c r="A724" s="170">
        <v>43067</v>
      </c>
      <c r="B724" s="116">
        <v>1348.75</v>
      </c>
      <c r="C724" s="116">
        <v>1342.45</v>
      </c>
      <c r="D724" s="116">
        <v>1336.125</v>
      </c>
      <c r="E724" s="116">
        <v>1343.5</v>
      </c>
      <c r="F724" s="116">
        <v>2684.9</v>
      </c>
      <c r="G724">
        <v>82373</v>
      </c>
      <c r="H724" s="116"/>
      <c r="I724" s="116"/>
      <c r="L724" s="170">
        <v>43067</v>
      </c>
      <c r="M724" s="116">
        <v>1342.65</v>
      </c>
      <c r="N724" s="116">
        <v>1351.2</v>
      </c>
      <c r="O724" s="116">
        <v>1335</v>
      </c>
      <c r="P724" s="116">
        <v>1343</v>
      </c>
      <c r="Q724" s="116">
        <v>2685.3</v>
      </c>
      <c r="R724">
        <v>455858</v>
      </c>
    </row>
    <row r="725" spans="1:18" x14ac:dyDescent="0.25">
      <c r="A725" s="170">
        <v>43068</v>
      </c>
      <c r="B725" s="116">
        <v>1346.15</v>
      </c>
      <c r="C725" s="116">
        <v>1329.2750000000001</v>
      </c>
      <c r="D725" s="116">
        <v>1325.5</v>
      </c>
      <c r="E725" s="116">
        <v>1339.9</v>
      </c>
      <c r="F725" s="116">
        <v>2658.55</v>
      </c>
      <c r="G725">
        <v>13812</v>
      </c>
      <c r="H725" s="116"/>
      <c r="I725" s="116"/>
      <c r="L725" s="170">
        <v>43068</v>
      </c>
      <c r="M725" s="116">
        <v>1329.075</v>
      </c>
      <c r="N725" s="116">
        <v>1346.5</v>
      </c>
      <c r="O725" s="116">
        <v>1325</v>
      </c>
      <c r="P725" s="116">
        <v>1338.75</v>
      </c>
      <c r="Q725" s="116">
        <v>2658.15</v>
      </c>
      <c r="R725">
        <v>723766</v>
      </c>
    </row>
    <row r="726" spans="1:18" x14ac:dyDescent="0.25">
      <c r="A726" s="170">
        <v>43069</v>
      </c>
      <c r="B726" s="116">
        <v>1334.2750000000001</v>
      </c>
      <c r="C726" s="116">
        <v>1317.125</v>
      </c>
      <c r="D726" s="116">
        <v>1312.5</v>
      </c>
      <c r="E726" s="116">
        <v>1329</v>
      </c>
      <c r="F726" s="116">
        <v>2634.25</v>
      </c>
      <c r="G726">
        <v>18252</v>
      </c>
      <c r="H726" s="116"/>
      <c r="I726" s="116"/>
      <c r="L726" s="170">
        <v>43069</v>
      </c>
      <c r="M726" s="116">
        <v>1318.5</v>
      </c>
      <c r="N726" s="116">
        <v>1333.4749999999999</v>
      </c>
      <c r="O726" s="116">
        <v>1311.5</v>
      </c>
      <c r="P726" s="116">
        <v>1326.825</v>
      </c>
      <c r="Q726" s="116">
        <v>2637</v>
      </c>
      <c r="R726">
        <v>2149981</v>
      </c>
    </row>
    <row r="727" spans="1:18" x14ac:dyDescent="0.25">
      <c r="A727" s="170">
        <v>43070</v>
      </c>
      <c r="B727" s="116">
        <v>1334.4749999999999</v>
      </c>
      <c r="C727" s="116">
        <v>1315.2750000000001</v>
      </c>
      <c r="D727" s="116">
        <v>1312.5</v>
      </c>
      <c r="E727" s="116">
        <v>1318.5</v>
      </c>
      <c r="F727" s="116">
        <v>2630.55</v>
      </c>
      <c r="G727">
        <v>24310</v>
      </c>
      <c r="H727" s="116"/>
      <c r="I727" s="116"/>
      <c r="L727" s="170">
        <v>43070</v>
      </c>
      <c r="M727" s="116">
        <v>1314.9749999999999</v>
      </c>
      <c r="N727" s="116">
        <v>1334</v>
      </c>
      <c r="O727" s="116">
        <v>1310.75</v>
      </c>
      <c r="P727" s="116">
        <v>1317.5</v>
      </c>
      <c r="Q727" s="116">
        <v>2629.95</v>
      </c>
      <c r="R727">
        <v>515572</v>
      </c>
    </row>
    <row r="728" spans="1:18" x14ac:dyDescent="0.25">
      <c r="A728" s="170">
        <v>43073</v>
      </c>
      <c r="B728" s="116">
        <v>1329.3</v>
      </c>
      <c r="C728" s="116">
        <v>1316.675</v>
      </c>
      <c r="D728" s="116">
        <v>1301.8499999999999</v>
      </c>
      <c r="E728" s="116">
        <v>1313.5</v>
      </c>
      <c r="F728" s="116">
        <v>2633.35</v>
      </c>
      <c r="G728">
        <v>17517</v>
      </c>
      <c r="H728" s="116"/>
      <c r="I728" s="116"/>
      <c r="L728" s="170">
        <v>43073</v>
      </c>
      <c r="M728" s="116">
        <v>1316.175</v>
      </c>
      <c r="N728" s="116">
        <v>1329.25</v>
      </c>
      <c r="O728" s="116">
        <v>1301.4749999999999</v>
      </c>
      <c r="P728" s="116">
        <v>1311</v>
      </c>
      <c r="Q728" s="116">
        <v>2632.35</v>
      </c>
      <c r="R728">
        <v>629552</v>
      </c>
    </row>
    <row r="729" spans="1:18" x14ac:dyDescent="0.25">
      <c r="A729" s="170">
        <v>43074</v>
      </c>
      <c r="B729" s="116">
        <v>1324.5</v>
      </c>
      <c r="C729" s="116">
        <v>1316.9</v>
      </c>
      <c r="D729" s="116">
        <v>1310</v>
      </c>
      <c r="E729" s="116">
        <v>1310</v>
      </c>
      <c r="F729" s="116">
        <v>2633.8</v>
      </c>
      <c r="G729">
        <v>11722</v>
      </c>
      <c r="H729" s="116"/>
      <c r="I729" s="116"/>
      <c r="L729" s="170">
        <v>43074</v>
      </c>
      <c r="M729" s="116">
        <v>1317.7750000000001</v>
      </c>
      <c r="N729" s="116">
        <v>1325.85</v>
      </c>
      <c r="O729" s="116">
        <v>1314.075</v>
      </c>
      <c r="P729" s="116">
        <v>1315.5</v>
      </c>
      <c r="Q729" s="116">
        <v>2635.55</v>
      </c>
      <c r="R729">
        <v>583957</v>
      </c>
    </row>
    <row r="730" spans="1:18" x14ac:dyDescent="0.25">
      <c r="A730" s="170">
        <v>43075</v>
      </c>
      <c r="B730" s="116">
        <v>1320</v>
      </c>
      <c r="C730" s="116">
        <v>1315.7249999999999</v>
      </c>
      <c r="D730" s="116">
        <v>1306.95</v>
      </c>
      <c r="E730" s="116">
        <v>1317</v>
      </c>
      <c r="F730" s="116">
        <v>2631.45</v>
      </c>
      <c r="G730">
        <v>9762</v>
      </c>
      <c r="H730" s="116"/>
      <c r="I730" s="116"/>
      <c r="L730" s="170">
        <v>43075</v>
      </c>
      <c r="M730" s="116">
        <v>1316.65</v>
      </c>
      <c r="N730" s="116">
        <v>1322.5</v>
      </c>
      <c r="O730" s="116">
        <v>1306.425</v>
      </c>
      <c r="P730" s="116">
        <v>1318</v>
      </c>
      <c r="Q730" s="116">
        <v>2633.3</v>
      </c>
      <c r="R730">
        <v>703759</v>
      </c>
    </row>
    <row r="731" spans="1:18" x14ac:dyDescent="0.25">
      <c r="A731" s="170">
        <v>43076</v>
      </c>
      <c r="B731" s="116">
        <v>1322.2750000000001</v>
      </c>
      <c r="C731" s="116">
        <v>1308.825</v>
      </c>
      <c r="D731" s="116">
        <v>1307.5250000000001</v>
      </c>
      <c r="E731" s="116">
        <v>1315.7249999999999</v>
      </c>
      <c r="F731" s="116">
        <v>2617.65</v>
      </c>
      <c r="G731">
        <v>17334</v>
      </c>
      <c r="H731" s="116"/>
      <c r="I731" s="116"/>
      <c r="L731" s="170">
        <v>43076</v>
      </c>
      <c r="M731" s="116">
        <v>1308.625</v>
      </c>
      <c r="N731" s="116">
        <v>1322.9749999999999</v>
      </c>
      <c r="O731" s="116">
        <v>1307.5</v>
      </c>
      <c r="P731" s="116">
        <v>1316.15</v>
      </c>
      <c r="Q731" s="116">
        <v>2617.25</v>
      </c>
      <c r="R731">
        <v>663150</v>
      </c>
    </row>
    <row r="732" spans="1:18" x14ac:dyDescent="0.25">
      <c r="A732" s="170">
        <v>43077</v>
      </c>
      <c r="B732" s="116">
        <v>1322</v>
      </c>
      <c r="C732" s="116">
        <v>1300.5</v>
      </c>
      <c r="D732" s="116">
        <v>1297.5250000000001</v>
      </c>
      <c r="E732" s="116">
        <v>1308.5</v>
      </c>
      <c r="F732" s="116">
        <v>2601</v>
      </c>
      <c r="G732">
        <v>19197</v>
      </c>
      <c r="H732" s="116"/>
      <c r="I732" s="116"/>
      <c r="L732" s="170">
        <v>43077</v>
      </c>
      <c r="M732" s="116">
        <v>1300.75</v>
      </c>
      <c r="N732" s="116">
        <v>1322.5</v>
      </c>
      <c r="O732" s="116">
        <v>1298.5</v>
      </c>
      <c r="P732" s="116">
        <v>1309</v>
      </c>
      <c r="Q732" s="116">
        <v>2601.5</v>
      </c>
      <c r="R732">
        <v>692774</v>
      </c>
    </row>
    <row r="733" spans="1:18" x14ac:dyDescent="0.25">
      <c r="A733" s="170">
        <v>43080</v>
      </c>
      <c r="B733" s="116">
        <v>1333.5</v>
      </c>
      <c r="C733" s="116">
        <v>1328</v>
      </c>
      <c r="D733" s="116">
        <v>1302.5</v>
      </c>
      <c r="E733" s="116">
        <v>1302.5</v>
      </c>
      <c r="F733" s="116">
        <v>2656</v>
      </c>
      <c r="G733">
        <v>16907</v>
      </c>
      <c r="H733" s="116"/>
      <c r="I733" s="116"/>
      <c r="L733" s="170">
        <v>43080</v>
      </c>
      <c r="M733" s="116">
        <v>1330.55</v>
      </c>
      <c r="N733" s="116">
        <v>1336.325</v>
      </c>
      <c r="O733" s="116">
        <v>1304.175</v>
      </c>
      <c r="P733" s="116">
        <v>1304.175</v>
      </c>
      <c r="Q733" s="116">
        <v>2661.1</v>
      </c>
      <c r="R733">
        <v>504001</v>
      </c>
    </row>
    <row r="734" spans="1:18" x14ac:dyDescent="0.25">
      <c r="A734" s="170">
        <v>43081</v>
      </c>
      <c r="B734" s="116">
        <v>1329.55</v>
      </c>
      <c r="C734" s="116">
        <v>1307.075</v>
      </c>
      <c r="D734" s="116">
        <v>1302.55</v>
      </c>
      <c r="E734" s="116">
        <v>1328.0250000000001</v>
      </c>
      <c r="F734" s="116">
        <v>2614.15</v>
      </c>
      <c r="G734">
        <v>31892</v>
      </c>
      <c r="H734" s="116"/>
      <c r="I734" s="116"/>
      <c r="L734" s="170">
        <v>43081</v>
      </c>
      <c r="M734" s="116">
        <v>1306.075</v>
      </c>
      <c r="N734" s="116">
        <v>1331</v>
      </c>
      <c r="O734" s="116">
        <v>1303.7</v>
      </c>
      <c r="P734" s="116">
        <v>1330.5</v>
      </c>
      <c r="Q734" s="116">
        <v>2612.15</v>
      </c>
      <c r="R734">
        <v>941123</v>
      </c>
    </row>
    <row r="735" spans="1:18" x14ac:dyDescent="0.25">
      <c r="A735" s="170">
        <v>43082</v>
      </c>
      <c r="B735" s="116">
        <v>1323.7750000000001</v>
      </c>
      <c r="C735" s="116">
        <v>1313.65</v>
      </c>
      <c r="D735" s="116">
        <v>1297.55</v>
      </c>
      <c r="E735" s="116">
        <v>1297.55</v>
      </c>
      <c r="F735" s="116">
        <v>2627.3</v>
      </c>
      <c r="G735">
        <v>27926</v>
      </c>
      <c r="H735" s="116"/>
      <c r="I735" s="116"/>
      <c r="L735" s="170">
        <v>43082</v>
      </c>
      <c r="M735" s="116">
        <v>1314.2</v>
      </c>
      <c r="N735" s="116">
        <v>1325.7249999999999</v>
      </c>
      <c r="O735" s="116">
        <v>1300.5</v>
      </c>
      <c r="P735" s="116">
        <v>1305.7</v>
      </c>
      <c r="Q735" s="116">
        <v>2628.4</v>
      </c>
      <c r="R735">
        <v>1480729</v>
      </c>
    </row>
    <row r="736" spans="1:18" x14ac:dyDescent="0.25">
      <c r="A736" s="170">
        <v>43083</v>
      </c>
      <c r="B736" s="116">
        <v>1315</v>
      </c>
      <c r="C736" s="116">
        <v>1279.2750000000001</v>
      </c>
      <c r="D736" s="116">
        <v>1265.5</v>
      </c>
      <c r="E736" s="116">
        <v>1310.125</v>
      </c>
      <c r="F736" s="116">
        <v>2558.5500000000002</v>
      </c>
      <c r="G736">
        <v>56709</v>
      </c>
      <c r="H736" s="116"/>
      <c r="I736" s="116"/>
      <c r="L736" s="170">
        <v>43083</v>
      </c>
      <c r="M736" s="116">
        <v>1278.9000000000001</v>
      </c>
      <c r="N736" s="116">
        <v>1316</v>
      </c>
      <c r="O736" s="116">
        <v>1265.55</v>
      </c>
      <c r="P736" s="116">
        <v>1316</v>
      </c>
      <c r="Q736" s="116">
        <v>2557.8000000000002</v>
      </c>
      <c r="R736">
        <v>2752075</v>
      </c>
    </row>
    <row r="737" spans="1:18" x14ac:dyDescent="0.25">
      <c r="A737" s="170">
        <v>43084</v>
      </c>
      <c r="B737" s="116">
        <v>1293.6500000000001</v>
      </c>
      <c r="C737" s="116">
        <v>1273.925</v>
      </c>
      <c r="D737" s="116">
        <v>1270.175</v>
      </c>
      <c r="E737" s="116">
        <v>1280</v>
      </c>
      <c r="F737" s="116">
        <v>2547.85</v>
      </c>
      <c r="G737">
        <v>35266</v>
      </c>
      <c r="H737" s="116"/>
      <c r="I737" s="116"/>
      <c r="L737" s="170">
        <v>43084</v>
      </c>
      <c r="M737" s="116">
        <v>1272.8</v>
      </c>
      <c r="N737" s="116">
        <v>1292.2249999999999</v>
      </c>
      <c r="O737" s="116">
        <v>1268.425</v>
      </c>
      <c r="P737" s="116">
        <v>1281.875</v>
      </c>
      <c r="Q737" s="116">
        <v>2545.6</v>
      </c>
      <c r="R737">
        <v>1359069</v>
      </c>
    </row>
    <row r="738" spans="1:18" x14ac:dyDescent="0.25">
      <c r="A738" s="170">
        <v>43087</v>
      </c>
      <c r="B738" s="116">
        <v>1292.5999999999999</v>
      </c>
      <c r="C738" s="116">
        <v>1288.5</v>
      </c>
      <c r="D738" s="116">
        <v>1248.45</v>
      </c>
      <c r="E738" s="116">
        <v>1266.5</v>
      </c>
      <c r="F738" s="116">
        <v>2577</v>
      </c>
      <c r="G738">
        <v>44039</v>
      </c>
      <c r="H738" s="116"/>
      <c r="I738" s="116"/>
      <c r="L738" s="170">
        <v>43087</v>
      </c>
      <c r="M738" s="116">
        <v>1290.25</v>
      </c>
      <c r="N738" s="116">
        <v>1294.4749999999999</v>
      </c>
      <c r="O738" s="116">
        <v>1247.175</v>
      </c>
      <c r="P738" s="116">
        <v>1268.5</v>
      </c>
      <c r="Q738" s="116">
        <v>2580.5</v>
      </c>
      <c r="R738">
        <v>1090332</v>
      </c>
    </row>
    <row r="739" spans="1:18" x14ac:dyDescent="0.25">
      <c r="A739" s="170">
        <v>43088</v>
      </c>
      <c r="B739" s="116">
        <v>1298.7</v>
      </c>
      <c r="C739" s="116">
        <v>1287.5250000000001</v>
      </c>
      <c r="D739" s="116">
        <v>1283.75</v>
      </c>
      <c r="E739" s="116">
        <v>1285</v>
      </c>
      <c r="F739" s="116">
        <v>2575.0500000000002</v>
      </c>
      <c r="G739">
        <v>26441</v>
      </c>
      <c r="H739" s="116"/>
      <c r="I739" s="116"/>
      <c r="L739" s="170">
        <v>43088</v>
      </c>
      <c r="M739" s="116">
        <v>1287.6500000000001</v>
      </c>
      <c r="N739" s="116">
        <v>1298.9000000000001</v>
      </c>
      <c r="O739" s="116">
        <v>1282.3499999999999</v>
      </c>
      <c r="P739" s="116">
        <v>1288</v>
      </c>
      <c r="Q739" s="116">
        <v>2575.3000000000002</v>
      </c>
      <c r="R739">
        <v>900976</v>
      </c>
    </row>
    <row r="740" spans="1:18" x14ac:dyDescent="0.25">
      <c r="A740" s="170">
        <v>43089</v>
      </c>
      <c r="B740" s="116">
        <v>1296</v>
      </c>
      <c r="C740" s="116">
        <v>1294</v>
      </c>
      <c r="D740" s="116">
        <v>1270</v>
      </c>
      <c r="E740" s="116">
        <v>1285</v>
      </c>
      <c r="F740" s="116">
        <v>2588</v>
      </c>
      <c r="G740">
        <v>156957</v>
      </c>
      <c r="H740" s="116"/>
      <c r="I740" s="116"/>
      <c r="L740" s="170">
        <v>43089</v>
      </c>
      <c r="M740" s="116">
        <v>1294.4749999999999</v>
      </c>
      <c r="N740" s="116">
        <v>1296.375</v>
      </c>
      <c r="O740" s="116">
        <v>1275.325</v>
      </c>
      <c r="P740" s="116">
        <v>1291</v>
      </c>
      <c r="Q740" s="116">
        <v>2588.9499999999998</v>
      </c>
      <c r="R740">
        <v>788785</v>
      </c>
    </row>
    <row r="741" spans="1:18" x14ac:dyDescent="0.25">
      <c r="A741" s="170">
        <v>43090</v>
      </c>
      <c r="B741" s="116">
        <v>1303.45</v>
      </c>
      <c r="C741" s="116">
        <v>1297.05</v>
      </c>
      <c r="D741" s="116">
        <v>1278.3499999999999</v>
      </c>
      <c r="E741" s="116">
        <v>1295</v>
      </c>
      <c r="F741" s="116">
        <v>2594.1</v>
      </c>
      <c r="G741">
        <v>17025</v>
      </c>
      <c r="H741" s="116"/>
      <c r="I741" s="116"/>
      <c r="L741" s="170">
        <v>43090</v>
      </c>
      <c r="M741" s="116">
        <v>1297.8499999999999</v>
      </c>
      <c r="N741" s="116">
        <v>1304</v>
      </c>
      <c r="O741" s="116">
        <v>1290.0250000000001</v>
      </c>
      <c r="P741" s="116">
        <v>1293.5</v>
      </c>
      <c r="Q741" s="116">
        <v>2595.6999999999998</v>
      </c>
      <c r="R741">
        <v>646824</v>
      </c>
    </row>
    <row r="742" spans="1:18" x14ac:dyDescent="0.25">
      <c r="A742" s="170">
        <v>43091</v>
      </c>
      <c r="B742" s="116">
        <v>1329.95</v>
      </c>
      <c r="C742" s="116">
        <v>1319.9</v>
      </c>
      <c r="D742" s="116">
        <v>1295</v>
      </c>
      <c r="E742" s="116">
        <v>1300</v>
      </c>
      <c r="F742" s="116">
        <v>2639.8</v>
      </c>
      <c r="G742">
        <v>90820</v>
      </c>
      <c r="H742" s="116"/>
      <c r="I742" s="116"/>
      <c r="L742" s="170">
        <v>43091</v>
      </c>
      <c r="M742" s="116">
        <v>1323.375</v>
      </c>
      <c r="N742" s="116">
        <v>1331.95</v>
      </c>
      <c r="O742" s="116">
        <v>1295.0999999999999</v>
      </c>
      <c r="P742" s="116">
        <v>1302</v>
      </c>
      <c r="Q742" s="116">
        <v>2646.75</v>
      </c>
      <c r="R742">
        <v>1832832</v>
      </c>
    </row>
    <row r="743" spans="1:18" x14ac:dyDescent="0.25">
      <c r="A743" s="170">
        <v>43095</v>
      </c>
      <c r="B743" s="116">
        <v>1344</v>
      </c>
      <c r="C743" s="116">
        <v>1321.4</v>
      </c>
      <c r="D743" s="116">
        <v>1317.5</v>
      </c>
      <c r="E743" s="116">
        <v>1337.5250000000001</v>
      </c>
      <c r="F743" s="116">
        <v>2642.8</v>
      </c>
      <c r="G743">
        <v>66571</v>
      </c>
      <c r="H743" s="116"/>
      <c r="I743" s="116"/>
      <c r="L743" s="170">
        <v>43095</v>
      </c>
      <c r="M743" s="116">
        <v>1324.7249999999999</v>
      </c>
      <c r="N743" s="116">
        <v>1344.875</v>
      </c>
      <c r="O743" s="116">
        <v>1315.8</v>
      </c>
      <c r="P743" s="116">
        <v>1343</v>
      </c>
      <c r="Q743" s="116">
        <v>2649.45</v>
      </c>
      <c r="R743">
        <v>1087893</v>
      </c>
    </row>
    <row r="744" spans="1:18" x14ac:dyDescent="0.25">
      <c r="A744" s="170">
        <v>43096</v>
      </c>
      <c r="B744" s="116">
        <v>1328.9749999999999</v>
      </c>
      <c r="C744" s="116">
        <v>1310.5250000000001</v>
      </c>
      <c r="D744" s="116">
        <v>1305.5250000000001</v>
      </c>
      <c r="E744" s="116">
        <v>1318.05</v>
      </c>
      <c r="F744" s="116">
        <v>2621.0500000000002</v>
      </c>
      <c r="G744">
        <v>15997</v>
      </c>
      <c r="H744" s="116"/>
      <c r="I744" s="116"/>
      <c r="L744" s="170">
        <v>43096</v>
      </c>
      <c r="M744" s="116">
        <v>1309.95</v>
      </c>
      <c r="N744" s="116">
        <v>1329.25</v>
      </c>
      <c r="O744" s="116">
        <v>1305.25</v>
      </c>
      <c r="P744" s="116">
        <v>1324.7249999999999</v>
      </c>
      <c r="Q744" s="116">
        <v>2619.9</v>
      </c>
      <c r="R744">
        <v>369642</v>
      </c>
    </row>
    <row r="745" spans="1:18" x14ac:dyDescent="0.25">
      <c r="A745" s="170">
        <v>43097</v>
      </c>
      <c r="B745" s="116">
        <v>1325</v>
      </c>
      <c r="C745" s="116">
        <v>1314.425</v>
      </c>
      <c r="D745" s="116">
        <v>1300.5999999999999</v>
      </c>
      <c r="E745" s="116">
        <v>1301.5</v>
      </c>
      <c r="F745" s="116">
        <v>2628.85</v>
      </c>
      <c r="G745">
        <v>32201</v>
      </c>
      <c r="H745" s="116"/>
      <c r="I745" s="116"/>
      <c r="L745" s="170">
        <v>43097</v>
      </c>
      <c r="M745" s="116">
        <v>1313.4749999999999</v>
      </c>
      <c r="N745" s="116">
        <v>1326.75</v>
      </c>
      <c r="O745" s="116">
        <v>1302.825</v>
      </c>
      <c r="P745" s="116">
        <v>1304.4000000000001</v>
      </c>
      <c r="Q745" s="116">
        <v>2626.95</v>
      </c>
      <c r="R745">
        <v>1302544</v>
      </c>
    </row>
    <row r="746" spans="1:18" x14ac:dyDescent="0.25">
      <c r="A746" s="170">
        <v>43098</v>
      </c>
      <c r="B746" s="116">
        <v>1355.85</v>
      </c>
      <c r="C746" s="116">
        <v>1350.2</v>
      </c>
      <c r="D746" s="116">
        <v>1307.5</v>
      </c>
      <c r="E746" s="116">
        <v>1307.5</v>
      </c>
      <c r="F746" s="116">
        <v>2700.4</v>
      </c>
      <c r="G746">
        <v>93556</v>
      </c>
      <c r="H746" s="116"/>
      <c r="I746" s="116"/>
      <c r="L746" s="170">
        <v>43098</v>
      </c>
      <c r="M746" s="116">
        <v>1350.6</v>
      </c>
      <c r="N746" s="116">
        <v>1354.45</v>
      </c>
      <c r="O746" s="116">
        <v>1309.2750000000001</v>
      </c>
      <c r="P746" s="116">
        <v>1311.55</v>
      </c>
      <c r="Q746" s="116">
        <v>2701.2</v>
      </c>
      <c r="R746">
        <v>1304771</v>
      </c>
    </row>
    <row r="747" spans="1:18" x14ac:dyDescent="0.25">
      <c r="A747" s="170">
        <v>43101</v>
      </c>
      <c r="B747" s="116">
        <v>1346.25</v>
      </c>
      <c r="C747" s="116">
        <v>1327.325</v>
      </c>
      <c r="D747" s="116">
        <v>1321.425</v>
      </c>
      <c r="E747" s="116">
        <v>1344.9</v>
      </c>
      <c r="F747" s="116">
        <v>2654.65</v>
      </c>
      <c r="G747">
        <v>36101</v>
      </c>
      <c r="H747" s="116"/>
      <c r="I747" s="116"/>
      <c r="L747" s="170">
        <v>43101</v>
      </c>
      <c r="M747" s="116">
        <v>1322.8</v>
      </c>
      <c r="N747" s="116">
        <v>1347.4</v>
      </c>
      <c r="O747" s="116">
        <v>1317.5</v>
      </c>
      <c r="P747" s="116">
        <v>1341.15</v>
      </c>
      <c r="Q747" s="116">
        <v>2645.6</v>
      </c>
      <c r="R747">
        <v>675880</v>
      </c>
    </row>
    <row r="748" spans="1:18" x14ac:dyDescent="0.25">
      <c r="A748" s="170">
        <v>43102</v>
      </c>
      <c r="B748" s="116">
        <v>1338.7249999999999</v>
      </c>
      <c r="C748" s="116">
        <v>1316.875</v>
      </c>
      <c r="D748" s="116">
        <v>1311.35</v>
      </c>
      <c r="E748" s="116">
        <v>1321.4749999999999</v>
      </c>
      <c r="F748" s="116">
        <v>2633.75</v>
      </c>
      <c r="G748">
        <v>22784</v>
      </c>
      <c r="H748" s="116"/>
      <c r="I748" s="116"/>
      <c r="L748" s="170">
        <v>43102</v>
      </c>
      <c r="M748" s="116">
        <v>1315.6</v>
      </c>
      <c r="N748" s="116">
        <v>1334.8</v>
      </c>
      <c r="O748" s="116">
        <v>1310.0999999999999</v>
      </c>
      <c r="P748" s="116">
        <v>1330</v>
      </c>
      <c r="Q748" s="116">
        <v>2631.2</v>
      </c>
      <c r="R748">
        <v>960145</v>
      </c>
    </row>
    <row r="749" spans="1:18" x14ac:dyDescent="0.25">
      <c r="A749" s="170">
        <v>43103</v>
      </c>
      <c r="B749" s="116">
        <v>1332.0250000000001</v>
      </c>
      <c r="C749" s="116">
        <v>1317.6</v>
      </c>
      <c r="D749" s="116">
        <v>1315.075</v>
      </c>
      <c r="E749" s="116">
        <v>1317</v>
      </c>
      <c r="F749" s="116">
        <v>2635.2</v>
      </c>
      <c r="G749">
        <v>20040</v>
      </c>
      <c r="H749" s="116"/>
      <c r="I749" s="116"/>
      <c r="L749" s="170">
        <v>43103</v>
      </c>
      <c r="M749" s="116">
        <v>1319.325</v>
      </c>
      <c r="N749" s="116">
        <v>1334.5</v>
      </c>
      <c r="O749" s="116">
        <v>1315.6</v>
      </c>
      <c r="P749" s="116">
        <v>1316</v>
      </c>
      <c r="Q749" s="116">
        <v>2638.65</v>
      </c>
      <c r="R749">
        <v>628560</v>
      </c>
    </row>
    <row r="750" spans="1:18" x14ac:dyDescent="0.25">
      <c r="A750" s="170">
        <v>43104</v>
      </c>
      <c r="B750" s="116">
        <v>1330</v>
      </c>
      <c r="C750" s="116">
        <v>1324.9</v>
      </c>
      <c r="D750" s="116">
        <v>1320.2</v>
      </c>
      <c r="E750" s="116">
        <v>1330</v>
      </c>
      <c r="F750" s="116">
        <v>2649.8</v>
      </c>
      <c r="G750">
        <v>14609</v>
      </c>
      <c r="H750" s="116"/>
      <c r="I750" s="116"/>
      <c r="L750" s="170">
        <v>43104</v>
      </c>
      <c r="M750" s="116">
        <v>1328.55</v>
      </c>
      <c r="N750" s="116">
        <v>1331</v>
      </c>
      <c r="O750" s="116">
        <v>1320</v>
      </c>
      <c r="P750" s="116">
        <v>1325</v>
      </c>
      <c r="Q750" s="116">
        <v>2657.1</v>
      </c>
      <c r="R750">
        <v>456541</v>
      </c>
    </row>
    <row r="751" spans="1:18" x14ac:dyDescent="0.25">
      <c r="A751" s="170">
        <v>43105</v>
      </c>
      <c r="B751" s="116">
        <v>1347</v>
      </c>
      <c r="C751" s="116">
        <v>1342.2249999999999</v>
      </c>
      <c r="D751" s="116">
        <v>1325.5</v>
      </c>
      <c r="E751" s="116">
        <v>1325.5</v>
      </c>
      <c r="F751" s="116">
        <v>2684.45</v>
      </c>
      <c r="G751">
        <v>49142</v>
      </c>
      <c r="H751" s="116"/>
      <c r="I751" s="116"/>
      <c r="L751" s="170">
        <v>43105</v>
      </c>
      <c r="M751" s="116">
        <v>1344.6</v>
      </c>
      <c r="N751" s="116">
        <v>1349.75</v>
      </c>
      <c r="O751" s="116">
        <v>1325</v>
      </c>
      <c r="P751" s="116">
        <v>1325</v>
      </c>
      <c r="Q751" s="116">
        <v>2689.2</v>
      </c>
      <c r="R751">
        <v>576853</v>
      </c>
    </row>
    <row r="752" spans="1:18" x14ac:dyDescent="0.25">
      <c r="A752" s="170">
        <v>43108</v>
      </c>
      <c r="B752" s="116">
        <v>1360.675</v>
      </c>
      <c r="C752" s="116">
        <v>1353.875</v>
      </c>
      <c r="D752" s="116">
        <v>1340.7249999999999</v>
      </c>
      <c r="E752" s="116">
        <v>1347.5</v>
      </c>
      <c r="F752" s="116">
        <v>2707.75</v>
      </c>
      <c r="G752">
        <v>28373</v>
      </c>
      <c r="H752" s="116"/>
      <c r="I752" s="116"/>
      <c r="L752" s="170">
        <v>43108</v>
      </c>
      <c r="M752" s="116">
        <v>1357.2</v>
      </c>
      <c r="N752" s="116">
        <v>1363.425</v>
      </c>
      <c r="O752" s="116">
        <v>1340.925</v>
      </c>
      <c r="P752" s="116">
        <v>1350</v>
      </c>
      <c r="Q752" s="116">
        <v>2714.4</v>
      </c>
      <c r="R752">
        <v>621110</v>
      </c>
    </row>
    <row r="753" spans="1:18" x14ac:dyDescent="0.25">
      <c r="A753" s="170">
        <v>43109</v>
      </c>
      <c r="B753" s="116">
        <v>1361.65</v>
      </c>
      <c r="C753" s="116">
        <v>1354.2249999999999</v>
      </c>
      <c r="D753" s="116">
        <v>1339.45</v>
      </c>
      <c r="E753" s="116">
        <v>1355</v>
      </c>
      <c r="F753" s="116">
        <v>2708.45</v>
      </c>
      <c r="G753">
        <v>41777</v>
      </c>
      <c r="H753" s="116"/>
      <c r="I753" s="116"/>
      <c r="L753" s="170">
        <v>43109</v>
      </c>
      <c r="M753" s="116">
        <v>1354.5</v>
      </c>
      <c r="N753" s="116">
        <v>1360.5</v>
      </c>
      <c r="O753" s="116">
        <v>1338.2750000000001</v>
      </c>
      <c r="P753" s="116">
        <v>1357.5</v>
      </c>
      <c r="Q753" s="116">
        <v>2709</v>
      </c>
      <c r="R753">
        <v>1074698</v>
      </c>
    </row>
    <row r="754" spans="1:18" x14ac:dyDescent="0.25">
      <c r="A754" s="170">
        <v>43110</v>
      </c>
      <c r="B754" s="116">
        <v>1408</v>
      </c>
      <c r="C754" s="116">
        <v>1403.55</v>
      </c>
      <c r="D754" s="116">
        <v>1348.7249999999999</v>
      </c>
      <c r="E754" s="116">
        <v>1356</v>
      </c>
      <c r="F754" s="116">
        <v>2807.1</v>
      </c>
      <c r="G754">
        <v>98122</v>
      </c>
      <c r="H754" s="116"/>
      <c r="I754" s="116"/>
      <c r="L754" s="170">
        <v>43110</v>
      </c>
      <c r="M754" s="116">
        <v>1403.3</v>
      </c>
      <c r="N754" s="116">
        <v>1408</v>
      </c>
      <c r="O754" s="116">
        <v>1347.325</v>
      </c>
      <c r="P754" s="116">
        <v>1355.5</v>
      </c>
      <c r="Q754" s="116">
        <v>2806.6</v>
      </c>
      <c r="R754">
        <v>1682925</v>
      </c>
    </row>
    <row r="755" spans="1:18" x14ac:dyDescent="0.25">
      <c r="A755" s="170">
        <v>43111</v>
      </c>
      <c r="B755" s="116">
        <v>1410</v>
      </c>
      <c r="C755" s="116">
        <v>1394.2</v>
      </c>
      <c r="D755" s="116">
        <v>1390.95</v>
      </c>
      <c r="E755" s="116">
        <v>1403.6</v>
      </c>
      <c r="F755" s="116">
        <v>2788.4</v>
      </c>
      <c r="G755">
        <v>70315</v>
      </c>
      <c r="H755" s="116"/>
      <c r="I755" s="116"/>
      <c r="L755" s="170">
        <v>43111</v>
      </c>
      <c r="M755" s="116">
        <v>1395.25</v>
      </c>
      <c r="N755" s="116">
        <v>1410.95</v>
      </c>
      <c r="O755" s="116">
        <v>1391.1</v>
      </c>
      <c r="P755" s="116">
        <v>1405</v>
      </c>
      <c r="Q755" s="116">
        <v>2790.5</v>
      </c>
      <c r="R755">
        <v>1260524</v>
      </c>
    </row>
    <row r="756" spans="1:18" x14ac:dyDescent="0.25">
      <c r="A756" s="170">
        <v>43112</v>
      </c>
      <c r="B756" s="116">
        <v>1406.5</v>
      </c>
      <c r="C756" s="116">
        <v>1386.45</v>
      </c>
      <c r="D756" s="116">
        <v>1372</v>
      </c>
      <c r="E756" s="116">
        <v>1406.5</v>
      </c>
      <c r="F756" s="116">
        <v>2772.9</v>
      </c>
      <c r="G756">
        <v>85946</v>
      </c>
      <c r="H756" s="116"/>
      <c r="I756" s="116"/>
      <c r="L756" s="170">
        <v>43112</v>
      </c>
      <c r="M756" s="116">
        <v>1388.175</v>
      </c>
      <c r="N756" s="116">
        <v>1402.5</v>
      </c>
      <c r="O756" s="116">
        <v>1370.2750000000001</v>
      </c>
      <c r="P756" s="116">
        <v>1402.5</v>
      </c>
      <c r="Q756" s="116">
        <v>2776.35</v>
      </c>
      <c r="R756">
        <v>1680157</v>
      </c>
    </row>
    <row r="757" spans="1:18" x14ac:dyDescent="0.25">
      <c r="A757" s="170">
        <v>43115</v>
      </c>
      <c r="B757" s="116">
        <v>1401.5250000000001</v>
      </c>
      <c r="C757" s="116">
        <v>1373.6</v>
      </c>
      <c r="D757" s="116">
        <v>1368.075</v>
      </c>
      <c r="E757" s="116">
        <v>1395</v>
      </c>
      <c r="F757" s="116">
        <v>2747.2</v>
      </c>
      <c r="G757">
        <v>32498</v>
      </c>
      <c r="H757" s="116"/>
      <c r="I757" s="116"/>
      <c r="L757" s="170">
        <v>43115</v>
      </c>
      <c r="M757" s="116">
        <v>1373.05</v>
      </c>
      <c r="N757" s="116">
        <v>1404</v>
      </c>
      <c r="O757" s="116">
        <v>1367.5250000000001</v>
      </c>
      <c r="P757" s="116">
        <v>1388.575</v>
      </c>
      <c r="Q757" s="116">
        <v>2746.1</v>
      </c>
      <c r="R757">
        <v>728607</v>
      </c>
    </row>
    <row r="758" spans="1:18" x14ac:dyDescent="0.25">
      <c r="A758" s="170">
        <v>43116</v>
      </c>
      <c r="B758" s="116">
        <v>1430</v>
      </c>
      <c r="C758" s="116">
        <v>1425.425</v>
      </c>
      <c r="D758" s="116">
        <v>1374.1</v>
      </c>
      <c r="E758" s="116">
        <v>1374.1</v>
      </c>
      <c r="F758" s="116">
        <v>2850.85</v>
      </c>
      <c r="G758">
        <v>138886</v>
      </c>
      <c r="H758" s="116"/>
      <c r="I758" s="116"/>
      <c r="L758" s="170">
        <v>43116</v>
      </c>
      <c r="M758" s="116">
        <v>1425.425</v>
      </c>
      <c r="N758" s="116">
        <v>1430.825</v>
      </c>
      <c r="O758" s="116">
        <v>1375.2750000000001</v>
      </c>
      <c r="P758" s="116">
        <v>1378</v>
      </c>
      <c r="Q758" s="116">
        <v>2850.85</v>
      </c>
      <c r="R758">
        <v>2133876</v>
      </c>
    </row>
    <row r="759" spans="1:18" x14ac:dyDescent="0.25">
      <c r="A759" s="170">
        <v>43117</v>
      </c>
      <c r="B759" s="116">
        <v>1462.5</v>
      </c>
      <c r="C759" s="116">
        <v>1444.7249999999999</v>
      </c>
      <c r="D759" s="116">
        <v>1428.5</v>
      </c>
      <c r="E759" s="116">
        <v>1428.55</v>
      </c>
      <c r="F759" s="116">
        <v>2889.45</v>
      </c>
      <c r="G759">
        <v>152936</v>
      </c>
      <c r="H759" s="116"/>
      <c r="I759" s="116"/>
      <c r="L759" s="170">
        <v>43117</v>
      </c>
      <c r="M759" s="116">
        <v>1444.4749999999999</v>
      </c>
      <c r="N759" s="116">
        <v>1462.5</v>
      </c>
      <c r="O759" s="116">
        <v>1431.075</v>
      </c>
      <c r="P759" s="116">
        <v>1435</v>
      </c>
      <c r="Q759" s="116">
        <v>2888.95</v>
      </c>
      <c r="R759">
        <v>2140403</v>
      </c>
    </row>
    <row r="760" spans="1:18" x14ac:dyDescent="0.25">
      <c r="A760" s="170">
        <v>43118</v>
      </c>
      <c r="B760" s="116">
        <v>1462.5</v>
      </c>
      <c r="C760" s="116">
        <v>1455.05</v>
      </c>
      <c r="D760" s="116">
        <v>1433.3</v>
      </c>
      <c r="E760" s="116">
        <v>1447.5</v>
      </c>
      <c r="F760" s="116">
        <v>2910.1</v>
      </c>
      <c r="G760">
        <v>52949</v>
      </c>
      <c r="H760" s="116"/>
      <c r="I760" s="116"/>
      <c r="L760" s="170">
        <v>43118</v>
      </c>
      <c r="M760" s="116">
        <v>1459.1</v>
      </c>
      <c r="N760" s="116">
        <v>1466.5</v>
      </c>
      <c r="O760" s="116">
        <v>1434.0250000000001</v>
      </c>
      <c r="P760" s="116">
        <v>1448.5</v>
      </c>
      <c r="Q760" s="116">
        <v>2918.2</v>
      </c>
      <c r="R760">
        <v>1104739</v>
      </c>
    </row>
    <row r="761" spans="1:18" x14ac:dyDescent="0.25">
      <c r="A761" s="170">
        <v>43119</v>
      </c>
      <c r="B761" s="116">
        <v>1489.5</v>
      </c>
      <c r="C761" s="116">
        <v>1477.375</v>
      </c>
      <c r="D761" s="116">
        <v>1451.5250000000001</v>
      </c>
      <c r="E761" s="116">
        <v>1460</v>
      </c>
      <c r="F761" s="116">
        <v>2954.75</v>
      </c>
      <c r="G761">
        <v>54717</v>
      </c>
      <c r="H761" s="116"/>
      <c r="I761" s="116"/>
      <c r="L761" s="170">
        <v>43119</v>
      </c>
      <c r="M761" s="116">
        <v>1479.65</v>
      </c>
      <c r="N761" s="116">
        <v>1491</v>
      </c>
      <c r="O761" s="116">
        <v>1451.825</v>
      </c>
      <c r="P761" s="116">
        <v>1465.2750000000001</v>
      </c>
      <c r="Q761" s="116">
        <v>2959.3</v>
      </c>
      <c r="R761">
        <v>910000</v>
      </c>
    </row>
    <row r="762" spans="1:18" x14ac:dyDescent="0.25">
      <c r="A762" s="170">
        <v>43122</v>
      </c>
      <c r="B762" s="116">
        <v>1565</v>
      </c>
      <c r="C762" s="116">
        <v>1556.575</v>
      </c>
      <c r="D762" s="116">
        <v>1462</v>
      </c>
      <c r="E762" s="116">
        <v>1478</v>
      </c>
      <c r="F762" s="116">
        <v>3113.15</v>
      </c>
      <c r="G762">
        <v>221945</v>
      </c>
      <c r="H762" s="116"/>
      <c r="I762" s="116"/>
      <c r="L762" s="170">
        <v>43122</v>
      </c>
      <c r="M762" s="116">
        <v>1558.2</v>
      </c>
      <c r="N762" s="116">
        <v>1567.35</v>
      </c>
      <c r="O762" s="116">
        <v>1461</v>
      </c>
      <c r="P762" s="116">
        <v>1480.5</v>
      </c>
      <c r="Q762" s="116">
        <v>3116.4</v>
      </c>
      <c r="R762">
        <v>2183555</v>
      </c>
    </row>
    <row r="763" spans="1:18" x14ac:dyDescent="0.25">
      <c r="A763" s="170">
        <v>43123</v>
      </c>
      <c r="B763" s="116">
        <v>1568.875</v>
      </c>
      <c r="C763" s="116">
        <v>1551.55</v>
      </c>
      <c r="D763" s="116">
        <v>1546.3</v>
      </c>
      <c r="E763" s="116">
        <v>1557.5</v>
      </c>
      <c r="F763" s="116">
        <v>3103.1</v>
      </c>
      <c r="G763">
        <v>307176</v>
      </c>
      <c r="H763" s="116"/>
      <c r="I763" s="116"/>
      <c r="L763" s="170">
        <v>43123</v>
      </c>
      <c r="M763" s="116">
        <v>1551</v>
      </c>
      <c r="N763" s="116">
        <v>1571.175</v>
      </c>
      <c r="O763" s="116">
        <v>1545.0250000000001</v>
      </c>
      <c r="P763" s="116">
        <v>1557.4749999999999</v>
      </c>
      <c r="Q763" s="116">
        <v>3102</v>
      </c>
      <c r="R763">
        <v>1619805</v>
      </c>
    </row>
    <row r="764" spans="1:18" x14ac:dyDescent="0.25">
      <c r="A764" s="170">
        <v>43124</v>
      </c>
      <c r="B764" s="116">
        <v>1627.4</v>
      </c>
      <c r="C764" s="116">
        <v>1587.3</v>
      </c>
      <c r="D764" s="116">
        <v>1540</v>
      </c>
      <c r="E764" s="116">
        <v>1550</v>
      </c>
      <c r="F764" s="116">
        <v>3174.6</v>
      </c>
      <c r="G764">
        <v>381174</v>
      </c>
      <c r="H764" s="116"/>
      <c r="I764" s="116"/>
      <c r="L764" s="170">
        <v>43124</v>
      </c>
      <c r="M764" s="116">
        <v>1587.3</v>
      </c>
      <c r="N764" s="116">
        <v>1629.5250000000001</v>
      </c>
      <c r="O764" s="116">
        <v>1541.325</v>
      </c>
      <c r="P764" s="116">
        <v>1545</v>
      </c>
      <c r="Q764" s="116">
        <v>3174.6</v>
      </c>
      <c r="R764">
        <v>2810769</v>
      </c>
    </row>
    <row r="765" spans="1:18" x14ac:dyDescent="0.25">
      <c r="A765" s="170">
        <v>43125</v>
      </c>
      <c r="B765" s="116">
        <v>1590.5</v>
      </c>
      <c r="C765" s="116">
        <v>1558.925</v>
      </c>
      <c r="D765" s="116">
        <v>1540</v>
      </c>
      <c r="E765" s="116">
        <v>1590</v>
      </c>
      <c r="F765" s="116">
        <v>3117.85</v>
      </c>
      <c r="G765">
        <v>87222</v>
      </c>
      <c r="H765" s="116"/>
      <c r="I765" s="116"/>
      <c r="L765" s="170">
        <v>43125</v>
      </c>
      <c r="M765" s="116">
        <v>1560.5250000000001</v>
      </c>
      <c r="N765" s="116">
        <v>1589.9</v>
      </c>
      <c r="O765" s="116">
        <v>1540.5</v>
      </c>
      <c r="P765" s="116">
        <v>1587.5</v>
      </c>
      <c r="Q765" s="116">
        <v>3121.05</v>
      </c>
      <c r="R765">
        <v>1916922</v>
      </c>
    </row>
    <row r="766" spans="1:18" x14ac:dyDescent="0.25">
      <c r="A766" s="170">
        <v>43129</v>
      </c>
      <c r="B766" s="116">
        <v>1612</v>
      </c>
      <c r="C766" s="116">
        <v>1597.55</v>
      </c>
      <c r="D766" s="116">
        <v>1559</v>
      </c>
      <c r="E766" s="116">
        <v>1559.0250000000001</v>
      </c>
      <c r="F766" s="116">
        <v>3195.1</v>
      </c>
      <c r="G766">
        <v>79686</v>
      </c>
      <c r="H766" s="116"/>
      <c r="I766" s="116"/>
      <c r="L766" s="170">
        <v>43129</v>
      </c>
      <c r="M766" s="116">
        <v>1599.425</v>
      </c>
      <c r="N766" s="116">
        <v>1612.5</v>
      </c>
      <c r="O766" s="116">
        <v>1561</v>
      </c>
      <c r="P766" s="116">
        <v>1565.7</v>
      </c>
      <c r="Q766" s="116">
        <v>3198.85</v>
      </c>
      <c r="R766">
        <v>1570530</v>
      </c>
    </row>
    <row r="767" spans="1:18" x14ac:dyDescent="0.25">
      <c r="A767" s="170">
        <v>43130</v>
      </c>
      <c r="B767" s="116">
        <v>1599.625</v>
      </c>
      <c r="C767" s="116">
        <v>1576.85</v>
      </c>
      <c r="D767" s="116">
        <v>1559.5</v>
      </c>
      <c r="E767" s="116">
        <v>1559.5</v>
      </c>
      <c r="F767" s="116">
        <v>3153.7</v>
      </c>
      <c r="G767">
        <v>44363</v>
      </c>
      <c r="H767" s="116"/>
      <c r="I767" s="116"/>
      <c r="L767" s="170">
        <v>43130</v>
      </c>
      <c r="M767" s="116">
        <v>1576.425</v>
      </c>
      <c r="N767" s="116">
        <v>1601.9</v>
      </c>
      <c r="O767" s="116">
        <v>1571.85</v>
      </c>
      <c r="P767" s="116">
        <v>1590</v>
      </c>
      <c r="Q767" s="116">
        <v>3152.85</v>
      </c>
      <c r="R767">
        <v>787379</v>
      </c>
    </row>
    <row r="768" spans="1:18" x14ac:dyDescent="0.25">
      <c r="A768" s="170">
        <v>43131</v>
      </c>
      <c r="B768" s="116">
        <v>1573.55</v>
      </c>
      <c r="C768" s="116">
        <v>1555.875</v>
      </c>
      <c r="D768" s="116">
        <v>1550.5</v>
      </c>
      <c r="E768" s="116">
        <v>1565.5</v>
      </c>
      <c r="F768" s="116">
        <v>3111.75</v>
      </c>
      <c r="G768">
        <v>150788</v>
      </c>
      <c r="H768" s="116"/>
      <c r="I768" s="116"/>
      <c r="L768" s="170">
        <v>43131</v>
      </c>
      <c r="M768" s="116">
        <v>1556.175</v>
      </c>
      <c r="N768" s="116">
        <v>1575</v>
      </c>
      <c r="O768" s="116">
        <v>1549.3</v>
      </c>
      <c r="P768" s="116">
        <v>1568.5</v>
      </c>
      <c r="Q768" s="116">
        <v>3112.35</v>
      </c>
      <c r="R768">
        <v>1521607</v>
      </c>
    </row>
    <row r="769" spans="1:18" x14ac:dyDescent="0.25">
      <c r="A769" s="170">
        <v>43132</v>
      </c>
      <c r="B769" s="116">
        <v>1594.5</v>
      </c>
      <c r="C769" s="116">
        <v>1569.45</v>
      </c>
      <c r="D769" s="116">
        <v>1545.7750000000001</v>
      </c>
      <c r="E769" s="116">
        <v>1560</v>
      </c>
      <c r="F769" s="116">
        <v>3138.9</v>
      </c>
      <c r="G769">
        <v>63732</v>
      </c>
      <c r="H769" s="116"/>
      <c r="I769" s="116"/>
      <c r="L769" s="170">
        <v>43132</v>
      </c>
      <c r="M769" s="116">
        <v>1569.3</v>
      </c>
      <c r="N769" s="116">
        <v>1595</v>
      </c>
      <c r="O769" s="116">
        <v>1544.4</v>
      </c>
      <c r="P769" s="116">
        <v>1562</v>
      </c>
      <c r="Q769" s="116">
        <v>3138.6</v>
      </c>
      <c r="R769">
        <v>1200315</v>
      </c>
    </row>
    <row r="770" spans="1:18" x14ac:dyDescent="0.25">
      <c r="A770" s="170">
        <v>43133</v>
      </c>
      <c r="B770" s="116">
        <v>1595</v>
      </c>
      <c r="C770" s="116">
        <v>1574.575</v>
      </c>
      <c r="D770" s="116">
        <v>1552.825</v>
      </c>
      <c r="E770" s="116">
        <v>1557.5</v>
      </c>
      <c r="F770" s="116">
        <v>3149.15</v>
      </c>
      <c r="G770">
        <v>255102</v>
      </c>
      <c r="H770" s="116"/>
      <c r="I770" s="116"/>
      <c r="L770" s="170">
        <v>43133</v>
      </c>
      <c r="M770" s="116">
        <v>1576.825</v>
      </c>
      <c r="N770" s="116">
        <v>1595</v>
      </c>
      <c r="O770" s="116">
        <v>1551.7249999999999</v>
      </c>
      <c r="P770" s="116">
        <v>1560</v>
      </c>
      <c r="Q770" s="116">
        <v>3153.65</v>
      </c>
      <c r="R770">
        <v>1228245</v>
      </c>
    </row>
    <row r="771" spans="1:18" x14ac:dyDescent="0.25">
      <c r="A771" s="170">
        <v>43136</v>
      </c>
      <c r="B771" s="116">
        <v>1592.95</v>
      </c>
      <c r="C771" s="116">
        <v>1553.25</v>
      </c>
      <c r="D771" s="116">
        <v>1539.175</v>
      </c>
      <c r="E771" s="116">
        <v>1555.5</v>
      </c>
      <c r="F771" s="116">
        <v>3106.5</v>
      </c>
      <c r="G771">
        <v>231259</v>
      </c>
      <c r="H771" s="116"/>
      <c r="I771" s="116"/>
      <c r="L771" s="170">
        <v>43136</v>
      </c>
      <c r="M771" s="116">
        <v>1551.6</v>
      </c>
      <c r="N771" s="116">
        <v>1594</v>
      </c>
      <c r="O771" s="116">
        <v>1538.425</v>
      </c>
      <c r="P771" s="116">
        <v>1555</v>
      </c>
      <c r="Q771" s="116">
        <v>3103.2</v>
      </c>
      <c r="R771">
        <v>1378871</v>
      </c>
    </row>
    <row r="772" spans="1:18" x14ac:dyDescent="0.25">
      <c r="A772" s="170">
        <v>43137</v>
      </c>
      <c r="B772" s="116">
        <v>1538.925</v>
      </c>
      <c r="C772" s="116">
        <v>1497.675</v>
      </c>
      <c r="D772" s="116">
        <v>1492.9</v>
      </c>
      <c r="E772" s="116">
        <v>1515</v>
      </c>
      <c r="F772" s="116">
        <v>2995.35</v>
      </c>
      <c r="G772">
        <v>519635</v>
      </c>
      <c r="H772" s="116"/>
      <c r="I772" s="116"/>
      <c r="L772" s="170">
        <v>43137</v>
      </c>
      <c r="M772" s="116">
        <v>1498.625</v>
      </c>
      <c r="N772" s="116">
        <v>1538.575</v>
      </c>
      <c r="O772" s="116">
        <v>1492.5</v>
      </c>
      <c r="P772" s="116">
        <v>1505</v>
      </c>
      <c r="Q772" s="116">
        <v>2997.25</v>
      </c>
      <c r="R772">
        <v>1328653</v>
      </c>
    </row>
    <row r="773" spans="1:18" x14ac:dyDescent="0.25">
      <c r="A773" s="170">
        <v>43138</v>
      </c>
      <c r="B773" s="116">
        <v>1522</v>
      </c>
      <c r="C773" s="116">
        <v>1477.675</v>
      </c>
      <c r="D773" s="116">
        <v>1475</v>
      </c>
      <c r="E773" s="116">
        <v>1507.5</v>
      </c>
      <c r="F773" s="116">
        <v>2955.35</v>
      </c>
      <c r="G773">
        <v>125949</v>
      </c>
      <c r="H773" s="116"/>
      <c r="I773" s="116"/>
      <c r="L773" s="170">
        <v>43138</v>
      </c>
      <c r="M773" s="116">
        <v>1477.5250000000001</v>
      </c>
      <c r="N773" s="116">
        <v>1515.5</v>
      </c>
      <c r="O773" s="116">
        <v>1473.7249999999999</v>
      </c>
      <c r="P773" s="116">
        <v>1513.5</v>
      </c>
      <c r="Q773" s="116">
        <v>2955.05</v>
      </c>
      <c r="R773">
        <v>1090162</v>
      </c>
    </row>
    <row r="774" spans="1:18" x14ac:dyDescent="0.25">
      <c r="A774" s="170">
        <v>43139</v>
      </c>
      <c r="B774" s="116">
        <v>1513.375</v>
      </c>
      <c r="C774" s="116">
        <v>1483.125</v>
      </c>
      <c r="D774" s="116">
        <v>1478.6</v>
      </c>
      <c r="E774" s="116">
        <v>1485.5</v>
      </c>
      <c r="F774" s="116">
        <v>2966.25</v>
      </c>
      <c r="G774">
        <v>1271404</v>
      </c>
      <c r="H774" s="116"/>
      <c r="I774" s="116"/>
      <c r="L774" s="170">
        <v>43139</v>
      </c>
      <c r="M774" s="116">
        <v>1487.1</v>
      </c>
      <c r="N774" s="116">
        <v>1513.8</v>
      </c>
      <c r="O774" s="116">
        <v>1479.5</v>
      </c>
      <c r="P774" s="116">
        <v>1489.875</v>
      </c>
      <c r="Q774" s="116">
        <v>2974.2</v>
      </c>
      <c r="R774">
        <v>1377502</v>
      </c>
    </row>
    <row r="775" spans="1:18" x14ac:dyDescent="0.25">
      <c r="A775" s="170">
        <v>43140</v>
      </c>
      <c r="B775" s="116">
        <v>1495.875</v>
      </c>
      <c r="C775" s="116">
        <v>1486.15</v>
      </c>
      <c r="D775" s="116">
        <v>1450</v>
      </c>
      <c r="E775" s="116">
        <v>1480</v>
      </c>
      <c r="F775" s="116">
        <v>2972.3</v>
      </c>
      <c r="G775">
        <v>59101</v>
      </c>
      <c r="H775" s="116"/>
      <c r="I775" s="116"/>
      <c r="L775" s="170">
        <v>43140</v>
      </c>
      <c r="M775" s="116">
        <v>1485.85</v>
      </c>
      <c r="N775" s="116">
        <v>1497</v>
      </c>
      <c r="O775" s="116">
        <v>1448.325</v>
      </c>
      <c r="P775" s="116">
        <v>1475</v>
      </c>
      <c r="Q775" s="116">
        <v>2971.7</v>
      </c>
      <c r="R775">
        <v>1051229</v>
      </c>
    </row>
    <row r="776" spans="1:18" x14ac:dyDescent="0.25">
      <c r="A776" s="170">
        <v>43143</v>
      </c>
      <c r="B776" s="116">
        <v>1509</v>
      </c>
      <c r="C776" s="116">
        <v>1483.95</v>
      </c>
      <c r="D776" s="116">
        <v>1478</v>
      </c>
      <c r="E776" s="116">
        <v>1504</v>
      </c>
      <c r="F776" s="116">
        <v>2967.9</v>
      </c>
      <c r="G776">
        <v>1196687</v>
      </c>
      <c r="H776" s="116"/>
      <c r="I776" s="116"/>
      <c r="L776" s="170">
        <v>43143</v>
      </c>
      <c r="M776" s="116">
        <v>1483.65</v>
      </c>
      <c r="N776" s="116">
        <v>1511.675</v>
      </c>
      <c r="O776" s="116">
        <v>1477.7750000000001</v>
      </c>
      <c r="P776" s="116">
        <v>1489.15</v>
      </c>
      <c r="Q776" s="116">
        <v>2967.3</v>
      </c>
      <c r="R776">
        <v>987281</v>
      </c>
    </row>
    <row r="777" spans="1:18" x14ac:dyDescent="0.25">
      <c r="A777" s="170">
        <v>43145</v>
      </c>
      <c r="B777" s="116">
        <v>1487</v>
      </c>
      <c r="C777" s="116">
        <v>1455.2249999999999</v>
      </c>
      <c r="D777" s="116">
        <v>1447.125</v>
      </c>
      <c r="E777" s="116">
        <v>1482.5</v>
      </c>
      <c r="F777" s="116">
        <v>2910.45</v>
      </c>
      <c r="G777">
        <v>55923</v>
      </c>
      <c r="H777" s="116"/>
      <c r="I777" s="116"/>
      <c r="L777" s="170">
        <v>43145</v>
      </c>
      <c r="M777" s="116">
        <v>1455.9</v>
      </c>
      <c r="N777" s="116">
        <v>1487.2249999999999</v>
      </c>
      <c r="O777" s="116">
        <v>1446.25</v>
      </c>
      <c r="P777" s="116">
        <v>1485</v>
      </c>
      <c r="Q777" s="116">
        <v>2911.8</v>
      </c>
      <c r="R777">
        <v>1423766</v>
      </c>
    </row>
    <row r="778" spans="1:18" x14ac:dyDescent="0.25">
      <c r="A778" s="170">
        <v>43146</v>
      </c>
      <c r="B778" s="116">
        <v>1471.25</v>
      </c>
      <c r="C778" s="116">
        <v>1462.875</v>
      </c>
      <c r="D778" s="116">
        <v>1453.3</v>
      </c>
      <c r="E778" s="116">
        <v>1464.5</v>
      </c>
      <c r="F778" s="116">
        <v>2925.75</v>
      </c>
      <c r="G778">
        <v>50746</v>
      </c>
      <c r="H778" s="116"/>
      <c r="I778" s="116"/>
      <c r="L778" s="170">
        <v>43146</v>
      </c>
      <c r="M778" s="116">
        <v>1462.925</v>
      </c>
      <c r="N778" s="116">
        <v>1471.5</v>
      </c>
      <c r="O778" s="116">
        <v>1452.55</v>
      </c>
      <c r="P778" s="116">
        <v>1465.9749999999999</v>
      </c>
      <c r="Q778" s="116">
        <v>2925.85</v>
      </c>
      <c r="R778">
        <v>1232618</v>
      </c>
    </row>
    <row r="779" spans="1:18" x14ac:dyDescent="0.25">
      <c r="A779" s="170">
        <v>43147</v>
      </c>
      <c r="B779" s="116">
        <v>1499.5</v>
      </c>
      <c r="C779" s="116">
        <v>1468.6</v>
      </c>
      <c r="D779" s="116">
        <v>1462</v>
      </c>
      <c r="E779" s="116">
        <v>1462.5</v>
      </c>
      <c r="F779" s="116">
        <v>2937.2</v>
      </c>
      <c r="G779">
        <v>304310</v>
      </c>
      <c r="H779" s="116"/>
      <c r="I779" s="116"/>
      <c r="L779" s="170">
        <v>43147</v>
      </c>
      <c r="M779" s="116">
        <v>1466.5250000000001</v>
      </c>
      <c r="N779" s="116">
        <v>1499.8</v>
      </c>
      <c r="O779" s="116">
        <v>1461.5</v>
      </c>
      <c r="P779" s="116">
        <v>1461.5</v>
      </c>
      <c r="Q779" s="116">
        <v>2933.05</v>
      </c>
      <c r="R779">
        <v>1257878</v>
      </c>
    </row>
    <row r="780" spans="1:18" x14ac:dyDescent="0.25">
      <c r="A780" s="170">
        <v>43150</v>
      </c>
      <c r="B780" s="116">
        <v>1476.2249999999999</v>
      </c>
      <c r="C780" s="116">
        <v>1462.2750000000001</v>
      </c>
      <c r="D780" s="116">
        <v>1449.2</v>
      </c>
      <c r="E780" s="116">
        <v>1470</v>
      </c>
      <c r="F780" s="116">
        <v>2924.55</v>
      </c>
      <c r="G780">
        <v>83672</v>
      </c>
      <c r="H780" s="116"/>
      <c r="I780" s="116"/>
      <c r="L780" s="170">
        <v>43150</v>
      </c>
      <c r="M780" s="116">
        <v>1461.8</v>
      </c>
      <c r="N780" s="116">
        <v>1476.65</v>
      </c>
      <c r="O780" s="116">
        <v>1447.6</v>
      </c>
      <c r="P780" s="116">
        <v>1472.5</v>
      </c>
      <c r="Q780" s="116">
        <v>2923.6</v>
      </c>
      <c r="R780">
        <v>784112</v>
      </c>
    </row>
    <row r="781" spans="1:18" x14ac:dyDescent="0.25">
      <c r="A781" s="170">
        <v>43151</v>
      </c>
      <c r="B781" s="116">
        <v>1491.7249999999999</v>
      </c>
      <c r="C781" s="116">
        <v>1472.5250000000001</v>
      </c>
      <c r="D781" s="116">
        <v>1464.55</v>
      </c>
      <c r="E781" s="116">
        <v>1465</v>
      </c>
      <c r="F781" s="116">
        <v>2945.05</v>
      </c>
      <c r="G781">
        <v>41015</v>
      </c>
      <c r="H781" s="116"/>
      <c r="I781" s="116"/>
      <c r="L781" s="170">
        <v>43151</v>
      </c>
      <c r="M781" s="116">
        <v>1472.375</v>
      </c>
      <c r="N781" s="116">
        <v>1492.5250000000001</v>
      </c>
      <c r="O781" s="116">
        <v>1463.95</v>
      </c>
      <c r="P781" s="116">
        <v>1464</v>
      </c>
      <c r="Q781" s="116">
        <v>2944.75</v>
      </c>
      <c r="R781">
        <v>944534</v>
      </c>
    </row>
    <row r="782" spans="1:18" x14ac:dyDescent="0.25">
      <c r="A782" s="170">
        <v>43152</v>
      </c>
      <c r="B782" s="116">
        <v>1530</v>
      </c>
      <c r="C782" s="116">
        <v>1521.5250000000001</v>
      </c>
      <c r="D782" s="116">
        <v>1480.5</v>
      </c>
      <c r="E782" s="116">
        <v>1480.5</v>
      </c>
      <c r="F782" s="116">
        <v>3043.05</v>
      </c>
      <c r="G782">
        <v>124985</v>
      </c>
      <c r="H782" s="116"/>
      <c r="I782" s="116"/>
      <c r="L782" s="170">
        <v>43152</v>
      </c>
      <c r="M782" s="116">
        <v>1521.15</v>
      </c>
      <c r="N782" s="116">
        <v>1531.3</v>
      </c>
      <c r="O782" s="116">
        <v>1480.0250000000001</v>
      </c>
      <c r="P782" s="116">
        <v>1487</v>
      </c>
      <c r="Q782" s="116">
        <v>3042.3</v>
      </c>
      <c r="R782">
        <v>1544614</v>
      </c>
    </row>
    <row r="783" spans="1:18" x14ac:dyDescent="0.25">
      <c r="A783" s="170">
        <v>43153</v>
      </c>
      <c r="B783" s="116">
        <v>1538.9749999999999</v>
      </c>
      <c r="C783" s="116">
        <v>1520.2</v>
      </c>
      <c r="D783" s="116">
        <v>1511.2750000000001</v>
      </c>
      <c r="E783" s="116">
        <v>1522.5</v>
      </c>
      <c r="F783" s="116">
        <v>3040.4</v>
      </c>
      <c r="G783">
        <v>74703</v>
      </c>
      <c r="H783" s="116"/>
      <c r="I783" s="116"/>
      <c r="L783" s="170">
        <v>43153</v>
      </c>
      <c r="M783" s="116">
        <v>1525.1</v>
      </c>
      <c r="N783" s="116">
        <v>1539.5</v>
      </c>
      <c r="O783" s="116">
        <v>1511.25</v>
      </c>
      <c r="P783" s="116">
        <v>1526</v>
      </c>
      <c r="Q783" s="116">
        <v>3050.2</v>
      </c>
      <c r="R783">
        <v>1731505</v>
      </c>
    </row>
    <row r="784" spans="1:18" x14ac:dyDescent="0.25">
      <c r="A784" s="170">
        <v>43154</v>
      </c>
      <c r="B784" s="116">
        <v>1550</v>
      </c>
      <c r="C784" s="116">
        <v>1538.45</v>
      </c>
      <c r="D784" s="116">
        <v>1498.0250000000001</v>
      </c>
      <c r="E784" s="116">
        <v>1521</v>
      </c>
      <c r="F784" s="116">
        <v>3076.9</v>
      </c>
      <c r="G784">
        <v>296669</v>
      </c>
      <c r="H784" s="116"/>
      <c r="I784" s="116"/>
      <c r="L784" s="170">
        <v>43154</v>
      </c>
      <c r="M784" s="116">
        <v>1537.9</v>
      </c>
      <c r="N784" s="116">
        <v>1544.5</v>
      </c>
      <c r="O784" s="116">
        <v>1496.05</v>
      </c>
      <c r="P784" s="116">
        <v>1525</v>
      </c>
      <c r="Q784" s="116">
        <v>3075.8</v>
      </c>
      <c r="R784">
        <v>1681250</v>
      </c>
    </row>
    <row r="785" spans="1:18" x14ac:dyDescent="0.25">
      <c r="A785" s="170">
        <v>43157</v>
      </c>
      <c r="B785" s="116">
        <v>1542.375</v>
      </c>
      <c r="C785" s="116">
        <v>1517.625</v>
      </c>
      <c r="D785" s="116">
        <v>1513.5</v>
      </c>
      <c r="E785" s="116">
        <v>1539.05</v>
      </c>
      <c r="F785" s="116">
        <v>3035.25</v>
      </c>
      <c r="G785">
        <v>49935</v>
      </c>
      <c r="H785" s="116"/>
      <c r="I785" s="116"/>
      <c r="L785" s="170">
        <v>43157</v>
      </c>
      <c r="M785" s="116">
        <v>1515.85</v>
      </c>
      <c r="N785" s="116">
        <v>1544.9749999999999</v>
      </c>
      <c r="O785" s="116">
        <v>1510.6</v>
      </c>
      <c r="P785" s="116">
        <v>1537.5</v>
      </c>
      <c r="Q785" s="116">
        <v>3031.7</v>
      </c>
      <c r="R785">
        <v>681941</v>
      </c>
    </row>
    <row r="786" spans="1:18" x14ac:dyDescent="0.25">
      <c r="A786" s="170">
        <v>43158</v>
      </c>
      <c r="B786" s="116">
        <v>1538.9</v>
      </c>
      <c r="C786" s="116">
        <v>1521.625</v>
      </c>
      <c r="D786" s="116">
        <v>1517.5</v>
      </c>
      <c r="E786" s="116">
        <v>1524.9749999999999</v>
      </c>
      <c r="F786" s="116">
        <v>3043.25</v>
      </c>
      <c r="G786">
        <v>47771</v>
      </c>
      <c r="H786" s="116"/>
      <c r="I786" s="116"/>
      <c r="L786" s="170">
        <v>43158</v>
      </c>
      <c r="M786" s="116">
        <v>1521.175</v>
      </c>
      <c r="N786" s="116">
        <v>1539.2750000000001</v>
      </c>
      <c r="O786" s="116">
        <v>1516</v>
      </c>
      <c r="P786" s="116">
        <v>1520.5</v>
      </c>
      <c r="Q786" s="116">
        <v>3042.35</v>
      </c>
      <c r="R786">
        <v>858900</v>
      </c>
    </row>
    <row r="787" spans="1:18" x14ac:dyDescent="0.25">
      <c r="A787" s="170">
        <v>43159</v>
      </c>
      <c r="B787" s="116">
        <v>1531.175</v>
      </c>
      <c r="C787" s="116">
        <v>1519.125</v>
      </c>
      <c r="D787" s="116">
        <v>1511.675</v>
      </c>
      <c r="E787" s="116">
        <v>1520</v>
      </c>
      <c r="F787" s="116">
        <v>3038.25</v>
      </c>
      <c r="G787">
        <v>101343</v>
      </c>
      <c r="H787" s="116"/>
      <c r="I787" s="116"/>
      <c r="L787" s="170">
        <v>43159</v>
      </c>
      <c r="M787" s="116">
        <v>1517.5250000000001</v>
      </c>
      <c r="N787" s="116">
        <v>1531.9749999999999</v>
      </c>
      <c r="O787" s="116">
        <v>1510.7249999999999</v>
      </c>
      <c r="P787" s="116">
        <v>1517.5</v>
      </c>
      <c r="Q787" s="116">
        <v>3035.05</v>
      </c>
      <c r="R787">
        <v>1353432</v>
      </c>
    </row>
    <row r="788" spans="1:18" x14ac:dyDescent="0.25">
      <c r="A788" s="170">
        <v>43160</v>
      </c>
      <c r="B788" s="116">
        <v>1530</v>
      </c>
      <c r="C788" s="116">
        <v>1518.55</v>
      </c>
      <c r="D788" s="116">
        <v>1510.9749999999999</v>
      </c>
      <c r="E788" s="116">
        <v>1520.5</v>
      </c>
      <c r="F788" s="116">
        <v>3037.1</v>
      </c>
      <c r="G788">
        <v>28280</v>
      </c>
      <c r="H788" s="116"/>
      <c r="I788" s="116"/>
      <c r="L788" s="170">
        <v>43160</v>
      </c>
      <c r="M788" s="116">
        <v>1518.85</v>
      </c>
      <c r="N788" s="116">
        <v>1530.6</v>
      </c>
      <c r="O788" s="116">
        <v>1510</v>
      </c>
      <c r="P788" s="116">
        <v>1524.5</v>
      </c>
      <c r="Q788" s="116">
        <v>3037.7</v>
      </c>
      <c r="R788">
        <v>859062</v>
      </c>
    </row>
    <row r="789" spans="1:18" x14ac:dyDescent="0.25">
      <c r="A789" s="170">
        <v>43164</v>
      </c>
      <c r="B789" s="116">
        <v>1556.2249999999999</v>
      </c>
      <c r="C789" s="116">
        <v>1552.15</v>
      </c>
      <c r="D789" s="116">
        <v>1518.0250000000001</v>
      </c>
      <c r="E789" s="116">
        <v>1534.5</v>
      </c>
      <c r="F789" s="116">
        <v>3104.3</v>
      </c>
      <c r="G789">
        <v>110815</v>
      </c>
      <c r="H789" s="116"/>
      <c r="I789" s="116"/>
      <c r="L789" s="170">
        <v>43164</v>
      </c>
      <c r="M789" s="116">
        <v>1552.925</v>
      </c>
      <c r="N789" s="116">
        <v>1556.825</v>
      </c>
      <c r="O789" s="116">
        <v>1516.4749999999999</v>
      </c>
      <c r="P789" s="116">
        <v>1524.5</v>
      </c>
      <c r="Q789" s="116">
        <v>3105.85</v>
      </c>
      <c r="R789">
        <v>1429084</v>
      </c>
    </row>
    <row r="790" spans="1:18" x14ac:dyDescent="0.25">
      <c r="A790" s="170">
        <v>43165</v>
      </c>
      <c r="B790" s="116">
        <v>1566.5</v>
      </c>
      <c r="C790" s="116">
        <v>1524.9</v>
      </c>
      <c r="D790" s="116">
        <v>1515.325</v>
      </c>
      <c r="E790" s="116">
        <v>1566.5</v>
      </c>
      <c r="F790" s="116">
        <v>3049.8</v>
      </c>
      <c r="G790">
        <v>49309</v>
      </c>
      <c r="H790" s="116"/>
      <c r="I790" s="116"/>
      <c r="L790" s="170">
        <v>43165</v>
      </c>
      <c r="M790" s="116">
        <v>1521.4</v>
      </c>
      <c r="N790" s="116">
        <v>1563.5</v>
      </c>
      <c r="O790" s="116">
        <v>1515.075</v>
      </c>
      <c r="P790" s="116">
        <v>1561</v>
      </c>
      <c r="Q790" s="116">
        <v>3042.8</v>
      </c>
      <c r="R790">
        <v>953382</v>
      </c>
    </row>
    <row r="791" spans="1:18" x14ac:dyDescent="0.25">
      <c r="A791" s="170">
        <v>43166</v>
      </c>
      <c r="B791" s="116">
        <v>1544.875</v>
      </c>
      <c r="C791" s="116">
        <v>1514.625</v>
      </c>
      <c r="D791" s="116">
        <v>1512.125</v>
      </c>
      <c r="E791" s="116">
        <v>1527.5</v>
      </c>
      <c r="F791" s="116">
        <v>3029.25</v>
      </c>
      <c r="G791">
        <v>81051</v>
      </c>
      <c r="H791" s="116"/>
      <c r="I791" s="116"/>
      <c r="L791" s="170">
        <v>43166</v>
      </c>
      <c r="M791" s="116">
        <v>1513.7249999999999</v>
      </c>
      <c r="N791" s="116">
        <v>1544.5</v>
      </c>
      <c r="O791" s="116">
        <v>1509.25</v>
      </c>
      <c r="P791" s="116">
        <v>1535</v>
      </c>
      <c r="Q791" s="116">
        <v>3027.45</v>
      </c>
      <c r="R791">
        <v>958886</v>
      </c>
    </row>
    <row r="792" spans="1:18" x14ac:dyDescent="0.25">
      <c r="A792" s="170">
        <v>43167</v>
      </c>
      <c r="B792" s="116">
        <v>1530</v>
      </c>
      <c r="C792" s="116">
        <v>1500.75</v>
      </c>
      <c r="D792" s="116">
        <v>1491.95</v>
      </c>
      <c r="E792" s="116">
        <v>1530</v>
      </c>
      <c r="F792" s="116">
        <v>3001.5</v>
      </c>
      <c r="G792">
        <v>56858</v>
      </c>
      <c r="H792" s="116"/>
      <c r="I792" s="116"/>
      <c r="L792" s="170">
        <v>43167</v>
      </c>
      <c r="M792" s="116">
        <v>1501.9749999999999</v>
      </c>
      <c r="N792" s="116">
        <v>1527.45</v>
      </c>
      <c r="O792" s="116">
        <v>1493.75</v>
      </c>
      <c r="P792" s="116">
        <v>1527.45</v>
      </c>
      <c r="Q792" s="116">
        <v>3003.95</v>
      </c>
      <c r="R792">
        <v>975913</v>
      </c>
    </row>
    <row r="793" spans="1:18" x14ac:dyDescent="0.25">
      <c r="A793" s="170">
        <v>43168</v>
      </c>
      <c r="B793" s="116">
        <v>1529.9749999999999</v>
      </c>
      <c r="C793" s="116">
        <v>1517.25</v>
      </c>
      <c r="D793" s="116">
        <v>1489.2750000000001</v>
      </c>
      <c r="E793" s="116">
        <v>1507</v>
      </c>
      <c r="F793" s="116">
        <v>3034.5</v>
      </c>
      <c r="G793">
        <v>105106</v>
      </c>
      <c r="H793" s="116"/>
      <c r="I793" s="116"/>
      <c r="L793" s="170">
        <v>43168</v>
      </c>
      <c r="M793" s="116">
        <v>1517.05</v>
      </c>
      <c r="N793" s="116">
        <v>1531.6</v>
      </c>
      <c r="O793" s="116">
        <v>1488.6</v>
      </c>
      <c r="P793" s="116">
        <v>1502.5</v>
      </c>
      <c r="Q793" s="116">
        <v>3034.1</v>
      </c>
      <c r="R793">
        <v>936218</v>
      </c>
    </row>
    <row r="794" spans="1:18" x14ac:dyDescent="0.25">
      <c r="A794" s="170">
        <v>43171</v>
      </c>
      <c r="B794" s="116">
        <v>1540</v>
      </c>
      <c r="C794" s="116">
        <v>1525.925</v>
      </c>
      <c r="D794" s="116">
        <v>1517.5</v>
      </c>
      <c r="E794" s="116">
        <v>1517.5</v>
      </c>
      <c r="F794" s="116">
        <v>3051.85</v>
      </c>
      <c r="G794">
        <v>71095</v>
      </c>
      <c r="H794" s="116"/>
      <c r="I794" s="116"/>
      <c r="L794" s="170">
        <v>43171</v>
      </c>
      <c r="M794" s="116">
        <v>1526.075</v>
      </c>
      <c r="N794" s="116">
        <v>1541.95</v>
      </c>
      <c r="O794" s="116">
        <v>1517.75</v>
      </c>
      <c r="P794" s="116">
        <v>1521.5</v>
      </c>
      <c r="Q794" s="116">
        <v>3052.15</v>
      </c>
      <c r="R794">
        <v>1045670</v>
      </c>
    </row>
    <row r="795" spans="1:18" x14ac:dyDescent="0.25">
      <c r="A795" s="170">
        <v>43172</v>
      </c>
      <c r="B795" s="116">
        <v>1464.5</v>
      </c>
      <c r="C795" s="116">
        <v>1446.2249999999999</v>
      </c>
      <c r="D795" s="116">
        <v>1442.05</v>
      </c>
      <c r="E795" s="116">
        <v>1464</v>
      </c>
      <c r="F795" s="116">
        <v>2892.45</v>
      </c>
      <c r="G795">
        <v>2197919</v>
      </c>
      <c r="H795" s="116"/>
      <c r="I795" s="116"/>
      <c r="L795" s="170">
        <v>43172</v>
      </c>
      <c r="M795" s="116">
        <v>1443.4</v>
      </c>
      <c r="N795" s="116">
        <v>1469.85</v>
      </c>
      <c r="O795" s="116">
        <v>1436</v>
      </c>
      <c r="P795" s="116">
        <v>1462.45</v>
      </c>
      <c r="Q795" s="116">
        <v>2886.8</v>
      </c>
      <c r="R795">
        <v>44033577</v>
      </c>
    </row>
    <row r="796" spans="1:18" x14ac:dyDescent="0.25">
      <c r="A796" s="170">
        <v>43173</v>
      </c>
      <c r="B796" s="116">
        <v>1462.5</v>
      </c>
      <c r="C796" s="116">
        <v>1443.05</v>
      </c>
      <c r="D796" s="116">
        <v>1437.5250000000001</v>
      </c>
      <c r="E796" s="116">
        <v>1448</v>
      </c>
      <c r="F796" s="116">
        <v>2886.1</v>
      </c>
      <c r="G796">
        <v>135708</v>
      </c>
      <c r="H796" s="116"/>
      <c r="I796" s="116"/>
      <c r="L796" s="170">
        <v>43173</v>
      </c>
      <c r="M796" s="116">
        <v>1443.45</v>
      </c>
      <c r="N796" s="116">
        <v>1461.5250000000001</v>
      </c>
      <c r="O796" s="116">
        <v>1437.5250000000001</v>
      </c>
      <c r="P796" s="116">
        <v>1446.4749999999999</v>
      </c>
      <c r="Q796" s="116">
        <v>2886.9</v>
      </c>
      <c r="R796">
        <v>1834334</v>
      </c>
    </row>
    <row r="797" spans="1:18" x14ac:dyDescent="0.25">
      <c r="A797" s="170">
        <v>43174</v>
      </c>
      <c r="B797" s="116">
        <v>1451.2</v>
      </c>
      <c r="C797" s="116">
        <v>1434.575</v>
      </c>
      <c r="D797" s="116">
        <v>1428.825</v>
      </c>
      <c r="E797" s="116">
        <v>1445.575</v>
      </c>
      <c r="F797" s="116">
        <v>2869.15</v>
      </c>
      <c r="G797">
        <v>162813</v>
      </c>
      <c r="H797" s="116"/>
      <c r="I797" s="116"/>
      <c r="L797" s="170">
        <v>43174</v>
      </c>
      <c r="M797" s="116">
        <v>1434.85</v>
      </c>
      <c r="N797" s="116">
        <v>1451.2750000000001</v>
      </c>
      <c r="O797" s="116">
        <v>1427.8</v>
      </c>
      <c r="P797" s="116">
        <v>1447.5</v>
      </c>
      <c r="Q797" s="116">
        <v>2869.7</v>
      </c>
      <c r="R797">
        <v>1174453</v>
      </c>
    </row>
    <row r="798" spans="1:18" x14ac:dyDescent="0.25">
      <c r="A798" s="170">
        <v>43175</v>
      </c>
      <c r="B798" s="116">
        <v>1435</v>
      </c>
      <c r="C798" s="116">
        <v>1412.75</v>
      </c>
      <c r="D798" s="116">
        <v>1402.5</v>
      </c>
      <c r="E798" s="116">
        <v>1434.375</v>
      </c>
      <c r="F798" s="116">
        <v>2825.5</v>
      </c>
      <c r="G798">
        <v>131088</v>
      </c>
      <c r="H798" s="116"/>
      <c r="I798" s="116"/>
      <c r="L798" s="170">
        <v>43175</v>
      </c>
      <c r="M798" s="116">
        <v>1412.85</v>
      </c>
      <c r="N798" s="116">
        <v>1436</v>
      </c>
      <c r="O798" s="116">
        <v>1402.5</v>
      </c>
      <c r="P798" s="116">
        <v>1434.4</v>
      </c>
      <c r="Q798" s="116">
        <v>2825.7</v>
      </c>
      <c r="R798">
        <v>3598741</v>
      </c>
    </row>
    <row r="799" spans="1:18" x14ac:dyDescent="0.25">
      <c r="A799" s="170">
        <v>43178</v>
      </c>
      <c r="B799" s="116">
        <v>1422.5</v>
      </c>
      <c r="C799" s="116">
        <v>1414.425</v>
      </c>
      <c r="D799" s="116">
        <v>1410.0250000000001</v>
      </c>
      <c r="E799" s="116">
        <v>1420.35</v>
      </c>
      <c r="F799" s="116">
        <v>2828.85</v>
      </c>
      <c r="G799">
        <v>111192</v>
      </c>
      <c r="H799" s="116"/>
      <c r="I799" s="116"/>
      <c r="L799" s="170">
        <v>43178</v>
      </c>
      <c r="M799" s="116">
        <v>1415.5</v>
      </c>
      <c r="N799" s="116">
        <v>1424</v>
      </c>
      <c r="O799" s="116">
        <v>1410</v>
      </c>
      <c r="P799" s="116">
        <v>1414.5</v>
      </c>
      <c r="Q799" s="116">
        <v>2831</v>
      </c>
      <c r="R799">
        <v>1744970</v>
      </c>
    </row>
    <row r="800" spans="1:18" x14ac:dyDescent="0.25">
      <c r="A800" s="170">
        <v>43179</v>
      </c>
      <c r="B800" s="116">
        <v>1435</v>
      </c>
      <c r="C800" s="116">
        <v>1429.575</v>
      </c>
      <c r="D800" s="116">
        <v>1410.35</v>
      </c>
      <c r="E800" s="116">
        <v>1413.7249999999999</v>
      </c>
      <c r="F800" s="116">
        <v>2859.15</v>
      </c>
      <c r="G800">
        <v>53704</v>
      </c>
      <c r="H800" s="116"/>
      <c r="I800" s="116"/>
      <c r="L800" s="170">
        <v>43179</v>
      </c>
      <c r="M800" s="116">
        <v>1432.425</v>
      </c>
      <c r="N800" s="116">
        <v>1436.6</v>
      </c>
      <c r="O800" s="116">
        <v>1409.5</v>
      </c>
      <c r="P800" s="116">
        <v>1410</v>
      </c>
      <c r="Q800" s="116">
        <v>2864.85</v>
      </c>
      <c r="R800">
        <v>2012492</v>
      </c>
    </row>
    <row r="801" spans="1:18" x14ac:dyDescent="0.25">
      <c r="A801" s="170">
        <v>43180</v>
      </c>
      <c r="B801" s="116">
        <v>1441</v>
      </c>
      <c r="C801" s="116">
        <v>1427.3</v>
      </c>
      <c r="D801" s="116">
        <v>1422.5</v>
      </c>
      <c r="E801" s="116">
        <v>1430.125</v>
      </c>
      <c r="F801" s="116">
        <v>2854.6</v>
      </c>
      <c r="G801">
        <v>99762</v>
      </c>
      <c r="H801" s="116"/>
      <c r="I801" s="116"/>
      <c r="L801" s="170">
        <v>43180</v>
      </c>
      <c r="M801" s="116">
        <v>1428.375</v>
      </c>
      <c r="N801" s="116">
        <v>1442.15</v>
      </c>
      <c r="O801" s="116">
        <v>1425</v>
      </c>
      <c r="P801" s="116">
        <v>1436.25</v>
      </c>
      <c r="Q801" s="116">
        <v>2856.75</v>
      </c>
      <c r="R801">
        <v>1953839</v>
      </c>
    </row>
    <row r="802" spans="1:18" x14ac:dyDescent="0.25">
      <c r="A802" s="170">
        <v>43181</v>
      </c>
      <c r="B802" s="116">
        <v>1435</v>
      </c>
      <c r="C802" s="116">
        <v>1414.9749999999999</v>
      </c>
      <c r="D802" s="116">
        <v>1412.5</v>
      </c>
      <c r="E802" s="116">
        <v>1428</v>
      </c>
      <c r="F802" s="116">
        <v>2829.95</v>
      </c>
      <c r="G802">
        <v>48635</v>
      </c>
      <c r="H802" s="116"/>
      <c r="I802" s="116"/>
      <c r="L802" s="170">
        <v>43181</v>
      </c>
      <c r="M802" s="116">
        <v>1415.675</v>
      </c>
      <c r="N802" s="116">
        <v>1437.9749999999999</v>
      </c>
      <c r="O802" s="116">
        <v>1411.2750000000001</v>
      </c>
      <c r="P802" s="116">
        <v>1429.9749999999999</v>
      </c>
      <c r="Q802" s="116">
        <v>2831.35</v>
      </c>
      <c r="R802">
        <v>1163047</v>
      </c>
    </row>
    <row r="803" spans="1:18" x14ac:dyDescent="0.25">
      <c r="A803" s="170">
        <v>43182</v>
      </c>
      <c r="B803" s="116">
        <v>1415.5</v>
      </c>
      <c r="C803" s="116">
        <v>1408.2249999999999</v>
      </c>
      <c r="D803" s="116">
        <v>1400</v>
      </c>
      <c r="E803" s="116">
        <v>1403.35</v>
      </c>
      <c r="F803" s="116">
        <v>2816.45</v>
      </c>
      <c r="G803">
        <v>96850</v>
      </c>
      <c r="H803" s="116"/>
      <c r="I803" s="116"/>
      <c r="L803" s="170">
        <v>43182</v>
      </c>
      <c r="M803" s="116">
        <v>1409.075</v>
      </c>
      <c r="N803" s="116">
        <v>1417.05</v>
      </c>
      <c r="O803" s="116">
        <v>1399.0250000000001</v>
      </c>
      <c r="P803" s="116">
        <v>1401</v>
      </c>
      <c r="Q803" s="116">
        <v>2818.15</v>
      </c>
      <c r="R803">
        <v>1827061</v>
      </c>
    </row>
    <row r="804" spans="1:18" x14ac:dyDescent="0.25">
      <c r="A804" s="170">
        <v>43185</v>
      </c>
      <c r="B804" s="116">
        <v>1411.45</v>
      </c>
      <c r="C804" s="116">
        <v>1406.5250000000001</v>
      </c>
      <c r="D804" s="116">
        <v>1391.15</v>
      </c>
      <c r="E804" s="116">
        <v>1408.35</v>
      </c>
      <c r="F804" s="116">
        <v>2813.05</v>
      </c>
      <c r="G804">
        <v>148180</v>
      </c>
      <c r="H804" s="116"/>
      <c r="I804" s="116"/>
      <c r="L804" s="170">
        <v>43185</v>
      </c>
      <c r="M804" s="116">
        <v>1408.5</v>
      </c>
      <c r="N804" s="116">
        <v>1413.7</v>
      </c>
      <c r="O804" s="116">
        <v>1390.7750000000001</v>
      </c>
      <c r="P804" s="116">
        <v>1409.5</v>
      </c>
      <c r="Q804" s="116">
        <v>2817</v>
      </c>
      <c r="R804">
        <v>1482105</v>
      </c>
    </row>
    <row r="805" spans="1:18" x14ac:dyDescent="0.25">
      <c r="A805" s="170">
        <v>43186</v>
      </c>
      <c r="B805" s="116">
        <v>1434.5</v>
      </c>
      <c r="C805" s="116">
        <v>1420.925</v>
      </c>
      <c r="D805" s="116">
        <v>1410.05</v>
      </c>
      <c r="E805" s="116">
        <v>1410.05</v>
      </c>
      <c r="F805" s="116">
        <v>2841.85</v>
      </c>
      <c r="G805">
        <v>37955</v>
      </c>
      <c r="H805" s="116"/>
      <c r="I805" s="116"/>
      <c r="L805" s="170">
        <v>43186</v>
      </c>
      <c r="M805" s="116">
        <v>1423.85</v>
      </c>
      <c r="N805" s="116">
        <v>1431.5</v>
      </c>
      <c r="O805" s="116">
        <v>1411.5250000000001</v>
      </c>
      <c r="P805" s="116">
        <v>1412.5</v>
      </c>
      <c r="Q805" s="116">
        <v>2847.7</v>
      </c>
      <c r="R805">
        <v>1247287</v>
      </c>
    </row>
    <row r="806" spans="1:18" x14ac:dyDescent="0.25">
      <c r="A806" s="170">
        <v>43187</v>
      </c>
      <c r="B806" s="116">
        <v>1437</v>
      </c>
      <c r="C806" s="116">
        <v>1424.65</v>
      </c>
      <c r="D806" s="116">
        <v>1413.7750000000001</v>
      </c>
      <c r="E806" s="116">
        <v>1419.5</v>
      </c>
      <c r="F806" s="116">
        <v>2849.3</v>
      </c>
      <c r="G806">
        <v>82057</v>
      </c>
      <c r="H806" s="116"/>
      <c r="I806" s="116"/>
      <c r="L806" s="170">
        <v>43187</v>
      </c>
      <c r="M806" s="116">
        <v>1424.575</v>
      </c>
      <c r="N806" s="116">
        <v>1437.5</v>
      </c>
      <c r="O806" s="116">
        <v>1412.5</v>
      </c>
      <c r="P806" s="116">
        <v>1417.95</v>
      </c>
      <c r="Q806" s="116">
        <v>2849.15</v>
      </c>
      <c r="R806">
        <v>3432827</v>
      </c>
    </row>
    <row r="807" spans="1:18" x14ac:dyDescent="0.25">
      <c r="A807" s="170">
        <v>43192</v>
      </c>
      <c r="B807" s="116">
        <v>1455</v>
      </c>
      <c r="C807" s="116">
        <v>1451.45</v>
      </c>
      <c r="D807" s="116">
        <v>1422.5</v>
      </c>
      <c r="E807" s="116">
        <v>1422.5</v>
      </c>
      <c r="F807" s="116">
        <v>2902.9</v>
      </c>
      <c r="G807">
        <v>50734</v>
      </c>
      <c r="H807" s="116"/>
      <c r="I807" s="116"/>
      <c r="L807" s="170">
        <v>43192</v>
      </c>
      <c r="M807" s="116">
        <v>1454.825</v>
      </c>
      <c r="N807" s="116">
        <v>1457</v>
      </c>
      <c r="O807" s="116">
        <v>1420</v>
      </c>
      <c r="P807" s="116">
        <v>1420</v>
      </c>
      <c r="Q807" s="116">
        <v>2909.65</v>
      </c>
      <c r="R807">
        <v>831494</v>
      </c>
    </row>
    <row r="808" spans="1:18" x14ac:dyDescent="0.25">
      <c r="A808" s="170">
        <v>43193</v>
      </c>
      <c r="B808" s="116">
        <v>1463.575</v>
      </c>
      <c r="C808" s="116">
        <v>1454.05</v>
      </c>
      <c r="D808" s="116">
        <v>1446.5</v>
      </c>
      <c r="E808" s="116">
        <v>1450</v>
      </c>
      <c r="F808" s="116">
        <v>2908.1</v>
      </c>
      <c r="G808">
        <v>34299</v>
      </c>
      <c r="H808" s="116"/>
      <c r="I808" s="116"/>
      <c r="L808" s="170">
        <v>43193</v>
      </c>
      <c r="M808" s="116">
        <v>1455.625</v>
      </c>
      <c r="N808" s="116">
        <v>1464.95</v>
      </c>
      <c r="O808" s="116">
        <v>1446.05</v>
      </c>
      <c r="P808" s="116">
        <v>1446.05</v>
      </c>
      <c r="Q808" s="116">
        <v>2911.25</v>
      </c>
      <c r="R808">
        <v>968645</v>
      </c>
    </row>
    <row r="809" spans="1:18" x14ac:dyDescent="0.25">
      <c r="A809" s="170">
        <v>43194</v>
      </c>
      <c r="B809" s="116">
        <v>1466.65</v>
      </c>
      <c r="C809" s="116">
        <v>1453.5250000000001</v>
      </c>
      <c r="D809" s="116">
        <v>1445.9749999999999</v>
      </c>
      <c r="E809" s="116">
        <v>1461.5</v>
      </c>
      <c r="F809" s="116">
        <v>2907.05</v>
      </c>
      <c r="G809">
        <v>37617</v>
      </c>
      <c r="H809" s="116"/>
      <c r="I809" s="116"/>
      <c r="L809" s="170">
        <v>43194</v>
      </c>
      <c r="M809" s="116">
        <v>1455.45</v>
      </c>
      <c r="N809" s="116">
        <v>1467</v>
      </c>
      <c r="O809" s="116">
        <v>1446</v>
      </c>
      <c r="P809" s="116">
        <v>1464.7249999999999</v>
      </c>
      <c r="Q809" s="116">
        <v>2910.9</v>
      </c>
      <c r="R809">
        <v>1420910</v>
      </c>
    </row>
    <row r="810" spans="1:18" x14ac:dyDescent="0.25">
      <c r="A810" s="170">
        <v>43195</v>
      </c>
      <c r="B810" s="116">
        <v>1481</v>
      </c>
      <c r="C810" s="116">
        <v>1478.575</v>
      </c>
      <c r="D810" s="116">
        <v>1457.7750000000001</v>
      </c>
      <c r="E810" s="116">
        <v>1457.7750000000001</v>
      </c>
      <c r="F810" s="116">
        <v>2957.15</v>
      </c>
      <c r="G810">
        <v>65093</v>
      </c>
      <c r="H810" s="116"/>
      <c r="I810" s="116"/>
      <c r="L810" s="170">
        <v>43195</v>
      </c>
      <c r="M810" s="116">
        <v>1478.9749999999999</v>
      </c>
      <c r="N810" s="116">
        <v>1481.875</v>
      </c>
      <c r="O810" s="116">
        <v>1460.175</v>
      </c>
      <c r="P810" s="116">
        <v>1463.2750000000001</v>
      </c>
      <c r="Q810" s="116">
        <v>2957.95</v>
      </c>
      <c r="R810">
        <v>904712</v>
      </c>
    </row>
    <row r="811" spans="1:18" x14ac:dyDescent="0.25">
      <c r="A811" s="170">
        <v>43196</v>
      </c>
      <c r="B811" s="116">
        <v>1480.675</v>
      </c>
      <c r="C811" s="116">
        <v>1474.85</v>
      </c>
      <c r="D811" s="116">
        <v>1463.5</v>
      </c>
      <c r="E811" s="116">
        <v>1470.5</v>
      </c>
      <c r="F811" s="116">
        <v>2949.7</v>
      </c>
      <c r="G811">
        <v>21207</v>
      </c>
      <c r="H811" s="116"/>
      <c r="I811" s="116"/>
      <c r="L811" s="170">
        <v>43196</v>
      </c>
      <c r="M811" s="116">
        <v>1475.15</v>
      </c>
      <c r="N811" s="116">
        <v>1480</v>
      </c>
      <c r="O811" s="116">
        <v>1463.2750000000001</v>
      </c>
      <c r="P811" s="116">
        <v>1477</v>
      </c>
      <c r="Q811" s="116">
        <v>2950.3</v>
      </c>
      <c r="R811">
        <v>564509</v>
      </c>
    </row>
    <row r="812" spans="1:18" x14ac:dyDescent="0.25">
      <c r="A812" s="170">
        <v>43199</v>
      </c>
      <c r="B812" s="116">
        <v>1481.5</v>
      </c>
      <c r="C812" s="116">
        <v>1460.575</v>
      </c>
      <c r="D812" s="116">
        <v>1457.5</v>
      </c>
      <c r="E812" s="116">
        <v>1475</v>
      </c>
      <c r="F812" s="116">
        <v>2921.15</v>
      </c>
      <c r="G812">
        <v>23227</v>
      </c>
      <c r="H812" s="116"/>
      <c r="I812" s="116"/>
      <c r="L812" s="170">
        <v>43199</v>
      </c>
      <c r="M812" s="116">
        <v>1461.95</v>
      </c>
      <c r="N812" s="116">
        <v>1481.75</v>
      </c>
      <c r="O812" s="116">
        <v>1457.5</v>
      </c>
      <c r="P812" s="116">
        <v>1469.85</v>
      </c>
      <c r="Q812" s="116">
        <v>2923.9</v>
      </c>
      <c r="R812">
        <v>617933</v>
      </c>
    </row>
    <row r="813" spans="1:18" x14ac:dyDescent="0.25">
      <c r="A813" s="170">
        <v>43200</v>
      </c>
      <c r="B813" s="116">
        <v>1477.925</v>
      </c>
      <c r="C813" s="116">
        <v>1465.925</v>
      </c>
      <c r="D813" s="116">
        <v>1462.55</v>
      </c>
      <c r="E813" s="116">
        <v>1469.5</v>
      </c>
      <c r="F813" s="116">
        <v>2931.85</v>
      </c>
      <c r="G813">
        <v>29989</v>
      </c>
      <c r="H813" s="116"/>
      <c r="I813" s="116"/>
      <c r="L813" s="170">
        <v>43200</v>
      </c>
      <c r="M813" s="116">
        <v>1468.8</v>
      </c>
      <c r="N813" s="116">
        <v>1478.625</v>
      </c>
      <c r="O813" s="116">
        <v>1462.85</v>
      </c>
      <c r="P813" s="116">
        <v>1462.85</v>
      </c>
      <c r="Q813" s="116">
        <v>2937.6</v>
      </c>
      <c r="R813">
        <v>592266</v>
      </c>
    </row>
    <row r="814" spans="1:18" x14ac:dyDescent="0.25">
      <c r="A814" s="170">
        <v>43201</v>
      </c>
      <c r="B814" s="116">
        <v>1513.45</v>
      </c>
      <c r="C814" s="116">
        <v>1507.75</v>
      </c>
      <c r="D814" s="116">
        <v>1473.6</v>
      </c>
      <c r="E814" s="116">
        <v>1475</v>
      </c>
      <c r="F814" s="116">
        <v>3015.5</v>
      </c>
      <c r="G814">
        <v>92455</v>
      </c>
      <c r="H814" s="116"/>
      <c r="I814" s="116"/>
      <c r="L814" s="170">
        <v>43201</v>
      </c>
      <c r="M814" s="116">
        <v>1507.075</v>
      </c>
      <c r="N814" s="116">
        <v>1512.5</v>
      </c>
      <c r="O814" s="116">
        <v>1472.8</v>
      </c>
      <c r="P814" s="116">
        <v>1475.3</v>
      </c>
      <c r="Q814" s="116">
        <v>3014.15</v>
      </c>
      <c r="R814">
        <v>1562208</v>
      </c>
    </row>
    <row r="815" spans="1:18" x14ac:dyDescent="0.25">
      <c r="A815" s="170">
        <v>43202</v>
      </c>
      <c r="B815" s="116">
        <v>1575</v>
      </c>
      <c r="C815" s="116">
        <v>1568.65</v>
      </c>
      <c r="D815" s="116">
        <v>1505.075</v>
      </c>
      <c r="E815" s="116">
        <v>1507.75</v>
      </c>
      <c r="F815" s="116">
        <v>3137.3</v>
      </c>
      <c r="G815">
        <v>921775</v>
      </c>
      <c r="H815" s="116"/>
      <c r="I815" s="116"/>
      <c r="L815" s="170">
        <v>43202</v>
      </c>
      <c r="M815" s="116">
        <v>1569.625</v>
      </c>
      <c r="N815" s="116">
        <v>1575</v>
      </c>
      <c r="O815" s="116">
        <v>1503.9749999999999</v>
      </c>
      <c r="P815" s="116">
        <v>1505</v>
      </c>
      <c r="Q815" s="116">
        <v>3139.25</v>
      </c>
      <c r="R815">
        <v>3057180</v>
      </c>
    </row>
    <row r="816" spans="1:18" x14ac:dyDescent="0.25">
      <c r="A816" s="170">
        <v>43203</v>
      </c>
      <c r="B816" s="116">
        <v>1619</v>
      </c>
      <c r="C816" s="116">
        <v>1575.5</v>
      </c>
      <c r="D816" s="116">
        <v>1565.55</v>
      </c>
      <c r="E816" s="116">
        <v>1574.5</v>
      </c>
      <c r="F816" s="116">
        <v>3151</v>
      </c>
      <c r="G816">
        <v>141936</v>
      </c>
      <c r="H816" s="116"/>
      <c r="I816" s="116"/>
      <c r="L816" s="170">
        <v>43203</v>
      </c>
      <c r="M816" s="116">
        <v>1576.65</v>
      </c>
      <c r="N816" s="116">
        <v>1620.4</v>
      </c>
      <c r="O816" s="116">
        <v>1566.05</v>
      </c>
      <c r="P816" s="116">
        <v>1575</v>
      </c>
      <c r="Q816" s="116">
        <v>3153.3</v>
      </c>
      <c r="R816">
        <v>4089559</v>
      </c>
    </row>
    <row r="817" spans="1:18" x14ac:dyDescent="0.25">
      <c r="A817" s="170">
        <v>43206</v>
      </c>
      <c r="B817" s="116">
        <v>1599.5</v>
      </c>
      <c r="C817" s="116">
        <v>1592.4</v>
      </c>
      <c r="D817" s="116">
        <v>1554.0250000000001</v>
      </c>
      <c r="E817" s="116">
        <v>1566</v>
      </c>
      <c r="F817" s="116">
        <v>3184.8</v>
      </c>
      <c r="G817">
        <v>117863</v>
      </c>
      <c r="H817" s="116"/>
      <c r="I817" s="116"/>
      <c r="L817" s="170">
        <v>43206</v>
      </c>
      <c r="M817" s="116">
        <v>1593.825</v>
      </c>
      <c r="N817" s="116">
        <v>1599.9749999999999</v>
      </c>
      <c r="O817" s="116">
        <v>1555.375</v>
      </c>
      <c r="P817" s="116">
        <v>1558</v>
      </c>
      <c r="Q817" s="116">
        <v>3187.65</v>
      </c>
      <c r="R817">
        <v>3135137</v>
      </c>
    </row>
    <row r="818" spans="1:18" x14ac:dyDescent="0.25">
      <c r="A818" s="170">
        <v>43207</v>
      </c>
      <c r="B818" s="116">
        <v>1595</v>
      </c>
      <c r="C818" s="116">
        <v>1582.95</v>
      </c>
      <c r="D818" s="116">
        <v>1574.65</v>
      </c>
      <c r="E818" s="116">
        <v>1595</v>
      </c>
      <c r="F818" s="116">
        <v>3165.9</v>
      </c>
      <c r="G818">
        <v>46360</v>
      </c>
      <c r="H818" s="116"/>
      <c r="I818" s="116"/>
      <c r="L818" s="170">
        <v>43207</v>
      </c>
      <c r="M818" s="116">
        <v>1583.3</v>
      </c>
      <c r="N818" s="116">
        <v>1597.4749999999999</v>
      </c>
      <c r="O818" s="116">
        <v>1573.6</v>
      </c>
      <c r="P818" s="116">
        <v>1593.825</v>
      </c>
      <c r="Q818" s="116">
        <v>3166.6</v>
      </c>
      <c r="R818">
        <v>1650862</v>
      </c>
    </row>
    <row r="819" spans="1:18" x14ac:dyDescent="0.25">
      <c r="A819" s="170">
        <v>43208</v>
      </c>
      <c r="B819" s="116">
        <v>1594.9</v>
      </c>
      <c r="C819" s="116">
        <v>1579.75</v>
      </c>
      <c r="D819" s="116">
        <v>1573.65</v>
      </c>
      <c r="E819" s="116">
        <v>1586.4749999999999</v>
      </c>
      <c r="F819" s="116">
        <v>3159.5</v>
      </c>
      <c r="G819">
        <v>52395</v>
      </c>
      <c r="H819" s="116"/>
      <c r="I819" s="116"/>
      <c r="L819" s="170">
        <v>43208</v>
      </c>
      <c r="M819" s="116">
        <v>1579.55</v>
      </c>
      <c r="N819" s="116">
        <v>1596.7249999999999</v>
      </c>
      <c r="O819" s="116">
        <v>1572.925</v>
      </c>
      <c r="P819" s="116">
        <v>1583</v>
      </c>
      <c r="Q819" s="116">
        <v>3159.1</v>
      </c>
      <c r="R819">
        <v>1216533</v>
      </c>
    </row>
    <row r="820" spans="1:18" x14ac:dyDescent="0.25">
      <c r="A820" s="170">
        <v>43209</v>
      </c>
      <c r="B820" s="116">
        <v>1607.5</v>
      </c>
      <c r="C820" s="116">
        <v>1595.325</v>
      </c>
      <c r="D820" s="116">
        <v>1583.15</v>
      </c>
      <c r="E820" s="116">
        <v>1587.5</v>
      </c>
      <c r="F820" s="116">
        <v>3190.65</v>
      </c>
      <c r="G820">
        <v>102072</v>
      </c>
      <c r="H820" s="116"/>
      <c r="I820" s="116"/>
      <c r="L820" s="170">
        <v>43209</v>
      </c>
      <c r="M820" s="116">
        <v>1595.575</v>
      </c>
      <c r="N820" s="116">
        <v>1608.6</v>
      </c>
      <c r="O820" s="116">
        <v>1582.875</v>
      </c>
      <c r="P820" s="116">
        <v>1589.95</v>
      </c>
      <c r="Q820" s="116">
        <v>3191.15</v>
      </c>
      <c r="R820">
        <v>2410476</v>
      </c>
    </row>
    <row r="821" spans="1:18" x14ac:dyDescent="0.25">
      <c r="A821" s="170">
        <v>43210</v>
      </c>
      <c r="B821" s="116">
        <v>1710.625</v>
      </c>
      <c r="C821" s="116">
        <v>1703.2</v>
      </c>
      <c r="D821" s="116">
        <v>1622.5</v>
      </c>
      <c r="E821" s="116">
        <v>1625.1</v>
      </c>
      <c r="F821" s="116">
        <v>3406.4</v>
      </c>
      <c r="G821">
        <v>771955</v>
      </c>
      <c r="H821" s="116"/>
      <c r="I821" s="116"/>
      <c r="L821" s="170">
        <v>43210</v>
      </c>
      <c r="M821" s="116">
        <v>1701.2249999999999</v>
      </c>
      <c r="N821" s="116">
        <v>1711.175</v>
      </c>
      <c r="O821" s="116">
        <v>1620</v>
      </c>
      <c r="P821" s="116">
        <v>1625</v>
      </c>
      <c r="Q821" s="116">
        <v>3402.45</v>
      </c>
      <c r="R821">
        <v>9232831</v>
      </c>
    </row>
    <row r="822" spans="1:18" x14ac:dyDescent="0.25">
      <c r="A822" s="170">
        <v>43213</v>
      </c>
      <c r="B822" s="116">
        <v>1778.5</v>
      </c>
      <c r="C822" s="116">
        <v>1707.6</v>
      </c>
      <c r="D822" s="116">
        <v>1700</v>
      </c>
      <c r="E822" s="116">
        <v>1714.5</v>
      </c>
      <c r="F822" s="116">
        <v>3415.2</v>
      </c>
      <c r="G822">
        <v>505816</v>
      </c>
      <c r="H822" s="116"/>
      <c r="I822" s="116"/>
      <c r="L822" s="170">
        <v>43213</v>
      </c>
      <c r="M822" s="116">
        <v>1704.325</v>
      </c>
      <c r="N822" s="116">
        <v>1778.95</v>
      </c>
      <c r="O822" s="116">
        <v>1694.7750000000001</v>
      </c>
      <c r="P822" s="116">
        <v>1712</v>
      </c>
      <c r="Q822" s="116">
        <v>3408.65</v>
      </c>
      <c r="R822">
        <v>7592955</v>
      </c>
    </row>
    <row r="823" spans="1:18" x14ac:dyDescent="0.25">
      <c r="A823" s="170">
        <v>43214</v>
      </c>
      <c r="B823" s="116">
        <v>1721.75</v>
      </c>
      <c r="C823" s="116">
        <v>1692.825</v>
      </c>
      <c r="D823" s="116">
        <v>1672.95</v>
      </c>
      <c r="E823" s="116">
        <v>1706.4749999999999</v>
      </c>
      <c r="F823" s="116">
        <v>3385.65</v>
      </c>
      <c r="G823">
        <v>195496</v>
      </c>
      <c r="H823" s="116"/>
      <c r="I823" s="116"/>
      <c r="L823" s="170">
        <v>43214</v>
      </c>
      <c r="M823" s="116">
        <v>1692.825</v>
      </c>
      <c r="N823" s="116">
        <v>1721.575</v>
      </c>
      <c r="O823" s="116">
        <v>1671.25</v>
      </c>
      <c r="P823" s="116">
        <v>1705</v>
      </c>
      <c r="Q823" s="116">
        <v>3385.65</v>
      </c>
      <c r="R823">
        <v>4157168</v>
      </c>
    </row>
    <row r="824" spans="1:18" x14ac:dyDescent="0.25">
      <c r="A824" s="170">
        <v>43215</v>
      </c>
      <c r="B824" s="116">
        <v>1740.75</v>
      </c>
      <c r="C824" s="116">
        <v>1733.95</v>
      </c>
      <c r="D824" s="116">
        <v>1683</v>
      </c>
      <c r="E824" s="116">
        <v>1692.5</v>
      </c>
      <c r="F824" s="116">
        <v>3467.9</v>
      </c>
      <c r="G824">
        <v>221933</v>
      </c>
      <c r="H824" s="116"/>
      <c r="I824" s="116"/>
      <c r="L824" s="170">
        <v>43215</v>
      </c>
      <c r="M824" s="116">
        <v>1735.125</v>
      </c>
      <c r="N824" s="116">
        <v>1741.5</v>
      </c>
      <c r="O824" s="116">
        <v>1682.5250000000001</v>
      </c>
      <c r="P824" s="116">
        <v>1692.5</v>
      </c>
      <c r="Q824" s="116">
        <v>3470.25</v>
      </c>
      <c r="R824">
        <v>4098287</v>
      </c>
    </row>
    <row r="825" spans="1:18" x14ac:dyDescent="0.25">
      <c r="A825" s="170">
        <v>43216</v>
      </c>
      <c r="B825" s="116">
        <v>1780</v>
      </c>
      <c r="C825" s="116">
        <v>1770.175</v>
      </c>
      <c r="D825" s="116">
        <v>1734.5</v>
      </c>
      <c r="E825" s="116">
        <v>1735.5</v>
      </c>
      <c r="F825" s="116">
        <v>3540.35</v>
      </c>
      <c r="G825">
        <v>150998</v>
      </c>
      <c r="H825" s="116"/>
      <c r="I825" s="116"/>
      <c r="L825" s="170">
        <v>43216</v>
      </c>
      <c r="M825" s="116">
        <v>1769.625</v>
      </c>
      <c r="N825" s="116">
        <v>1780</v>
      </c>
      <c r="O825" s="116">
        <v>1733.5</v>
      </c>
      <c r="P825" s="116">
        <v>1733.5</v>
      </c>
      <c r="Q825" s="116">
        <v>3539.25</v>
      </c>
      <c r="R825">
        <v>6067517</v>
      </c>
    </row>
    <row r="826" spans="1:18" x14ac:dyDescent="0.25">
      <c r="A826" s="170">
        <v>43217</v>
      </c>
      <c r="B826" s="116">
        <v>1771.575</v>
      </c>
      <c r="C826" s="116">
        <v>1727.4</v>
      </c>
      <c r="D826" s="116">
        <v>1724.65</v>
      </c>
      <c r="E826" s="116">
        <v>1770</v>
      </c>
      <c r="F826" s="116">
        <v>3454.8</v>
      </c>
      <c r="G826">
        <v>107456</v>
      </c>
      <c r="H826" s="116"/>
      <c r="I826" s="116"/>
      <c r="L826" s="170">
        <v>43217</v>
      </c>
      <c r="M826" s="116">
        <v>1725.9749999999999</v>
      </c>
      <c r="N826" s="116">
        <v>1772</v>
      </c>
      <c r="O826" s="116">
        <v>1710</v>
      </c>
      <c r="P826" s="116">
        <v>1762.5</v>
      </c>
      <c r="Q826" s="116">
        <v>3451.95</v>
      </c>
      <c r="R826">
        <v>2250665</v>
      </c>
    </row>
    <row r="827" spans="1:18" x14ac:dyDescent="0.25">
      <c r="A827" s="170">
        <v>43220</v>
      </c>
      <c r="B827" s="116">
        <v>1773.5</v>
      </c>
      <c r="C827" s="116">
        <v>1765.7</v>
      </c>
      <c r="D827" s="116">
        <v>1719.1</v>
      </c>
      <c r="E827" s="116">
        <v>1727.5</v>
      </c>
      <c r="F827" s="116">
        <v>3531.4</v>
      </c>
      <c r="G827">
        <v>92393</v>
      </c>
      <c r="H827" s="116"/>
      <c r="I827" s="116"/>
      <c r="L827" s="170">
        <v>43220</v>
      </c>
      <c r="M827" s="116">
        <v>1766.05</v>
      </c>
      <c r="N827" s="116">
        <v>1774.5</v>
      </c>
      <c r="O827" s="116">
        <v>1718.8</v>
      </c>
      <c r="P827" s="116">
        <v>1725.9749999999999</v>
      </c>
      <c r="Q827" s="116">
        <v>3532.1</v>
      </c>
      <c r="R827">
        <v>1729279</v>
      </c>
    </row>
    <row r="828" spans="1:18" x14ac:dyDescent="0.25">
      <c r="A828" s="170">
        <v>43222</v>
      </c>
      <c r="B828" s="116">
        <v>1780</v>
      </c>
      <c r="C828" s="116">
        <v>1748.9</v>
      </c>
      <c r="D828" s="116">
        <v>1737.8</v>
      </c>
      <c r="E828" s="116">
        <v>1766.5</v>
      </c>
      <c r="F828" s="116">
        <v>3497.8</v>
      </c>
      <c r="G828">
        <v>64856</v>
      </c>
      <c r="H828" s="116"/>
      <c r="I828" s="116"/>
      <c r="L828" s="170">
        <v>43222</v>
      </c>
      <c r="M828" s="116">
        <v>1749.875</v>
      </c>
      <c r="N828" s="116">
        <v>1766.1</v>
      </c>
      <c r="O828" s="116">
        <v>1735.65</v>
      </c>
      <c r="P828" s="116">
        <v>1765.25</v>
      </c>
      <c r="Q828" s="116">
        <v>3499.75</v>
      </c>
      <c r="R828">
        <v>1579023</v>
      </c>
    </row>
    <row r="829" spans="1:18" x14ac:dyDescent="0.25">
      <c r="A829" s="170">
        <v>43223</v>
      </c>
      <c r="B829" s="116">
        <v>1763.925</v>
      </c>
      <c r="C829" s="116">
        <v>1741.325</v>
      </c>
      <c r="D829" s="116">
        <v>1737.5</v>
      </c>
      <c r="E829" s="116">
        <v>1751</v>
      </c>
      <c r="F829" s="116">
        <v>3482.65</v>
      </c>
      <c r="G829">
        <v>72522</v>
      </c>
      <c r="H829" s="116"/>
      <c r="I829" s="116"/>
      <c r="L829" s="170">
        <v>43223</v>
      </c>
      <c r="M829" s="116">
        <v>1740.925</v>
      </c>
      <c r="N829" s="116">
        <v>1763</v>
      </c>
      <c r="O829" s="116">
        <v>1735.2</v>
      </c>
      <c r="P829" s="116">
        <v>1754.9</v>
      </c>
      <c r="Q829" s="116">
        <v>3481.85</v>
      </c>
      <c r="R829">
        <v>1880775</v>
      </c>
    </row>
    <row r="830" spans="1:18" x14ac:dyDescent="0.25">
      <c r="A830" s="170">
        <v>43224</v>
      </c>
      <c r="B830" s="116">
        <v>1752</v>
      </c>
      <c r="C830" s="116">
        <v>1740.425</v>
      </c>
      <c r="D830" s="116">
        <v>1735.65</v>
      </c>
      <c r="E830" s="116">
        <v>1741</v>
      </c>
      <c r="F830" s="116">
        <v>3480.85</v>
      </c>
      <c r="G830">
        <v>46996</v>
      </c>
      <c r="H830" s="116"/>
      <c r="I830" s="116"/>
      <c r="L830" s="170">
        <v>43224</v>
      </c>
      <c r="M830" s="116">
        <v>1740.375</v>
      </c>
      <c r="N830" s="116">
        <v>1748.5</v>
      </c>
      <c r="O830" s="116">
        <v>1735</v>
      </c>
      <c r="P830" s="116">
        <v>1746</v>
      </c>
      <c r="Q830" s="116">
        <v>3480.75</v>
      </c>
      <c r="R830">
        <v>1173622</v>
      </c>
    </row>
    <row r="831" spans="1:18" x14ac:dyDescent="0.25">
      <c r="A831" s="170">
        <v>43227</v>
      </c>
      <c r="B831" s="116">
        <v>1745</v>
      </c>
      <c r="C831" s="116">
        <v>1713.85</v>
      </c>
      <c r="D831" s="116">
        <v>1710.05</v>
      </c>
      <c r="E831" s="116">
        <v>1741.125</v>
      </c>
      <c r="F831" s="116">
        <v>3427.7</v>
      </c>
      <c r="G831">
        <v>63422</v>
      </c>
      <c r="H831" s="116"/>
      <c r="I831" s="116"/>
      <c r="L831" s="170">
        <v>43227</v>
      </c>
      <c r="M831" s="116">
        <v>1710.4749999999999</v>
      </c>
      <c r="N831" s="116">
        <v>1745</v>
      </c>
      <c r="O831" s="116">
        <v>1705.45</v>
      </c>
      <c r="P831" s="116">
        <v>1745</v>
      </c>
      <c r="Q831" s="116">
        <v>3420.95</v>
      </c>
      <c r="R831">
        <v>1742213</v>
      </c>
    </row>
    <row r="832" spans="1:18" x14ac:dyDescent="0.25">
      <c r="A832" s="170">
        <v>43228</v>
      </c>
      <c r="B832" s="116">
        <v>1743.9749999999999</v>
      </c>
      <c r="C832" s="116">
        <v>1720.5250000000001</v>
      </c>
      <c r="D832" s="116">
        <v>1699.425</v>
      </c>
      <c r="E832" s="116">
        <v>1716</v>
      </c>
      <c r="F832" s="116">
        <v>3441.05</v>
      </c>
      <c r="G832">
        <v>101282</v>
      </c>
      <c r="H832" s="116"/>
      <c r="I832" s="116"/>
      <c r="L832" s="170">
        <v>43228</v>
      </c>
      <c r="M832" s="116">
        <v>1720.6</v>
      </c>
      <c r="N832" s="116">
        <v>1743.25</v>
      </c>
      <c r="O832" s="116">
        <v>1698.35</v>
      </c>
      <c r="P832" s="116">
        <v>1717.35</v>
      </c>
      <c r="Q832" s="116">
        <v>3441.2</v>
      </c>
      <c r="R832">
        <v>1496410</v>
      </c>
    </row>
    <row r="833" spans="1:18" x14ac:dyDescent="0.25">
      <c r="A833" s="170">
        <v>43229</v>
      </c>
      <c r="B833" s="116">
        <v>1747.2249999999999</v>
      </c>
      <c r="C833" s="116">
        <v>1744.5250000000001</v>
      </c>
      <c r="D833" s="116">
        <v>1721.5</v>
      </c>
      <c r="E833" s="116">
        <v>1724.5</v>
      </c>
      <c r="F833" s="116">
        <v>3489.05</v>
      </c>
      <c r="G833">
        <v>49793</v>
      </c>
      <c r="H833" s="116"/>
      <c r="I833" s="116"/>
      <c r="L833" s="170">
        <v>43229</v>
      </c>
      <c r="M833" s="116">
        <v>1744.65</v>
      </c>
      <c r="N833" s="116">
        <v>1747.375</v>
      </c>
      <c r="O833" s="116">
        <v>1720.1</v>
      </c>
      <c r="P833" s="116">
        <v>1720.1</v>
      </c>
      <c r="Q833" s="116">
        <v>3489.3</v>
      </c>
      <c r="R833">
        <v>1307525</v>
      </c>
    </row>
    <row r="834" spans="1:18" x14ac:dyDescent="0.25">
      <c r="A834" s="170">
        <v>43230</v>
      </c>
      <c r="B834" s="116">
        <v>1754.7249999999999</v>
      </c>
      <c r="C834" s="116">
        <v>1726.375</v>
      </c>
      <c r="D834" s="116">
        <v>1723</v>
      </c>
      <c r="E834" s="116">
        <v>1745.5</v>
      </c>
      <c r="F834" s="116">
        <v>3452.75</v>
      </c>
      <c r="G834">
        <v>61821</v>
      </c>
      <c r="H834" s="116"/>
      <c r="I834" s="116"/>
      <c r="L834" s="170">
        <v>43230</v>
      </c>
      <c r="M834" s="116">
        <v>1725.625</v>
      </c>
      <c r="N834" s="116">
        <v>1755.575</v>
      </c>
      <c r="O834" s="116">
        <v>1720.1</v>
      </c>
      <c r="P834" s="116">
        <v>1751.4749999999999</v>
      </c>
      <c r="Q834" s="116">
        <v>3451.25</v>
      </c>
      <c r="R834">
        <v>1929339</v>
      </c>
    </row>
    <row r="835" spans="1:18" x14ac:dyDescent="0.25">
      <c r="A835" s="170">
        <v>43231</v>
      </c>
      <c r="B835" s="116">
        <v>1743.75</v>
      </c>
      <c r="C835" s="116">
        <v>1730.3</v>
      </c>
      <c r="D835" s="116">
        <v>1723.2</v>
      </c>
      <c r="E835" s="116">
        <v>1727.5</v>
      </c>
      <c r="F835" s="116">
        <v>3460.6</v>
      </c>
      <c r="G835">
        <v>35168</v>
      </c>
      <c r="H835" s="116"/>
      <c r="I835" s="116"/>
      <c r="L835" s="170">
        <v>43231</v>
      </c>
      <c r="M835" s="116">
        <v>1728.4749999999999</v>
      </c>
      <c r="N835" s="116">
        <v>1742.5</v>
      </c>
      <c r="O835" s="116">
        <v>1721.25</v>
      </c>
      <c r="P835" s="116">
        <v>1727.1</v>
      </c>
      <c r="Q835" s="116">
        <v>3456.95</v>
      </c>
      <c r="R835">
        <v>1313938</v>
      </c>
    </row>
    <row r="836" spans="1:18" x14ac:dyDescent="0.25">
      <c r="A836" s="170">
        <v>43234</v>
      </c>
      <c r="B836" s="116">
        <v>1739.925</v>
      </c>
      <c r="C836" s="116">
        <v>1718.375</v>
      </c>
      <c r="D836" s="116">
        <v>1708</v>
      </c>
      <c r="E836" s="116">
        <v>1732</v>
      </c>
      <c r="F836" s="116">
        <v>3436.75</v>
      </c>
      <c r="G836">
        <v>301896</v>
      </c>
      <c r="H836" s="116"/>
      <c r="I836" s="116"/>
      <c r="L836" s="170">
        <v>43234</v>
      </c>
      <c r="M836" s="116">
        <v>1716.7750000000001</v>
      </c>
      <c r="N836" s="116">
        <v>1735.5</v>
      </c>
      <c r="O836" s="116">
        <v>1705.4</v>
      </c>
      <c r="P836" s="116">
        <v>1728.5</v>
      </c>
      <c r="Q836" s="116">
        <v>3433.55</v>
      </c>
      <c r="R836">
        <v>1216947</v>
      </c>
    </row>
    <row r="837" spans="1:18" x14ac:dyDescent="0.25">
      <c r="A837" s="170">
        <v>43235</v>
      </c>
      <c r="B837" s="116">
        <v>1747.25</v>
      </c>
      <c r="C837" s="116">
        <v>1741.2249999999999</v>
      </c>
      <c r="D837" s="116">
        <v>1718.45</v>
      </c>
      <c r="E837" s="116">
        <v>1727</v>
      </c>
      <c r="F837" s="116">
        <v>3482.45</v>
      </c>
      <c r="G837">
        <v>39574</v>
      </c>
      <c r="H837" s="116"/>
      <c r="I837" s="116"/>
      <c r="L837" s="170">
        <v>43235</v>
      </c>
      <c r="M837" s="116">
        <v>1741.2</v>
      </c>
      <c r="N837" s="116">
        <v>1747.9</v>
      </c>
      <c r="O837" s="116">
        <v>1716.85</v>
      </c>
      <c r="P837" s="116">
        <v>1725</v>
      </c>
      <c r="Q837" s="116">
        <v>3482.4</v>
      </c>
      <c r="R837">
        <v>976445</v>
      </c>
    </row>
    <row r="838" spans="1:18" x14ac:dyDescent="0.25">
      <c r="A838" s="170">
        <v>43236</v>
      </c>
      <c r="B838" s="116">
        <v>1754.9749999999999</v>
      </c>
      <c r="C838" s="116">
        <v>1747.7750000000001</v>
      </c>
      <c r="D838" s="116">
        <v>1737.5</v>
      </c>
      <c r="E838" s="116">
        <v>1740</v>
      </c>
      <c r="F838" s="116">
        <v>3495.55</v>
      </c>
      <c r="G838">
        <v>29127</v>
      </c>
      <c r="H838" s="116"/>
      <c r="I838" s="116"/>
      <c r="L838" s="170">
        <v>43236</v>
      </c>
      <c r="M838" s="116">
        <v>1746.95</v>
      </c>
      <c r="N838" s="116">
        <v>1754.5</v>
      </c>
      <c r="O838" s="116">
        <v>1737.625</v>
      </c>
      <c r="P838" s="116">
        <v>1739.9749999999999</v>
      </c>
      <c r="Q838" s="116">
        <v>3493.9</v>
      </c>
      <c r="R838">
        <v>824225</v>
      </c>
    </row>
    <row r="839" spans="1:18" x14ac:dyDescent="0.25">
      <c r="A839" s="170">
        <v>43237</v>
      </c>
      <c r="B839" s="116">
        <v>1764.9</v>
      </c>
      <c r="C839" s="116">
        <v>1746.35</v>
      </c>
      <c r="D839" s="116">
        <v>1737.5</v>
      </c>
      <c r="E839" s="116">
        <v>1757.925</v>
      </c>
      <c r="F839" s="116">
        <v>3492.7</v>
      </c>
      <c r="G839">
        <v>48134</v>
      </c>
      <c r="H839" s="116"/>
      <c r="I839" s="116"/>
      <c r="L839" s="170">
        <v>43237</v>
      </c>
      <c r="M839" s="116">
        <v>1745.9</v>
      </c>
      <c r="N839" s="116">
        <v>1766.575</v>
      </c>
      <c r="O839" s="116">
        <v>1738</v>
      </c>
      <c r="P839" s="116">
        <v>1756.4749999999999</v>
      </c>
      <c r="Q839" s="116">
        <v>3491.8</v>
      </c>
      <c r="R839">
        <v>1484024</v>
      </c>
    </row>
    <row r="840" spans="1:18" x14ac:dyDescent="0.25">
      <c r="A840" s="170">
        <v>43238</v>
      </c>
      <c r="B840" s="116">
        <v>1759</v>
      </c>
      <c r="C840" s="116">
        <v>1751.175</v>
      </c>
      <c r="D840" s="116">
        <v>1731.25</v>
      </c>
      <c r="E840" s="116">
        <v>1744.925</v>
      </c>
      <c r="F840" s="116">
        <v>3502.35</v>
      </c>
      <c r="G840">
        <v>26085</v>
      </c>
      <c r="H840" s="116"/>
      <c r="I840" s="116"/>
      <c r="L840" s="170">
        <v>43238</v>
      </c>
      <c r="M840" s="116">
        <v>1751.0250000000001</v>
      </c>
      <c r="N840" s="116">
        <v>1758.85</v>
      </c>
      <c r="O840" s="116">
        <v>1729</v>
      </c>
      <c r="P840" s="116">
        <v>1740.4</v>
      </c>
      <c r="Q840" s="116">
        <v>3502.05</v>
      </c>
      <c r="R840">
        <v>937498</v>
      </c>
    </row>
    <row r="841" spans="1:18" x14ac:dyDescent="0.25">
      <c r="A841" s="170">
        <v>43241</v>
      </c>
      <c r="B841" s="116">
        <v>1795.925</v>
      </c>
      <c r="C841" s="116">
        <v>1778.9749999999999</v>
      </c>
      <c r="D841" s="116">
        <v>1755</v>
      </c>
      <c r="E841" s="116">
        <v>1760</v>
      </c>
      <c r="F841" s="116">
        <v>3557.95</v>
      </c>
      <c r="G841">
        <v>68336</v>
      </c>
      <c r="H841" s="116"/>
      <c r="I841" s="116"/>
      <c r="L841" s="170">
        <v>43241</v>
      </c>
      <c r="M841" s="116">
        <v>1778.375</v>
      </c>
      <c r="N841" s="116">
        <v>1796</v>
      </c>
      <c r="O841" s="116">
        <v>1759.0250000000001</v>
      </c>
      <c r="P841" s="116">
        <v>1764.35</v>
      </c>
      <c r="Q841" s="116">
        <v>3556.75</v>
      </c>
      <c r="R841">
        <v>1723089</v>
      </c>
    </row>
    <row r="842" spans="1:18" x14ac:dyDescent="0.25">
      <c r="A842" s="170">
        <v>43242</v>
      </c>
      <c r="B842" s="116">
        <v>1787.5</v>
      </c>
      <c r="C842" s="116">
        <v>1754.0250000000001</v>
      </c>
      <c r="D842" s="116">
        <v>1747.5</v>
      </c>
      <c r="E842" s="116">
        <v>1779</v>
      </c>
      <c r="F842" s="116">
        <v>3508.05</v>
      </c>
      <c r="G842">
        <v>51764</v>
      </c>
      <c r="H842" s="116"/>
      <c r="I842" s="116"/>
      <c r="L842" s="170">
        <v>43242</v>
      </c>
      <c r="M842" s="116">
        <v>1754.45</v>
      </c>
      <c r="N842" s="116">
        <v>1787.4749999999999</v>
      </c>
      <c r="O842" s="116">
        <v>1746.85</v>
      </c>
      <c r="P842" s="116">
        <v>1779</v>
      </c>
      <c r="Q842" s="116">
        <v>3508.9</v>
      </c>
      <c r="R842">
        <v>928708</v>
      </c>
    </row>
    <row r="843" spans="1:18" x14ac:dyDescent="0.25">
      <c r="A843" s="170">
        <v>43243</v>
      </c>
      <c r="B843" s="116">
        <v>1772.4749999999999</v>
      </c>
      <c r="C843" s="116">
        <v>1748.5250000000001</v>
      </c>
      <c r="D843" s="116">
        <v>1741.4</v>
      </c>
      <c r="E843" s="116">
        <v>1764</v>
      </c>
      <c r="F843" s="116">
        <v>3497.05</v>
      </c>
      <c r="G843">
        <v>45347</v>
      </c>
      <c r="H843" s="116"/>
      <c r="I843" s="116"/>
      <c r="L843" s="170">
        <v>43243</v>
      </c>
      <c r="M843" s="116">
        <v>1747.55</v>
      </c>
      <c r="N843" s="116">
        <v>1772.5</v>
      </c>
      <c r="O843" s="116">
        <v>1740.5</v>
      </c>
      <c r="P843" s="116">
        <v>1762.5</v>
      </c>
      <c r="Q843" s="116">
        <v>3495.1</v>
      </c>
      <c r="R843">
        <v>753649</v>
      </c>
    </row>
    <row r="844" spans="1:18" x14ac:dyDescent="0.25">
      <c r="A844" s="170">
        <v>43244</v>
      </c>
      <c r="B844" s="116">
        <v>1807.5</v>
      </c>
      <c r="C844" s="116">
        <v>1802.4</v>
      </c>
      <c r="D844" s="116">
        <v>1750</v>
      </c>
      <c r="E844" s="116">
        <v>1750</v>
      </c>
      <c r="F844" s="116">
        <v>3604.8</v>
      </c>
      <c r="G844">
        <v>96195</v>
      </c>
      <c r="H844" s="116"/>
      <c r="I844" s="116"/>
      <c r="L844" s="170">
        <v>43244</v>
      </c>
      <c r="M844" s="116">
        <v>1801.85</v>
      </c>
      <c r="N844" s="116">
        <v>1807.5</v>
      </c>
      <c r="O844" s="116">
        <v>1751.175</v>
      </c>
      <c r="P844" s="116">
        <v>1755</v>
      </c>
      <c r="Q844" s="116">
        <v>3603.7</v>
      </c>
      <c r="R844">
        <v>1481158</v>
      </c>
    </row>
    <row r="845" spans="1:18" x14ac:dyDescent="0.25">
      <c r="A845" s="170">
        <v>43245</v>
      </c>
      <c r="B845" s="116">
        <v>1837</v>
      </c>
      <c r="C845" s="116">
        <v>1794.7249999999999</v>
      </c>
      <c r="D845" s="116">
        <v>1786.4</v>
      </c>
      <c r="E845" s="116">
        <v>1809.5</v>
      </c>
      <c r="F845" s="116">
        <v>3589.45</v>
      </c>
      <c r="G845">
        <v>84575</v>
      </c>
      <c r="H845" s="116"/>
      <c r="I845" s="116"/>
      <c r="L845" s="170">
        <v>43245</v>
      </c>
      <c r="M845" s="116">
        <v>1792.9</v>
      </c>
      <c r="N845" s="116">
        <v>1837.4</v>
      </c>
      <c r="O845" s="116">
        <v>1786.2750000000001</v>
      </c>
      <c r="P845" s="116">
        <v>1812.5</v>
      </c>
      <c r="Q845" s="116">
        <v>3585.8</v>
      </c>
      <c r="R845">
        <v>1884886</v>
      </c>
    </row>
    <row r="846" spans="1:18" x14ac:dyDescent="0.25">
      <c r="A846" s="170">
        <v>43248</v>
      </c>
      <c r="B846" s="116">
        <v>1809</v>
      </c>
      <c r="C846" s="116">
        <v>1751.9</v>
      </c>
      <c r="D846" s="116">
        <v>1744</v>
      </c>
      <c r="E846" s="116">
        <v>1800.55</v>
      </c>
      <c r="F846" s="116">
        <v>3503.8</v>
      </c>
      <c r="G846">
        <v>131580</v>
      </c>
      <c r="H846" s="116"/>
      <c r="I846" s="116"/>
      <c r="L846" s="170">
        <v>43248</v>
      </c>
      <c r="M846" s="116">
        <v>1751.0250000000001</v>
      </c>
      <c r="N846" s="116">
        <v>1808.25</v>
      </c>
      <c r="O846" s="116">
        <v>1743</v>
      </c>
      <c r="P846" s="116">
        <v>1808.25</v>
      </c>
      <c r="Q846" s="116">
        <v>3502.05</v>
      </c>
      <c r="R846">
        <v>1858399</v>
      </c>
    </row>
    <row r="847" spans="1:18" x14ac:dyDescent="0.25">
      <c r="A847" s="170">
        <v>43249</v>
      </c>
      <c r="B847" s="116">
        <v>1774.75</v>
      </c>
      <c r="C847" s="116">
        <v>1761.35</v>
      </c>
      <c r="D847" s="116">
        <v>1745.55</v>
      </c>
      <c r="E847" s="116">
        <v>1756</v>
      </c>
      <c r="F847" s="116">
        <v>3522.7</v>
      </c>
      <c r="G847">
        <v>102881</v>
      </c>
      <c r="H847" s="116"/>
      <c r="I847" s="116"/>
      <c r="L847" s="170">
        <v>43249</v>
      </c>
      <c r="M847" s="116">
        <v>1761.75</v>
      </c>
      <c r="N847" s="116">
        <v>1772</v>
      </c>
      <c r="O847" s="116">
        <v>1744</v>
      </c>
      <c r="P847" s="116">
        <v>1764.95</v>
      </c>
      <c r="Q847" s="116">
        <v>3523.5</v>
      </c>
      <c r="R847">
        <v>1762656</v>
      </c>
    </row>
    <row r="848" spans="1:18" x14ac:dyDescent="0.25">
      <c r="A848" s="170">
        <v>43250</v>
      </c>
      <c r="B848" s="116">
        <v>1766.25</v>
      </c>
      <c r="C848" s="116">
        <v>1758.875</v>
      </c>
      <c r="D848" s="116">
        <v>1742.3</v>
      </c>
      <c r="E848" s="116">
        <v>1760</v>
      </c>
      <c r="F848" s="116">
        <v>3517.75</v>
      </c>
      <c r="G848">
        <v>77285</v>
      </c>
      <c r="H848" s="116"/>
      <c r="I848" s="116"/>
      <c r="L848" s="170">
        <v>43250</v>
      </c>
      <c r="M848" s="116">
        <v>1757.05</v>
      </c>
      <c r="N848" s="116">
        <v>1766.5</v>
      </c>
      <c r="O848" s="116">
        <v>1741.25</v>
      </c>
      <c r="P848" s="116">
        <v>1754.5250000000001</v>
      </c>
      <c r="Q848" s="116">
        <v>3514.1</v>
      </c>
      <c r="R848">
        <v>1889553</v>
      </c>
    </row>
    <row r="849" spans="1:18" x14ac:dyDescent="0.25">
      <c r="A849" s="170">
        <v>43251</v>
      </c>
      <c r="B849" s="116">
        <v>1758.7</v>
      </c>
      <c r="C849" s="116">
        <v>1744.8</v>
      </c>
      <c r="D849" s="116">
        <v>1726.1</v>
      </c>
      <c r="E849" s="116">
        <v>1742.3</v>
      </c>
      <c r="F849" s="116">
        <v>1744.8</v>
      </c>
      <c r="G849">
        <v>156722</v>
      </c>
      <c r="H849" s="116"/>
      <c r="I849" s="116"/>
      <c r="L849" s="170">
        <v>43251</v>
      </c>
      <c r="M849" s="116">
        <v>1741.05</v>
      </c>
      <c r="N849" s="116">
        <v>1759.05</v>
      </c>
      <c r="O849" s="116">
        <v>1726.1</v>
      </c>
      <c r="P849" s="116">
        <v>1734</v>
      </c>
      <c r="Q849" s="116">
        <v>1741.05</v>
      </c>
      <c r="R849">
        <v>5049371</v>
      </c>
    </row>
    <row r="850" spans="1:18" x14ac:dyDescent="0.25">
      <c r="A850" s="170">
        <v>43252</v>
      </c>
      <c r="B850" s="116">
        <v>1760</v>
      </c>
      <c r="C850" s="116">
        <v>1732.25</v>
      </c>
      <c r="D850" s="116">
        <v>1719</v>
      </c>
      <c r="E850" s="116">
        <v>1758</v>
      </c>
      <c r="F850" s="116">
        <v>1732.25</v>
      </c>
      <c r="G850">
        <v>117215</v>
      </c>
      <c r="H850" s="116"/>
      <c r="I850" s="116"/>
      <c r="L850" s="170">
        <v>43252</v>
      </c>
      <c r="M850" s="116">
        <v>1732.45</v>
      </c>
      <c r="N850" s="116">
        <v>1757.5</v>
      </c>
      <c r="O850" s="116">
        <v>1716.3</v>
      </c>
      <c r="P850" s="116">
        <v>1754</v>
      </c>
      <c r="Q850" s="116">
        <v>1732.45</v>
      </c>
      <c r="R850">
        <v>1603856</v>
      </c>
    </row>
    <row r="851" spans="1:18" x14ac:dyDescent="0.25">
      <c r="A851" s="170">
        <v>43255</v>
      </c>
      <c r="B851" s="116">
        <v>1752</v>
      </c>
      <c r="C851" s="116">
        <v>1744.55</v>
      </c>
      <c r="D851" s="116">
        <v>1712.9</v>
      </c>
      <c r="E851" s="116">
        <v>1751.7</v>
      </c>
      <c r="F851" s="116">
        <v>1744.55</v>
      </c>
      <c r="G851">
        <v>242609</v>
      </c>
      <c r="H851" s="116"/>
      <c r="I851" s="116"/>
      <c r="L851" s="170">
        <v>43255</v>
      </c>
      <c r="M851" s="116">
        <v>1744.25</v>
      </c>
      <c r="N851" s="116">
        <v>1749</v>
      </c>
      <c r="O851" s="116">
        <v>1712.6</v>
      </c>
      <c r="P851" s="116">
        <v>1745</v>
      </c>
      <c r="Q851" s="116">
        <v>1744.25</v>
      </c>
      <c r="R851">
        <v>1681483</v>
      </c>
    </row>
    <row r="852" spans="1:18" x14ac:dyDescent="0.25">
      <c r="A852" s="170">
        <v>43256</v>
      </c>
      <c r="B852" s="116">
        <v>1752.6</v>
      </c>
      <c r="C852" s="116">
        <v>1721.2</v>
      </c>
      <c r="D852" s="116">
        <v>1713.45</v>
      </c>
      <c r="E852" s="116">
        <v>1745</v>
      </c>
      <c r="F852" s="116">
        <v>1721.2</v>
      </c>
      <c r="G852">
        <v>104701</v>
      </c>
      <c r="H852" s="116"/>
      <c r="I852" s="116"/>
      <c r="L852" s="170">
        <v>43256</v>
      </c>
      <c r="M852" s="116">
        <v>1721.6</v>
      </c>
      <c r="N852" s="116">
        <v>1751.9</v>
      </c>
      <c r="O852" s="116">
        <v>1711.15</v>
      </c>
      <c r="P852" s="116">
        <v>1744</v>
      </c>
      <c r="Q852" s="116">
        <v>1721.6</v>
      </c>
      <c r="R852">
        <v>2449568</v>
      </c>
    </row>
    <row r="853" spans="1:18" x14ac:dyDescent="0.25">
      <c r="A853" s="170">
        <v>43257</v>
      </c>
      <c r="B853" s="116">
        <v>1735.3</v>
      </c>
      <c r="C853" s="116">
        <v>1727.25</v>
      </c>
      <c r="D853" s="116">
        <v>1716.3</v>
      </c>
      <c r="E853" s="116">
        <v>1724.7</v>
      </c>
      <c r="F853" s="116">
        <v>1727.25</v>
      </c>
      <c r="G853">
        <v>383083</v>
      </c>
      <c r="H853" s="116"/>
      <c r="I853" s="116"/>
      <c r="L853" s="170">
        <v>43257</v>
      </c>
      <c r="M853" s="116">
        <v>1725.75</v>
      </c>
      <c r="N853" s="116">
        <v>1734.9</v>
      </c>
      <c r="O853" s="116">
        <v>1715.2</v>
      </c>
      <c r="P853" s="116">
        <v>1723</v>
      </c>
      <c r="Q853" s="116">
        <v>1725.75</v>
      </c>
      <c r="R853">
        <v>2236512</v>
      </c>
    </row>
    <row r="854" spans="1:18" x14ac:dyDescent="0.25">
      <c r="A854" s="170">
        <v>43258</v>
      </c>
      <c r="B854" s="116">
        <v>1748.5</v>
      </c>
      <c r="C854" s="116">
        <v>1734.6</v>
      </c>
      <c r="D854" s="116">
        <v>1725.4</v>
      </c>
      <c r="E854" s="116">
        <v>1725.4</v>
      </c>
      <c r="F854" s="116">
        <v>1734.6</v>
      </c>
      <c r="G854">
        <v>118908</v>
      </c>
      <c r="H854" s="116"/>
      <c r="I854" s="116"/>
      <c r="L854" s="170">
        <v>43258</v>
      </c>
      <c r="M854" s="116">
        <v>1735.55</v>
      </c>
      <c r="N854" s="116">
        <v>1749</v>
      </c>
      <c r="O854" s="116">
        <v>1723.8</v>
      </c>
      <c r="P854" s="116">
        <v>1725</v>
      </c>
      <c r="Q854" s="116">
        <v>1735.55</v>
      </c>
      <c r="R854">
        <v>2414762</v>
      </c>
    </row>
    <row r="855" spans="1:18" x14ac:dyDescent="0.25">
      <c r="A855" s="170">
        <v>43259</v>
      </c>
      <c r="B855" s="116">
        <v>1757.5</v>
      </c>
      <c r="C855" s="116">
        <v>1748.2</v>
      </c>
      <c r="D855" s="116">
        <v>1736</v>
      </c>
      <c r="E855" s="116">
        <v>1736</v>
      </c>
      <c r="F855" s="116">
        <v>1748.2</v>
      </c>
      <c r="G855">
        <v>402906</v>
      </c>
      <c r="H855" s="116"/>
      <c r="I855" s="116"/>
      <c r="L855" s="170">
        <v>43259</v>
      </c>
      <c r="M855" s="116">
        <v>1747.1</v>
      </c>
      <c r="N855" s="116">
        <v>1757.3</v>
      </c>
      <c r="O855" s="116">
        <v>1735</v>
      </c>
      <c r="P855" s="116">
        <v>1735</v>
      </c>
      <c r="Q855" s="116">
        <v>1747.1</v>
      </c>
      <c r="R855">
        <v>2582138</v>
      </c>
    </row>
    <row r="856" spans="1:18" x14ac:dyDescent="0.25">
      <c r="A856" s="170">
        <v>43262</v>
      </c>
      <c r="B856" s="116">
        <v>1763.45</v>
      </c>
      <c r="C856" s="116">
        <v>1750.6</v>
      </c>
      <c r="D856" s="116">
        <v>1742.8</v>
      </c>
      <c r="E856" s="116">
        <v>1747</v>
      </c>
      <c r="F856" s="116">
        <v>1750.6</v>
      </c>
      <c r="G856">
        <v>58160</v>
      </c>
      <c r="H856" s="116"/>
      <c r="I856" s="116"/>
      <c r="L856" s="170">
        <v>43262</v>
      </c>
      <c r="M856" s="116">
        <v>1749.7</v>
      </c>
      <c r="N856" s="116">
        <v>1763</v>
      </c>
      <c r="O856" s="116">
        <v>1743</v>
      </c>
      <c r="P856" s="116">
        <v>1747.1</v>
      </c>
      <c r="Q856" s="116">
        <v>1749.7</v>
      </c>
      <c r="R856">
        <v>2179378</v>
      </c>
    </row>
    <row r="857" spans="1:18" x14ac:dyDescent="0.25">
      <c r="A857" s="170">
        <v>43263</v>
      </c>
      <c r="B857" s="116">
        <v>1784.95</v>
      </c>
      <c r="C857" s="116">
        <v>1781</v>
      </c>
      <c r="D857" s="116">
        <v>1753.5</v>
      </c>
      <c r="E857" s="116">
        <v>1756</v>
      </c>
      <c r="F857" s="116">
        <v>1781</v>
      </c>
      <c r="G857">
        <v>152861</v>
      </c>
      <c r="H857" s="116"/>
      <c r="I857" s="116"/>
      <c r="L857" s="170">
        <v>43263</v>
      </c>
      <c r="M857" s="116">
        <v>1781</v>
      </c>
      <c r="N857" s="116">
        <v>1785</v>
      </c>
      <c r="O857" s="116">
        <v>1753</v>
      </c>
      <c r="P857" s="116">
        <v>1757</v>
      </c>
      <c r="Q857" s="116">
        <v>1781</v>
      </c>
      <c r="R857">
        <v>4608875</v>
      </c>
    </row>
    <row r="858" spans="1:18" x14ac:dyDescent="0.25">
      <c r="A858" s="170">
        <v>43264</v>
      </c>
      <c r="B858" s="116">
        <v>1832</v>
      </c>
      <c r="C858" s="116">
        <v>1824.2</v>
      </c>
      <c r="D858" s="116">
        <v>1800</v>
      </c>
      <c r="E858" s="116">
        <v>1815</v>
      </c>
      <c r="F858" s="116">
        <v>1824.2</v>
      </c>
      <c r="G858">
        <v>353957</v>
      </c>
      <c r="H858" s="116"/>
      <c r="I858" s="116"/>
      <c r="L858" s="170">
        <v>43264</v>
      </c>
      <c r="M858" s="116">
        <v>1824.1</v>
      </c>
      <c r="N858" s="116">
        <v>1831.65</v>
      </c>
      <c r="O858" s="116">
        <v>1798</v>
      </c>
      <c r="P858" s="116">
        <v>1816</v>
      </c>
      <c r="Q858" s="116">
        <v>1824.1</v>
      </c>
      <c r="R858">
        <v>5370983</v>
      </c>
    </row>
    <row r="859" spans="1:18" x14ac:dyDescent="0.25">
      <c r="A859" s="170">
        <v>43265</v>
      </c>
      <c r="B859" s="116">
        <v>1840</v>
      </c>
      <c r="C859" s="116">
        <v>1792.25</v>
      </c>
      <c r="D859" s="116">
        <v>1785</v>
      </c>
      <c r="E859" s="116">
        <v>1839</v>
      </c>
      <c r="F859" s="116">
        <v>1792.25</v>
      </c>
      <c r="G859">
        <v>313381</v>
      </c>
      <c r="H859" s="116"/>
      <c r="I859" s="116"/>
      <c r="L859" s="170">
        <v>43265</v>
      </c>
      <c r="M859" s="116">
        <v>1787.55</v>
      </c>
      <c r="N859" s="116">
        <v>1832.3</v>
      </c>
      <c r="O859" s="116">
        <v>1784</v>
      </c>
      <c r="P859" s="116">
        <v>1830</v>
      </c>
      <c r="Q859" s="116">
        <v>1787.55</v>
      </c>
      <c r="R859">
        <v>3819998</v>
      </c>
    </row>
    <row r="860" spans="1:18" x14ac:dyDescent="0.25">
      <c r="A860" s="170">
        <v>43266</v>
      </c>
      <c r="B860" s="116">
        <v>1849</v>
      </c>
      <c r="C860" s="116">
        <v>1841.45</v>
      </c>
      <c r="D860" s="116">
        <v>1791</v>
      </c>
      <c r="E860" s="116">
        <v>1801</v>
      </c>
      <c r="F860" s="116">
        <v>1841.45</v>
      </c>
      <c r="G860">
        <v>765529</v>
      </c>
      <c r="H860" s="116"/>
      <c r="I860" s="116"/>
      <c r="L860" s="170">
        <v>43266</v>
      </c>
      <c r="M860" s="116">
        <v>1840.05</v>
      </c>
      <c r="N860" s="116">
        <v>1847.1</v>
      </c>
      <c r="O860" s="116">
        <v>1788.6</v>
      </c>
      <c r="P860" s="116">
        <v>1800</v>
      </c>
      <c r="Q860" s="116">
        <v>1840.05</v>
      </c>
      <c r="R860">
        <v>9183574</v>
      </c>
    </row>
    <row r="861" spans="1:18" x14ac:dyDescent="0.25">
      <c r="A861" s="170">
        <v>43269</v>
      </c>
      <c r="B861" s="116">
        <v>1870.7</v>
      </c>
      <c r="C861" s="116">
        <v>1830.7</v>
      </c>
      <c r="D861" s="116">
        <v>1825.5</v>
      </c>
      <c r="E861" s="116">
        <v>1869</v>
      </c>
      <c r="F861" s="116">
        <v>1830.7</v>
      </c>
      <c r="G861">
        <v>522045</v>
      </c>
      <c r="H861" s="116"/>
      <c r="I861" s="116"/>
      <c r="L861" s="170">
        <v>43269</v>
      </c>
      <c r="M861" s="116">
        <v>1829</v>
      </c>
      <c r="N861" s="116">
        <v>1867.95</v>
      </c>
      <c r="O861" s="116">
        <v>1822.15</v>
      </c>
      <c r="P861" s="116">
        <v>1867.95</v>
      </c>
      <c r="Q861" s="116">
        <v>1829</v>
      </c>
      <c r="R861">
        <v>4674987</v>
      </c>
    </row>
    <row r="862" spans="1:18" x14ac:dyDescent="0.25">
      <c r="A862" s="170">
        <v>43270</v>
      </c>
      <c r="B862" s="116">
        <v>1839.6</v>
      </c>
      <c r="C862" s="116">
        <v>1825.85</v>
      </c>
      <c r="D862" s="116">
        <v>1822</v>
      </c>
      <c r="E862" s="116">
        <v>1822.65</v>
      </c>
      <c r="F862" s="116">
        <v>1825.85</v>
      </c>
      <c r="G862">
        <v>721683</v>
      </c>
      <c r="H862" s="116"/>
      <c r="I862" s="116"/>
      <c r="L862" s="170">
        <v>43270</v>
      </c>
      <c r="M862" s="116">
        <v>1824.5</v>
      </c>
      <c r="N862" s="116">
        <v>1839</v>
      </c>
      <c r="O862" s="116">
        <v>1821</v>
      </c>
      <c r="P862" s="116">
        <v>1822.15</v>
      </c>
      <c r="Q862" s="116">
        <v>1824.5</v>
      </c>
      <c r="R862">
        <v>3245034</v>
      </c>
    </row>
    <row r="863" spans="1:18" x14ac:dyDescent="0.25">
      <c r="A863" s="170">
        <v>43271</v>
      </c>
      <c r="B863" s="116">
        <v>1836.6</v>
      </c>
      <c r="C863" s="116">
        <v>1826.3</v>
      </c>
      <c r="D863" s="116">
        <v>1823</v>
      </c>
      <c r="E863" s="116">
        <v>1833</v>
      </c>
      <c r="F863" s="116">
        <v>1826.3</v>
      </c>
      <c r="G863">
        <v>204010</v>
      </c>
      <c r="H863" s="116"/>
      <c r="I863" s="116"/>
      <c r="L863" s="170">
        <v>43271</v>
      </c>
      <c r="M863" s="116">
        <v>1822.45</v>
      </c>
      <c r="N863" s="116">
        <v>1836.3</v>
      </c>
      <c r="O863" s="116">
        <v>1818.6</v>
      </c>
      <c r="P863" s="116">
        <v>1832</v>
      </c>
      <c r="Q863" s="116">
        <v>1822.45</v>
      </c>
      <c r="R863">
        <v>3107695</v>
      </c>
    </row>
    <row r="864" spans="1:18" x14ac:dyDescent="0.25">
      <c r="A864" s="170">
        <v>43272</v>
      </c>
      <c r="B864" s="116">
        <v>1834</v>
      </c>
      <c r="C864" s="116">
        <v>1819.85</v>
      </c>
      <c r="D864" s="116">
        <v>1818</v>
      </c>
      <c r="E864" s="116">
        <v>1830</v>
      </c>
      <c r="F864" s="116">
        <v>1819.85</v>
      </c>
      <c r="G864">
        <v>184984</v>
      </c>
      <c r="H864" s="116"/>
      <c r="I864" s="116"/>
      <c r="L864" s="170">
        <v>43272</v>
      </c>
      <c r="M864" s="116">
        <v>1819.35</v>
      </c>
      <c r="N864" s="116">
        <v>1832</v>
      </c>
      <c r="O864" s="116">
        <v>1817.6</v>
      </c>
      <c r="P864" s="116">
        <v>1832</v>
      </c>
      <c r="Q864" s="116">
        <v>1819.35</v>
      </c>
      <c r="R864">
        <v>2910659</v>
      </c>
    </row>
    <row r="865" spans="1:18" x14ac:dyDescent="0.25">
      <c r="A865" s="170">
        <v>43273</v>
      </c>
      <c r="B865" s="116">
        <v>1829</v>
      </c>
      <c r="C865" s="116">
        <v>1811.8</v>
      </c>
      <c r="D865" s="116">
        <v>1803.25</v>
      </c>
      <c r="E865" s="116">
        <v>1828.8</v>
      </c>
      <c r="F865" s="116">
        <v>1811.8</v>
      </c>
      <c r="G865">
        <v>200191</v>
      </c>
      <c r="H865" s="116"/>
      <c r="I865" s="116"/>
      <c r="L865" s="170">
        <v>43273</v>
      </c>
      <c r="M865" s="116">
        <v>1809.8</v>
      </c>
      <c r="N865" s="116">
        <v>1827</v>
      </c>
      <c r="O865" s="116">
        <v>1799.55</v>
      </c>
      <c r="P865" s="116">
        <v>1827</v>
      </c>
      <c r="Q865" s="116">
        <v>1809.8</v>
      </c>
      <c r="R865">
        <v>2949458</v>
      </c>
    </row>
    <row r="866" spans="1:18" x14ac:dyDescent="0.25">
      <c r="A866" s="170">
        <v>43276</v>
      </c>
      <c r="B866" s="116">
        <v>1824</v>
      </c>
      <c r="C866" s="116">
        <v>1820.45</v>
      </c>
      <c r="D866" s="116">
        <v>1809</v>
      </c>
      <c r="E866" s="116">
        <v>1812</v>
      </c>
      <c r="F866" s="116">
        <v>1820.45</v>
      </c>
      <c r="G866">
        <v>215085</v>
      </c>
      <c r="H866" s="116"/>
      <c r="I866" s="116"/>
      <c r="L866" s="170">
        <v>43276</v>
      </c>
      <c r="M866" s="116">
        <v>1819.25</v>
      </c>
      <c r="N866" s="116">
        <v>1822.35</v>
      </c>
      <c r="O866" s="116">
        <v>1806</v>
      </c>
      <c r="P866" s="116">
        <v>1811.9</v>
      </c>
      <c r="Q866" s="116">
        <v>1819.25</v>
      </c>
      <c r="R866">
        <v>2083217</v>
      </c>
    </row>
    <row r="867" spans="1:18" x14ac:dyDescent="0.25">
      <c r="A867" s="170">
        <v>43277</v>
      </c>
      <c r="B867" s="116">
        <v>1862</v>
      </c>
      <c r="C867" s="116">
        <v>1852.7</v>
      </c>
      <c r="D867" s="116">
        <v>1821</v>
      </c>
      <c r="E867" s="116">
        <v>1821</v>
      </c>
      <c r="F867" s="116">
        <v>1852.7</v>
      </c>
      <c r="G867">
        <v>1065791</v>
      </c>
      <c r="H867" s="116"/>
      <c r="I867" s="116"/>
      <c r="L867" s="170">
        <v>43277</v>
      </c>
      <c r="M867" s="116">
        <v>1852</v>
      </c>
      <c r="N867" s="116">
        <v>1861</v>
      </c>
      <c r="O867" s="116">
        <v>1821</v>
      </c>
      <c r="P867" s="116">
        <v>1823</v>
      </c>
      <c r="Q867" s="116">
        <v>1852</v>
      </c>
      <c r="R867">
        <v>4679712</v>
      </c>
    </row>
    <row r="868" spans="1:18" x14ac:dyDescent="0.25">
      <c r="A868" s="170">
        <v>43278</v>
      </c>
      <c r="B868" s="116">
        <v>1886.2</v>
      </c>
      <c r="C868" s="116">
        <v>1859.8</v>
      </c>
      <c r="D868" s="116">
        <v>1852</v>
      </c>
      <c r="E868" s="116">
        <v>1859.8</v>
      </c>
      <c r="F868" s="116">
        <v>1859.8</v>
      </c>
      <c r="G868">
        <v>474432</v>
      </c>
      <c r="H868" s="116"/>
      <c r="I868" s="116"/>
      <c r="L868" s="170">
        <v>43278</v>
      </c>
      <c r="M868" s="116">
        <v>1858</v>
      </c>
      <c r="N868" s="116">
        <v>1885.15</v>
      </c>
      <c r="O868" s="116">
        <v>1851.25</v>
      </c>
      <c r="P868" s="116">
        <v>1860</v>
      </c>
      <c r="Q868" s="116">
        <v>1858</v>
      </c>
      <c r="R868">
        <v>4081208</v>
      </c>
    </row>
    <row r="869" spans="1:18" x14ac:dyDescent="0.25">
      <c r="A869" s="170">
        <v>43279</v>
      </c>
      <c r="B869" s="116">
        <v>1872</v>
      </c>
      <c r="C869" s="116">
        <v>1847.3</v>
      </c>
      <c r="D869" s="116">
        <v>1830.15</v>
      </c>
      <c r="E869" s="116">
        <v>1865</v>
      </c>
      <c r="F869" s="116">
        <v>1847.3</v>
      </c>
      <c r="G869">
        <v>333642</v>
      </c>
      <c r="H869" s="116"/>
      <c r="I869" s="116"/>
      <c r="L869" s="170">
        <v>43279</v>
      </c>
      <c r="M869" s="116">
        <v>1842.7</v>
      </c>
      <c r="N869" s="116">
        <v>1871</v>
      </c>
      <c r="O869" s="116">
        <v>1826.3</v>
      </c>
      <c r="P869" s="116">
        <v>1865</v>
      </c>
      <c r="Q869" s="116">
        <v>1842.7</v>
      </c>
      <c r="R869">
        <v>4888125</v>
      </c>
    </row>
    <row r="870" spans="1:18" x14ac:dyDescent="0.25">
      <c r="A870" s="170">
        <v>43280</v>
      </c>
      <c r="B870" s="116">
        <v>1868</v>
      </c>
      <c r="C870" s="116">
        <v>1847.2</v>
      </c>
      <c r="D870" s="116">
        <v>1843</v>
      </c>
      <c r="E870" s="116">
        <v>1846</v>
      </c>
      <c r="F870" s="116">
        <v>1847.2</v>
      </c>
      <c r="G870">
        <v>229631</v>
      </c>
      <c r="H870" s="116"/>
      <c r="I870" s="116"/>
      <c r="L870" s="170">
        <v>43280</v>
      </c>
      <c r="M870" s="116">
        <v>1847.75</v>
      </c>
      <c r="N870" s="116">
        <v>1867.4</v>
      </c>
      <c r="O870" s="116">
        <v>1842.3</v>
      </c>
      <c r="P870" s="116">
        <v>1844.9</v>
      </c>
      <c r="Q870" s="116">
        <v>1847.75</v>
      </c>
      <c r="R870">
        <v>3506276</v>
      </c>
    </row>
    <row r="871" spans="1:18" x14ac:dyDescent="0.25">
      <c r="A871" s="170">
        <v>43283</v>
      </c>
      <c r="B871" s="116">
        <v>1859.95</v>
      </c>
      <c r="C871" s="116">
        <v>1855.6</v>
      </c>
      <c r="D871" s="116">
        <v>1829.95</v>
      </c>
      <c r="E871" s="116">
        <v>1829.95</v>
      </c>
      <c r="F871" s="116">
        <v>1855.6</v>
      </c>
      <c r="G871">
        <v>151420</v>
      </c>
      <c r="H871" s="116"/>
      <c r="I871" s="116"/>
      <c r="L871" s="170">
        <v>43283</v>
      </c>
      <c r="M871" s="116">
        <v>1851.35</v>
      </c>
      <c r="N871" s="116">
        <v>1857.8</v>
      </c>
      <c r="O871" s="116">
        <v>1841.1</v>
      </c>
      <c r="P871" s="116">
        <v>1852</v>
      </c>
      <c r="Q871" s="116">
        <v>1851.35</v>
      </c>
      <c r="R871">
        <v>2650290</v>
      </c>
    </row>
    <row r="872" spans="1:18" x14ac:dyDescent="0.25">
      <c r="A872" s="170">
        <v>43284</v>
      </c>
      <c r="B872" s="116">
        <v>1880</v>
      </c>
      <c r="C872" s="116">
        <v>1875.9</v>
      </c>
      <c r="D872" s="116">
        <v>1858</v>
      </c>
      <c r="E872" s="116">
        <v>1859.95</v>
      </c>
      <c r="F872" s="116">
        <v>1875.9</v>
      </c>
      <c r="G872">
        <v>163967</v>
      </c>
      <c r="H872" s="116"/>
      <c r="I872" s="116"/>
      <c r="L872" s="170">
        <v>43284</v>
      </c>
      <c r="M872" s="116">
        <v>1874.05</v>
      </c>
      <c r="N872" s="116">
        <v>1879.9</v>
      </c>
      <c r="O872" s="116">
        <v>1857.05</v>
      </c>
      <c r="P872" s="116">
        <v>1859.95</v>
      </c>
      <c r="Q872" s="116">
        <v>1874.05</v>
      </c>
      <c r="R872">
        <v>3242233</v>
      </c>
    </row>
    <row r="873" spans="1:18" x14ac:dyDescent="0.25">
      <c r="A873" s="170">
        <v>43285</v>
      </c>
      <c r="B873" s="116">
        <v>1880</v>
      </c>
      <c r="C873" s="116">
        <v>1869.65</v>
      </c>
      <c r="D873" s="116">
        <v>1860.1</v>
      </c>
      <c r="E873" s="116">
        <v>1879</v>
      </c>
      <c r="F873" s="116">
        <v>1869.65</v>
      </c>
      <c r="G873">
        <v>138775</v>
      </c>
      <c r="H873" s="116"/>
      <c r="I873" s="116"/>
      <c r="L873" s="170">
        <v>43285</v>
      </c>
      <c r="M873" s="116">
        <v>1866.15</v>
      </c>
      <c r="N873" s="116">
        <v>1879.9</v>
      </c>
      <c r="O873" s="116">
        <v>1857.15</v>
      </c>
      <c r="P873" s="116">
        <v>1879.9</v>
      </c>
      <c r="Q873" s="116">
        <v>1866.15</v>
      </c>
      <c r="R873">
        <v>2700614</v>
      </c>
    </row>
    <row r="874" spans="1:18" x14ac:dyDescent="0.25">
      <c r="A874" s="170">
        <v>43286</v>
      </c>
      <c r="B874" s="116">
        <v>1887</v>
      </c>
      <c r="C874" s="116">
        <v>1881.7</v>
      </c>
      <c r="D874" s="116">
        <v>1864</v>
      </c>
      <c r="E874" s="116">
        <v>1875.2</v>
      </c>
      <c r="F874" s="116">
        <v>1881.7</v>
      </c>
      <c r="G874">
        <v>110452</v>
      </c>
      <c r="H874" s="116"/>
      <c r="I874" s="116"/>
      <c r="L874" s="170">
        <v>43286</v>
      </c>
      <c r="M874" s="116">
        <v>1880.3</v>
      </c>
      <c r="N874" s="116">
        <v>1887.5</v>
      </c>
      <c r="O874" s="116">
        <v>1862.1</v>
      </c>
      <c r="P874" s="116">
        <v>1873</v>
      </c>
      <c r="Q874" s="116">
        <v>1880.3</v>
      </c>
      <c r="R874">
        <v>2472571</v>
      </c>
    </row>
    <row r="875" spans="1:18" x14ac:dyDescent="0.25">
      <c r="A875" s="170">
        <v>43287</v>
      </c>
      <c r="B875" s="116">
        <v>1920.3</v>
      </c>
      <c r="C875" s="116">
        <v>1913.3</v>
      </c>
      <c r="D875" s="116">
        <v>1880</v>
      </c>
      <c r="E875" s="116">
        <v>1882.8</v>
      </c>
      <c r="F875" s="116">
        <v>1913.3</v>
      </c>
      <c r="G875">
        <v>211358</v>
      </c>
      <c r="H875" s="116"/>
      <c r="I875" s="116"/>
      <c r="L875" s="170">
        <v>43287</v>
      </c>
      <c r="M875" s="116">
        <v>1912.95</v>
      </c>
      <c r="N875" s="116">
        <v>1921</v>
      </c>
      <c r="O875" s="116">
        <v>1881.65</v>
      </c>
      <c r="P875" s="116">
        <v>1882.85</v>
      </c>
      <c r="Q875" s="116">
        <v>1912.95</v>
      </c>
      <c r="R875">
        <v>3713781</v>
      </c>
    </row>
    <row r="876" spans="1:18" x14ac:dyDescent="0.25">
      <c r="A876" s="170">
        <v>43290</v>
      </c>
      <c r="B876" s="116">
        <v>1930</v>
      </c>
      <c r="C876" s="116">
        <v>1887.65</v>
      </c>
      <c r="D876" s="116">
        <v>1882</v>
      </c>
      <c r="E876" s="116">
        <v>1927.95</v>
      </c>
      <c r="F876" s="116">
        <v>1887.65</v>
      </c>
      <c r="G876">
        <v>374551</v>
      </c>
      <c r="H876" s="116"/>
      <c r="I876" s="116"/>
      <c r="L876" s="170">
        <v>43290</v>
      </c>
      <c r="M876" s="116">
        <v>1883</v>
      </c>
      <c r="N876" s="116">
        <v>1924.4</v>
      </c>
      <c r="O876" s="116">
        <v>1876.5</v>
      </c>
      <c r="P876" s="116">
        <v>1924</v>
      </c>
      <c r="Q876" s="116">
        <v>1883</v>
      </c>
      <c r="R876">
        <v>6151747</v>
      </c>
    </row>
    <row r="877" spans="1:18" x14ac:dyDescent="0.25">
      <c r="A877" s="170">
        <v>43291</v>
      </c>
      <c r="B877" s="116">
        <v>1900</v>
      </c>
      <c r="C877" s="116">
        <v>1877</v>
      </c>
      <c r="D877" s="116">
        <v>1872.6</v>
      </c>
      <c r="E877" s="116">
        <v>1895.2</v>
      </c>
      <c r="F877" s="116">
        <v>1877</v>
      </c>
      <c r="G877">
        <v>433180</v>
      </c>
      <c r="H877" s="116"/>
      <c r="I877" s="116"/>
      <c r="L877" s="170">
        <v>43291</v>
      </c>
      <c r="M877" s="116">
        <v>1875.1</v>
      </c>
      <c r="N877" s="116">
        <v>1898.9</v>
      </c>
      <c r="O877" s="116">
        <v>1870.75</v>
      </c>
      <c r="P877" s="116">
        <v>1898</v>
      </c>
      <c r="Q877" s="116">
        <v>1875.1</v>
      </c>
      <c r="R877">
        <v>5303302</v>
      </c>
    </row>
    <row r="878" spans="1:18" x14ac:dyDescent="0.25">
      <c r="A878" s="170">
        <v>43292</v>
      </c>
      <c r="B878" s="116">
        <v>1995</v>
      </c>
      <c r="C878" s="116">
        <v>1979.6</v>
      </c>
      <c r="D878" s="116">
        <v>1894</v>
      </c>
      <c r="E878" s="116">
        <v>1900</v>
      </c>
      <c r="F878" s="116">
        <v>1979.6</v>
      </c>
      <c r="G878">
        <v>1157363</v>
      </c>
      <c r="H878" s="116"/>
      <c r="I878" s="116"/>
      <c r="L878" s="170">
        <v>43292</v>
      </c>
      <c r="M878" s="116">
        <v>1979.9</v>
      </c>
      <c r="N878" s="116">
        <v>1998</v>
      </c>
      <c r="O878" s="116">
        <v>1894.15</v>
      </c>
      <c r="P878" s="116">
        <v>1900</v>
      </c>
      <c r="Q878" s="116">
        <v>1979.9</v>
      </c>
      <c r="R878">
        <v>22903802</v>
      </c>
    </row>
    <row r="879" spans="1:18" x14ac:dyDescent="0.25">
      <c r="A879" s="170">
        <v>43293</v>
      </c>
      <c r="B879" s="116">
        <v>1992</v>
      </c>
      <c r="C879" s="116">
        <v>1971</v>
      </c>
      <c r="D879" s="116">
        <v>1961.5</v>
      </c>
      <c r="E879" s="116">
        <v>1984</v>
      </c>
      <c r="F879" s="116">
        <v>1971</v>
      </c>
      <c r="G879">
        <v>602500</v>
      </c>
      <c r="H879" s="116"/>
      <c r="I879" s="116"/>
      <c r="L879" s="170">
        <v>43293</v>
      </c>
      <c r="M879" s="116">
        <v>1971.35</v>
      </c>
      <c r="N879" s="116">
        <v>1990.9</v>
      </c>
      <c r="O879" s="116">
        <v>1960.5</v>
      </c>
      <c r="P879" s="116">
        <v>1984</v>
      </c>
      <c r="Q879" s="116">
        <v>1971.35</v>
      </c>
      <c r="R879">
        <v>6921701</v>
      </c>
    </row>
    <row r="880" spans="1:18" x14ac:dyDescent="0.25">
      <c r="A880" s="170">
        <v>43294</v>
      </c>
      <c r="B880" s="116">
        <v>1998</v>
      </c>
      <c r="C880" s="116">
        <v>1981.25</v>
      </c>
      <c r="D880" s="116">
        <v>1975</v>
      </c>
      <c r="E880" s="116">
        <v>1975</v>
      </c>
      <c r="F880" s="116">
        <v>1981.25</v>
      </c>
      <c r="G880">
        <v>975624</v>
      </c>
      <c r="H880" s="116"/>
      <c r="I880" s="116"/>
      <c r="L880" s="170">
        <v>43294</v>
      </c>
      <c r="M880" s="116">
        <v>1981.1</v>
      </c>
      <c r="N880" s="116">
        <v>1997.9</v>
      </c>
      <c r="O880" s="116">
        <v>1974</v>
      </c>
      <c r="P880" s="116">
        <v>1975</v>
      </c>
      <c r="Q880" s="116">
        <v>1981.1</v>
      </c>
      <c r="R880">
        <v>4148185</v>
      </c>
    </row>
    <row r="881" spans="1:18" x14ac:dyDescent="0.25">
      <c r="A881" s="170">
        <v>43297</v>
      </c>
      <c r="B881" s="116">
        <v>1996</v>
      </c>
      <c r="C881" s="116">
        <v>1988.8</v>
      </c>
      <c r="D881" s="116">
        <v>1978.4</v>
      </c>
      <c r="E881" s="116">
        <v>1985.05</v>
      </c>
      <c r="F881" s="116">
        <v>1988.8</v>
      </c>
      <c r="G881">
        <v>112080</v>
      </c>
      <c r="H881" s="116"/>
      <c r="I881" s="116"/>
      <c r="L881" s="170">
        <v>43297</v>
      </c>
      <c r="M881" s="116">
        <v>1989.2</v>
      </c>
      <c r="N881" s="116">
        <v>1996</v>
      </c>
      <c r="O881" s="116">
        <v>1977.45</v>
      </c>
      <c r="P881" s="116">
        <v>1990</v>
      </c>
      <c r="Q881" s="116">
        <v>1989.2</v>
      </c>
      <c r="R881">
        <v>2582159</v>
      </c>
    </row>
    <row r="882" spans="1:18" x14ac:dyDescent="0.25">
      <c r="A882" s="170">
        <v>43298</v>
      </c>
      <c r="B882" s="116">
        <v>2005.45</v>
      </c>
      <c r="C882" s="116">
        <v>1997.85</v>
      </c>
      <c r="D882" s="116">
        <v>1982</v>
      </c>
      <c r="E882" s="116">
        <v>1988</v>
      </c>
      <c r="F882" s="116">
        <v>1997.85</v>
      </c>
      <c r="G882">
        <v>117890</v>
      </c>
      <c r="H882" s="116"/>
      <c r="I882" s="116"/>
      <c r="L882" s="170">
        <v>43298</v>
      </c>
      <c r="M882" s="116">
        <v>2002.15</v>
      </c>
      <c r="N882" s="116">
        <v>2009</v>
      </c>
      <c r="O882" s="116">
        <v>1981</v>
      </c>
      <c r="P882" s="116">
        <v>1989</v>
      </c>
      <c r="Q882" s="116">
        <v>2002.15</v>
      </c>
      <c r="R882">
        <v>3315492</v>
      </c>
    </row>
    <row r="883" spans="1:18" x14ac:dyDescent="0.25">
      <c r="A883" s="170">
        <v>43299</v>
      </c>
      <c r="B883" s="116">
        <v>2009.9</v>
      </c>
      <c r="C883" s="116">
        <v>1997.3</v>
      </c>
      <c r="D883" s="116">
        <v>1993</v>
      </c>
      <c r="E883" s="116">
        <v>2005.5</v>
      </c>
      <c r="F883" s="116">
        <v>1997.3</v>
      </c>
      <c r="G883">
        <v>78031</v>
      </c>
      <c r="H883" s="116"/>
      <c r="I883" s="116"/>
      <c r="L883" s="170">
        <v>43299</v>
      </c>
      <c r="M883" s="116">
        <v>2000.25</v>
      </c>
      <c r="N883" s="116">
        <v>2011.7</v>
      </c>
      <c r="O883" s="116">
        <v>1993.05</v>
      </c>
      <c r="P883" s="116">
        <v>2005</v>
      </c>
      <c r="Q883" s="116">
        <v>2000.25</v>
      </c>
      <c r="R883">
        <v>2013869</v>
      </c>
    </row>
    <row r="884" spans="1:18" x14ac:dyDescent="0.25">
      <c r="A884" s="170">
        <v>43300</v>
      </c>
      <c r="B884" s="116">
        <v>2009.95</v>
      </c>
      <c r="C884" s="116">
        <v>1981.45</v>
      </c>
      <c r="D884" s="116">
        <v>1970.55</v>
      </c>
      <c r="E884" s="116">
        <v>1999</v>
      </c>
      <c r="F884" s="116">
        <v>1981.45</v>
      </c>
      <c r="G884">
        <v>83227</v>
      </c>
      <c r="H884" s="116"/>
      <c r="I884" s="116"/>
      <c r="L884" s="170">
        <v>43300</v>
      </c>
      <c r="M884" s="116">
        <v>1981.4</v>
      </c>
      <c r="N884" s="116">
        <v>2010.45</v>
      </c>
      <c r="O884" s="116">
        <v>1970</v>
      </c>
      <c r="P884" s="116">
        <v>2002.1</v>
      </c>
      <c r="Q884" s="116">
        <v>1981.4</v>
      </c>
      <c r="R884">
        <v>1746318</v>
      </c>
    </row>
    <row r="885" spans="1:18" x14ac:dyDescent="0.25">
      <c r="A885" s="170">
        <v>43301</v>
      </c>
      <c r="B885" s="116">
        <v>2000</v>
      </c>
      <c r="C885" s="116">
        <v>1995.95</v>
      </c>
      <c r="D885" s="116">
        <v>1983</v>
      </c>
      <c r="E885" s="116">
        <v>1983.05</v>
      </c>
      <c r="F885" s="116">
        <v>1995.95</v>
      </c>
      <c r="G885">
        <v>62274</v>
      </c>
      <c r="H885" s="116"/>
      <c r="I885" s="116"/>
      <c r="L885" s="170">
        <v>43301</v>
      </c>
      <c r="M885" s="116">
        <v>1996.6</v>
      </c>
      <c r="N885" s="116">
        <v>2000</v>
      </c>
      <c r="O885" s="116">
        <v>1984</v>
      </c>
      <c r="P885" s="116">
        <v>1984.9</v>
      </c>
      <c r="Q885" s="116">
        <v>1996.6</v>
      </c>
      <c r="R885">
        <v>1934995</v>
      </c>
    </row>
    <row r="886" spans="1:18" x14ac:dyDescent="0.25">
      <c r="A886" s="170">
        <v>43304</v>
      </c>
      <c r="B886" s="116">
        <v>2008.85</v>
      </c>
      <c r="C886" s="116">
        <v>2005.05</v>
      </c>
      <c r="D886" s="116">
        <v>1991.2</v>
      </c>
      <c r="E886" s="116">
        <v>2000</v>
      </c>
      <c r="F886" s="116">
        <v>2005.05</v>
      </c>
      <c r="G886">
        <v>86334</v>
      </c>
      <c r="H886" s="116"/>
      <c r="I886" s="116"/>
      <c r="L886" s="170">
        <v>43304</v>
      </c>
      <c r="M886" s="116">
        <v>2005.65</v>
      </c>
      <c r="N886" s="116">
        <v>2009.95</v>
      </c>
      <c r="O886" s="116">
        <v>1986</v>
      </c>
      <c r="P886" s="116">
        <v>2001</v>
      </c>
      <c r="Q886" s="116">
        <v>2005.65</v>
      </c>
      <c r="R886">
        <v>2086201</v>
      </c>
    </row>
    <row r="887" spans="1:18" x14ac:dyDescent="0.25">
      <c r="A887" s="170">
        <v>43305</v>
      </c>
      <c r="B887" s="116">
        <v>2012</v>
      </c>
      <c r="C887" s="116">
        <v>1996.85</v>
      </c>
      <c r="D887" s="116">
        <v>1987</v>
      </c>
      <c r="E887" s="116">
        <v>2009.05</v>
      </c>
      <c r="F887" s="116">
        <v>1996.85</v>
      </c>
      <c r="G887">
        <v>59826</v>
      </c>
      <c r="H887" s="116"/>
      <c r="I887" s="116"/>
      <c r="L887" s="170">
        <v>43305</v>
      </c>
      <c r="M887" s="116">
        <v>1999</v>
      </c>
      <c r="N887" s="116">
        <v>2015</v>
      </c>
      <c r="O887" s="116">
        <v>1984.15</v>
      </c>
      <c r="P887" s="116">
        <v>2015</v>
      </c>
      <c r="Q887" s="116">
        <v>1999</v>
      </c>
      <c r="R887">
        <v>2038423</v>
      </c>
    </row>
    <row r="888" spans="1:18" x14ac:dyDescent="0.25">
      <c r="A888" s="170">
        <v>43306</v>
      </c>
      <c r="B888" s="116">
        <v>2003</v>
      </c>
      <c r="C888" s="116">
        <v>1979.4</v>
      </c>
      <c r="D888" s="116">
        <v>1971</v>
      </c>
      <c r="E888" s="116">
        <v>2000.15</v>
      </c>
      <c r="F888" s="116">
        <v>1979.4</v>
      </c>
      <c r="G888">
        <v>91325</v>
      </c>
      <c r="H888" s="116"/>
      <c r="I888" s="116"/>
      <c r="L888" s="170">
        <v>43306</v>
      </c>
      <c r="M888" s="116">
        <v>1981.5</v>
      </c>
      <c r="N888" s="116">
        <v>2002</v>
      </c>
      <c r="O888" s="116">
        <v>1968.4</v>
      </c>
      <c r="P888" s="116">
        <v>2001.9</v>
      </c>
      <c r="Q888" s="116">
        <v>1981.5</v>
      </c>
      <c r="R888">
        <v>1535492</v>
      </c>
    </row>
    <row r="889" spans="1:18" x14ac:dyDescent="0.25">
      <c r="A889" s="170">
        <v>43307</v>
      </c>
      <c r="B889" s="116">
        <v>1985.05</v>
      </c>
      <c r="C889" s="116">
        <v>1963.3</v>
      </c>
      <c r="D889" s="116">
        <v>1955.55</v>
      </c>
      <c r="E889" s="116">
        <v>1975</v>
      </c>
      <c r="F889" s="116">
        <v>1963.3</v>
      </c>
      <c r="G889">
        <v>83737</v>
      </c>
      <c r="H889" s="116"/>
      <c r="I889" s="116"/>
      <c r="L889" s="170">
        <v>43307</v>
      </c>
      <c r="M889" s="116">
        <v>1964.7</v>
      </c>
      <c r="N889" s="116">
        <v>1985</v>
      </c>
      <c r="O889" s="116">
        <v>1955.1</v>
      </c>
      <c r="P889" s="116">
        <v>1974.95</v>
      </c>
      <c r="Q889" s="116">
        <v>1964.7</v>
      </c>
      <c r="R889">
        <v>3503036</v>
      </c>
    </row>
    <row r="890" spans="1:18" x14ac:dyDescent="0.25">
      <c r="A890" s="170">
        <v>43308</v>
      </c>
      <c r="B890" s="116">
        <v>1966.8</v>
      </c>
      <c r="C890" s="116">
        <v>1943.1</v>
      </c>
      <c r="D890" s="116">
        <v>1940</v>
      </c>
      <c r="E890" s="116">
        <v>1965</v>
      </c>
      <c r="F890" s="116">
        <v>1943.1</v>
      </c>
      <c r="G890">
        <v>132170</v>
      </c>
      <c r="H890" s="116"/>
      <c r="I890" s="116"/>
      <c r="L890" s="170">
        <v>43308</v>
      </c>
      <c r="M890" s="116">
        <v>1943.75</v>
      </c>
      <c r="N890" s="116">
        <v>1964.65</v>
      </c>
      <c r="O890" s="116">
        <v>1940.3</v>
      </c>
      <c r="P890" s="116">
        <v>1960.85</v>
      </c>
      <c r="Q890" s="116">
        <v>1943.75</v>
      </c>
      <c r="R890">
        <v>2033977</v>
      </c>
    </row>
    <row r="891" spans="1:18" x14ac:dyDescent="0.25">
      <c r="A891" s="170">
        <v>43311</v>
      </c>
      <c r="B891" s="116">
        <v>1955.3</v>
      </c>
      <c r="C891" s="116">
        <v>1944.95</v>
      </c>
      <c r="D891" s="116">
        <v>1935</v>
      </c>
      <c r="E891" s="116">
        <v>1948.55</v>
      </c>
      <c r="F891" s="116">
        <v>1944.95</v>
      </c>
      <c r="G891">
        <v>96383</v>
      </c>
      <c r="H891" s="116"/>
      <c r="I891" s="116"/>
      <c r="L891" s="170">
        <v>43311</v>
      </c>
      <c r="M891" s="116">
        <v>1944.6</v>
      </c>
      <c r="N891" s="116">
        <v>1954.7</v>
      </c>
      <c r="O891" s="116">
        <v>1931.55</v>
      </c>
      <c r="P891" s="116">
        <v>1943</v>
      </c>
      <c r="Q891" s="116">
        <v>1944.6</v>
      </c>
      <c r="R891">
        <v>1579251</v>
      </c>
    </row>
    <row r="892" spans="1:18" x14ac:dyDescent="0.25">
      <c r="A892" s="170">
        <v>43312</v>
      </c>
      <c r="B892" s="116">
        <v>1948.5</v>
      </c>
      <c r="C892" s="116">
        <v>1941.25</v>
      </c>
      <c r="D892" s="116">
        <v>1929.05</v>
      </c>
      <c r="E892" s="116">
        <v>1943.6</v>
      </c>
      <c r="F892" s="116">
        <v>1941.25</v>
      </c>
      <c r="G892">
        <v>89586</v>
      </c>
      <c r="H892" s="116"/>
      <c r="I892" s="116"/>
      <c r="L892" s="170">
        <v>43312</v>
      </c>
      <c r="M892" s="116">
        <v>1940.2</v>
      </c>
      <c r="N892" s="116">
        <v>1947</v>
      </c>
      <c r="O892" s="116">
        <v>1928</v>
      </c>
      <c r="P892" s="116">
        <v>1942</v>
      </c>
      <c r="Q892" s="116">
        <v>1940.2</v>
      </c>
      <c r="R892">
        <v>2204803</v>
      </c>
    </row>
    <row r="893" spans="1:18" x14ac:dyDescent="0.25">
      <c r="A893" s="170">
        <v>43313</v>
      </c>
      <c r="B893" s="116">
        <v>1980</v>
      </c>
      <c r="C893" s="116">
        <v>1975.1</v>
      </c>
      <c r="D893" s="116">
        <v>1950</v>
      </c>
      <c r="E893" s="116">
        <v>1951</v>
      </c>
      <c r="F893" s="116">
        <v>1975.1</v>
      </c>
      <c r="G893">
        <v>112747</v>
      </c>
      <c r="H893" s="116"/>
      <c r="I893" s="116"/>
      <c r="L893" s="170">
        <v>43313</v>
      </c>
      <c r="M893" s="116">
        <v>1976.5</v>
      </c>
      <c r="N893" s="116">
        <v>1981.55</v>
      </c>
      <c r="O893" s="116">
        <v>1949.8</v>
      </c>
      <c r="P893" s="116">
        <v>1949.95</v>
      </c>
      <c r="Q893" s="116">
        <v>1976.5</v>
      </c>
      <c r="R893">
        <v>2425180</v>
      </c>
    </row>
    <row r="894" spans="1:18" x14ac:dyDescent="0.25">
      <c r="A894" s="170">
        <v>43314</v>
      </c>
      <c r="B894" s="116">
        <v>1984.6</v>
      </c>
      <c r="C894" s="116">
        <v>1950.65</v>
      </c>
      <c r="D894" s="116">
        <v>1941</v>
      </c>
      <c r="E894" s="116">
        <v>1980.7</v>
      </c>
      <c r="F894" s="116">
        <v>1950.65</v>
      </c>
      <c r="G894">
        <v>105704</v>
      </c>
      <c r="H894" s="116"/>
      <c r="I894" s="116"/>
      <c r="L894" s="170">
        <v>43314</v>
      </c>
      <c r="M894" s="116">
        <v>1948.4</v>
      </c>
      <c r="N894" s="116">
        <v>1985</v>
      </c>
      <c r="O894" s="116">
        <v>1945</v>
      </c>
      <c r="P894" s="116">
        <v>1980</v>
      </c>
      <c r="Q894" s="116">
        <v>1948.4</v>
      </c>
      <c r="R894">
        <v>1509287</v>
      </c>
    </row>
    <row r="895" spans="1:18" x14ac:dyDescent="0.25">
      <c r="A895" s="170">
        <v>43315</v>
      </c>
      <c r="B895" s="116">
        <v>1980</v>
      </c>
      <c r="C895" s="116">
        <v>1977.35</v>
      </c>
      <c r="D895" s="116">
        <v>1956.9</v>
      </c>
      <c r="E895" s="116">
        <v>1956.9</v>
      </c>
      <c r="F895" s="116">
        <v>1977.35</v>
      </c>
      <c r="G895">
        <v>57673</v>
      </c>
      <c r="H895" s="116"/>
      <c r="I895" s="116"/>
      <c r="L895" s="170">
        <v>43315</v>
      </c>
      <c r="M895" s="116">
        <v>1979.45</v>
      </c>
      <c r="N895" s="116">
        <v>1982.05</v>
      </c>
      <c r="O895" s="116">
        <v>1956.5</v>
      </c>
      <c r="P895" s="116">
        <v>1956.5</v>
      </c>
      <c r="Q895" s="116">
        <v>1979.45</v>
      </c>
      <c r="R895">
        <v>1505131</v>
      </c>
    </row>
    <row r="896" spans="1:18" x14ac:dyDescent="0.25">
      <c r="A896" s="170">
        <v>43318</v>
      </c>
      <c r="B896" s="116">
        <v>1998</v>
      </c>
      <c r="C896" s="116">
        <v>1976.35</v>
      </c>
      <c r="D896" s="116">
        <v>1971</v>
      </c>
      <c r="E896" s="116">
        <v>1998</v>
      </c>
      <c r="F896" s="116">
        <v>1976.35</v>
      </c>
      <c r="G896">
        <v>110668</v>
      </c>
      <c r="H896" s="116"/>
      <c r="I896" s="116"/>
      <c r="L896" s="170">
        <v>43318</v>
      </c>
      <c r="M896" s="116">
        <v>1975.55</v>
      </c>
      <c r="N896" s="116">
        <v>1998.95</v>
      </c>
      <c r="O896" s="116">
        <v>1972.25</v>
      </c>
      <c r="P896" s="116">
        <v>1997</v>
      </c>
      <c r="Q896" s="116">
        <v>1975.55</v>
      </c>
      <c r="R896">
        <v>1532249</v>
      </c>
    </row>
    <row r="897" spans="1:18" x14ac:dyDescent="0.25">
      <c r="A897" s="170">
        <v>43319</v>
      </c>
      <c r="B897" s="116">
        <v>1977.05</v>
      </c>
      <c r="C897" s="116">
        <v>1968.1</v>
      </c>
      <c r="D897" s="116">
        <v>1961</v>
      </c>
      <c r="E897" s="116">
        <v>1977</v>
      </c>
      <c r="F897" s="116">
        <v>1968.1</v>
      </c>
      <c r="G897">
        <v>78403</v>
      </c>
      <c r="H897" s="116"/>
      <c r="I897" s="116"/>
      <c r="L897" s="170">
        <v>43319</v>
      </c>
      <c r="M897" s="116">
        <v>1967.35</v>
      </c>
      <c r="N897" s="116">
        <v>1979.15</v>
      </c>
      <c r="O897" s="116">
        <v>1960.5</v>
      </c>
      <c r="P897" s="116">
        <v>1978.2</v>
      </c>
      <c r="Q897" s="116">
        <v>1967.35</v>
      </c>
      <c r="R897">
        <v>1353560</v>
      </c>
    </row>
    <row r="898" spans="1:18" x14ac:dyDescent="0.25">
      <c r="A898" s="170">
        <v>43320</v>
      </c>
      <c r="B898" s="116">
        <v>1978.3</v>
      </c>
      <c r="C898" s="116">
        <v>1974.6</v>
      </c>
      <c r="D898" s="116">
        <v>1963.75</v>
      </c>
      <c r="E898" s="116">
        <v>1970</v>
      </c>
      <c r="F898" s="116">
        <v>1974.6</v>
      </c>
      <c r="G898">
        <v>94389</v>
      </c>
      <c r="H898" s="116"/>
      <c r="I898" s="116"/>
      <c r="L898" s="170">
        <v>43320</v>
      </c>
      <c r="M898" s="116">
        <v>1974</v>
      </c>
      <c r="N898" s="116">
        <v>1978.3</v>
      </c>
      <c r="O898" s="116">
        <v>1962</v>
      </c>
      <c r="P898" s="116">
        <v>1972</v>
      </c>
      <c r="Q898" s="116">
        <v>1974</v>
      </c>
      <c r="R898">
        <v>1315062</v>
      </c>
    </row>
    <row r="899" spans="1:18" x14ac:dyDescent="0.25">
      <c r="A899" s="170">
        <v>43321</v>
      </c>
      <c r="B899" s="116">
        <v>1985.9</v>
      </c>
      <c r="C899" s="116">
        <v>1974.55</v>
      </c>
      <c r="D899" s="116">
        <v>1966.3</v>
      </c>
      <c r="E899" s="116">
        <v>1985.9</v>
      </c>
      <c r="F899" s="116">
        <v>1974.55</v>
      </c>
      <c r="G899">
        <v>101982</v>
      </c>
      <c r="H899" s="116"/>
      <c r="I899" s="116"/>
      <c r="L899" s="170">
        <v>43321</v>
      </c>
      <c r="M899" s="116">
        <v>1974.35</v>
      </c>
      <c r="N899" s="116">
        <v>1980.8</v>
      </c>
      <c r="O899" s="116">
        <v>1966</v>
      </c>
      <c r="P899" s="116">
        <v>1980</v>
      </c>
      <c r="Q899" s="116">
        <v>1974.35</v>
      </c>
      <c r="R899">
        <v>2060297</v>
      </c>
    </row>
    <row r="900" spans="1:18" x14ac:dyDescent="0.25">
      <c r="A900" s="170">
        <v>43322</v>
      </c>
      <c r="B900" s="116">
        <v>1997.05</v>
      </c>
      <c r="C900" s="116">
        <v>1993.85</v>
      </c>
      <c r="D900" s="116">
        <v>1974</v>
      </c>
      <c r="E900" s="116">
        <v>1978.05</v>
      </c>
      <c r="F900" s="116">
        <v>1993.85</v>
      </c>
      <c r="G900">
        <v>140439</v>
      </c>
      <c r="H900" s="116"/>
      <c r="I900" s="116"/>
      <c r="L900" s="170">
        <v>43322</v>
      </c>
      <c r="M900" s="116">
        <v>1993.1</v>
      </c>
      <c r="N900" s="116">
        <v>1996.5</v>
      </c>
      <c r="O900" s="116">
        <v>1972.05</v>
      </c>
      <c r="P900" s="116">
        <v>1980.95</v>
      </c>
      <c r="Q900" s="116">
        <v>1993.1</v>
      </c>
      <c r="R900">
        <v>2784105</v>
      </c>
    </row>
    <row r="901" spans="1:18" x14ac:dyDescent="0.25">
      <c r="A901" s="170">
        <v>43325</v>
      </c>
      <c r="B901" s="116">
        <v>2002.55</v>
      </c>
      <c r="C901" s="116">
        <v>2000.5</v>
      </c>
      <c r="D901" s="116">
        <v>1988.25</v>
      </c>
      <c r="E901" s="116">
        <v>2000</v>
      </c>
      <c r="F901" s="116">
        <v>2000.5</v>
      </c>
      <c r="G901">
        <v>364314</v>
      </c>
      <c r="H901" s="116"/>
      <c r="I901" s="116"/>
      <c r="L901" s="170">
        <v>43325</v>
      </c>
      <c r="M901" s="116">
        <v>2000.15</v>
      </c>
      <c r="N901" s="116">
        <v>2004.25</v>
      </c>
      <c r="O901" s="116">
        <v>1990</v>
      </c>
      <c r="P901" s="116">
        <v>1997.8</v>
      </c>
      <c r="Q901" s="116">
        <v>2000.15</v>
      </c>
      <c r="R901">
        <v>3559575</v>
      </c>
    </row>
    <row r="902" spans="1:18" x14ac:dyDescent="0.25">
      <c r="A902" s="170">
        <v>43326</v>
      </c>
      <c r="B902" s="116">
        <v>2024</v>
      </c>
      <c r="C902" s="116">
        <v>2001.25</v>
      </c>
      <c r="D902" s="116">
        <v>1983.5</v>
      </c>
      <c r="E902" s="116">
        <v>1992</v>
      </c>
      <c r="F902" s="116">
        <v>2001.25</v>
      </c>
      <c r="G902">
        <v>228939</v>
      </c>
      <c r="H902" s="116"/>
      <c r="I902" s="116"/>
      <c r="L902" s="170">
        <v>43326</v>
      </c>
      <c r="M902" s="116">
        <v>2003.55</v>
      </c>
      <c r="N902" s="116">
        <v>2024.6</v>
      </c>
      <c r="O902" s="116">
        <v>1982.4</v>
      </c>
      <c r="P902" s="116">
        <v>1992</v>
      </c>
      <c r="Q902" s="116">
        <v>2003.55</v>
      </c>
      <c r="R902">
        <v>3311765</v>
      </c>
    </row>
    <row r="903" spans="1:18" x14ac:dyDescent="0.25">
      <c r="A903" s="170">
        <v>43328</v>
      </c>
      <c r="B903" s="116">
        <v>2019</v>
      </c>
      <c r="C903" s="116">
        <v>2008.75</v>
      </c>
      <c r="D903" s="116">
        <v>1996</v>
      </c>
      <c r="E903" s="116">
        <v>2002</v>
      </c>
      <c r="F903" s="116">
        <v>2008.75</v>
      </c>
      <c r="G903">
        <v>132552</v>
      </c>
      <c r="H903" s="116"/>
      <c r="I903" s="116"/>
      <c r="L903" s="170">
        <v>43328</v>
      </c>
      <c r="M903" s="116">
        <v>2008.5</v>
      </c>
      <c r="N903" s="116">
        <v>2020.05</v>
      </c>
      <c r="O903" s="116">
        <v>1995</v>
      </c>
      <c r="P903" s="116">
        <v>2000.3</v>
      </c>
      <c r="Q903" s="116">
        <v>2008.5</v>
      </c>
      <c r="R903">
        <v>2152065</v>
      </c>
    </row>
    <row r="904" spans="1:18" x14ac:dyDescent="0.25">
      <c r="A904" s="170">
        <v>43329</v>
      </c>
      <c r="B904" s="116">
        <v>2021.15</v>
      </c>
      <c r="C904" s="116">
        <v>2011.85</v>
      </c>
      <c r="D904" s="116">
        <v>2005</v>
      </c>
      <c r="E904" s="116">
        <v>2014</v>
      </c>
      <c r="F904" s="116">
        <v>2011.85</v>
      </c>
      <c r="G904">
        <v>175463</v>
      </c>
      <c r="H904" s="116"/>
      <c r="I904" s="116"/>
      <c r="L904" s="170">
        <v>43329</v>
      </c>
      <c r="M904" s="116">
        <v>2012.75</v>
      </c>
      <c r="N904" s="116">
        <v>2021.9</v>
      </c>
      <c r="O904" s="116">
        <v>2004</v>
      </c>
      <c r="P904" s="116">
        <v>2013.85</v>
      </c>
      <c r="Q904" s="116">
        <v>2012.75</v>
      </c>
      <c r="R904">
        <v>1213731</v>
      </c>
    </row>
    <row r="905" spans="1:18" x14ac:dyDescent="0.25">
      <c r="A905" s="170">
        <v>43332</v>
      </c>
      <c r="B905" s="116">
        <v>2023.5</v>
      </c>
      <c r="C905" s="116">
        <v>2010.4</v>
      </c>
      <c r="D905" s="116">
        <v>2005.25</v>
      </c>
      <c r="E905" s="116">
        <v>2023.5</v>
      </c>
      <c r="F905" s="116">
        <v>2010.4</v>
      </c>
      <c r="G905">
        <v>69717</v>
      </c>
      <c r="H905" s="116"/>
      <c r="I905" s="116"/>
      <c r="L905" s="170">
        <v>43332</v>
      </c>
      <c r="M905" s="116">
        <v>2009.95</v>
      </c>
      <c r="N905" s="116">
        <v>2024</v>
      </c>
      <c r="O905" s="116">
        <v>2003.7</v>
      </c>
      <c r="P905" s="116">
        <v>2024</v>
      </c>
      <c r="Q905" s="116">
        <v>2009.95</v>
      </c>
      <c r="R905">
        <v>1587032</v>
      </c>
    </row>
    <row r="906" spans="1:18" x14ac:dyDescent="0.25">
      <c r="A906" s="170">
        <v>43333</v>
      </c>
      <c r="B906" s="116">
        <v>2022.75</v>
      </c>
      <c r="C906" s="116">
        <v>2013.65</v>
      </c>
      <c r="D906" s="116">
        <v>2005</v>
      </c>
      <c r="E906" s="116">
        <v>2010</v>
      </c>
      <c r="F906" s="116">
        <v>2013.65</v>
      </c>
      <c r="G906">
        <v>62718</v>
      </c>
      <c r="H906" s="116"/>
      <c r="I906" s="116"/>
      <c r="L906" s="170">
        <v>43333</v>
      </c>
      <c r="M906" s="116">
        <v>2017.65</v>
      </c>
      <c r="N906" s="116">
        <v>2024</v>
      </c>
      <c r="O906" s="116">
        <v>2004</v>
      </c>
      <c r="P906" s="116">
        <v>2010.15</v>
      </c>
      <c r="Q906" s="116">
        <v>2017.65</v>
      </c>
      <c r="R906">
        <v>1376866</v>
      </c>
    </row>
    <row r="907" spans="1:18" x14ac:dyDescent="0.25">
      <c r="A907" s="170">
        <v>43335</v>
      </c>
      <c r="B907" s="116">
        <v>2038.7</v>
      </c>
      <c r="C907" s="116">
        <v>2035.45</v>
      </c>
      <c r="D907" s="116">
        <v>2020</v>
      </c>
      <c r="E907" s="116">
        <v>2020</v>
      </c>
      <c r="F907" s="116">
        <v>2035.45</v>
      </c>
      <c r="G907">
        <v>162256</v>
      </c>
      <c r="H907" s="116"/>
      <c r="I907" s="116"/>
      <c r="L907" s="170">
        <v>43335</v>
      </c>
      <c r="M907" s="116">
        <v>2035.1</v>
      </c>
      <c r="N907" s="116">
        <v>2038</v>
      </c>
      <c r="O907" s="116">
        <v>2020.3</v>
      </c>
      <c r="P907" s="116">
        <v>2022.8</v>
      </c>
      <c r="Q907" s="116">
        <v>2035.1</v>
      </c>
      <c r="R907">
        <v>3046791</v>
      </c>
    </row>
    <row r="908" spans="1:18" x14ac:dyDescent="0.25">
      <c r="A908" s="170">
        <v>43336</v>
      </c>
      <c r="B908" s="116">
        <v>2046.05</v>
      </c>
      <c r="C908" s="116">
        <v>2042.2</v>
      </c>
      <c r="D908" s="116">
        <v>2031</v>
      </c>
      <c r="E908" s="116">
        <v>2035.1</v>
      </c>
      <c r="F908" s="116">
        <v>2042.2</v>
      </c>
      <c r="G908">
        <v>90110</v>
      </c>
      <c r="H908" s="116"/>
      <c r="I908" s="116"/>
      <c r="L908" s="170">
        <v>43336</v>
      </c>
      <c r="M908" s="116">
        <v>2043</v>
      </c>
      <c r="N908" s="116">
        <v>2046</v>
      </c>
      <c r="O908" s="116">
        <v>2031</v>
      </c>
      <c r="P908" s="116">
        <v>2035.1</v>
      </c>
      <c r="Q908" s="116">
        <v>2043</v>
      </c>
      <c r="R908">
        <v>1570533</v>
      </c>
    </row>
    <row r="909" spans="1:18" x14ac:dyDescent="0.25">
      <c r="A909" s="170">
        <v>43339</v>
      </c>
      <c r="B909" s="116">
        <v>2058.5500000000002</v>
      </c>
      <c r="C909" s="116">
        <v>2051.65</v>
      </c>
      <c r="D909" s="116">
        <v>2036.55</v>
      </c>
      <c r="E909" s="116">
        <v>2042</v>
      </c>
      <c r="F909" s="116">
        <v>2051.65</v>
      </c>
      <c r="G909">
        <v>102741</v>
      </c>
      <c r="H909" s="116"/>
      <c r="I909" s="116"/>
      <c r="L909" s="170">
        <v>43339</v>
      </c>
      <c r="M909" s="116">
        <v>2050.9</v>
      </c>
      <c r="N909" s="116">
        <v>2059</v>
      </c>
      <c r="O909" s="116">
        <v>2035</v>
      </c>
      <c r="P909" s="116">
        <v>2043</v>
      </c>
      <c r="Q909" s="116">
        <v>2050.9</v>
      </c>
      <c r="R909">
        <v>1532702</v>
      </c>
    </row>
    <row r="910" spans="1:18" x14ac:dyDescent="0.25">
      <c r="A910" s="170">
        <v>43340</v>
      </c>
      <c r="B910" s="116">
        <v>2072</v>
      </c>
      <c r="C910" s="116">
        <v>2065.5500000000002</v>
      </c>
      <c r="D910" s="116">
        <v>2051.65</v>
      </c>
      <c r="E910" s="116">
        <v>2052.75</v>
      </c>
      <c r="F910" s="116">
        <v>2065.5500000000002</v>
      </c>
      <c r="G910">
        <v>167682</v>
      </c>
      <c r="H910" s="116"/>
      <c r="I910" s="116"/>
      <c r="L910" s="170">
        <v>43340</v>
      </c>
      <c r="M910" s="116">
        <v>2069.1999999999998</v>
      </c>
      <c r="N910" s="116">
        <v>2072</v>
      </c>
      <c r="O910" s="116">
        <v>2052</v>
      </c>
      <c r="P910" s="116">
        <v>2055</v>
      </c>
      <c r="Q910" s="116">
        <v>2069.1999999999998</v>
      </c>
      <c r="R910">
        <v>1987983</v>
      </c>
    </row>
    <row r="911" spans="1:18" x14ac:dyDescent="0.25">
      <c r="A911" s="170">
        <v>43341</v>
      </c>
      <c r="B911" s="116">
        <v>2072.9</v>
      </c>
      <c r="C911" s="116">
        <v>2065.8000000000002</v>
      </c>
      <c r="D911" s="116">
        <v>2046.1</v>
      </c>
      <c r="E911" s="116">
        <v>2072.9</v>
      </c>
      <c r="F911" s="116">
        <v>2065.8000000000002</v>
      </c>
      <c r="G911">
        <v>96894</v>
      </c>
      <c r="H911" s="116"/>
      <c r="I911" s="116"/>
      <c r="L911" s="170">
        <v>43341</v>
      </c>
      <c r="M911" s="116">
        <v>2072</v>
      </c>
      <c r="N911" s="116">
        <v>2076.6</v>
      </c>
      <c r="O911" s="116">
        <v>2045.6</v>
      </c>
      <c r="P911" s="116">
        <v>2072.5</v>
      </c>
      <c r="Q911" s="116">
        <v>2072</v>
      </c>
      <c r="R911">
        <v>1525867</v>
      </c>
    </row>
    <row r="912" spans="1:18" x14ac:dyDescent="0.25">
      <c r="A912" s="170">
        <v>43342</v>
      </c>
      <c r="B912" s="116">
        <v>2080.1999999999998</v>
      </c>
      <c r="C912" s="116">
        <v>2079.4499999999998</v>
      </c>
      <c r="D912" s="116">
        <v>2064.4</v>
      </c>
      <c r="E912" s="116">
        <v>2070</v>
      </c>
      <c r="F912" s="116">
        <v>2079.4499999999998</v>
      </c>
      <c r="G912">
        <v>187645</v>
      </c>
      <c r="H912" s="116"/>
      <c r="I912" s="116"/>
      <c r="L912" s="170">
        <v>43342</v>
      </c>
      <c r="M912" s="116">
        <v>2082.4</v>
      </c>
      <c r="N912" s="116">
        <v>2085</v>
      </c>
      <c r="O912" s="116">
        <v>2065.5</v>
      </c>
      <c r="P912" s="116">
        <v>2068</v>
      </c>
      <c r="Q912" s="116">
        <v>2082.4</v>
      </c>
      <c r="R912">
        <v>2408020</v>
      </c>
    </row>
    <row r="913" spans="1:18" x14ac:dyDescent="0.25">
      <c r="A913" s="170">
        <v>43343</v>
      </c>
      <c r="B913" s="116">
        <v>2090.5</v>
      </c>
      <c r="C913" s="116">
        <v>2078.1999999999998</v>
      </c>
      <c r="D913" s="116">
        <v>2073.0500000000002</v>
      </c>
      <c r="E913" s="116">
        <v>2080</v>
      </c>
      <c r="F913" s="116">
        <v>2078.1999999999998</v>
      </c>
      <c r="G913">
        <v>166815</v>
      </c>
      <c r="H913" s="116"/>
      <c r="I913" s="116"/>
      <c r="L913" s="170">
        <v>43343</v>
      </c>
      <c r="M913" s="116">
        <v>2078.4</v>
      </c>
      <c r="N913" s="116">
        <v>2092</v>
      </c>
      <c r="O913" s="116">
        <v>2074</v>
      </c>
      <c r="P913" s="116">
        <v>2082.3000000000002</v>
      </c>
      <c r="Q913" s="116">
        <v>2078.4</v>
      </c>
      <c r="R913">
        <v>2504554</v>
      </c>
    </row>
    <row r="914" spans="1:18" x14ac:dyDescent="0.25">
      <c r="A914" s="170">
        <v>43346</v>
      </c>
      <c r="B914" s="116">
        <v>2089.9499999999998</v>
      </c>
      <c r="C914" s="116">
        <v>2054.9499999999998</v>
      </c>
      <c r="D914" s="116">
        <v>2052.1</v>
      </c>
      <c r="E914" s="116">
        <v>2080.0500000000002</v>
      </c>
      <c r="F914" s="116">
        <v>2054.9499999999998</v>
      </c>
      <c r="G914">
        <v>125871</v>
      </c>
      <c r="H914" s="116"/>
      <c r="I914" s="116"/>
      <c r="L914" s="170">
        <v>43346</v>
      </c>
      <c r="M914" s="116">
        <v>2052.9</v>
      </c>
      <c r="N914" s="116">
        <v>2090</v>
      </c>
      <c r="O914" s="116">
        <v>2048.4</v>
      </c>
      <c r="P914" s="116">
        <v>2084.8000000000002</v>
      </c>
      <c r="Q914" s="116">
        <v>2052.9</v>
      </c>
      <c r="R914">
        <v>1439711</v>
      </c>
    </row>
    <row r="915" spans="1:18" x14ac:dyDescent="0.25">
      <c r="A915" s="170">
        <v>43347</v>
      </c>
      <c r="B915" s="116">
        <v>2100</v>
      </c>
      <c r="C915" s="116">
        <v>2093.1999999999998</v>
      </c>
      <c r="D915" s="116">
        <v>2055</v>
      </c>
      <c r="E915" s="116">
        <v>2055</v>
      </c>
      <c r="F915" s="116">
        <v>2093.1999999999998</v>
      </c>
      <c r="G915">
        <v>318313</v>
      </c>
      <c r="H915" s="116"/>
      <c r="I915" s="116"/>
      <c r="L915" s="170">
        <v>43347</v>
      </c>
      <c r="M915" s="116">
        <v>2098.9</v>
      </c>
      <c r="N915" s="116">
        <v>2104.75</v>
      </c>
      <c r="O915" s="116">
        <v>2056.9499999999998</v>
      </c>
      <c r="P915" s="116">
        <v>2059.8000000000002</v>
      </c>
      <c r="Q915" s="116">
        <v>2098.9</v>
      </c>
      <c r="R915">
        <v>4420803</v>
      </c>
    </row>
    <row r="916" spans="1:18" x14ac:dyDescent="0.25">
      <c r="A916" s="170">
        <v>43348</v>
      </c>
      <c r="B916" s="116">
        <v>2105.9499999999998</v>
      </c>
      <c r="C916" s="116">
        <v>2078.15</v>
      </c>
      <c r="D916" s="116">
        <v>2075</v>
      </c>
      <c r="E916" s="116">
        <v>2100</v>
      </c>
      <c r="F916" s="116">
        <v>2078.15</v>
      </c>
      <c r="G916">
        <v>136884</v>
      </c>
      <c r="H916" s="116"/>
      <c r="I916" s="116"/>
      <c r="L916" s="170">
        <v>43348</v>
      </c>
      <c r="M916" s="116">
        <v>2079.25</v>
      </c>
      <c r="N916" s="116">
        <v>2107.25</v>
      </c>
      <c r="O916" s="116">
        <v>2075.0500000000002</v>
      </c>
      <c r="P916" s="116">
        <v>2100</v>
      </c>
      <c r="Q916" s="116">
        <v>2079.25</v>
      </c>
      <c r="R916">
        <v>1681106</v>
      </c>
    </row>
    <row r="917" spans="1:18" x14ac:dyDescent="0.25">
      <c r="A917" s="170">
        <v>43349</v>
      </c>
      <c r="B917" s="116">
        <v>2081.5</v>
      </c>
      <c r="C917" s="116">
        <v>2075.6999999999998</v>
      </c>
      <c r="D917" s="116">
        <v>2063</v>
      </c>
      <c r="E917" s="116">
        <v>2080</v>
      </c>
      <c r="F917" s="116">
        <v>2075.6999999999998</v>
      </c>
      <c r="G917">
        <v>64300</v>
      </c>
      <c r="H917" s="116"/>
      <c r="I917" s="116"/>
      <c r="L917" s="170">
        <v>43349</v>
      </c>
      <c r="M917" s="116">
        <v>2075.3000000000002</v>
      </c>
      <c r="N917" s="116">
        <v>2081.5</v>
      </c>
      <c r="O917" s="116">
        <v>2060.3000000000002</v>
      </c>
      <c r="P917" s="116">
        <v>2075</v>
      </c>
      <c r="Q917" s="116">
        <v>2075.3000000000002</v>
      </c>
      <c r="R917">
        <v>2238097</v>
      </c>
    </row>
    <row r="918" spans="1:18" x14ac:dyDescent="0.25">
      <c r="A918" s="170">
        <v>43350</v>
      </c>
      <c r="B918" s="116">
        <v>2083.9499999999998</v>
      </c>
      <c r="C918" s="116">
        <v>2079.6999999999998</v>
      </c>
      <c r="D918" s="116">
        <v>2065.5500000000002</v>
      </c>
      <c r="E918" s="116">
        <v>2080</v>
      </c>
      <c r="F918" s="116">
        <v>2079.6999999999998</v>
      </c>
      <c r="G918">
        <v>49201</v>
      </c>
      <c r="H918" s="116"/>
      <c r="I918" s="116"/>
      <c r="L918" s="170">
        <v>43350</v>
      </c>
      <c r="M918" s="116">
        <v>2079.85</v>
      </c>
      <c r="N918" s="116">
        <v>2084</v>
      </c>
      <c r="O918" s="116">
        <v>2065.4</v>
      </c>
      <c r="P918" s="116">
        <v>2079.3000000000002</v>
      </c>
      <c r="Q918" s="116">
        <v>2079.85</v>
      </c>
      <c r="R918">
        <v>1312182</v>
      </c>
    </row>
    <row r="919" spans="1:18" x14ac:dyDescent="0.25">
      <c r="A919" s="170">
        <v>43353</v>
      </c>
      <c r="B919" s="116">
        <v>2093.4</v>
      </c>
      <c r="C919" s="116">
        <v>2081.1999999999998</v>
      </c>
      <c r="D919" s="116">
        <v>2074.1</v>
      </c>
      <c r="E919" s="116">
        <v>2082.9499999999998</v>
      </c>
      <c r="F919" s="116">
        <v>2081.1999999999998</v>
      </c>
      <c r="G919">
        <v>59853</v>
      </c>
      <c r="H919" s="116"/>
      <c r="I919" s="116"/>
      <c r="L919" s="170">
        <v>43353</v>
      </c>
      <c r="M919" s="116">
        <v>2080.75</v>
      </c>
      <c r="N919" s="116">
        <v>2093.4</v>
      </c>
      <c r="O919" s="116">
        <v>2074.25</v>
      </c>
      <c r="P919" s="116">
        <v>2084.4</v>
      </c>
      <c r="Q919" s="116">
        <v>2080.75</v>
      </c>
      <c r="R919">
        <v>1530539</v>
      </c>
    </row>
    <row r="920" spans="1:18" x14ac:dyDescent="0.25">
      <c r="A920" s="170">
        <v>43354</v>
      </c>
      <c r="B920" s="116">
        <v>2089.25</v>
      </c>
      <c r="C920" s="116">
        <v>2045.95</v>
      </c>
      <c r="D920" s="116">
        <v>2042</v>
      </c>
      <c r="E920" s="116">
        <v>2084</v>
      </c>
      <c r="F920" s="116">
        <v>2045.95</v>
      </c>
      <c r="G920">
        <v>94049</v>
      </c>
      <c r="H920" s="116"/>
      <c r="I920" s="116"/>
      <c r="L920" s="170">
        <v>43354</v>
      </c>
      <c r="M920" s="116">
        <v>2046.25</v>
      </c>
      <c r="N920" s="116">
        <v>2089</v>
      </c>
      <c r="O920" s="116">
        <v>2042.2</v>
      </c>
      <c r="P920" s="116">
        <v>2089</v>
      </c>
      <c r="Q920" s="116">
        <v>2046.25</v>
      </c>
      <c r="R920">
        <v>3679745</v>
      </c>
    </row>
    <row r="921" spans="1:18" x14ac:dyDescent="0.25">
      <c r="A921" s="170">
        <v>43355</v>
      </c>
      <c r="B921" s="116">
        <v>2067.8000000000002</v>
      </c>
      <c r="C921" s="116">
        <v>2043.75</v>
      </c>
      <c r="D921" s="116">
        <v>2040</v>
      </c>
      <c r="E921" s="116">
        <v>2051</v>
      </c>
      <c r="F921" s="116">
        <v>2043.75</v>
      </c>
      <c r="G921">
        <v>162054</v>
      </c>
      <c r="H921" s="116"/>
      <c r="I921" s="116"/>
      <c r="L921" s="170">
        <v>43355</v>
      </c>
      <c r="M921" s="116">
        <v>2043.95</v>
      </c>
      <c r="N921" s="116">
        <v>2068.9</v>
      </c>
      <c r="O921" s="116">
        <v>2040</v>
      </c>
      <c r="P921" s="116">
        <v>2052.35</v>
      </c>
      <c r="Q921" s="116">
        <v>2043.95</v>
      </c>
      <c r="R921">
        <v>2307661</v>
      </c>
    </row>
    <row r="922" spans="1:18" x14ac:dyDescent="0.25">
      <c r="A922" s="170">
        <v>43357</v>
      </c>
      <c r="B922" s="116">
        <v>2070.85</v>
      </c>
      <c r="C922" s="116">
        <v>2063.3000000000002</v>
      </c>
      <c r="D922" s="116">
        <v>2018.85</v>
      </c>
      <c r="E922" s="116">
        <v>2045</v>
      </c>
      <c r="F922" s="116">
        <v>2063.3000000000002</v>
      </c>
      <c r="G922">
        <v>142167</v>
      </c>
      <c r="H922" s="116"/>
      <c r="I922" s="116"/>
      <c r="L922" s="170">
        <v>43357</v>
      </c>
      <c r="M922" s="116">
        <v>2065.4</v>
      </c>
      <c r="N922" s="116">
        <v>2071.5500000000002</v>
      </c>
      <c r="O922" s="116">
        <v>2018.15</v>
      </c>
      <c r="P922" s="116">
        <v>2044</v>
      </c>
      <c r="Q922" s="116">
        <v>2065.4</v>
      </c>
      <c r="R922">
        <v>3642038</v>
      </c>
    </row>
    <row r="923" spans="1:18" x14ac:dyDescent="0.25">
      <c r="A923" s="170">
        <v>43360</v>
      </c>
      <c r="B923" s="116">
        <v>2077</v>
      </c>
      <c r="C923" s="116">
        <v>2071.6</v>
      </c>
      <c r="D923" s="116">
        <v>2054.85</v>
      </c>
      <c r="E923" s="116">
        <v>2070</v>
      </c>
      <c r="F923" s="116">
        <v>2071.6</v>
      </c>
      <c r="G923">
        <v>49469</v>
      </c>
      <c r="H923" s="116"/>
      <c r="I923" s="116"/>
      <c r="L923" s="170">
        <v>43360</v>
      </c>
      <c r="M923" s="116">
        <v>2074.15</v>
      </c>
      <c r="N923" s="116">
        <v>2077.8000000000002</v>
      </c>
      <c r="O923" s="116">
        <v>2054.5500000000002</v>
      </c>
      <c r="P923" s="116">
        <v>2070</v>
      </c>
      <c r="Q923" s="116">
        <v>2074.15</v>
      </c>
      <c r="R923">
        <v>1033857</v>
      </c>
    </row>
    <row r="924" spans="1:18" x14ac:dyDescent="0.25">
      <c r="A924" s="170">
        <v>43361</v>
      </c>
      <c r="B924" s="116">
        <v>2077.3000000000002</v>
      </c>
      <c r="C924" s="116">
        <v>2070</v>
      </c>
      <c r="D924" s="116">
        <v>2059</v>
      </c>
      <c r="E924" s="116">
        <v>2075</v>
      </c>
      <c r="F924" s="116">
        <v>2070</v>
      </c>
      <c r="G924">
        <v>44727</v>
      </c>
      <c r="H924" s="116"/>
      <c r="I924" s="116"/>
      <c r="L924" s="170">
        <v>43361</v>
      </c>
      <c r="M924" s="116">
        <v>2070.75</v>
      </c>
      <c r="N924" s="116">
        <v>2078.8000000000002</v>
      </c>
      <c r="O924" s="116">
        <v>2057.6</v>
      </c>
      <c r="P924" s="116">
        <v>2073</v>
      </c>
      <c r="Q924" s="116">
        <v>2070.75</v>
      </c>
      <c r="R924">
        <v>1456507</v>
      </c>
    </row>
    <row r="925" spans="1:18" x14ac:dyDescent="0.25">
      <c r="A925" s="170">
        <v>43362</v>
      </c>
      <c r="B925" s="116">
        <v>2088.1</v>
      </c>
      <c r="C925" s="116">
        <v>2076.9</v>
      </c>
      <c r="D925" s="116">
        <v>2066</v>
      </c>
      <c r="E925" s="116">
        <v>2074</v>
      </c>
      <c r="F925" s="116">
        <v>2076.9</v>
      </c>
      <c r="G925">
        <v>56494</v>
      </c>
      <c r="H925" s="116"/>
      <c r="I925" s="116"/>
      <c r="L925" s="170">
        <v>43362</v>
      </c>
      <c r="M925" s="116">
        <v>2077.9</v>
      </c>
      <c r="N925" s="116">
        <v>2089</v>
      </c>
      <c r="O925" s="116">
        <v>2066.85</v>
      </c>
      <c r="P925" s="116">
        <v>2071.9</v>
      </c>
      <c r="Q925" s="116">
        <v>2077.9</v>
      </c>
      <c r="R925">
        <v>1301268</v>
      </c>
    </row>
    <row r="926" spans="1:18" x14ac:dyDescent="0.25">
      <c r="A926" s="170">
        <v>43364</v>
      </c>
      <c r="B926" s="116">
        <v>2130.85</v>
      </c>
      <c r="C926" s="116">
        <v>2103.8000000000002</v>
      </c>
      <c r="D926" s="116">
        <v>2052.5</v>
      </c>
      <c r="E926" s="116">
        <v>2078</v>
      </c>
      <c r="F926" s="116">
        <v>2103.8000000000002</v>
      </c>
      <c r="G926">
        <v>124436</v>
      </c>
      <c r="H926" s="116"/>
      <c r="I926" s="116"/>
      <c r="L926" s="170">
        <v>43364</v>
      </c>
      <c r="M926" s="116">
        <v>2103.15</v>
      </c>
      <c r="N926" s="116">
        <v>2121</v>
      </c>
      <c r="O926" s="116">
        <v>2050.15</v>
      </c>
      <c r="P926" s="116">
        <v>2077</v>
      </c>
      <c r="Q926" s="116">
        <v>2103.15</v>
      </c>
      <c r="R926">
        <v>4508530</v>
      </c>
    </row>
    <row r="927" spans="1:18" x14ac:dyDescent="0.25">
      <c r="A927" s="170">
        <v>43367</v>
      </c>
      <c r="B927" s="116">
        <v>2214.15</v>
      </c>
      <c r="C927" s="116">
        <v>2198.6999999999998</v>
      </c>
      <c r="D927" s="116">
        <v>2098.3000000000002</v>
      </c>
      <c r="E927" s="116">
        <v>2104</v>
      </c>
      <c r="F927" s="116">
        <v>2198.6999999999998</v>
      </c>
      <c r="G927">
        <v>299610</v>
      </c>
      <c r="H927" s="116"/>
      <c r="I927" s="116"/>
      <c r="L927" s="170">
        <v>43367</v>
      </c>
      <c r="M927" s="116">
        <v>2198.4499999999998</v>
      </c>
      <c r="N927" s="116">
        <v>2210.5</v>
      </c>
      <c r="O927" s="116">
        <v>2098.15</v>
      </c>
      <c r="P927" s="116">
        <v>2115</v>
      </c>
      <c r="Q927" s="116">
        <v>2198.4499999999998</v>
      </c>
      <c r="R927">
        <v>3032226</v>
      </c>
    </row>
    <row r="928" spans="1:18" x14ac:dyDescent="0.25">
      <c r="A928" s="170">
        <v>43368</v>
      </c>
      <c r="B928" s="116">
        <v>2209.6</v>
      </c>
      <c r="C928" s="116">
        <v>2183.1</v>
      </c>
      <c r="D928" s="116">
        <v>2155</v>
      </c>
      <c r="E928" s="116">
        <v>2200</v>
      </c>
      <c r="F928" s="116">
        <v>2183.1</v>
      </c>
      <c r="G928">
        <v>128098</v>
      </c>
      <c r="H928" s="116"/>
      <c r="I928" s="116"/>
      <c r="L928" s="170">
        <v>43368</v>
      </c>
      <c r="M928" s="116">
        <v>2183.1999999999998</v>
      </c>
      <c r="N928" s="116">
        <v>2211.9</v>
      </c>
      <c r="O928" s="116">
        <v>2153.8000000000002</v>
      </c>
      <c r="P928" s="116">
        <v>2204.9</v>
      </c>
      <c r="Q928" s="116">
        <v>2183.1999999999998</v>
      </c>
      <c r="R928">
        <v>2868778</v>
      </c>
    </row>
    <row r="929" spans="1:18" x14ac:dyDescent="0.25">
      <c r="A929" s="170">
        <v>43369</v>
      </c>
      <c r="B929" s="116">
        <v>2197.1</v>
      </c>
      <c r="C929" s="116">
        <v>2141.4499999999998</v>
      </c>
      <c r="D929" s="116">
        <v>2135</v>
      </c>
      <c r="E929" s="116">
        <v>2183</v>
      </c>
      <c r="F929" s="116">
        <v>2141.4499999999998</v>
      </c>
      <c r="G929">
        <v>79677</v>
      </c>
      <c r="H929" s="116"/>
      <c r="I929" s="116"/>
      <c r="L929" s="170">
        <v>43369</v>
      </c>
      <c r="M929" s="116">
        <v>2142.15</v>
      </c>
      <c r="N929" s="116">
        <v>2199</v>
      </c>
      <c r="O929" s="116">
        <v>2135.1</v>
      </c>
      <c r="P929" s="116">
        <v>2187</v>
      </c>
      <c r="Q929" s="116">
        <v>2142.15</v>
      </c>
      <c r="R929">
        <v>1970951</v>
      </c>
    </row>
    <row r="930" spans="1:18" x14ac:dyDescent="0.25">
      <c r="A930" s="170">
        <v>43370</v>
      </c>
      <c r="B930" s="116">
        <v>2202</v>
      </c>
      <c r="C930" s="116">
        <v>2187.8000000000002</v>
      </c>
      <c r="D930" s="116">
        <v>2136.6</v>
      </c>
      <c r="E930" s="116">
        <v>2150</v>
      </c>
      <c r="F930" s="116">
        <v>2187.8000000000002</v>
      </c>
      <c r="G930">
        <v>121150</v>
      </c>
      <c r="H930" s="116"/>
      <c r="I930" s="116"/>
      <c r="L930" s="170">
        <v>43370</v>
      </c>
      <c r="M930" s="116">
        <v>2188.85</v>
      </c>
      <c r="N930" s="116">
        <v>2209.6999999999998</v>
      </c>
      <c r="O930" s="116">
        <v>2135.8000000000002</v>
      </c>
      <c r="P930" s="116">
        <v>2141.9</v>
      </c>
      <c r="Q930" s="116">
        <v>2188.85</v>
      </c>
      <c r="R930">
        <v>3311802</v>
      </c>
    </row>
    <row r="931" spans="1:18" x14ac:dyDescent="0.25">
      <c r="A931" s="170">
        <v>43371</v>
      </c>
      <c r="B931" s="116">
        <v>2190</v>
      </c>
      <c r="C931" s="116">
        <v>2184.5</v>
      </c>
      <c r="D931" s="116">
        <v>2159.5500000000002</v>
      </c>
      <c r="E931" s="116">
        <v>2184</v>
      </c>
      <c r="F931" s="116">
        <v>2184.5</v>
      </c>
      <c r="G931">
        <v>77824</v>
      </c>
      <c r="H931" s="116"/>
      <c r="I931" s="116"/>
      <c r="L931" s="170">
        <v>43371</v>
      </c>
      <c r="M931" s="116">
        <v>2183.6999999999998</v>
      </c>
      <c r="N931" s="116">
        <v>2190</v>
      </c>
      <c r="O931" s="116">
        <v>2158.85</v>
      </c>
      <c r="P931" s="116">
        <v>2178</v>
      </c>
      <c r="Q931" s="116">
        <v>2183.6999999999998</v>
      </c>
      <c r="R931">
        <v>2904371</v>
      </c>
    </row>
    <row r="932" spans="1:18" x14ac:dyDescent="0.25">
      <c r="A932" s="170">
        <v>43374</v>
      </c>
      <c r="B932" s="116">
        <v>2273</v>
      </c>
      <c r="C932" s="116">
        <v>2255.8000000000002</v>
      </c>
      <c r="D932" s="116">
        <v>2186</v>
      </c>
      <c r="E932" s="116">
        <v>2186</v>
      </c>
      <c r="F932" s="116">
        <v>2255.8000000000002</v>
      </c>
      <c r="G932">
        <v>186123</v>
      </c>
      <c r="H932" s="116"/>
      <c r="I932" s="116"/>
      <c r="L932" s="170">
        <v>43374</v>
      </c>
      <c r="M932" s="116">
        <v>2255.5500000000002</v>
      </c>
      <c r="N932" s="116">
        <v>2275.9499999999998</v>
      </c>
      <c r="O932" s="116">
        <v>2190.35</v>
      </c>
      <c r="P932" s="116">
        <v>2190.9</v>
      </c>
      <c r="Q932" s="116">
        <v>2255.5500000000002</v>
      </c>
      <c r="R932">
        <v>3772208</v>
      </c>
    </row>
    <row r="933" spans="1:18" x14ac:dyDescent="0.25">
      <c r="A933" s="170">
        <v>43376</v>
      </c>
      <c r="B933" s="116">
        <v>2253.85</v>
      </c>
      <c r="C933" s="116">
        <v>2162.4499999999998</v>
      </c>
      <c r="D933" s="116">
        <v>2155</v>
      </c>
      <c r="E933" s="116">
        <v>2246.1</v>
      </c>
      <c r="F933" s="116">
        <v>2162.4499999999998</v>
      </c>
      <c r="G933">
        <v>151560</v>
      </c>
      <c r="H933" s="116"/>
      <c r="I933" s="116"/>
      <c r="L933" s="170">
        <v>43376</v>
      </c>
      <c r="M933" s="116">
        <v>2162.85</v>
      </c>
      <c r="N933" s="116">
        <v>2255</v>
      </c>
      <c r="O933" s="116">
        <v>2155.6</v>
      </c>
      <c r="P933" s="116">
        <v>2250.3000000000002</v>
      </c>
      <c r="Q933" s="116">
        <v>2162.85</v>
      </c>
      <c r="R933">
        <v>3902322</v>
      </c>
    </row>
    <row r="934" spans="1:18" x14ac:dyDescent="0.25">
      <c r="A934" s="170">
        <v>43377</v>
      </c>
      <c r="B934" s="116">
        <v>2161</v>
      </c>
      <c r="C934" s="116">
        <v>2064.25</v>
      </c>
      <c r="D934" s="116">
        <v>2058.65</v>
      </c>
      <c r="E934" s="116">
        <v>2161</v>
      </c>
      <c r="F934" s="116">
        <v>2064.25</v>
      </c>
      <c r="G934">
        <v>537593</v>
      </c>
      <c r="H934" s="116"/>
      <c r="I934" s="116"/>
      <c r="L934" s="170">
        <v>43377</v>
      </c>
      <c r="M934" s="116">
        <v>2064.8000000000002</v>
      </c>
      <c r="N934" s="116">
        <v>2156.65</v>
      </c>
      <c r="O934" s="116">
        <v>2056.35</v>
      </c>
      <c r="P934" s="116">
        <v>2156.6</v>
      </c>
      <c r="Q934" s="116">
        <v>2064.8000000000002</v>
      </c>
      <c r="R934">
        <v>4762419</v>
      </c>
    </row>
    <row r="935" spans="1:18" x14ac:dyDescent="0.25">
      <c r="A935" s="170">
        <v>43378</v>
      </c>
      <c r="B935" s="116">
        <v>2119.85</v>
      </c>
      <c r="C935" s="116">
        <v>2103.1</v>
      </c>
      <c r="D935" s="116">
        <v>2024</v>
      </c>
      <c r="E935" s="116">
        <v>2059.8000000000002</v>
      </c>
      <c r="F935" s="116">
        <v>2103.1</v>
      </c>
      <c r="G935">
        <v>166182</v>
      </c>
      <c r="H935" s="116"/>
      <c r="I935" s="116"/>
      <c r="L935" s="170">
        <v>43378</v>
      </c>
      <c r="M935" s="116">
        <v>2102.65</v>
      </c>
      <c r="N935" s="116">
        <v>2120</v>
      </c>
      <c r="O935" s="116">
        <v>2020.9</v>
      </c>
      <c r="P935" s="116">
        <v>2050</v>
      </c>
      <c r="Q935" s="116">
        <v>2102.65</v>
      </c>
      <c r="R935">
        <v>3417624</v>
      </c>
    </row>
    <row r="936" spans="1:18" x14ac:dyDescent="0.25">
      <c r="A936" s="170">
        <v>43381</v>
      </c>
      <c r="B936" s="116">
        <v>2122.9</v>
      </c>
      <c r="C936" s="116">
        <v>2080.1</v>
      </c>
      <c r="D936" s="116">
        <v>2048</v>
      </c>
      <c r="E936" s="116">
        <v>2106.5</v>
      </c>
      <c r="F936" s="116">
        <v>2080.1</v>
      </c>
      <c r="G936">
        <v>102738</v>
      </c>
      <c r="H936" s="116"/>
      <c r="I936" s="116"/>
      <c r="L936" s="170">
        <v>43381</v>
      </c>
      <c r="M936" s="116">
        <v>2077.5500000000002</v>
      </c>
      <c r="N936" s="116">
        <v>2122.1999999999998</v>
      </c>
      <c r="O936" s="116">
        <v>2048.15</v>
      </c>
      <c r="P936" s="116">
        <v>2102.65</v>
      </c>
      <c r="Q936" s="116">
        <v>2077.5500000000002</v>
      </c>
      <c r="R936">
        <v>2010154</v>
      </c>
    </row>
    <row r="937" spans="1:18" x14ac:dyDescent="0.25">
      <c r="A937" s="170">
        <v>43382</v>
      </c>
      <c r="B937" s="116">
        <v>2108</v>
      </c>
      <c r="C937" s="116">
        <v>2090.5</v>
      </c>
      <c r="D937" s="116">
        <v>2054.4</v>
      </c>
      <c r="E937" s="116">
        <v>2080</v>
      </c>
      <c r="F937" s="116">
        <v>2090.5</v>
      </c>
      <c r="G937">
        <v>127278</v>
      </c>
      <c r="H937" s="116"/>
      <c r="I937" s="116"/>
      <c r="L937" s="170">
        <v>43382</v>
      </c>
      <c r="M937" s="116">
        <v>2091.8000000000002</v>
      </c>
      <c r="N937" s="116">
        <v>2107.65</v>
      </c>
      <c r="O937" s="116">
        <v>2053.1999999999998</v>
      </c>
      <c r="P937" s="116">
        <v>2080.35</v>
      </c>
      <c r="Q937" s="116">
        <v>2091.8000000000002</v>
      </c>
      <c r="R937">
        <v>1867130</v>
      </c>
    </row>
    <row r="938" spans="1:18" x14ac:dyDescent="0.25">
      <c r="A938" s="170">
        <v>43383</v>
      </c>
      <c r="B938" s="116">
        <v>2110</v>
      </c>
      <c r="C938" s="116">
        <v>2043.05</v>
      </c>
      <c r="D938" s="116">
        <v>2030.2</v>
      </c>
      <c r="E938" s="116">
        <v>2110</v>
      </c>
      <c r="F938" s="116">
        <v>2043.05</v>
      </c>
      <c r="G938">
        <v>1935417</v>
      </c>
      <c r="H938" s="116"/>
      <c r="I938" s="116"/>
      <c r="L938" s="170">
        <v>43383</v>
      </c>
      <c r="M938" s="116">
        <v>2043.6</v>
      </c>
      <c r="N938" s="116">
        <v>2105.9499999999998</v>
      </c>
      <c r="O938" s="116">
        <v>2029</v>
      </c>
      <c r="P938" s="116">
        <v>2100</v>
      </c>
      <c r="Q938" s="116">
        <v>2043.6</v>
      </c>
      <c r="R938">
        <v>2749573</v>
      </c>
    </row>
    <row r="939" spans="1:18" x14ac:dyDescent="0.25">
      <c r="A939" s="170">
        <v>43384</v>
      </c>
      <c r="B939" s="116">
        <v>2013.55</v>
      </c>
      <c r="C939" s="116">
        <v>1979.75</v>
      </c>
      <c r="D939" s="116">
        <v>1943.05</v>
      </c>
      <c r="E939" s="116">
        <v>1998.7</v>
      </c>
      <c r="F939" s="116">
        <v>1979.75</v>
      </c>
      <c r="G939">
        <v>358205</v>
      </c>
      <c r="H939" s="116"/>
      <c r="I939" s="116"/>
      <c r="L939" s="170">
        <v>43384</v>
      </c>
      <c r="M939" s="116">
        <v>1979.95</v>
      </c>
      <c r="N939" s="116">
        <v>2013</v>
      </c>
      <c r="O939" s="116">
        <v>1941</v>
      </c>
      <c r="P939" s="116">
        <v>1985</v>
      </c>
      <c r="Q939" s="116">
        <v>1979.95</v>
      </c>
      <c r="R939">
        <v>4700256</v>
      </c>
    </row>
    <row r="940" spans="1:18" x14ac:dyDescent="0.25">
      <c r="A940" s="170">
        <v>43385</v>
      </c>
      <c r="B940" s="116">
        <v>1990</v>
      </c>
      <c r="C940" s="116">
        <v>1918.4</v>
      </c>
      <c r="D940" s="116">
        <v>1904.8</v>
      </c>
      <c r="E940" s="116">
        <v>1990</v>
      </c>
      <c r="F940" s="116">
        <v>1918.4</v>
      </c>
      <c r="G940">
        <v>650422</v>
      </c>
      <c r="H940" s="116"/>
      <c r="I940" s="116"/>
      <c r="L940" s="170">
        <v>43385</v>
      </c>
      <c r="M940" s="116">
        <v>1918.3</v>
      </c>
      <c r="N940" s="116">
        <v>1978</v>
      </c>
      <c r="O940" s="116">
        <v>1903</v>
      </c>
      <c r="P940" s="116">
        <v>1978</v>
      </c>
      <c r="Q940" s="116">
        <v>1918.3</v>
      </c>
      <c r="R940">
        <v>9373289</v>
      </c>
    </row>
    <row r="941" spans="1:18" x14ac:dyDescent="0.25">
      <c r="A941" s="170">
        <v>43388</v>
      </c>
      <c r="B941" s="116">
        <v>1955</v>
      </c>
      <c r="C941" s="116">
        <v>1949.15</v>
      </c>
      <c r="D941" s="116">
        <v>1921.7</v>
      </c>
      <c r="E941" s="116">
        <v>1937</v>
      </c>
      <c r="F941" s="116">
        <v>1949.15</v>
      </c>
      <c r="G941">
        <v>174014</v>
      </c>
      <c r="H941" s="116"/>
      <c r="I941" s="116"/>
      <c r="L941" s="170">
        <v>43388</v>
      </c>
      <c r="M941" s="116">
        <v>1949.5</v>
      </c>
      <c r="N941" s="116">
        <v>1955.55</v>
      </c>
      <c r="O941" s="116">
        <v>1920</v>
      </c>
      <c r="P941" s="116">
        <v>1940</v>
      </c>
      <c r="Q941" s="116">
        <v>1949.5</v>
      </c>
      <c r="R941">
        <v>2638151</v>
      </c>
    </row>
    <row r="942" spans="1:18" x14ac:dyDescent="0.25">
      <c r="A942" s="170">
        <v>43389</v>
      </c>
      <c r="B942" s="116">
        <v>1969.15</v>
      </c>
      <c r="C942" s="116">
        <v>1961.7</v>
      </c>
      <c r="D942" s="116">
        <v>1935</v>
      </c>
      <c r="E942" s="116">
        <v>1955</v>
      </c>
      <c r="F942" s="116">
        <v>1961.7</v>
      </c>
      <c r="G942">
        <v>168016</v>
      </c>
      <c r="H942" s="116"/>
      <c r="I942" s="116"/>
      <c r="L942" s="170">
        <v>43389</v>
      </c>
      <c r="M942" s="116">
        <v>1962.3</v>
      </c>
      <c r="N942" s="116">
        <v>1971.9</v>
      </c>
      <c r="O942" s="116">
        <v>1935</v>
      </c>
      <c r="P942" s="116">
        <v>1958</v>
      </c>
      <c r="Q942" s="116">
        <v>1962.3</v>
      </c>
      <c r="R942">
        <v>2815425</v>
      </c>
    </row>
    <row r="943" spans="1:18" x14ac:dyDescent="0.25">
      <c r="A943" s="170">
        <v>43390</v>
      </c>
      <c r="B943" s="116">
        <v>1988.95</v>
      </c>
      <c r="C943" s="116">
        <v>1927.7</v>
      </c>
      <c r="D943" s="116">
        <v>1920.1</v>
      </c>
      <c r="E943" s="116">
        <v>1974.5</v>
      </c>
      <c r="F943" s="116">
        <v>1927.7</v>
      </c>
      <c r="G943">
        <v>306638</v>
      </c>
      <c r="H943" s="116"/>
      <c r="I943" s="116"/>
      <c r="L943" s="170">
        <v>43390</v>
      </c>
      <c r="M943" s="116">
        <v>1929.4</v>
      </c>
      <c r="N943" s="116">
        <v>1989</v>
      </c>
      <c r="O943" s="116">
        <v>1920</v>
      </c>
      <c r="P943" s="116">
        <v>1970</v>
      </c>
      <c r="Q943" s="116">
        <v>1929.4</v>
      </c>
      <c r="R943">
        <v>2779207</v>
      </c>
    </row>
    <row r="944" spans="1:18" x14ac:dyDescent="0.25">
      <c r="A944" s="170">
        <v>43392</v>
      </c>
      <c r="B944" s="116">
        <v>1940</v>
      </c>
      <c r="C944" s="116">
        <v>1917.05</v>
      </c>
      <c r="D944" s="116">
        <v>1872.2</v>
      </c>
      <c r="E944" s="116">
        <v>1940</v>
      </c>
      <c r="F944" s="116">
        <v>1917.05</v>
      </c>
      <c r="G944">
        <v>123953</v>
      </c>
      <c r="H944" s="116"/>
      <c r="I944" s="116"/>
      <c r="L944" s="170">
        <v>43392</v>
      </c>
      <c r="M944" s="116">
        <v>1913.2</v>
      </c>
      <c r="N944" s="116">
        <v>1929</v>
      </c>
      <c r="O944" s="116">
        <v>1870.05</v>
      </c>
      <c r="P944" s="116">
        <v>1929</v>
      </c>
      <c r="Q944" s="116">
        <v>1913.2</v>
      </c>
      <c r="R944">
        <v>3428776</v>
      </c>
    </row>
    <row r="945" spans="1:18" x14ac:dyDescent="0.25">
      <c r="A945" s="170">
        <v>43395</v>
      </c>
      <c r="B945" s="116">
        <v>1919.5</v>
      </c>
      <c r="C945" s="116">
        <v>1902.15</v>
      </c>
      <c r="D945" s="116">
        <v>1888.45</v>
      </c>
      <c r="E945" s="116">
        <v>1918</v>
      </c>
      <c r="F945" s="116">
        <v>1902.15</v>
      </c>
      <c r="G945">
        <v>55237</v>
      </c>
      <c r="H945" s="116"/>
      <c r="I945" s="116"/>
      <c r="L945" s="170">
        <v>43395</v>
      </c>
      <c r="M945" s="116">
        <v>1903</v>
      </c>
      <c r="N945" s="116">
        <v>1916</v>
      </c>
      <c r="O945" s="116">
        <v>1886.95</v>
      </c>
      <c r="P945" s="116">
        <v>1914</v>
      </c>
      <c r="Q945" s="116">
        <v>1903</v>
      </c>
      <c r="R945">
        <v>1778496</v>
      </c>
    </row>
    <row r="946" spans="1:18" x14ac:dyDescent="0.25">
      <c r="A946" s="170">
        <v>43396</v>
      </c>
      <c r="B946" s="116">
        <v>1896.5</v>
      </c>
      <c r="C946" s="116">
        <v>1844.15</v>
      </c>
      <c r="D946" s="116">
        <v>1836.8</v>
      </c>
      <c r="E946" s="116">
        <v>1890</v>
      </c>
      <c r="F946" s="116">
        <v>1844.15</v>
      </c>
      <c r="G946">
        <v>114276</v>
      </c>
      <c r="H946" s="116"/>
      <c r="I946" s="116"/>
      <c r="L946" s="170">
        <v>43396</v>
      </c>
      <c r="M946" s="116">
        <v>1843.65</v>
      </c>
      <c r="N946" s="116">
        <v>1898</v>
      </c>
      <c r="O946" s="116">
        <v>1837</v>
      </c>
      <c r="P946" s="116">
        <v>1888</v>
      </c>
      <c r="Q946" s="116">
        <v>1843.65</v>
      </c>
      <c r="R946">
        <v>2752811</v>
      </c>
    </row>
    <row r="947" spans="1:18" x14ac:dyDescent="0.25">
      <c r="A947" s="170">
        <v>43397</v>
      </c>
      <c r="B947" s="116">
        <v>1871.8</v>
      </c>
      <c r="C947" s="116">
        <v>1851.5</v>
      </c>
      <c r="D947" s="116">
        <v>1812</v>
      </c>
      <c r="E947" s="116">
        <v>1858</v>
      </c>
      <c r="F947" s="116">
        <v>1851.5</v>
      </c>
      <c r="G947">
        <v>172568</v>
      </c>
      <c r="H947" s="116"/>
      <c r="I947" s="116"/>
      <c r="L947" s="170">
        <v>43397</v>
      </c>
      <c r="M947" s="116">
        <v>1848.5</v>
      </c>
      <c r="N947" s="116">
        <v>1874</v>
      </c>
      <c r="O947" s="116">
        <v>1811.1</v>
      </c>
      <c r="P947" s="116">
        <v>1852.05</v>
      </c>
      <c r="Q947" s="116">
        <v>1848.5</v>
      </c>
      <c r="R947">
        <v>2735913</v>
      </c>
    </row>
    <row r="948" spans="1:18" x14ac:dyDescent="0.25">
      <c r="A948" s="170">
        <v>43398</v>
      </c>
      <c r="B948" s="116">
        <v>1875.45</v>
      </c>
      <c r="C948" s="116">
        <v>1852.65</v>
      </c>
      <c r="D948" s="116">
        <v>1825.5</v>
      </c>
      <c r="E948" s="116">
        <v>1845</v>
      </c>
      <c r="F948" s="116">
        <v>1852.65</v>
      </c>
      <c r="G948">
        <v>90640</v>
      </c>
      <c r="H948" s="116"/>
      <c r="I948" s="116"/>
      <c r="L948" s="170">
        <v>43398</v>
      </c>
      <c r="M948" s="116">
        <v>1853</v>
      </c>
      <c r="N948" s="116">
        <v>1876.9</v>
      </c>
      <c r="O948" s="116">
        <v>1825.05</v>
      </c>
      <c r="P948" s="116">
        <v>1844</v>
      </c>
      <c r="Q948" s="116">
        <v>1853</v>
      </c>
      <c r="R948">
        <v>2507233</v>
      </c>
    </row>
    <row r="949" spans="1:18" x14ac:dyDescent="0.25">
      <c r="A949" s="170">
        <v>43399</v>
      </c>
      <c r="B949" s="116">
        <v>1858</v>
      </c>
      <c r="C949" s="116">
        <v>1799.6</v>
      </c>
      <c r="D949" s="116">
        <v>1791.3</v>
      </c>
      <c r="E949" s="116">
        <v>1857.8</v>
      </c>
      <c r="F949" s="116">
        <v>1799.6</v>
      </c>
      <c r="G949">
        <v>167785</v>
      </c>
      <c r="H949" s="116"/>
      <c r="I949" s="116"/>
      <c r="L949" s="170">
        <v>43399</v>
      </c>
      <c r="M949" s="116">
        <v>1799.1</v>
      </c>
      <c r="N949" s="116">
        <v>1853.9</v>
      </c>
      <c r="O949" s="116">
        <v>1791.1</v>
      </c>
      <c r="P949" s="116">
        <v>1853.9</v>
      </c>
      <c r="Q949" s="116">
        <v>1799.1</v>
      </c>
      <c r="R949">
        <v>2285970</v>
      </c>
    </row>
    <row r="950" spans="1:18" x14ac:dyDescent="0.25">
      <c r="A950" s="170">
        <v>43402</v>
      </c>
      <c r="B950" s="116">
        <v>1878</v>
      </c>
      <c r="C950" s="116">
        <v>1869.75</v>
      </c>
      <c r="D950" s="116">
        <v>1784</v>
      </c>
      <c r="E950" s="116">
        <v>1810</v>
      </c>
      <c r="F950" s="116">
        <v>1869.75</v>
      </c>
      <c r="G950">
        <v>140665</v>
      </c>
      <c r="H950" s="116"/>
      <c r="I950" s="116"/>
      <c r="L950" s="170">
        <v>43402</v>
      </c>
      <c r="M950" s="116">
        <v>1871</v>
      </c>
      <c r="N950" s="116">
        <v>1877.95</v>
      </c>
      <c r="O950" s="116">
        <v>1784.35</v>
      </c>
      <c r="P950" s="116">
        <v>1808.7</v>
      </c>
      <c r="Q950" s="116">
        <v>1871</v>
      </c>
      <c r="R950">
        <v>2609483</v>
      </c>
    </row>
    <row r="951" spans="1:18" x14ac:dyDescent="0.25">
      <c r="A951" s="170">
        <v>43403</v>
      </c>
      <c r="B951" s="116">
        <v>1909</v>
      </c>
      <c r="C951" s="116">
        <v>1895.4</v>
      </c>
      <c r="D951" s="116">
        <v>1846.55</v>
      </c>
      <c r="E951" s="116">
        <v>1866.95</v>
      </c>
      <c r="F951" s="116">
        <v>1895.4</v>
      </c>
      <c r="G951">
        <v>143803</v>
      </c>
      <c r="H951" s="116"/>
      <c r="I951" s="116"/>
      <c r="L951" s="170">
        <v>43403</v>
      </c>
      <c r="M951" s="116">
        <v>1894.8</v>
      </c>
      <c r="N951" s="116">
        <v>1909.4</v>
      </c>
      <c r="O951" s="116">
        <v>1845</v>
      </c>
      <c r="P951" s="116">
        <v>1867</v>
      </c>
      <c r="Q951" s="116">
        <v>1894.8</v>
      </c>
      <c r="R951">
        <v>2404883</v>
      </c>
    </row>
    <row r="952" spans="1:18" x14ac:dyDescent="0.25">
      <c r="A952" s="170">
        <v>43404</v>
      </c>
      <c r="B952" s="116">
        <v>1944.6</v>
      </c>
      <c r="C952" s="116">
        <v>1937.6</v>
      </c>
      <c r="D952" s="116">
        <v>1878.65</v>
      </c>
      <c r="E952" s="116">
        <v>1904.4</v>
      </c>
      <c r="F952" s="116">
        <v>1937.6</v>
      </c>
      <c r="G952">
        <v>136726</v>
      </c>
      <c r="H952" s="116"/>
      <c r="I952" s="116"/>
      <c r="L952" s="170">
        <v>43404</v>
      </c>
      <c r="M952" s="116">
        <v>1938.15</v>
      </c>
      <c r="N952" s="116">
        <v>1943.9</v>
      </c>
      <c r="O952" s="116">
        <v>1875.45</v>
      </c>
      <c r="P952" s="116">
        <v>1900</v>
      </c>
      <c r="Q952" s="116">
        <v>1938.15</v>
      </c>
      <c r="R952">
        <v>2769190</v>
      </c>
    </row>
    <row r="953" spans="1:18" x14ac:dyDescent="0.25">
      <c r="A953" s="170">
        <v>43405</v>
      </c>
      <c r="B953" s="116">
        <v>1950</v>
      </c>
      <c r="C953" s="116">
        <v>1934.6</v>
      </c>
      <c r="D953" s="116">
        <v>1902.55</v>
      </c>
      <c r="E953" s="116">
        <v>1940.1</v>
      </c>
      <c r="F953" s="116">
        <v>1934.6</v>
      </c>
      <c r="G953">
        <v>98198</v>
      </c>
      <c r="H953" s="116"/>
      <c r="I953" s="116"/>
      <c r="L953" s="170">
        <v>43405</v>
      </c>
      <c r="M953" s="116">
        <v>1935.75</v>
      </c>
      <c r="N953" s="116">
        <v>1944.35</v>
      </c>
      <c r="O953" s="116">
        <v>1901.3</v>
      </c>
      <c r="P953" s="116">
        <v>1943.65</v>
      </c>
      <c r="Q953" s="116">
        <v>1935.75</v>
      </c>
      <c r="R953">
        <v>2769759</v>
      </c>
    </row>
    <row r="954" spans="1:18" x14ac:dyDescent="0.25">
      <c r="A954" s="170">
        <v>43406</v>
      </c>
      <c r="B954" s="116">
        <v>1953.5</v>
      </c>
      <c r="C954" s="116">
        <v>1909.8</v>
      </c>
      <c r="D954" s="116">
        <v>1905.75</v>
      </c>
      <c r="E954" s="116">
        <v>1935.8</v>
      </c>
      <c r="F954" s="116">
        <v>1909.8</v>
      </c>
      <c r="G954">
        <v>132521</v>
      </c>
      <c r="H954" s="116"/>
      <c r="I954" s="116"/>
      <c r="L954" s="170">
        <v>43406</v>
      </c>
      <c r="M954" s="116">
        <v>1913.45</v>
      </c>
      <c r="N954" s="116">
        <v>1954.6</v>
      </c>
      <c r="O954" s="116">
        <v>1905</v>
      </c>
      <c r="P954" s="116">
        <v>1934.2</v>
      </c>
      <c r="Q954" s="116">
        <v>1913.45</v>
      </c>
      <c r="R954">
        <v>1818635</v>
      </c>
    </row>
    <row r="955" spans="1:18" x14ac:dyDescent="0.25">
      <c r="A955" s="170">
        <v>43409</v>
      </c>
      <c r="B955" s="116">
        <v>1926.7</v>
      </c>
      <c r="C955" s="116">
        <v>1889.95</v>
      </c>
      <c r="D955" s="116">
        <v>1885</v>
      </c>
      <c r="E955" s="116">
        <v>1914</v>
      </c>
      <c r="F955" s="116">
        <v>1889.95</v>
      </c>
      <c r="G955">
        <v>89179</v>
      </c>
      <c r="H955" s="116"/>
      <c r="I955" s="116"/>
      <c r="L955" s="170">
        <v>43409</v>
      </c>
      <c r="M955" s="116">
        <v>1890.85</v>
      </c>
      <c r="N955" s="116">
        <v>1927.35</v>
      </c>
      <c r="O955" s="116">
        <v>1884.75</v>
      </c>
      <c r="P955" s="116">
        <v>1910</v>
      </c>
      <c r="Q955" s="116">
        <v>1890.85</v>
      </c>
      <c r="R955">
        <v>1713366</v>
      </c>
    </row>
    <row r="956" spans="1:18" x14ac:dyDescent="0.25">
      <c r="A956" s="170">
        <v>43410</v>
      </c>
      <c r="B956" s="116">
        <v>1936</v>
      </c>
      <c r="C956" s="116">
        <v>1931.95</v>
      </c>
      <c r="D956" s="116">
        <v>1890</v>
      </c>
      <c r="E956" s="116">
        <v>1891</v>
      </c>
      <c r="F956" s="116">
        <v>1931.95</v>
      </c>
      <c r="G956">
        <v>94811</v>
      </c>
      <c r="H956" s="116"/>
      <c r="I956" s="116"/>
      <c r="L956" s="170">
        <v>43410</v>
      </c>
      <c r="M956" s="116">
        <v>1932.7</v>
      </c>
      <c r="N956" s="116">
        <v>1937.5</v>
      </c>
      <c r="O956" s="116">
        <v>1891</v>
      </c>
      <c r="P956" s="116">
        <v>1894</v>
      </c>
      <c r="Q956" s="116">
        <v>1932.7</v>
      </c>
      <c r="R956">
        <v>1398710</v>
      </c>
    </row>
    <row r="957" spans="1:18" x14ac:dyDescent="0.25">
      <c r="A957" s="170">
        <v>43411</v>
      </c>
      <c r="B957" s="116">
        <v>1950.35</v>
      </c>
      <c r="C957" s="116">
        <v>1942.8</v>
      </c>
      <c r="D957" s="116">
        <v>1935</v>
      </c>
      <c r="E957" s="116">
        <v>1948</v>
      </c>
      <c r="F957" s="116">
        <v>1942.8</v>
      </c>
      <c r="G957">
        <v>24436</v>
      </c>
      <c r="H957" s="116"/>
      <c r="I957" s="116"/>
      <c r="L957" s="170">
        <v>43411</v>
      </c>
      <c r="M957" s="116">
        <v>1942.15</v>
      </c>
      <c r="N957" s="116">
        <v>1949</v>
      </c>
      <c r="O957" s="116">
        <v>1937</v>
      </c>
      <c r="P957" s="116">
        <v>1940</v>
      </c>
      <c r="Q957" s="116">
        <v>1942.15</v>
      </c>
      <c r="R957">
        <v>144530</v>
      </c>
    </row>
    <row r="958" spans="1:18" x14ac:dyDescent="0.25">
      <c r="A958" s="170">
        <v>43413</v>
      </c>
      <c r="B958" s="116">
        <v>1962.95</v>
      </c>
      <c r="C958" s="116">
        <v>1909.8</v>
      </c>
      <c r="D958" s="116">
        <v>1904</v>
      </c>
      <c r="E958" s="116">
        <v>1955</v>
      </c>
      <c r="F958" s="116">
        <v>1909.8</v>
      </c>
      <c r="G958">
        <v>70524</v>
      </c>
      <c r="H958" s="116"/>
      <c r="I958" s="116"/>
      <c r="L958" s="170">
        <v>43413</v>
      </c>
      <c r="M958" s="116">
        <v>1909.2</v>
      </c>
      <c r="N958" s="116">
        <v>1961.95</v>
      </c>
      <c r="O958" s="116">
        <v>1905</v>
      </c>
      <c r="P958" s="116">
        <v>1961</v>
      </c>
      <c r="Q958" s="116">
        <v>1909.2</v>
      </c>
      <c r="R958">
        <v>2570479</v>
      </c>
    </row>
    <row r="959" spans="1:18" x14ac:dyDescent="0.25">
      <c r="A959" s="170">
        <v>43416</v>
      </c>
      <c r="B959" s="116">
        <v>1944.85</v>
      </c>
      <c r="C959" s="116">
        <v>1915.9</v>
      </c>
      <c r="D959" s="116">
        <v>1909.8</v>
      </c>
      <c r="E959" s="116">
        <v>1910</v>
      </c>
      <c r="F959" s="116">
        <v>1915.9</v>
      </c>
      <c r="G959">
        <v>80898</v>
      </c>
      <c r="H959" s="116"/>
      <c r="I959" s="116"/>
      <c r="L959" s="170">
        <v>43416</v>
      </c>
      <c r="M959" s="116">
        <v>1914.85</v>
      </c>
      <c r="N959" s="116">
        <v>1946.1</v>
      </c>
      <c r="O959" s="116">
        <v>1908.5</v>
      </c>
      <c r="P959" s="116">
        <v>1908.5</v>
      </c>
      <c r="Q959" s="116">
        <v>1914.85</v>
      </c>
      <c r="R959">
        <v>2552008</v>
      </c>
    </row>
    <row r="960" spans="1:18" x14ac:dyDescent="0.25">
      <c r="A960" s="170">
        <v>43417</v>
      </c>
      <c r="B960" s="116">
        <v>1939.8</v>
      </c>
      <c r="C960" s="116">
        <v>1935.8</v>
      </c>
      <c r="D960" s="116">
        <v>1903.05</v>
      </c>
      <c r="E960" s="116">
        <v>1925</v>
      </c>
      <c r="F960" s="116">
        <v>1935.8</v>
      </c>
      <c r="G960">
        <v>46465</v>
      </c>
      <c r="H960" s="116"/>
      <c r="I960" s="116"/>
      <c r="L960" s="170">
        <v>43417</v>
      </c>
      <c r="M960" s="116">
        <v>1934.95</v>
      </c>
      <c r="N960" s="116">
        <v>1939</v>
      </c>
      <c r="O960" s="116">
        <v>1903</v>
      </c>
      <c r="P960" s="116">
        <v>1915</v>
      </c>
      <c r="Q960" s="116">
        <v>1934.95</v>
      </c>
      <c r="R960">
        <v>1418432</v>
      </c>
    </row>
    <row r="961" spans="1:18" x14ac:dyDescent="0.25">
      <c r="A961" s="170">
        <v>43418</v>
      </c>
      <c r="B961" s="116">
        <v>1935.9</v>
      </c>
      <c r="C961" s="116">
        <v>1880.55</v>
      </c>
      <c r="D961" s="116">
        <v>1872.5</v>
      </c>
      <c r="E961" s="116">
        <v>1935.9</v>
      </c>
      <c r="F961" s="116">
        <v>1880.55</v>
      </c>
      <c r="G961">
        <v>150552</v>
      </c>
      <c r="H961" s="116"/>
      <c r="I961" s="116"/>
      <c r="L961" s="170">
        <v>43418</v>
      </c>
      <c r="M961" s="116">
        <v>1880.65</v>
      </c>
      <c r="N961" s="116">
        <v>1929.9</v>
      </c>
      <c r="O961" s="116">
        <v>1870</v>
      </c>
      <c r="P961" s="116">
        <v>1925</v>
      </c>
      <c r="Q961" s="116">
        <v>1880.65</v>
      </c>
      <c r="R961">
        <v>2422318</v>
      </c>
    </row>
    <row r="962" spans="1:18" x14ac:dyDescent="0.25">
      <c r="A962" s="170">
        <v>43419</v>
      </c>
      <c r="B962" s="116">
        <v>1898.95</v>
      </c>
      <c r="C962" s="116">
        <v>1865.5</v>
      </c>
      <c r="D962" s="116">
        <v>1860</v>
      </c>
      <c r="E962" s="116">
        <v>1869</v>
      </c>
      <c r="F962" s="116">
        <v>1865.5</v>
      </c>
      <c r="G962">
        <v>367665</v>
      </c>
      <c r="H962" s="116"/>
      <c r="I962" s="116"/>
      <c r="L962" s="170">
        <v>43419</v>
      </c>
      <c r="M962" s="116">
        <v>1872.85</v>
      </c>
      <c r="N962" s="116">
        <v>1899</v>
      </c>
      <c r="O962" s="116">
        <v>1857.6</v>
      </c>
      <c r="P962" s="116">
        <v>1864</v>
      </c>
      <c r="Q962" s="116">
        <v>1872.85</v>
      </c>
      <c r="R962">
        <v>1829123</v>
      </c>
    </row>
    <row r="963" spans="1:18" x14ac:dyDescent="0.25">
      <c r="A963" s="170">
        <v>43420</v>
      </c>
      <c r="B963" s="116">
        <v>1898.55</v>
      </c>
      <c r="C963" s="116">
        <v>1882.25</v>
      </c>
      <c r="D963" s="116">
        <v>1868</v>
      </c>
      <c r="E963" s="116">
        <v>1889.9</v>
      </c>
      <c r="F963" s="116">
        <v>1882.25</v>
      </c>
      <c r="G963">
        <v>315475</v>
      </c>
      <c r="H963" s="116"/>
      <c r="I963" s="116"/>
      <c r="L963" s="170">
        <v>43420</v>
      </c>
      <c r="M963" s="116">
        <v>1886.6</v>
      </c>
      <c r="N963" s="116">
        <v>1899.8</v>
      </c>
      <c r="O963" s="116">
        <v>1870.25</v>
      </c>
      <c r="P963" s="116">
        <v>1889</v>
      </c>
      <c r="Q963" s="116">
        <v>1886.6</v>
      </c>
      <c r="R963">
        <v>1829729</v>
      </c>
    </row>
    <row r="964" spans="1:18" x14ac:dyDescent="0.25">
      <c r="A964" s="170">
        <v>43423</v>
      </c>
      <c r="B964" s="116">
        <v>1907</v>
      </c>
      <c r="C964" s="116">
        <v>1902.05</v>
      </c>
      <c r="D964" s="116">
        <v>1867.5</v>
      </c>
      <c r="E964" s="116">
        <v>1896</v>
      </c>
      <c r="F964" s="116">
        <v>1902.05</v>
      </c>
      <c r="G964">
        <v>62108</v>
      </c>
      <c r="H964" s="116"/>
      <c r="I964" s="116"/>
      <c r="L964" s="170">
        <v>43423</v>
      </c>
      <c r="M964" s="116">
        <v>1902.45</v>
      </c>
      <c r="N964" s="116">
        <v>1907.35</v>
      </c>
      <c r="O964" s="116">
        <v>1864.3</v>
      </c>
      <c r="P964" s="116">
        <v>1899</v>
      </c>
      <c r="Q964" s="116">
        <v>1902.45</v>
      </c>
      <c r="R964">
        <v>1740628</v>
      </c>
    </row>
    <row r="965" spans="1:18" x14ac:dyDescent="0.25">
      <c r="A965" s="170">
        <v>43424</v>
      </c>
      <c r="B965" s="116">
        <v>1905.95</v>
      </c>
      <c r="C965" s="116">
        <v>1877.75</v>
      </c>
      <c r="D965" s="116">
        <v>1875.1</v>
      </c>
      <c r="E965" s="116">
        <v>1903</v>
      </c>
      <c r="F965" s="116">
        <v>1877.75</v>
      </c>
      <c r="G965">
        <v>67206</v>
      </c>
      <c r="H965" s="116"/>
      <c r="I965" s="116"/>
      <c r="L965" s="170">
        <v>43424</v>
      </c>
      <c r="M965" s="116">
        <v>1878.25</v>
      </c>
      <c r="N965" s="116">
        <v>1902</v>
      </c>
      <c r="O965" s="116">
        <v>1874.2</v>
      </c>
      <c r="P965" s="116">
        <v>1902</v>
      </c>
      <c r="Q965" s="116">
        <v>1878.25</v>
      </c>
      <c r="R965">
        <v>1190182</v>
      </c>
    </row>
    <row r="966" spans="1:18" x14ac:dyDescent="0.25">
      <c r="A966" s="170">
        <v>43425</v>
      </c>
      <c r="B966" s="116">
        <v>1873.05</v>
      </c>
      <c r="C966" s="116">
        <v>1811.75</v>
      </c>
      <c r="D966" s="116">
        <v>1802</v>
      </c>
      <c r="E966" s="116">
        <v>1873</v>
      </c>
      <c r="F966" s="116">
        <v>1811.75</v>
      </c>
      <c r="G966">
        <v>452436</v>
      </c>
      <c r="H966" s="116"/>
      <c r="I966" s="116"/>
      <c r="L966" s="170">
        <v>43425</v>
      </c>
      <c r="M966" s="116">
        <v>1812</v>
      </c>
      <c r="N966" s="116">
        <v>1871.05</v>
      </c>
      <c r="O966" s="116">
        <v>1798.55</v>
      </c>
      <c r="P966" s="116">
        <v>1871</v>
      </c>
      <c r="Q966" s="116">
        <v>1812</v>
      </c>
      <c r="R966">
        <v>3840461</v>
      </c>
    </row>
    <row r="967" spans="1:18" x14ac:dyDescent="0.25">
      <c r="A967" s="170">
        <v>43426</v>
      </c>
      <c r="B967" s="116">
        <v>1847.1</v>
      </c>
      <c r="C967" s="116">
        <v>1815.25</v>
      </c>
      <c r="D967" s="116">
        <v>1810.4</v>
      </c>
      <c r="E967" s="116">
        <v>1822.45</v>
      </c>
      <c r="F967" s="116">
        <v>1815.25</v>
      </c>
      <c r="G967">
        <v>157701</v>
      </c>
      <c r="H967" s="116"/>
      <c r="I967" s="116"/>
      <c r="L967" s="170">
        <v>43426</v>
      </c>
      <c r="M967" s="116">
        <v>1812.55</v>
      </c>
      <c r="N967" s="116">
        <v>1847.6</v>
      </c>
      <c r="O967" s="116">
        <v>1809.95</v>
      </c>
      <c r="P967" s="116">
        <v>1820</v>
      </c>
      <c r="Q967" s="116">
        <v>1812.55</v>
      </c>
      <c r="R967">
        <v>3194219</v>
      </c>
    </row>
    <row r="968" spans="1:18" x14ac:dyDescent="0.25">
      <c r="A968" s="170">
        <v>43430</v>
      </c>
      <c r="B968" s="116">
        <v>1859.5</v>
      </c>
      <c r="C968" s="116">
        <v>1846.1</v>
      </c>
      <c r="D968" s="116">
        <v>1787</v>
      </c>
      <c r="E968" s="116">
        <v>1822.9</v>
      </c>
      <c r="F968" s="116">
        <v>1846.1</v>
      </c>
      <c r="G968">
        <v>171396</v>
      </c>
      <c r="H968" s="116"/>
      <c r="I968" s="116"/>
      <c r="L968" s="170">
        <v>43430</v>
      </c>
      <c r="M968" s="116">
        <v>1846.1</v>
      </c>
      <c r="N968" s="116">
        <v>1860</v>
      </c>
      <c r="O968" s="116">
        <v>1784.5</v>
      </c>
      <c r="P968" s="116">
        <v>1819</v>
      </c>
      <c r="Q968" s="116">
        <v>1846.1</v>
      </c>
      <c r="R968">
        <v>4333177</v>
      </c>
    </row>
    <row r="969" spans="1:18" x14ac:dyDescent="0.25">
      <c r="A969" s="170">
        <v>43431</v>
      </c>
      <c r="B969" s="116">
        <v>1893.5</v>
      </c>
      <c r="C969" s="116">
        <v>1888.35</v>
      </c>
      <c r="D969" s="116">
        <v>1834.6</v>
      </c>
      <c r="E969" s="116">
        <v>1865</v>
      </c>
      <c r="F969" s="116">
        <v>1888.35</v>
      </c>
      <c r="G969">
        <v>130220</v>
      </c>
      <c r="H969" s="116"/>
      <c r="I969" s="116"/>
      <c r="L969" s="170">
        <v>43431</v>
      </c>
      <c r="M969" s="116">
        <v>1890.25</v>
      </c>
      <c r="N969" s="116">
        <v>1897.9</v>
      </c>
      <c r="O969" s="116">
        <v>1835.35</v>
      </c>
      <c r="P969" s="116">
        <v>1854</v>
      </c>
      <c r="Q969" s="116">
        <v>1890.25</v>
      </c>
      <c r="R969">
        <v>3344839</v>
      </c>
    </row>
    <row r="970" spans="1:18" x14ac:dyDescent="0.25">
      <c r="A970" s="170">
        <v>43432</v>
      </c>
      <c r="B970" s="116">
        <v>1982.15</v>
      </c>
      <c r="C970" s="116">
        <v>1976.55</v>
      </c>
      <c r="D970" s="116">
        <v>1883.9</v>
      </c>
      <c r="E970" s="116">
        <v>1897</v>
      </c>
      <c r="F970" s="116">
        <v>1976.55</v>
      </c>
      <c r="G970">
        <v>778970</v>
      </c>
      <c r="H970" s="116"/>
      <c r="I970" s="116"/>
      <c r="L970" s="170">
        <v>43432</v>
      </c>
      <c r="M970" s="116">
        <v>1983.9</v>
      </c>
      <c r="N970" s="116">
        <v>1989</v>
      </c>
      <c r="O970" s="116">
        <v>1882.5</v>
      </c>
      <c r="P970" s="116">
        <v>1889</v>
      </c>
      <c r="Q970" s="116">
        <v>1983.9</v>
      </c>
      <c r="R970">
        <v>5313249</v>
      </c>
    </row>
    <row r="971" spans="1:18" x14ac:dyDescent="0.25">
      <c r="A971" s="170">
        <v>43433</v>
      </c>
      <c r="B971" s="116">
        <v>2000</v>
      </c>
      <c r="C971" s="116">
        <v>1959.45</v>
      </c>
      <c r="D971" s="116">
        <v>1943.65</v>
      </c>
      <c r="E971" s="116">
        <v>2000</v>
      </c>
      <c r="F971" s="116">
        <v>1959.45</v>
      </c>
      <c r="G971">
        <v>193279</v>
      </c>
      <c r="H971" s="116"/>
      <c r="I971" s="116"/>
      <c r="L971" s="170">
        <v>43433</v>
      </c>
      <c r="M971" s="116">
        <v>1960.55</v>
      </c>
      <c r="N971" s="116">
        <v>1997</v>
      </c>
      <c r="O971" s="116">
        <v>1942.55</v>
      </c>
      <c r="P971" s="116">
        <v>1997</v>
      </c>
      <c r="Q971" s="116">
        <v>1960.55</v>
      </c>
      <c r="R971">
        <v>4035441</v>
      </c>
    </row>
    <row r="972" spans="1:18" x14ac:dyDescent="0.25">
      <c r="A972" s="170">
        <v>43434</v>
      </c>
      <c r="B972" s="116">
        <v>1989.4</v>
      </c>
      <c r="C972" s="116">
        <v>1970.6</v>
      </c>
      <c r="D972" s="116">
        <v>1960.25</v>
      </c>
      <c r="E972" s="116">
        <v>1960.25</v>
      </c>
      <c r="F972" s="116">
        <v>1970.6</v>
      </c>
      <c r="G972">
        <v>116167</v>
      </c>
      <c r="H972" s="116"/>
      <c r="I972" s="116"/>
      <c r="L972" s="170">
        <v>43434</v>
      </c>
      <c r="M972" s="116">
        <v>1968.25</v>
      </c>
      <c r="N972" s="116">
        <v>1991</v>
      </c>
      <c r="O972" s="116">
        <v>1959.85</v>
      </c>
      <c r="P972" s="116">
        <v>1966</v>
      </c>
      <c r="Q972" s="116">
        <v>1968.25</v>
      </c>
      <c r="R972">
        <v>5268901</v>
      </c>
    </row>
    <row r="973" spans="1:18" x14ac:dyDescent="0.25">
      <c r="A973" s="170">
        <v>43437</v>
      </c>
      <c r="B973" s="116">
        <v>1990</v>
      </c>
      <c r="C973" s="116">
        <v>1982.2</v>
      </c>
      <c r="D973" s="116">
        <v>1969.05</v>
      </c>
      <c r="E973" s="116">
        <v>1980.1</v>
      </c>
      <c r="F973" s="116">
        <v>1982.2</v>
      </c>
      <c r="G973">
        <v>73374</v>
      </c>
      <c r="H973" s="116"/>
      <c r="I973" s="116"/>
      <c r="L973" s="170">
        <v>43437</v>
      </c>
      <c r="M973" s="116">
        <v>1982.4</v>
      </c>
      <c r="N973" s="116">
        <v>1990</v>
      </c>
      <c r="O973" s="116">
        <v>1968.3</v>
      </c>
      <c r="P973" s="116">
        <v>1984</v>
      </c>
      <c r="Q973" s="116">
        <v>1982.4</v>
      </c>
      <c r="R973">
        <v>1610576</v>
      </c>
    </row>
    <row r="974" spans="1:18" x14ac:dyDescent="0.25">
      <c r="A974" s="170">
        <v>43438</v>
      </c>
      <c r="B974" s="116">
        <v>2019.3</v>
      </c>
      <c r="C974" s="116">
        <v>2009.4</v>
      </c>
      <c r="D974" s="116">
        <v>1971.5</v>
      </c>
      <c r="E974" s="116">
        <v>1983</v>
      </c>
      <c r="F974" s="116">
        <v>2009.4</v>
      </c>
      <c r="G974">
        <v>164306</v>
      </c>
      <c r="H974" s="116"/>
      <c r="I974" s="116"/>
      <c r="L974" s="170">
        <v>43438</v>
      </c>
      <c r="M974" s="116">
        <v>2010.85</v>
      </c>
      <c r="N974" s="116">
        <v>2019.4</v>
      </c>
      <c r="O974" s="116">
        <v>1971</v>
      </c>
      <c r="P974" s="116">
        <v>1983</v>
      </c>
      <c r="Q974" s="116">
        <v>2010.85</v>
      </c>
      <c r="R974">
        <v>3270615</v>
      </c>
    </row>
    <row r="975" spans="1:18" x14ac:dyDescent="0.25">
      <c r="A975" s="170">
        <v>43439</v>
      </c>
      <c r="B975" s="116">
        <v>2017.5</v>
      </c>
      <c r="C975" s="116">
        <v>2006.1</v>
      </c>
      <c r="D975" s="116">
        <v>1985</v>
      </c>
      <c r="E975" s="116">
        <v>2009.4</v>
      </c>
      <c r="F975" s="116">
        <v>2006.1</v>
      </c>
      <c r="G975">
        <v>127987</v>
      </c>
      <c r="H975" s="116"/>
      <c r="I975" s="116"/>
      <c r="L975" s="170">
        <v>43439</v>
      </c>
      <c r="M975" s="116">
        <v>2006.75</v>
      </c>
      <c r="N975" s="116">
        <v>2018</v>
      </c>
      <c r="O975" s="116">
        <v>1985</v>
      </c>
      <c r="P975" s="116">
        <v>2006</v>
      </c>
      <c r="Q975" s="116">
        <v>2006.75</v>
      </c>
      <c r="R975">
        <v>2501539</v>
      </c>
    </row>
    <row r="976" spans="1:18" x14ac:dyDescent="0.25">
      <c r="A976" s="170">
        <v>43440</v>
      </c>
      <c r="B976" s="116">
        <v>2017.95</v>
      </c>
      <c r="C976" s="116">
        <v>1991.75</v>
      </c>
      <c r="D976" s="116">
        <v>1981.25</v>
      </c>
      <c r="E976" s="116">
        <v>2000</v>
      </c>
      <c r="F976" s="116">
        <v>1991.75</v>
      </c>
      <c r="G976">
        <v>111506</v>
      </c>
      <c r="H976" s="116"/>
      <c r="I976" s="116"/>
      <c r="L976" s="170">
        <v>43440</v>
      </c>
      <c r="M976" s="116">
        <v>1992.7</v>
      </c>
      <c r="N976" s="116">
        <v>2017</v>
      </c>
      <c r="O976" s="116">
        <v>1979.6</v>
      </c>
      <c r="P976" s="116">
        <v>1998</v>
      </c>
      <c r="Q976" s="116">
        <v>1992.7</v>
      </c>
      <c r="R976">
        <v>2321216</v>
      </c>
    </row>
    <row r="977" spans="1:18" x14ac:dyDescent="0.25">
      <c r="A977" s="170">
        <v>43441</v>
      </c>
      <c r="B977" s="116">
        <v>2003.85</v>
      </c>
      <c r="C977" s="116">
        <v>1995.95</v>
      </c>
      <c r="D977" s="116">
        <v>1975</v>
      </c>
      <c r="E977" s="116">
        <v>1991.75</v>
      </c>
      <c r="F977" s="116">
        <v>1995.95</v>
      </c>
      <c r="G977">
        <v>101524</v>
      </c>
      <c r="H977" s="116"/>
      <c r="I977" s="116"/>
      <c r="L977" s="170">
        <v>43441</v>
      </c>
      <c r="M977" s="116">
        <v>1995.2</v>
      </c>
      <c r="N977" s="116">
        <v>2003.9</v>
      </c>
      <c r="O977" s="116">
        <v>1973</v>
      </c>
      <c r="P977" s="116">
        <v>1985.05</v>
      </c>
      <c r="Q977" s="116">
        <v>1995.2</v>
      </c>
      <c r="R977">
        <v>1680420</v>
      </c>
    </row>
    <row r="978" spans="1:18" x14ac:dyDescent="0.25">
      <c r="A978" s="170">
        <v>43444</v>
      </c>
      <c r="B978" s="116">
        <v>2009.9</v>
      </c>
      <c r="C978" s="116">
        <v>1974.9</v>
      </c>
      <c r="D978" s="116">
        <v>1962.05</v>
      </c>
      <c r="E978" s="116">
        <v>1979</v>
      </c>
      <c r="F978" s="116">
        <v>1974.9</v>
      </c>
      <c r="G978">
        <v>97246</v>
      </c>
      <c r="H978" s="116"/>
      <c r="I978" s="116"/>
      <c r="L978" s="170">
        <v>43444</v>
      </c>
      <c r="M978" s="116">
        <v>1975.8</v>
      </c>
      <c r="N978" s="116">
        <v>2011</v>
      </c>
      <c r="O978" s="116">
        <v>1960</v>
      </c>
      <c r="P978" s="116">
        <v>1975</v>
      </c>
      <c r="Q978" s="116">
        <v>1975.8</v>
      </c>
      <c r="R978">
        <v>2010786</v>
      </c>
    </row>
    <row r="979" spans="1:18" x14ac:dyDescent="0.25">
      <c r="A979" s="170">
        <v>43445</v>
      </c>
      <c r="B979" s="116">
        <v>2009.7</v>
      </c>
      <c r="C979" s="116">
        <v>1998.35</v>
      </c>
      <c r="D979" s="116">
        <v>1961.15</v>
      </c>
      <c r="E979" s="116">
        <v>1973.5</v>
      </c>
      <c r="F979" s="116">
        <v>1998.35</v>
      </c>
      <c r="G979">
        <v>100894</v>
      </c>
      <c r="H979" s="116"/>
      <c r="I979" s="116"/>
      <c r="L979" s="170">
        <v>43445</v>
      </c>
      <c r="M979" s="116">
        <v>2000</v>
      </c>
      <c r="N979" s="116">
        <v>2010</v>
      </c>
      <c r="O979" s="116">
        <v>1961</v>
      </c>
      <c r="P979" s="116">
        <v>1970</v>
      </c>
      <c r="Q979" s="116">
        <v>2000</v>
      </c>
      <c r="R979">
        <v>2942014</v>
      </c>
    </row>
    <row r="980" spans="1:18" x14ac:dyDescent="0.25">
      <c r="A980" s="170">
        <v>43446</v>
      </c>
      <c r="B980" s="116">
        <v>2022.05</v>
      </c>
      <c r="C980" s="116">
        <v>2018.7</v>
      </c>
      <c r="D980" s="116">
        <v>1987.1</v>
      </c>
      <c r="E980" s="116">
        <v>1998.35</v>
      </c>
      <c r="F980" s="116">
        <v>2018.7</v>
      </c>
      <c r="G980">
        <v>466804</v>
      </c>
      <c r="H980" s="116"/>
      <c r="I980" s="116"/>
      <c r="L980" s="170">
        <v>43446</v>
      </c>
      <c r="M980" s="116">
        <v>2016.8</v>
      </c>
      <c r="N980" s="116">
        <v>2022</v>
      </c>
      <c r="O980" s="116">
        <v>1984.95</v>
      </c>
      <c r="P980" s="116">
        <v>2001.1</v>
      </c>
      <c r="Q980" s="116">
        <v>2016.8</v>
      </c>
      <c r="R980">
        <v>2219993</v>
      </c>
    </row>
    <row r="981" spans="1:18" x14ac:dyDescent="0.25">
      <c r="A981" s="170">
        <v>43447</v>
      </c>
      <c r="B981" s="116">
        <v>2028.4</v>
      </c>
      <c r="C981" s="116">
        <v>1983.65</v>
      </c>
      <c r="D981" s="116">
        <v>1975</v>
      </c>
      <c r="E981" s="116">
        <v>2020</v>
      </c>
      <c r="F981" s="116">
        <v>1983.65</v>
      </c>
      <c r="G981">
        <v>157492</v>
      </c>
      <c r="H981" s="116"/>
      <c r="I981" s="116"/>
      <c r="L981" s="170">
        <v>43447</v>
      </c>
      <c r="M981" s="116">
        <v>1982.6</v>
      </c>
      <c r="N981" s="116">
        <v>2029.7</v>
      </c>
      <c r="O981" s="116">
        <v>1974.5</v>
      </c>
      <c r="P981" s="116">
        <v>2024</v>
      </c>
      <c r="Q981" s="116">
        <v>1982.6</v>
      </c>
      <c r="R981">
        <v>3748429</v>
      </c>
    </row>
    <row r="982" spans="1:18" x14ac:dyDescent="0.25">
      <c r="A982" s="170">
        <v>43448</v>
      </c>
      <c r="B982" s="116">
        <v>1995</v>
      </c>
      <c r="C982" s="116">
        <v>1989.25</v>
      </c>
      <c r="D982" s="116">
        <v>1975.65</v>
      </c>
      <c r="E982" s="116">
        <v>1995</v>
      </c>
      <c r="F982" s="116">
        <v>1989.25</v>
      </c>
      <c r="G982">
        <v>76627</v>
      </c>
      <c r="H982" s="116"/>
      <c r="I982" s="116"/>
      <c r="L982" s="170">
        <v>43448</v>
      </c>
      <c r="M982" s="116">
        <v>1989.75</v>
      </c>
      <c r="N982" s="116">
        <v>1998.95</v>
      </c>
      <c r="O982" s="116">
        <v>1975.25</v>
      </c>
      <c r="P982" s="116">
        <v>1983</v>
      </c>
      <c r="Q982" s="116">
        <v>1989.75</v>
      </c>
      <c r="R982">
        <v>2473761</v>
      </c>
    </row>
    <row r="983" spans="1:18" x14ac:dyDescent="0.25">
      <c r="A983" s="170">
        <v>43451</v>
      </c>
      <c r="B983" s="116">
        <v>2003</v>
      </c>
      <c r="C983" s="116">
        <v>1993.25</v>
      </c>
      <c r="D983" s="116">
        <v>1985.5</v>
      </c>
      <c r="E983" s="116">
        <v>1990.15</v>
      </c>
      <c r="F983" s="116">
        <v>1993.25</v>
      </c>
      <c r="G983">
        <v>62958</v>
      </c>
      <c r="H983" s="116"/>
      <c r="I983" s="116"/>
      <c r="L983" s="170">
        <v>43451</v>
      </c>
      <c r="M983" s="116">
        <v>1994.3</v>
      </c>
      <c r="N983" s="116">
        <v>2004.9</v>
      </c>
      <c r="O983" s="116">
        <v>1985</v>
      </c>
      <c r="P983" s="116">
        <v>1999</v>
      </c>
      <c r="Q983" s="116">
        <v>1994.3</v>
      </c>
      <c r="R983">
        <v>1227921</v>
      </c>
    </row>
    <row r="984" spans="1:18" x14ac:dyDescent="0.25">
      <c r="A984" s="170">
        <v>43452</v>
      </c>
      <c r="B984" s="116">
        <v>2001.95</v>
      </c>
      <c r="C984" s="116">
        <v>1987.7</v>
      </c>
      <c r="D984" s="116">
        <v>1975.1</v>
      </c>
      <c r="E984" s="116">
        <v>1999.5</v>
      </c>
      <c r="F984" s="116">
        <v>1987.7</v>
      </c>
      <c r="G984">
        <v>76444</v>
      </c>
      <c r="H984" s="116"/>
      <c r="I984" s="116"/>
      <c r="L984" s="170">
        <v>43452</v>
      </c>
      <c r="M984" s="116">
        <v>1987.85</v>
      </c>
      <c r="N984" s="116">
        <v>2002</v>
      </c>
      <c r="O984" s="116">
        <v>1976.4</v>
      </c>
      <c r="P984" s="116">
        <v>1991.9</v>
      </c>
      <c r="Q984" s="116">
        <v>1987.85</v>
      </c>
      <c r="R984">
        <v>1768742</v>
      </c>
    </row>
    <row r="985" spans="1:18" x14ac:dyDescent="0.25">
      <c r="A985" s="170">
        <v>43453</v>
      </c>
      <c r="B985" s="116">
        <v>1985</v>
      </c>
      <c r="C985" s="116">
        <v>1967.2</v>
      </c>
      <c r="D985" s="116">
        <v>1960</v>
      </c>
      <c r="E985" s="116">
        <v>1985</v>
      </c>
      <c r="F985" s="116">
        <v>1967.2</v>
      </c>
      <c r="G985">
        <v>123115</v>
      </c>
      <c r="H985" s="116"/>
      <c r="I985" s="116"/>
      <c r="L985" s="170">
        <v>43453</v>
      </c>
      <c r="M985" s="116">
        <v>1968.45</v>
      </c>
      <c r="N985" s="116">
        <v>1984.8</v>
      </c>
      <c r="O985" s="116">
        <v>1960.05</v>
      </c>
      <c r="P985" s="116">
        <v>1984.8</v>
      </c>
      <c r="Q985" s="116">
        <v>1968.45</v>
      </c>
      <c r="R985">
        <v>2498833</v>
      </c>
    </row>
    <row r="986" spans="1:18" x14ac:dyDescent="0.25">
      <c r="A986" s="170">
        <v>43454</v>
      </c>
      <c r="B986" s="116">
        <v>1975.45</v>
      </c>
      <c r="C986" s="116">
        <v>1956.35</v>
      </c>
      <c r="D986" s="116">
        <v>1947</v>
      </c>
      <c r="E986" s="116">
        <v>1965</v>
      </c>
      <c r="F986" s="116">
        <v>1956.35</v>
      </c>
      <c r="G986">
        <v>143401</v>
      </c>
      <c r="H986" s="116"/>
      <c r="I986" s="116"/>
      <c r="L986" s="170">
        <v>43454</v>
      </c>
      <c r="M986" s="116">
        <v>1954.05</v>
      </c>
      <c r="N986" s="116">
        <v>1974.9</v>
      </c>
      <c r="O986" s="116">
        <v>1946</v>
      </c>
      <c r="P986" s="116">
        <v>1953.8</v>
      </c>
      <c r="Q986" s="116">
        <v>1954.05</v>
      </c>
      <c r="R986">
        <v>1940277</v>
      </c>
    </row>
    <row r="987" spans="1:18" x14ac:dyDescent="0.25">
      <c r="A987" s="170">
        <v>43455</v>
      </c>
      <c r="B987" s="116">
        <v>1950</v>
      </c>
      <c r="C987" s="116">
        <v>1897.25</v>
      </c>
      <c r="D987" s="116">
        <v>1890</v>
      </c>
      <c r="E987" s="116">
        <v>1949.9</v>
      </c>
      <c r="F987" s="116">
        <v>1897.25</v>
      </c>
      <c r="G987">
        <v>167447</v>
      </c>
      <c r="H987" s="116"/>
      <c r="I987" s="116"/>
      <c r="L987" s="170">
        <v>43455</v>
      </c>
      <c r="M987" s="116">
        <v>1895.8</v>
      </c>
      <c r="N987" s="116">
        <v>1950</v>
      </c>
      <c r="O987" s="116">
        <v>1886.55</v>
      </c>
      <c r="P987" s="116">
        <v>1948</v>
      </c>
      <c r="Q987" s="116">
        <v>1895.8</v>
      </c>
      <c r="R987">
        <v>3729956</v>
      </c>
    </row>
    <row r="988" spans="1:18" x14ac:dyDescent="0.25">
      <c r="A988" s="170">
        <v>43458</v>
      </c>
      <c r="B988" s="116">
        <v>1938</v>
      </c>
      <c r="C988" s="116">
        <v>1915.55</v>
      </c>
      <c r="D988" s="116">
        <v>1901</v>
      </c>
      <c r="E988" s="116">
        <v>1901</v>
      </c>
      <c r="F988" s="116">
        <v>1915.55</v>
      </c>
      <c r="G988">
        <v>132496</v>
      </c>
      <c r="H988" s="116"/>
      <c r="I988" s="116"/>
      <c r="L988" s="170">
        <v>43458</v>
      </c>
      <c r="M988" s="116">
        <v>1918.5</v>
      </c>
      <c r="N988" s="116">
        <v>1938.9</v>
      </c>
      <c r="O988" s="116">
        <v>1905</v>
      </c>
      <c r="P988" s="116">
        <v>1905.8</v>
      </c>
      <c r="Q988" s="116">
        <v>1918.5</v>
      </c>
      <c r="R988">
        <v>1864116</v>
      </c>
    </row>
    <row r="989" spans="1:18" x14ac:dyDescent="0.25">
      <c r="A989" s="170">
        <v>43460</v>
      </c>
      <c r="B989" s="116">
        <v>1917.95</v>
      </c>
      <c r="C989" s="116">
        <v>1889.5</v>
      </c>
      <c r="D989" s="116">
        <v>1872</v>
      </c>
      <c r="E989" s="116">
        <v>1916</v>
      </c>
      <c r="F989" s="116">
        <v>1889.5</v>
      </c>
      <c r="G989">
        <v>111886</v>
      </c>
      <c r="H989" s="116"/>
      <c r="I989" s="116"/>
      <c r="L989" s="170">
        <v>43460</v>
      </c>
      <c r="M989" s="116">
        <v>1889.2</v>
      </c>
      <c r="N989" s="116">
        <v>1921.8</v>
      </c>
      <c r="O989" s="116">
        <v>1870.25</v>
      </c>
      <c r="P989" s="116">
        <v>1921.8</v>
      </c>
      <c r="Q989" s="116">
        <v>1889.2</v>
      </c>
      <c r="R989">
        <v>2446614</v>
      </c>
    </row>
    <row r="990" spans="1:18" x14ac:dyDescent="0.25">
      <c r="A990" s="170">
        <v>43461</v>
      </c>
      <c r="B990" s="116">
        <v>1940.1</v>
      </c>
      <c r="C990" s="116">
        <v>1909.45</v>
      </c>
      <c r="D990" s="116">
        <v>1892.35</v>
      </c>
      <c r="E990" s="116">
        <v>1909.9</v>
      </c>
      <c r="F990" s="116">
        <v>1909.45</v>
      </c>
      <c r="G990">
        <v>146915</v>
      </c>
      <c r="H990" s="116"/>
      <c r="I990" s="116"/>
      <c r="L990" s="170">
        <v>43461</v>
      </c>
      <c r="M990" s="116">
        <v>1908.95</v>
      </c>
      <c r="N990" s="116">
        <v>1941.7</v>
      </c>
      <c r="O990" s="116">
        <v>1872.1</v>
      </c>
      <c r="P990" s="116">
        <v>1909</v>
      </c>
      <c r="Q990" s="116">
        <v>1908.95</v>
      </c>
      <c r="R990">
        <v>4968201</v>
      </c>
    </row>
    <row r="991" spans="1:18" x14ac:dyDescent="0.25">
      <c r="A991" s="170">
        <v>43462</v>
      </c>
      <c r="B991" s="116">
        <v>1921</v>
      </c>
      <c r="C991" s="116">
        <v>1895.8</v>
      </c>
      <c r="D991" s="116">
        <v>1893.75</v>
      </c>
      <c r="E991" s="116">
        <v>1909.45</v>
      </c>
      <c r="F991" s="116">
        <v>1895.8</v>
      </c>
      <c r="G991">
        <v>178358</v>
      </c>
      <c r="H991" s="116"/>
      <c r="I991" s="116"/>
      <c r="L991" s="170">
        <v>43462</v>
      </c>
      <c r="M991" s="116">
        <v>1896.05</v>
      </c>
      <c r="N991" s="116">
        <v>1920</v>
      </c>
      <c r="O991" s="116">
        <v>1893</v>
      </c>
      <c r="P991" s="116">
        <v>1915</v>
      </c>
      <c r="Q991" s="116">
        <v>1896.05</v>
      </c>
      <c r="R991">
        <v>2239130</v>
      </c>
    </row>
    <row r="992" spans="1:18" x14ac:dyDescent="0.25">
      <c r="A992" s="170">
        <v>43465</v>
      </c>
      <c r="B992" s="116">
        <v>1910.15</v>
      </c>
      <c r="C992" s="116">
        <v>1893.55</v>
      </c>
      <c r="D992" s="116">
        <v>1887</v>
      </c>
      <c r="E992" s="116">
        <v>1901</v>
      </c>
      <c r="F992" s="116">
        <v>1893.55</v>
      </c>
      <c r="G992">
        <v>155314</v>
      </c>
      <c r="H992" s="116"/>
      <c r="I992" s="116"/>
      <c r="L992" s="170">
        <v>43465</v>
      </c>
      <c r="M992" s="116">
        <v>1893.05</v>
      </c>
      <c r="N992" s="116">
        <v>1909</v>
      </c>
      <c r="O992" s="116">
        <v>1886.15</v>
      </c>
      <c r="P992" s="116">
        <v>1908</v>
      </c>
      <c r="Q992" s="116">
        <v>1893.05</v>
      </c>
      <c r="R992">
        <v>1879740</v>
      </c>
    </row>
    <row r="993" spans="1:18" x14ac:dyDescent="0.25">
      <c r="A993" s="170">
        <v>43466</v>
      </c>
      <c r="B993" s="116">
        <v>1909</v>
      </c>
      <c r="C993" s="116">
        <v>1902.35</v>
      </c>
      <c r="D993" s="116">
        <v>1885.1</v>
      </c>
      <c r="E993" s="116">
        <v>1905</v>
      </c>
      <c r="F993" s="116">
        <v>1902.35</v>
      </c>
      <c r="G993">
        <v>144685</v>
      </c>
      <c r="H993" s="116"/>
      <c r="I993" s="116"/>
      <c r="L993" s="170">
        <v>43466</v>
      </c>
      <c r="M993" s="116">
        <v>1902.8</v>
      </c>
      <c r="N993" s="116">
        <v>1910</v>
      </c>
      <c r="O993" s="116">
        <v>1885</v>
      </c>
      <c r="P993" s="116">
        <v>1896</v>
      </c>
      <c r="Q993" s="116">
        <v>1902.8</v>
      </c>
      <c r="R993">
        <v>1094883</v>
      </c>
    </row>
    <row r="994" spans="1:18" x14ac:dyDescent="0.25">
      <c r="A994" s="170">
        <v>43467</v>
      </c>
      <c r="B994" s="116">
        <v>1933</v>
      </c>
      <c r="C994" s="116">
        <v>1923.15</v>
      </c>
      <c r="D994" s="116">
        <v>1900.55</v>
      </c>
      <c r="E994" s="116">
        <v>1907.9</v>
      </c>
      <c r="F994" s="116">
        <v>1923.15</v>
      </c>
      <c r="G994">
        <v>145042</v>
      </c>
      <c r="H994" s="116"/>
      <c r="I994" s="116"/>
      <c r="L994" s="170">
        <v>43467</v>
      </c>
      <c r="M994" s="116">
        <v>1923.3</v>
      </c>
      <c r="N994" s="116">
        <v>1934.45</v>
      </c>
      <c r="O994" s="116">
        <v>1900</v>
      </c>
      <c r="P994" s="116">
        <v>1905</v>
      </c>
      <c r="Q994" s="116">
        <v>1923.3</v>
      </c>
      <c r="R994">
        <v>2100463</v>
      </c>
    </row>
    <row r="995" spans="1:18" x14ac:dyDescent="0.25">
      <c r="A995" s="170">
        <v>43468</v>
      </c>
      <c r="B995" s="116">
        <v>1944</v>
      </c>
      <c r="C995" s="116">
        <v>1896.45</v>
      </c>
      <c r="D995" s="116">
        <v>1891.7</v>
      </c>
      <c r="E995" s="116">
        <v>1913.5</v>
      </c>
      <c r="F995" s="116">
        <v>1896.45</v>
      </c>
      <c r="G995">
        <v>155018</v>
      </c>
      <c r="H995" s="116"/>
      <c r="I995" s="116"/>
      <c r="L995" s="170">
        <v>43468</v>
      </c>
      <c r="M995" s="116">
        <v>1899.95</v>
      </c>
      <c r="N995" s="116">
        <v>1944.95</v>
      </c>
      <c r="O995" s="116">
        <v>1893.1</v>
      </c>
      <c r="P995" s="116">
        <v>1919</v>
      </c>
      <c r="Q995" s="116">
        <v>1899.95</v>
      </c>
      <c r="R995">
        <v>2611668</v>
      </c>
    </row>
    <row r="996" spans="1:18" x14ac:dyDescent="0.25">
      <c r="A996" s="170">
        <v>43469</v>
      </c>
      <c r="B996" s="116">
        <v>1901.05</v>
      </c>
      <c r="C996" s="116">
        <v>1873.95</v>
      </c>
      <c r="D996" s="116">
        <v>1841.5</v>
      </c>
      <c r="E996" s="116">
        <v>1901</v>
      </c>
      <c r="F996" s="116">
        <v>1873.95</v>
      </c>
      <c r="G996">
        <v>320877</v>
      </c>
      <c r="H996" s="116"/>
      <c r="I996" s="116"/>
      <c r="L996" s="170">
        <v>43469</v>
      </c>
      <c r="M996" s="116">
        <v>1876.85</v>
      </c>
      <c r="N996" s="116">
        <v>1901.2</v>
      </c>
      <c r="O996" s="116">
        <v>1841</v>
      </c>
      <c r="P996" s="116">
        <v>1900</v>
      </c>
      <c r="Q996" s="116">
        <v>1876.85</v>
      </c>
      <c r="R996">
        <v>4280862</v>
      </c>
    </row>
    <row r="997" spans="1:18" x14ac:dyDescent="0.25">
      <c r="A997" s="170">
        <v>43472</v>
      </c>
      <c r="B997" s="116">
        <v>1909</v>
      </c>
      <c r="C997" s="116">
        <v>1896.65</v>
      </c>
      <c r="D997" s="116">
        <v>1880.25</v>
      </c>
      <c r="E997" s="116">
        <v>1891.1</v>
      </c>
      <c r="F997" s="116">
        <v>1896.65</v>
      </c>
      <c r="G997">
        <v>98867</v>
      </c>
      <c r="H997" s="116"/>
      <c r="I997" s="116"/>
      <c r="L997" s="170">
        <v>43472</v>
      </c>
      <c r="M997" s="116">
        <v>1897.9</v>
      </c>
      <c r="N997" s="116">
        <v>1908.8</v>
      </c>
      <c r="O997" s="116">
        <v>1881</v>
      </c>
      <c r="P997" s="116">
        <v>1891.8</v>
      </c>
      <c r="Q997" s="116">
        <v>1897.9</v>
      </c>
      <c r="R997">
        <v>1856423</v>
      </c>
    </row>
    <row r="998" spans="1:18" x14ac:dyDescent="0.25">
      <c r="A998" s="170">
        <v>43473</v>
      </c>
      <c r="B998" s="116">
        <v>1908</v>
      </c>
      <c r="C998" s="116">
        <v>1893.05</v>
      </c>
      <c r="D998" s="116">
        <v>1884</v>
      </c>
      <c r="E998" s="116">
        <v>1902</v>
      </c>
      <c r="F998" s="116">
        <v>1893.05</v>
      </c>
      <c r="G998">
        <v>84481</v>
      </c>
      <c r="H998" s="116"/>
      <c r="I998" s="116"/>
      <c r="L998" s="170">
        <v>43473</v>
      </c>
      <c r="M998" s="116">
        <v>1893.55</v>
      </c>
      <c r="N998" s="116">
        <v>1906.4</v>
      </c>
      <c r="O998" s="116">
        <v>1883.3</v>
      </c>
      <c r="P998" s="116">
        <v>1905.4</v>
      </c>
      <c r="Q998" s="116">
        <v>1893.55</v>
      </c>
      <c r="R998">
        <v>1691756</v>
      </c>
    </row>
    <row r="999" spans="1:18" x14ac:dyDescent="0.25">
      <c r="A999" s="170">
        <v>43474</v>
      </c>
      <c r="B999" s="116">
        <v>1919</v>
      </c>
      <c r="C999" s="116">
        <v>1887.8</v>
      </c>
      <c r="D999" s="116">
        <v>1869.05</v>
      </c>
      <c r="E999" s="116">
        <v>1915</v>
      </c>
      <c r="F999" s="116">
        <v>1887.8</v>
      </c>
      <c r="G999">
        <v>156721</v>
      </c>
      <c r="H999" s="116"/>
      <c r="I999" s="116"/>
      <c r="L999" s="170">
        <v>43474</v>
      </c>
      <c r="M999" s="116">
        <v>1886.95</v>
      </c>
      <c r="N999" s="116">
        <v>1919</v>
      </c>
      <c r="O999" s="116">
        <v>1866.7</v>
      </c>
      <c r="P999" s="116">
        <v>1907.4</v>
      </c>
      <c r="Q999" s="116">
        <v>1886.95</v>
      </c>
      <c r="R999">
        <v>2414376</v>
      </c>
    </row>
    <row r="1000" spans="1:18" x14ac:dyDescent="0.25">
      <c r="A1000" s="170">
        <v>43475</v>
      </c>
      <c r="B1000" s="116">
        <v>1906.8</v>
      </c>
      <c r="C1000" s="116">
        <v>1888.15</v>
      </c>
      <c r="D1000" s="116">
        <v>1874.1</v>
      </c>
      <c r="E1000" s="116">
        <v>1904</v>
      </c>
      <c r="F1000" s="116">
        <v>1888.15</v>
      </c>
      <c r="G1000">
        <v>157549</v>
      </c>
      <c r="H1000" s="116"/>
      <c r="I1000" s="116"/>
      <c r="L1000" s="170">
        <v>43475</v>
      </c>
      <c r="M1000" s="116">
        <v>1888.55</v>
      </c>
      <c r="N1000" s="116">
        <v>1905</v>
      </c>
      <c r="O1000" s="116">
        <v>1872.1</v>
      </c>
      <c r="P1000" s="116">
        <v>1890</v>
      </c>
      <c r="Q1000" s="116">
        <v>1888.55</v>
      </c>
      <c r="R1000">
        <v>3053461</v>
      </c>
    </row>
    <row r="1001" spans="1:18" x14ac:dyDescent="0.25">
      <c r="A1001" s="170">
        <v>43476</v>
      </c>
      <c r="B1001" s="116">
        <v>1876.05</v>
      </c>
      <c r="C1001" s="116">
        <v>1841.95</v>
      </c>
      <c r="D1001" s="116">
        <v>1836.1</v>
      </c>
      <c r="E1001" s="116">
        <v>1875</v>
      </c>
      <c r="F1001" s="116">
        <v>1841.95</v>
      </c>
      <c r="G1001">
        <v>530631</v>
      </c>
      <c r="H1001" s="116"/>
      <c r="I1001" s="116"/>
      <c r="L1001" s="170">
        <v>43476</v>
      </c>
      <c r="M1001" s="116">
        <v>1842.55</v>
      </c>
      <c r="N1001" s="116">
        <v>1875</v>
      </c>
      <c r="O1001" s="116">
        <v>1835</v>
      </c>
      <c r="P1001" s="116">
        <v>1870</v>
      </c>
      <c r="Q1001" s="116">
        <v>1842.55</v>
      </c>
      <c r="R1001">
        <v>9209862</v>
      </c>
    </row>
    <row r="1002" spans="1:18" x14ac:dyDescent="0.25">
      <c r="A1002" s="170">
        <v>43479</v>
      </c>
      <c r="B1002" s="116">
        <v>1854.85</v>
      </c>
      <c r="C1002" s="116">
        <v>1814.4</v>
      </c>
      <c r="D1002" s="116">
        <v>1810.5</v>
      </c>
      <c r="E1002" s="116">
        <v>1854.7</v>
      </c>
      <c r="F1002" s="116">
        <v>1814.4</v>
      </c>
      <c r="G1002">
        <v>170020</v>
      </c>
      <c r="H1002" s="116"/>
      <c r="I1002" s="116"/>
      <c r="L1002" s="170">
        <v>43479</v>
      </c>
      <c r="M1002" s="116">
        <v>1813.25</v>
      </c>
      <c r="N1002" s="116">
        <v>1851</v>
      </c>
      <c r="O1002" s="116">
        <v>1810</v>
      </c>
      <c r="P1002" s="116">
        <v>1850</v>
      </c>
      <c r="Q1002" s="116">
        <v>1813.25</v>
      </c>
      <c r="R1002">
        <v>3615370</v>
      </c>
    </row>
    <row r="1003" spans="1:18" x14ac:dyDescent="0.25">
      <c r="A1003" s="170">
        <v>43480</v>
      </c>
      <c r="B1003" s="116">
        <v>1868</v>
      </c>
      <c r="C1003" s="116">
        <v>1864.2</v>
      </c>
      <c r="D1003" s="116">
        <v>1809.55</v>
      </c>
      <c r="E1003" s="116">
        <v>1813.55</v>
      </c>
      <c r="F1003" s="116">
        <v>1864.2</v>
      </c>
      <c r="G1003">
        <v>180669</v>
      </c>
      <c r="H1003" s="116"/>
      <c r="I1003" s="116"/>
      <c r="L1003" s="170">
        <v>43480</v>
      </c>
      <c r="M1003" s="116">
        <v>1867.8</v>
      </c>
      <c r="N1003" s="116">
        <v>1869.35</v>
      </c>
      <c r="O1003" s="116">
        <v>1808</v>
      </c>
      <c r="P1003" s="116">
        <v>1810</v>
      </c>
      <c r="Q1003" s="116">
        <v>1867.8</v>
      </c>
      <c r="R1003">
        <v>7711653</v>
      </c>
    </row>
    <row r="1004" spans="1:18" x14ac:dyDescent="0.25">
      <c r="A1004" s="170">
        <v>43481</v>
      </c>
      <c r="B1004" s="116">
        <v>1874.8</v>
      </c>
      <c r="C1004" s="116">
        <v>1870.1</v>
      </c>
      <c r="D1004" s="116">
        <v>1848.55</v>
      </c>
      <c r="E1004" s="116">
        <v>1869.95</v>
      </c>
      <c r="F1004" s="116">
        <v>1870.1</v>
      </c>
      <c r="G1004">
        <v>105630</v>
      </c>
      <c r="H1004" s="116"/>
      <c r="I1004" s="116"/>
      <c r="L1004" s="170">
        <v>43481</v>
      </c>
      <c r="M1004" s="116">
        <v>1870.15</v>
      </c>
      <c r="N1004" s="116">
        <v>1875</v>
      </c>
      <c r="O1004" s="116">
        <v>1847</v>
      </c>
      <c r="P1004" s="116">
        <v>1870</v>
      </c>
      <c r="Q1004" s="116">
        <v>1870.15</v>
      </c>
      <c r="R1004">
        <v>2359280</v>
      </c>
    </row>
    <row r="1005" spans="1:18" x14ac:dyDescent="0.25">
      <c r="A1005" s="170">
        <v>43482</v>
      </c>
      <c r="B1005" s="116">
        <v>1899</v>
      </c>
      <c r="C1005" s="116">
        <v>1895.1</v>
      </c>
      <c r="D1005" s="116">
        <v>1871</v>
      </c>
      <c r="E1005" s="116">
        <v>1871</v>
      </c>
      <c r="F1005" s="116">
        <v>1895.1</v>
      </c>
      <c r="G1005">
        <v>138166</v>
      </c>
      <c r="H1005" s="116"/>
      <c r="I1005" s="116"/>
      <c r="L1005" s="170">
        <v>43482</v>
      </c>
      <c r="M1005" s="116">
        <v>1894.3</v>
      </c>
      <c r="N1005" s="116">
        <v>1898</v>
      </c>
      <c r="O1005" s="116">
        <v>1871.3</v>
      </c>
      <c r="P1005" s="116">
        <v>1878</v>
      </c>
      <c r="Q1005" s="116">
        <v>1894.3</v>
      </c>
      <c r="R1005">
        <v>2625816</v>
      </c>
    </row>
    <row r="1006" spans="1:18" x14ac:dyDescent="0.25">
      <c r="A1006" s="170">
        <v>43483</v>
      </c>
      <c r="B1006" s="116">
        <v>1904.45</v>
      </c>
      <c r="C1006" s="116">
        <v>1900.4</v>
      </c>
      <c r="D1006" s="116">
        <v>1877.3</v>
      </c>
      <c r="E1006" s="116">
        <v>1887</v>
      </c>
      <c r="F1006" s="116">
        <v>1900.4</v>
      </c>
      <c r="G1006">
        <v>75507</v>
      </c>
      <c r="H1006" s="116"/>
      <c r="I1006" s="116"/>
      <c r="L1006" s="170">
        <v>43483</v>
      </c>
      <c r="M1006" s="116">
        <v>1900.65</v>
      </c>
      <c r="N1006" s="116">
        <v>1904.2</v>
      </c>
      <c r="O1006" s="116">
        <v>1876</v>
      </c>
      <c r="P1006" s="116">
        <v>1881</v>
      </c>
      <c r="Q1006" s="116">
        <v>1900.65</v>
      </c>
      <c r="R1006">
        <v>1683728</v>
      </c>
    </row>
    <row r="1007" spans="1:18" x14ac:dyDescent="0.25">
      <c r="A1007" s="170">
        <v>43486</v>
      </c>
      <c r="B1007" s="116">
        <v>1931.3</v>
      </c>
      <c r="C1007" s="116">
        <v>1905.8</v>
      </c>
      <c r="D1007" s="116">
        <v>1896.55</v>
      </c>
      <c r="E1007" s="116">
        <v>1900.4</v>
      </c>
      <c r="F1007" s="116">
        <v>1905.8</v>
      </c>
      <c r="G1007">
        <v>145868</v>
      </c>
      <c r="H1007" s="116"/>
      <c r="I1007" s="116"/>
      <c r="L1007" s="170">
        <v>43486</v>
      </c>
      <c r="M1007" s="116">
        <v>1908.7</v>
      </c>
      <c r="N1007" s="116">
        <v>1932</v>
      </c>
      <c r="O1007" s="116">
        <v>1895.45</v>
      </c>
      <c r="P1007" s="116">
        <v>1902</v>
      </c>
      <c r="Q1007" s="116">
        <v>1908.7</v>
      </c>
      <c r="R1007">
        <v>2409803</v>
      </c>
    </row>
    <row r="1008" spans="1:18" x14ac:dyDescent="0.25">
      <c r="A1008" s="170">
        <v>43487</v>
      </c>
      <c r="B1008" s="116">
        <v>1918.2</v>
      </c>
      <c r="C1008" s="116">
        <v>1900.35</v>
      </c>
      <c r="D1008" s="116">
        <v>1890.7</v>
      </c>
      <c r="E1008" s="116">
        <v>1908</v>
      </c>
      <c r="F1008" s="116">
        <v>1900.35</v>
      </c>
      <c r="G1008">
        <v>85612</v>
      </c>
      <c r="H1008" s="116"/>
      <c r="I1008" s="116"/>
      <c r="L1008" s="170">
        <v>43487</v>
      </c>
      <c r="M1008" s="116">
        <v>1901.9</v>
      </c>
      <c r="N1008" s="116">
        <v>1918.25</v>
      </c>
      <c r="O1008" s="116">
        <v>1890</v>
      </c>
      <c r="P1008" s="116">
        <v>1907.1</v>
      </c>
      <c r="Q1008" s="116">
        <v>1901.9</v>
      </c>
      <c r="R1008">
        <v>2457093</v>
      </c>
    </row>
    <row r="1009" spans="1:18" x14ac:dyDescent="0.25">
      <c r="A1009" s="170">
        <v>43488</v>
      </c>
      <c r="B1009" s="116">
        <v>1907.7</v>
      </c>
      <c r="C1009" s="116">
        <v>1879.75</v>
      </c>
      <c r="D1009" s="116">
        <v>1874</v>
      </c>
      <c r="E1009" s="116">
        <v>1900</v>
      </c>
      <c r="F1009" s="116">
        <v>1879.75</v>
      </c>
      <c r="G1009">
        <v>64588</v>
      </c>
      <c r="H1009" s="116"/>
      <c r="I1009" s="116"/>
      <c r="L1009" s="170">
        <v>43488</v>
      </c>
      <c r="M1009" s="116">
        <v>1875.6</v>
      </c>
      <c r="N1009" s="116">
        <v>1906.1</v>
      </c>
      <c r="O1009" s="116">
        <v>1870</v>
      </c>
      <c r="P1009" s="116">
        <v>1901</v>
      </c>
      <c r="Q1009" s="116">
        <v>1875.6</v>
      </c>
      <c r="R1009">
        <v>2578169</v>
      </c>
    </row>
    <row r="1010" spans="1:18" x14ac:dyDescent="0.25">
      <c r="A1010" s="170">
        <v>43489</v>
      </c>
      <c r="B1010" s="116">
        <v>1904.5</v>
      </c>
      <c r="C1010" s="116">
        <v>1901.75</v>
      </c>
      <c r="D1010" s="116">
        <v>1876</v>
      </c>
      <c r="E1010" s="116">
        <v>1882</v>
      </c>
      <c r="F1010" s="116">
        <v>1901.75</v>
      </c>
      <c r="G1010">
        <v>83595</v>
      </c>
      <c r="H1010" s="116"/>
      <c r="I1010" s="116"/>
      <c r="L1010" s="170">
        <v>43489</v>
      </c>
      <c r="M1010" s="116">
        <v>1901.55</v>
      </c>
      <c r="N1010" s="116">
        <v>1905.25</v>
      </c>
      <c r="O1010" s="116">
        <v>1875</v>
      </c>
      <c r="P1010" s="116">
        <v>1884.8</v>
      </c>
      <c r="Q1010" s="116">
        <v>1901.55</v>
      </c>
      <c r="R1010">
        <v>1962927</v>
      </c>
    </row>
    <row r="1011" spans="1:18" x14ac:dyDescent="0.25">
      <c r="A1011" s="170">
        <v>43490</v>
      </c>
      <c r="B1011" s="116">
        <v>1933.45</v>
      </c>
      <c r="C1011" s="116">
        <v>1919.05</v>
      </c>
      <c r="D1011" s="116">
        <v>1900.75</v>
      </c>
      <c r="E1011" s="116">
        <v>1904.4</v>
      </c>
      <c r="F1011" s="116">
        <v>1919.05</v>
      </c>
      <c r="G1011">
        <v>97696</v>
      </c>
      <c r="H1011" s="116"/>
      <c r="I1011" s="116"/>
      <c r="L1011" s="170">
        <v>43490</v>
      </c>
      <c r="M1011" s="116">
        <v>1920.8</v>
      </c>
      <c r="N1011" s="116">
        <v>1935</v>
      </c>
      <c r="O1011" s="116">
        <v>1901</v>
      </c>
      <c r="P1011" s="116">
        <v>1902</v>
      </c>
      <c r="Q1011" s="116">
        <v>1920.8</v>
      </c>
      <c r="R1011">
        <v>2327080</v>
      </c>
    </row>
    <row r="1012" spans="1:18" x14ac:dyDescent="0.25">
      <c r="A1012" s="170">
        <v>43493</v>
      </c>
      <c r="B1012" s="116">
        <v>1958</v>
      </c>
      <c r="C1012" s="116">
        <v>1951.95</v>
      </c>
      <c r="D1012" s="116">
        <v>1929.55</v>
      </c>
      <c r="E1012" s="116">
        <v>1931.7</v>
      </c>
      <c r="F1012" s="116">
        <v>1951.95</v>
      </c>
      <c r="G1012">
        <v>146761</v>
      </c>
      <c r="H1012" s="116"/>
      <c r="I1012" s="116"/>
      <c r="L1012" s="170">
        <v>43493</v>
      </c>
      <c r="M1012" s="116">
        <v>1955</v>
      </c>
      <c r="N1012" s="116">
        <v>1962</v>
      </c>
      <c r="O1012" s="116">
        <v>1925.5</v>
      </c>
      <c r="P1012" s="116">
        <v>1933</v>
      </c>
      <c r="Q1012" s="116">
        <v>1955</v>
      </c>
      <c r="R1012">
        <v>2769033</v>
      </c>
    </row>
    <row r="1013" spans="1:18" x14ac:dyDescent="0.25">
      <c r="A1013" s="170">
        <v>43494</v>
      </c>
      <c r="B1013" s="116">
        <v>1989.8</v>
      </c>
      <c r="C1013" s="116">
        <v>1983.15</v>
      </c>
      <c r="D1013" s="116">
        <v>1937.3</v>
      </c>
      <c r="E1013" s="116">
        <v>1956</v>
      </c>
      <c r="F1013" s="116">
        <v>1983.15</v>
      </c>
      <c r="G1013">
        <v>126943</v>
      </c>
      <c r="H1013" s="116"/>
      <c r="I1013" s="116"/>
      <c r="L1013" s="170">
        <v>43494</v>
      </c>
      <c r="M1013" s="116">
        <v>1982.75</v>
      </c>
      <c r="N1013" s="116">
        <v>1989.05</v>
      </c>
      <c r="O1013" s="116">
        <v>1936.65</v>
      </c>
      <c r="P1013" s="116">
        <v>1962</v>
      </c>
      <c r="Q1013" s="116">
        <v>1982.75</v>
      </c>
      <c r="R1013">
        <v>2557626</v>
      </c>
    </row>
    <row r="1014" spans="1:18" x14ac:dyDescent="0.25">
      <c r="A1014" s="170">
        <v>43495</v>
      </c>
      <c r="B1014" s="116">
        <v>1983.95</v>
      </c>
      <c r="C1014" s="116">
        <v>1977.85</v>
      </c>
      <c r="D1014" s="116">
        <v>1955.1</v>
      </c>
      <c r="E1014" s="116">
        <v>1983.15</v>
      </c>
      <c r="F1014" s="116">
        <v>1977.85</v>
      </c>
      <c r="G1014">
        <v>102628</v>
      </c>
      <c r="H1014" s="116"/>
      <c r="I1014" s="116"/>
      <c r="L1014" s="170">
        <v>43495</v>
      </c>
      <c r="M1014" s="116">
        <v>1981.4</v>
      </c>
      <c r="N1014" s="116">
        <v>1989.5</v>
      </c>
      <c r="O1014" s="116">
        <v>1954.65</v>
      </c>
      <c r="P1014" s="116">
        <v>1979.6</v>
      </c>
      <c r="Q1014" s="116">
        <v>1981.4</v>
      </c>
      <c r="R1014">
        <v>2429575</v>
      </c>
    </row>
    <row r="1015" spans="1:18" x14ac:dyDescent="0.25">
      <c r="A1015" s="170">
        <v>43496</v>
      </c>
      <c r="B1015" s="116">
        <v>2019.5</v>
      </c>
      <c r="C1015" s="116">
        <v>2014.6</v>
      </c>
      <c r="D1015" s="116">
        <v>1985.05</v>
      </c>
      <c r="E1015" s="116">
        <v>1988</v>
      </c>
      <c r="F1015" s="116">
        <v>2014.6</v>
      </c>
      <c r="G1015">
        <v>145616</v>
      </c>
      <c r="H1015" s="116"/>
      <c r="I1015" s="116"/>
      <c r="L1015" s="170">
        <v>43496</v>
      </c>
      <c r="M1015" s="116">
        <v>2014.1</v>
      </c>
      <c r="N1015" s="116">
        <v>2019.75</v>
      </c>
      <c r="O1015" s="116">
        <v>1985</v>
      </c>
      <c r="P1015" s="116">
        <v>1987</v>
      </c>
      <c r="Q1015" s="116">
        <v>2014.1</v>
      </c>
      <c r="R1015">
        <v>4094319</v>
      </c>
    </row>
    <row r="1016" spans="1:18" x14ac:dyDescent="0.25">
      <c r="A1016" s="170">
        <v>43497</v>
      </c>
      <c r="B1016" s="116">
        <v>2035</v>
      </c>
      <c r="C1016" s="116">
        <v>2030.75</v>
      </c>
      <c r="D1016" s="116">
        <v>1998.3</v>
      </c>
      <c r="E1016" s="116">
        <v>2005</v>
      </c>
      <c r="F1016" s="116">
        <v>2030.75</v>
      </c>
      <c r="G1016">
        <v>112449</v>
      </c>
      <c r="H1016" s="116"/>
      <c r="I1016" s="116"/>
      <c r="L1016" s="170">
        <v>43497</v>
      </c>
      <c r="M1016" s="116">
        <v>2029.95</v>
      </c>
      <c r="N1016" s="116">
        <v>2034.75</v>
      </c>
      <c r="O1016" s="116">
        <v>1998.1</v>
      </c>
      <c r="P1016" s="116">
        <v>2009.5</v>
      </c>
      <c r="Q1016" s="116">
        <v>2029.95</v>
      </c>
      <c r="R1016">
        <v>3064163</v>
      </c>
    </row>
    <row r="1017" spans="1:18" x14ac:dyDescent="0.25">
      <c r="A1017" s="170">
        <v>43500</v>
      </c>
      <c r="B1017" s="116">
        <v>2051</v>
      </c>
      <c r="C1017" s="116">
        <v>2047.15</v>
      </c>
      <c r="D1017" s="116">
        <v>2018.3</v>
      </c>
      <c r="E1017" s="116">
        <v>2030</v>
      </c>
      <c r="F1017" s="116">
        <v>2047.15</v>
      </c>
      <c r="G1017">
        <v>82381</v>
      </c>
      <c r="H1017" s="116"/>
      <c r="I1017" s="116"/>
      <c r="L1017" s="170">
        <v>43500</v>
      </c>
      <c r="M1017" s="116">
        <v>2050.25</v>
      </c>
      <c r="N1017" s="116">
        <v>2055.4499999999998</v>
      </c>
      <c r="O1017" s="116">
        <v>2023</v>
      </c>
      <c r="P1017" s="116">
        <v>2029.95</v>
      </c>
      <c r="Q1017" s="116">
        <v>2050.25</v>
      </c>
      <c r="R1017">
        <v>1590764</v>
      </c>
    </row>
    <row r="1018" spans="1:18" x14ac:dyDescent="0.25">
      <c r="A1018" s="170">
        <v>43501</v>
      </c>
      <c r="B1018" s="116">
        <v>2054.75</v>
      </c>
      <c r="C1018" s="116">
        <v>2044.35</v>
      </c>
      <c r="D1018" s="116">
        <v>2028.05</v>
      </c>
      <c r="E1018" s="116">
        <v>2049</v>
      </c>
      <c r="F1018" s="116">
        <v>2044.35</v>
      </c>
      <c r="G1018">
        <v>71284</v>
      </c>
      <c r="H1018" s="116"/>
      <c r="I1018" s="116"/>
      <c r="L1018" s="170">
        <v>43501</v>
      </c>
      <c r="M1018" s="116">
        <v>2044.55</v>
      </c>
      <c r="N1018" s="116">
        <v>2055</v>
      </c>
      <c r="O1018" s="116">
        <v>2028</v>
      </c>
      <c r="P1018" s="116">
        <v>2050</v>
      </c>
      <c r="Q1018" s="116">
        <v>2044.55</v>
      </c>
      <c r="R1018">
        <v>1111404</v>
      </c>
    </row>
    <row r="1019" spans="1:18" x14ac:dyDescent="0.25">
      <c r="A1019" s="170">
        <v>43502</v>
      </c>
      <c r="B1019" s="116">
        <v>2086</v>
      </c>
      <c r="C1019" s="116">
        <v>2077.85</v>
      </c>
      <c r="D1019" s="116">
        <v>2040.4</v>
      </c>
      <c r="E1019" s="116">
        <v>2052</v>
      </c>
      <c r="F1019" s="116">
        <v>2077.85</v>
      </c>
      <c r="G1019">
        <v>355138</v>
      </c>
      <c r="H1019" s="116"/>
      <c r="I1019" s="116"/>
      <c r="L1019" s="170">
        <v>43502</v>
      </c>
      <c r="M1019" s="116">
        <v>2074.8000000000002</v>
      </c>
      <c r="N1019" s="116">
        <v>2086.85</v>
      </c>
      <c r="O1019" s="116">
        <v>2041.05</v>
      </c>
      <c r="P1019" s="116">
        <v>2049.9</v>
      </c>
      <c r="Q1019" s="116">
        <v>2074.8000000000002</v>
      </c>
      <c r="R1019">
        <v>1789812</v>
      </c>
    </row>
    <row r="1020" spans="1:18" x14ac:dyDescent="0.25">
      <c r="A1020" s="170">
        <v>43503</v>
      </c>
      <c r="B1020" s="116">
        <v>2097.8000000000002</v>
      </c>
      <c r="C1020" s="116">
        <v>2079.9</v>
      </c>
      <c r="D1020" s="116">
        <v>2069.5</v>
      </c>
      <c r="E1020" s="116">
        <v>2079.4</v>
      </c>
      <c r="F1020" s="116">
        <v>2079.9</v>
      </c>
      <c r="G1020">
        <v>94880</v>
      </c>
      <c r="H1020" s="116"/>
      <c r="I1020" s="116"/>
      <c r="L1020" s="170">
        <v>43503</v>
      </c>
      <c r="M1020" s="116">
        <v>2082.9</v>
      </c>
      <c r="N1020" s="116">
        <v>2097.9499999999998</v>
      </c>
      <c r="O1020" s="116">
        <v>2067</v>
      </c>
      <c r="P1020" s="116">
        <v>2074.75</v>
      </c>
      <c r="Q1020" s="116">
        <v>2082.9</v>
      </c>
      <c r="R1020">
        <v>1339945</v>
      </c>
    </row>
    <row r="1021" spans="1:18" x14ac:dyDescent="0.25">
      <c r="A1021" s="170">
        <v>43504</v>
      </c>
      <c r="B1021" s="116">
        <v>2088.25</v>
      </c>
      <c r="C1021" s="116">
        <v>2062.75</v>
      </c>
      <c r="D1021" s="116">
        <v>2054</v>
      </c>
      <c r="E1021" s="116">
        <v>2078</v>
      </c>
      <c r="F1021" s="116">
        <v>2062.75</v>
      </c>
      <c r="G1021">
        <v>856235</v>
      </c>
      <c r="H1021" s="116"/>
      <c r="I1021" s="116"/>
      <c r="L1021" s="170">
        <v>43504</v>
      </c>
      <c r="M1021" s="116">
        <v>2061.4</v>
      </c>
      <c r="N1021" s="116">
        <v>2089.5</v>
      </c>
      <c r="O1021" s="116">
        <v>2051</v>
      </c>
      <c r="P1021" s="116">
        <v>2075</v>
      </c>
      <c r="Q1021" s="116">
        <v>2061.4</v>
      </c>
      <c r="R1021">
        <v>1684474</v>
      </c>
    </row>
    <row r="1022" spans="1:18" x14ac:dyDescent="0.25">
      <c r="A1022" s="170">
        <v>43507</v>
      </c>
      <c r="B1022" s="116">
        <v>2093.4499999999998</v>
      </c>
      <c r="C1022" s="116">
        <v>2065.5500000000002</v>
      </c>
      <c r="D1022" s="116">
        <v>2051.0500000000002</v>
      </c>
      <c r="E1022" s="116">
        <v>2062</v>
      </c>
      <c r="F1022" s="116">
        <v>2065.5500000000002</v>
      </c>
      <c r="G1022">
        <v>70084</v>
      </c>
      <c r="H1022" s="116"/>
      <c r="I1022" s="116"/>
      <c r="L1022" s="170">
        <v>43507</v>
      </c>
      <c r="M1022" s="116">
        <v>2065.9</v>
      </c>
      <c r="N1022" s="116">
        <v>2096</v>
      </c>
      <c r="O1022" s="116">
        <v>2048.9</v>
      </c>
      <c r="P1022" s="116">
        <v>2060</v>
      </c>
      <c r="Q1022" s="116">
        <v>2065.9</v>
      </c>
      <c r="R1022">
        <v>1778730</v>
      </c>
    </row>
    <row r="1023" spans="1:18" x14ac:dyDescent="0.25">
      <c r="A1023" s="170">
        <v>43508</v>
      </c>
      <c r="B1023" s="116">
        <v>2077</v>
      </c>
      <c r="C1023" s="116">
        <v>2050.65</v>
      </c>
      <c r="D1023" s="116">
        <v>2020.35</v>
      </c>
      <c r="E1023" s="116">
        <v>2070</v>
      </c>
      <c r="F1023" s="116">
        <v>2050.65</v>
      </c>
      <c r="G1023">
        <v>88124</v>
      </c>
      <c r="H1023" s="116"/>
      <c r="I1023" s="116"/>
      <c r="L1023" s="170">
        <v>43508</v>
      </c>
      <c r="M1023" s="116">
        <v>2051.6</v>
      </c>
      <c r="N1023" s="116">
        <v>2070</v>
      </c>
      <c r="O1023" s="116">
        <v>2018</v>
      </c>
      <c r="P1023" s="116">
        <v>2070</v>
      </c>
      <c r="Q1023" s="116">
        <v>2051.6</v>
      </c>
      <c r="R1023">
        <v>2422903</v>
      </c>
    </row>
    <row r="1024" spans="1:18" x14ac:dyDescent="0.25">
      <c r="A1024" s="170">
        <v>43509</v>
      </c>
      <c r="B1024" s="116">
        <v>2082.75</v>
      </c>
      <c r="C1024" s="116">
        <v>2068.6</v>
      </c>
      <c r="D1024" s="116">
        <v>2050.65</v>
      </c>
      <c r="E1024" s="116">
        <v>2057</v>
      </c>
      <c r="F1024" s="116">
        <v>2068.6</v>
      </c>
      <c r="G1024">
        <v>210280</v>
      </c>
      <c r="H1024" s="116"/>
      <c r="I1024" s="116"/>
      <c r="L1024" s="170">
        <v>43509</v>
      </c>
      <c r="M1024" s="116">
        <v>2065.4</v>
      </c>
      <c r="N1024" s="116">
        <v>2083</v>
      </c>
      <c r="O1024" s="116">
        <v>2050.5</v>
      </c>
      <c r="P1024" s="116">
        <v>2062</v>
      </c>
      <c r="Q1024" s="116">
        <v>2065.4</v>
      </c>
      <c r="R1024">
        <v>2808581</v>
      </c>
    </row>
    <row r="1025" spans="1:18" x14ac:dyDescent="0.25">
      <c r="A1025" s="170">
        <v>43510</v>
      </c>
      <c r="B1025" s="116">
        <v>2075</v>
      </c>
      <c r="C1025" s="116">
        <v>2044.65</v>
      </c>
      <c r="D1025" s="116">
        <v>2033.15</v>
      </c>
      <c r="E1025" s="116">
        <v>2064</v>
      </c>
      <c r="F1025" s="116">
        <v>2044.65</v>
      </c>
      <c r="G1025">
        <v>40054</v>
      </c>
      <c r="H1025" s="116"/>
      <c r="I1025" s="116"/>
      <c r="L1025" s="170">
        <v>43510</v>
      </c>
      <c r="M1025" s="116">
        <v>2044.6</v>
      </c>
      <c r="N1025" s="116">
        <v>2075</v>
      </c>
      <c r="O1025" s="116">
        <v>2033.05</v>
      </c>
      <c r="P1025" s="116">
        <v>2060.0500000000002</v>
      </c>
      <c r="Q1025" s="116">
        <v>2044.6</v>
      </c>
      <c r="R1025">
        <v>1724085</v>
      </c>
    </row>
    <row r="1026" spans="1:18" x14ac:dyDescent="0.25">
      <c r="A1026" s="170">
        <v>43511</v>
      </c>
      <c r="B1026" s="116">
        <v>2052</v>
      </c>
      <c r="C1026" s="116">
        <v>2030.9</v>
      </c>
      <c r="D1026" s="116">
        <v>2013</v>
      </c>
      <c r="E1026" s="116">
        <v>2045</v>
      </c>
      <c r="F1026" s="116">
        <v>2030.9</v>
      </c>
      <c r="G1026">
        <v>69676</v>
      </c>
      <c r="H1026" s="116"/>
      <c r="I1026" s="116"/>
      <c r="L1026" s="170">
        <v>43511</v>
      </c>
      <c r="M1026" s="116">
        <v>2029.7</v>
      </c>
      <c r="N1026" s="116">
        <v>2052</v>
      </c>
      <c r="O1026" s="116">
        <v>2010.95</v>
      </c>
      <c r="P1026" s="116">
        <v>2049</v>
      </c>
      <c r="Q1026" s="116">
        <v>2029.7</v>
      </c>
      <c r="R1026">
        <v>1930065</v>
      </c>
    </row>
    <row r="1027" spans="1:18" x14ac:dyDescent="0.25">
      <c r="A1027" s="170">
        <v>43514</v>
      </c>
      <c r="B1027" s="116">
        <v>2044.1</v>
      </c>
      <c r="C1027" s="116">
        <v>1971.75</v>
      </c>
      <c r="D1027" s="116">
        <v>1965.6</v>
      </c>
      <c r="E1027" s="116">
        <v>2035</v>
      </c>
      <c r="F1027" s="116">
        <v>1971.75</v>
      </c>
      <c r="G1027">
        <v>103574</v>
      </c>
      <c r="H1027" s="116"/>
      <c r="I1027" s="116"/>
      <c r="L1027" s="170">
        <v>43514</v>
      </c>
      <c r="M1027" s="116">
        <v>1970.3</v>
      </c>
      <c r="N1027" s="116">
        <v>2041.95</v>
      </c>
      <c r="O1027" s="116">
        <v>1962.65</v>
      </c>
      <c r="P1027" s="116">
        <v>2037.6</v>
      </c>
      <c r="Q1027" s="116">
        <v>1970.3</v>
      </c>
      <c r="R1027">
        <v>2942184</v>
      </c>
    </row>
    <row r="1028" spans="1:18" x14ac:dyDescent="0.25">
      <c r="A1028" s="170">
        <v>43515</v>
      </c>
      <c r="B1028" s="116">
        <v>1971.75</v>
      </c>
      <c r="C1028" s="116">
        <v>1904.85</v>
      </c>
      <c r="D1028" s="116">
        <v>1895</v>
      </c>
      <c r="E1028" s="116">
        <v>1971.75</v>
      </c>
      <c r="F1028" s="116">
        <v>1904.85</v>
      </c>
      <c r="G1028">
        <v>173030</v>
      </c>
      <c r="H1028" s="116"/>
      <c r="I1028" s="116"/>
      <c r="L1028" s="170">
        <v>43515</v>
      </c>
      <c r="M1028" s="116">
        <v>1904.8</v>
      </c>
      <c r="N1028" s="116">
        <v>1971</v>
      </c>
      <c r="O1028" s="116">
        <v>1892</v>
      </c>
      <c r="P1028" s="116">
        <v>1970</v>
      </c>
      <c r="Q1028" s="116">
        <v>1904.8</v>
      </c>
      <c r="R1028">
        <v>4408554</v>
      </c>
    </row>
    <row r="1029" spans="1:18" x14ac:dyDescent="0.25">
      <c r="A1029" s="170">
        <v>43516</v>
      </c>
      <c r="B1029" s="116">
        <v>1933.8</v>
      </c>
      <c r="C1029" s="116">
        <v>1914.45</v>
      </c>
      <c r="D1029" s="116">
        <v>1882</v>
      </c>
      <c r="E1029" s="116">
        <v>1913.95</v>
      </c>
      <c r="F1029" s="116">
        <v>1914.45</v>
      </c>
      <c r="G1029">
        <v>246655</v>
      </c>
      <c r="H1029" s="116"/>
      <c r="I1029" s="116"/>
      <c r="L1029" s="170">
        <v>43516</v>
      </c>
      <c r="M1029" s="116">
        <v>1914.75</v>
      </c>
      <c r="N1029" s="116">
        <v>1933.8</v>
      </c>
      <c r="O1029" s="116">
        <v>1881.3</v>
      </c>
      <c r="P1029" s="116">
        <v>1915</v>
      </c>
      <c r="Q1029" s="116">
        <v>1914.75</v>
      </c>
      <c r="R1029">
        <v>4645778</v>
      </c>
    </row>
    <row r="1030" spans="1:18" x14ac:dyDescent="0.25">
      <c r="A1030" s="170">
        <v>43517</v>
      </c>
      <c r="B1030" s="116">
        <v>1939.8</v>
      </c>
      <c r="C1030" s="116">
        <v>1912.25</v>
      </c>
      <c r="D1030" s="116">
        <v>1898.65</v>
      </c>
      <c r="E1030" s="116">
        <v>1924</v>
      </c>
      <c r="F1030" s="116">
        <v>1912.25</v>
      </c>
      <c r="G1030">
        <v>199720</v>
      </c>
      <c r="H1030" s="116"/>
      <c r="I1030" s="116"/>
      <c r="L1030" s="170">
        <v>43517</v>
      </c>
      <c r="M1030" s="116">
        <v>1914.2</v>
      </c>
      <c r="N1030" s="116">
        <v>1940</v>
      </c>
      <c r="O1030" s="116">
        <v>1897.05</v>
      </c>
      <c r="P1030" s="116">
        <v>1914.75</v>
      </c>
      <c r="Q1030" s="116">
        <v>1914.2</v>
      </c>
      <c r="R1030">
        <v>4683919</v>
      </c>
    </row>
    <row r="1031" spans="1:18" x14ac:dyDescent="0.25">
      <c r="A1031" s="170">
        <v>43518</v>
      </c>
      <c r="B1031" s="116">
        <v>1930.5</v>
      </c>
      <c r="C1031" s="116">
        <v>1925.9</v>
      </c>
      <c r="D1031" s="116">
        <v>1905</v>
      </c>
      <c r="E1031" s="116">
        <v>1920</v>
      </c>
      <c r="F1031" s="116">
        <v>1925.9</v>
      </c>
      <c r="G1031">
        <v>63686</v>
      </c>
      <c r="H1031" s="116"/>
      <c r="I1031" s="116"/>
      <c r="L1031" s="170">
        <v>43518</v>
      </c>
      <c r="M1031" s="116">
        <v>1925.65</v>
      </c>
      <c r="N1031" s="116">
        <v>1930</v>
      </c>
      <c r="O1031" s="116">
        <v>1905.1</v>
      </c>
      <c r="P1031" s="116">
        <v>1917.2</v>
      </c>
      <c r="Q1031" s="116">
        <v>1925.65</v>
      </c>
      <c r="R1031">
        <v>2271955</v>
      </c>
    </row>
    <row r="1032" spans="1:18" x14ac:dyDescent="0.25">
      <c r="A1032" s="170">
        <v>43521</v>
      </c>
      <c r="B1032" s="116">
        <v>1990</v>
      </c>
      <c r="C1032" s="116">
        <v>1985</v>
      </c>
      <c r="D1032" s="116">
        <v>1927.15</v>
      </c>
      <c r="E1032" s="116">
        <v>1927.15</v>
      </c>
      <c r="F1032" s="116">
        <v>1985</v>
      </c>
      <c r="G1032">
        <v>124746</v>
      </c>
      <c r="H1032" s="116"/>
      <c r="I1032" s="116"/>
      <c r="L1032" s="170">
        <v>43521</v>
      </c>
      <c r="M1032" s="116">
        <v>1985.15</v>
      </c>
      <c r="N1032" s="116">
        <v>1990</v>
      </c>
      <c r="O1032" s="116">
        <v>1930.5</v>
      </c>
      <c r="P1032" s="116">
        <v>1932.5</v>
      </c>
      <c r="Q1032" s="116">
        <v>1985.15</v>
      </c>
      <c r="R1032">
        <v>2934880</v>
      </c>
    </row>
    <row r="1033" spans="1:18" x14ac:dyDescent="0.25">
      <c r="A1033" s="170">
        <v>43522</v>
      </c>
      <c r="B1033" s="116">
        <v>2038.65</v>
      </c>
      <c r="C1033" s="116">
        <v>2032.35</v>
      </c>
      <c r="D1033" s="116">
        <v>1969.9</v>
      </c>
      <c r="E1033" s="116">
        <v>1977</v>
      </c>
      <c r="F1033" s="116">
        <v>2032.35</v>
      </c>
      <c r="G1033">
        <v>217075</v>
      </c>
      <c r="H1033" s="116"/>
      <c r="I1033" s="116"/>
      <c r="L1033" s="170">
        <v>43522</v>
      </c>
      <c r="M1033" s="116">
        <v>2038.7</v>
      </c>
      <c r="N1033" s="116">
        <v>2045.15</v>
      </c>
      <c r="O1033" s="116">
        <v>1972.25</v>
      </c>
      <c r="P1033" s="116">
        <v>1984</v>
      </c>
      <c r="Q1033" s="116">
        <v>2038.7</v>
      </c>
      <c r="R1033">
        <v>6453309</v>
      </c>
    </row>
    <row r="1034" spans="1:18" x14ac:dyDescent="0.25">
      <c r="A1034" s="170">
        <v>43523</v>
      </c>
      <c r="B1034" s="116">
        <v>2070</v>
      </c>
      <c r="C1034" s="116">
        <v>2053.75</v>
      </c>
      <c r="D1034" s="116">
        <v>2020.85</v>
      </c>
      <c r="E1034" s="116">
        <v>2037</v>
      </c>
      <c r="F1034" s="116">
        <v>2053.75</v>
      </c>
      <c r="G1034">
        <v>142848</v>
      </c>
      <c r="H1034" s="116"/>
      <c r="I1034" s="116"/>
      <c r="L1034" s="170">
        <v>43523</v>
      </c>
      <c r="M1034" s="116">
        <v>2058.1</v>
      </c>
      <c r="N1034" s="116">
        <v>2074.9499999999998</v>
      </c>
      <c r="O1034" s="116">
        <v>2022</v>
      </c>
      <c r="P1034" s="116">
        <v>2040</v>
      </c>
      <c r="Q1034" s="116">
        <v>2058.1</v>
      </c>
      <c r="R1034">
        <v>4732082</v>
      </c>
    </row>
    <row r="1035" spans="1:18" x14ac:dyDescent="0.25">
      <c r="A1035" s="170">
        <v>43524</v>
      </c>
      <c r="B1035" s="116">
        <v>2070</v>
      </c>
      <c r="C1035" s="116">
        <v>1984.25</v>
      </c>
      <c r="D1035" s="116">
        <v>1977.85</v>
      </c>
      <c r="E1035" s="116">
        <v>2065</v>
      </c>
      <c r="F1035" s="116">
        <v>1984.25</v>
      </c>
      <c r="G1035">
        <v>342425</v>
      </c>
      <c r="H1035" s="116"/>
      <c r="I1035" s="116"/>
      <c r="L1035" s="170">
        <v>43524</v>
      </c>
      <c r="M1035" s="116">
        <v>1983.45</v>
      </c>
      <c r="N1035" s="116">
        <v>2071.35</v>
      </c>
      <c r="O1035" s="116">
        <v>1977.6</v>
      </c>
      <c r="P1035" s="116">
        <v>2060</v>
      </c>
      <c r="Q1035" s="116">
        <v>1983.45</v>
      </c>
      <c r="R1035">
        <v>8454295</v>
      </c>
    </row>
    <row r="1036" spans="1:18" x14ac:dyDescent="0.25">
      <c r="A1036" s="170">
        <v>43525</v>
      </c>
      <c r="B1036" s="116">
        <v>2005.95</v>
      </c>
      <c r="C1036" s="116">
        <v>1991.65</v>
      </c>
      <c r="D1036" s="116">
        <v>1982.5</v>
      </c>
      <c r="E1036" s="116">
        <v>1990</v>
      </c>
      <c r="F1036" s="116">
        <v>1991.65</v>
      </c>
      <c r="G1036">
        <v>141607</v>
      </c>
      <c r="H1036" s="116"/>
      <c r="I1036" s="116"/>
      <c r="L1036" s="170">
        <v>43525</v>
      </c>
      <c r="M1036" s="116">
        <v>1995.4</v>
      </c>
      <c r="N1036" s="116">
        <v>2005</v>
      </c>
      <c r="O1036" s="116">
        <v>1980.35</v>
      </c>
      <c r="P1036" s="116">
        <v>1995.05</v>
      </c>
      <c r="Q1036" s="116">
        <v>1995.4</v>
      </c>
      <c r="R1036">
        <v>4148548</v>
      </c>
    </row>
    <row r="1037" spans="1:18" x14ac:dyDescent="0.25">
      <c r="A1037" s="170">
        <v>43529</v>
      </c>
      <c r="B1037" s="116">
        <v>2005</v>
      </c>
      <c r="C1037" s="116">
        <v>1987.85</v>
      </c>
      <c r="D1037" s="116">
        <v>1978.05</v>
      </c>
      <c r="E1037" s="116">
        <v>2002</v>
      </c>
      <c r="F1037" s="116">
        <v>1987.85</v>
      </c>
      <c r="G1037">
        <v>87491</v>
      </c>
      <c r="H1037" s="116"/>
      <c r="I1037" s="116"/>
      <c r="L1037" s="170">
        <v>43529</v>
      </c>
      <c r="M1037" s="116">
        <v>1988.1</v>
      </c>
      <c r="N1037" s="116">
        <v>2007</v>
      </c>
      <c r="O1037" s="116">
        <v>1976.6</v>
      </c>
      <c r="P1037" s="116">
        <v>2005</v>
      </c>
      <c r="Q1037" s="116">
        <v>1988.1</v>
      </c>
      <c r="R1037">
        <v>2449622</v>
      </c>
    </row>
    <row r="1038" spans="1:18" x14ac:dyDescent="0.25">
      <c r="A1038" s="170">
        <v>43530</v>
      </c>
      <c r="B1038" s="116">
        <v>2014.35</v>
      </c>
      <c r="C1038" s="116">
        <v>1999.4</v>
      </c>
      <c r="D1038" s="116">
        <v>1986.45</v>
      </c>
      <c r="E1038" s="116">
        <v>1990</v>
      </c>
      <c r="F1038" s="116">
        <v>1999.4</v>
      </c>
      <c r="G1038">
        <v>110167</v>
      </c>
      <c r="H1038" s="116"/>
      <c r="I1038" s="116"/>
      <c r="L1038" s="170">
        <v>43530</v>
      </c>
      <c r="M1038" s="116">
        <v>1999.6</v>
      </c>
      <c r="N1038" s="116">
        <v>2015</v>
      </c>
      <c r="O1038" s="116">
        <v>1985.05</v>
      </c>
      <c r="P1038" s="116">
        <v>1989.3</v>
      </c>
      <c r="Q1038" s="116">
        <v>1999.6</v>
      </c>
      <c r="R1038">
        <v>2635047</v>
      </c>
    </row>
    <row r="1039" spans="1:18" x14ac:dyDescent="0.25">
      <c r="A1039" s="170">
        <v>43531</v>
      </c>
      <c r="B1039" s="116">
        <v>2021</v>
      </c>
      <c r="C1039" s="116">
        <v>2011.5</v>
      </c>
      <c r="D1039" s="116">
        <v>2000.5</v>
      </c>
      <c r="E1039" s="116">
        <v>2000.5</v>
      </c>
      <c r="F1039" s="116">
        <v>2011.5</v>
      </c>
      <c r="G1039">
        <v>70885</v>
      </c>
      <c r="H1039" s="116"/>
      <c r="I1039" s="116"/>
      <c r="L1039" s="170">
        <v>43531</v>
      </c>
      <c r="M1039" s="116">
        <v>2013.3</v>
      </c>
      <c r="N1039" s="116">
        <v>2024.05</v>
      </c>
      <c r="O1039" s="116">
        <v>2000.2</v>
      </c>
      <c r="P1039" s="116">
        <v>2005</v>
      </c>
      <c r="Q1039" s="116">
        <v>2013.3</v>
      </c>
      <c r="R1039">
        <v>2539884</v>
      </c>
    </row>
    <row r="1040" spans="1:18" x14ac:dyDescent="0.25">
      <c r="A1040" s="170">
        <v>43532</v>
      </c>
      <c r="B1040" s="116">
        <v>2032.6</v>
      </c>
      <c r="C1040" s="116">
        <v>2022.3</v>
      </c>
      <c r="D1040" s="116">
        <v>2010.05</v>
      </c>
      <c r="E1040" s="116">
        <v>2029</v>
      </c>
      <c r="F1040" s="116">
        <v>2022.3</v>
      </c>
      <c r="G1040">
        <v>96587</v>
      </c>
      <c r="H1040" s="116"/>
      <c r="I1040" s="116"/>
      <c r="L1040" s="170">
        <v>43532</v>
      </c>
      <c r="M1040" s="116">
        <v>2022.7</v>
      </c>
      <c r="N1040" s="116">
        <v>2033</v>
      </c>
      <c r="O1040" s="116">
        <v>2010.05</v>
      </c>
      <c r="P1040" s="116">
        <v>2025</v>
      </c>
      <c r="Q1040" s="116">
        <v>2022.7</v>
      </c>
      <c r="R1040">
        <v>2031071</v>
      </c>
    </row>
    <row r="1041" spans="1:18" x14ac:dyDescent="0.25">
      <c r="A1041" s="170">
        <v>43535</v>
      </c>
      <c r="B1041" s="116">
        <v>2032.8</v>
      </c>
      <c r="C1041" s="116">
        <v>2014.1</v>
      </c>
      <c r="D1041" s="116">
        <v>2005.5</v>
      </c>
      <c r="E1041" s="116">
        <v>2022.7</v>
      </c>
      <c r="F1041" s="116">
        <v>2014.1</v>
      </c>
      <c r="G1041">
        <v>52839</v>
      </c>
      <c r="H1041" s="116"/>
      <c r="I1041" s="116"/>
      <c r="L1041" s="170">
        <v>43535</v>
      </c>
      <c r="M1041" s="116">
        <v>2014.8</v>
      </c>
      <c r="N1041" s="116">
        <v>2033</v>
      </c>
      <c r="O1041" s="116">
        <v>2003.65</v>
      </c>
      <c r="P1041" s="116">
        <v>2028.9</v>
      </c>
      <c r="Q1041" s="116">
        <v>2014.8</v>
      </c>
      <c r="R1041">
        <v>3111689</v>
      </c>
    </row>
    <row r="1042" spans="1:18" x14ac:dyDescent="0.25">
      <c r="A1042" s="170">
        <v>43536</v>
      </c>
      <c r="B1042" s="116">
        <v>2024.9</v>
      </c>
      <c r="C1042" s="116">
        <v>2012.55</v>
      </c>
      <c r="D1042" s="116">
        <v>2003.35</v>
      </c>
      <c r="E1042" s="116">
        <v>2018</v>
      </c>
      <c r="F1042" s="116">
        <v>2012.55</v>
      </c>
      <c r="G1042">
        <v>55412</v>
      </c>
      <c r="H1042" s="116"/>
      <c r="I1042" s="116"/>
      <c r="L1042" s="170">
        <v>43536</v>
      </c>
      <c r="M1042" s="116">
        <v>2012.45</v>
      </c>
      <c r="N1042" s="116">
        <v>2024.8</v>
      </c>
      <c r="O1042" s="116">
        <v>2003</v>
      </c>
      <c r="P1042" s="116">
        <v>2014.05</v>
      </c>
      <c r="Q1042" s="116">
        <v>2012.45</v>
      </c>
      <c r="R1042">
        <v>2658550</v>
      </c>
    </row>
    <row r="1043" spans="1:18" x14ac:dyDescent="0.25">
      <c r="A1043" s="170">
        <v>43537</v>
      </c>
      <c r="B1043" s="116">
        <v>2015.15</v>
      </c>
      <c r="C1043" s="116">
        <v>2001.15</v>
      </c>
      <c r="D1043" s="116">
        <v>1978.6</v>
      </c>
      <c r="E1043" s="116">
        <v>2006.1</v>
      </c>
      <c r="F1043" s="116">
        <v>2001.15</v>
      </c>
      <c r="G1043">
        <v>91421</v>
      </c>
      <c r="H1043" s="116"/>
      <c r="I1043" s="116"/>
      <c r="L1043" s="170">
        <v>43537</v>
      </c>
      <c r="M1043" s="116">
        <v>2000.5</v>
      </c>
      <c r="N1043" s="116">
        <v>2015.9</v>
      </c>
      <c r="O1043" s="116">
        <v>1978.6</v>
      </c>
      <c r="P1043" s="116">
        <v>2013</v>
      </c>
      <c r="Q1043" s="116">
        <v>2000.5</v>
      </c>
      <c r="R1043">
        <v>1833163</v>
      </c>
    </row>
    <row r="1044" spans="1:18" x14ac:dyDescent="0.25">
      <c r="A1044" s="170">
        <v>43538</v>
      </c>
      <c r="B1044" s="116">
        <v>2009</v>
      </c>
      <c r="C1044" s="116">
        <v>1988.6</v>
      </c>
      <c r="D1044" s="116">
        <v>1982.3</v>
      </c>
      <c r="E1044" s="116">
        <v>2009</v>
      </c>
      <c r="F1044" s="116">
        <v>1988.6</v>
      </c>
      <c r="G1044">
        <v>47407</v>
      </c>
      <c r="H1044" s="116"/>
      <c r="I1044" s="116"/>
      <c r="L1044" s="170">
        <v>43538</v>
      </c>
      <c r="M1044" s="116">
        <v>1987.4</v>
      </c>
      <c r="N1044" s="116">
        <v>2007.8</v>
      </c>
      <c r="O1044" s="116">
        <v>1981</v>
      </c>
      <c r="P1044" s="116">
        <v>2004.95</v>
      </c>
      <c r="Q1044" s="116">
        <v>1987.4</v>
      </c>
      <c r="R1044">
        <v>1905495</v>
      </c>
    </row>
    <row r="1045" spans="1:18" x14ac:dyDescent="0.25">
      <c r="A1045" s="170">
        <v>43539</v>
      </c>
      <c r="B1045" s="116">
        <v>2069</v>
      </c>
      <c r="C1045" s="116">
        <v>2040.2</v>
      </c>
      <c r="D1045" s="116">
        <v>1993</v>
      </c>
      <c r="E1045" s="116">
        <v>1993</v>
      </c>
      <c r="F1045" s="116">
        <v>2040.2</v>
      </c>
      <c r="G1045">
        <v>184492</v>
      </c>
      <c r="H1045" s="116"/>
      <c r="I1045" s="116"/>
      <c r="L1045" s="170">
        <v>43539</v>
      </c>
      <c r="M1045" s="116">
        <v>2039.95</v>
      </c>
      <c r="N1045" s="116">
        <v>2068.9499999999998</v>
      </c>
      <c r="O1045" s="116">
        <v>1991</v>
      </c>
      <c r="P1045" s="116">
        <v>1998.9</v>
      </c>
      <c r="Q1045" s="116">
        <v>2039.95</v>
      </c>
      <c r="R1045">
        <v>5184318</v>
      </c>
    </row>
    <row r="1046" spans="1:18" x14ac:dyDescent="0.25">
      <c r="A1046" s="170">
        <v>43542</v>
      </c>
      <c r="B1046" s="116">
        <v>2062.9</v>
      </c>
      <c r="C1046" s="116">
        <v>2021.3</v>
      </c>
      <c r="D1046" s="116">
        <v>2012</v>
      </c>
      <c r="E1046" s="116">
        <v>2045</v>
      </c>
      <c r="F1046" s="116">
        <v>2021.3</v>
      </c>
      <c r="G1046">
        <v>108133</v>
      </c>
      <c r="H1046" s="116"/>
      <c r="I1046" s="116"/>
      <c r="L1046" s="170">
        <v>43542</v>
      </c>
      <c r="M1046" s="116">
        <v>2022.8</v>
      </c>
      <c r="N1046" s="116">
        <v>2064.6</v>
      </c>
      <c r="O1046" s="116">
        <v>2011</v>
      </c>
      <c r="P1046" s="116">
        <v>2043</v>
      </c>
      <c r="Q1046" s="116">
        <v>2022.8</v>
      </c>
      <c r="R1046">
        <v>2349915</v>
      </c>
    </row>
    <row r="1047" spans="1:18" x14ac:dyDescent="0.25">
      <c r="A1047" s="170">
        <v>43543</v>
      </c>
      <c r="B1047" s="116">
        <v>2030</v>
      </c>
      <c r="C1047" s="116">
        <v>2024.7</v>
      </c>
      <c r="D1047" s="116">
        <v>1996.4</v>
      </c>
      <c r="E1047" s="116">
        <v>2026</v>
      </c>
      <c r="F1047" s="116">
        <v>2024.7</v>
      </c>
      <c r="G1047">
        <v>82270</v>
      </c>
      <c r="H1047" s="116"/>
      <c r="I1047" s="116"/>
      <c r="L1047" s="170">
        <v>43543</v>
      </c>
      <c r="M1047" s="116">
        <v>2022.8</v>
      </c>
      <c r="N1047" s="116">
        <v>2030</v>
      </c>
      <c r="O1047" s="116">
        <v>1995.1</v>
      </c>
      <c r="P1047" s="116">
        <v>2030</v>
      </c>
      <c r="Q1047" s="116">
        <v>2022.8</v>
      </c>
      <c r="R1047">
        <v>2373993</v>
      </c>
    </row>
    <row r="1048" spans="1:18" x14ac:dyDescent="0.25">
      <c r="A1048" s="170">
        <v>43544</v>
      </c>
      <c r="B1048" s="116">
        <v>2044.6</v>
      </c>
      <c r="C1048" s="116">
        <v>2015.5</v>
      </c>
      <c r="D1048" s="116">
        <v>2002</v>
      </c>
      <c r="E1048" s="116">
        <v>2025</v>
      </c>
      <c r="F1048" s="116">
        <v>2015.5</v>
      </c>
      <c r="G1048">
        <v>154786</v>
      </c>
      <c r="H1048" s="116"/>
      <c r="I1048" s="116"/>
      <c r="L1048" s="170">
        <v>43544</v>
      </c>
      <c r="M1048" s="116">
        <v>2015.05</v>
      </c>
      <c r="N1048" s="116">
        <v>2044.8</v>
      </c>
      <c r="O1048" s="116">
        <v>2000</v>
      </c>
      <c r="P1048" s="116">
        <v>2028</v>
      </c>
      <c r="Q1048" s="116">
        <v>2015.05</v>
      </c>
      <c r="R1048">
        <v>3091165</v>
      </c>
    </row>
    <row r="1049" spans="1:18" x14ac:dyDescent="0.25">
      <c r="A1049" s="170">
        <v>43546</v>
      </c>
      <c r="B1049" s="116">
        <v>2015.5</v>
      </c>
      <c r="C1049" s="116">
        <v>2004.65</v>
      </c>
      <c r="D1049" s="116">
        <v>1985.5</v>
      </c>
      <c r="E1049" s="116">
        <v>2015.5</v>
      </c>
      <c r="F1049" s="116">
        <v>2004.65</v>
      </c>
      <c r="G1049">
        <v>151043</v>
      </c>
      <c r="H1049" s="116"/>
      <c r="I1049" s="116"/>
      <c r="L1049" s="170">
        <v>43546</v>
      </c>
      <c r="M1049" s="116">
        <v>2005.65</v>
      </c>
      <c r="N1049" s="116">
        <v>2016</v>
      </c>
      <c r="O1049" s="116">
        <v>1983.3</v>
      </c>
      <c r="P1049" s="116">
        <v>2015</v>
      </c>
      <c r="Q1049" s="116">
        <v>2005.65</v>
      </c>
      <c r="R1049">
        <v>3148149</v>
      </c>
    </row>
    <row r="1050" spans="1:18" x14ac:dyDescent="0.25">
      <c r="A1050" s="170">
        <v>43549</v>
      </c>
      <c r="B1050" s="116">
        <v>2010</v>
      </c>
      <c r="C1050" s="116">
        <v>1986.9</v>
      </c>
      <c r="D1050" s="116">
        <v>1979.3</v>
      </c>
      <c r="E1050" s="116">
        <v>2007</v>
      </c>
      <c r="F1050" s="116">
        <v>1986.9</v>
      </c>
      <c r="G1050">
        <v>535545</v>
      </c>
      <c r="H1050" s="116"/>
      <c r="I1050" s="116"/>
      <c r="L1050" s="170">
        <v>43549</v>
      </c>
      <c r="M1050" s="116">
        <v>1984.25</v>
      </c>
      <c r="N1050" s="116">
        <v>2007.8</v>
      </c>
      <c r="O1050" s="116">
        <v>1977.2</v>
      </c>
      <c r="P1050" s="116">
        <v>2007.8</v>
      </c>
      <c r="Q1050" s="116">
        <v>1984.25</v>
      </c>
      <c r="R1050">
        <v>2429205</v>
      </c>
    </row>
    <row r="1051" spans="1:18" x14ac:dyDescent="0.25">
      <c r="A1051" s="170">
        <v>43550</v>
      </c>
      <c r="B1051" s="116">
        <v>1994</v>
      </c>
      <c r="C1051" s="116">
        <v>1981.8</v>
      </c>
      <c r="D1051" s="116">
        <v>1959</v>
      </c>
      <c r="E1051" s="116">
        <v>1985</v>
      </c>
      <c r="F1051" s="116">
        <v>1981.8</v>
      </c>
      <c r="G1051">
        <v>133616</v>
      </c>
      <c r="H1051" s="116"/>
      <c r="I1051" s="116"/>
      <c r="L1051" s="170">
        <v>43550</v>
      </c>
      <c r="M1051" s="116">
        <v>1982.65</v>
      </c>
      <c r="N1051" s="116">
        <v>1994.95</v>
      </c>
      <c r="O1051" s="116">
        <v>1958.05</v>
      </c>
      <c r="P1051" s="116">
        <v>1984</v>
      </c>
      <c r="Q1051" s="116">
        <v>1982.65</v>
      </c>
      <c r="R1051">
        <v>2316539</v>
      </c>
    </row>
    <row r="1052" spans="1:18" x14ac:dyDescent="0.25">
      <c r="A1052" s="170">
        <v>43551</v>
      </c>
      <c r="B1052" s="116">
        <v>1998.25</v>
      </c>
      <c r="C1052" s="116">
        <v>1968.2</v>
      </c>
      <c r="D1052" s="116">
        <v>1961</v>
      </c>
      <c r="E1052" s="116">
        <v>1985</v>
      </c>
      <c r="F1052" s="116">
        <v>1968.2</v>
      </c>
      <c r="G1052">
        <v>125014</v>
      </c>
      <c r="H1052" s="116"/>
      <c r="I1052" s="116"/>
      <c r="L1052" s="170">
        <v>43551</v>
      </c>
      <c r="M1052" s="116">
        <v>1967.9</v>
      </c>
      <c r="N1052" s="116">
        <v>1998</v>
      </c>
      <c r="O1052" s="116">
        <v>1961</v>
      </c>
      <c r="P1052" s="116">
        <v>1994</v>
      </c>
      <c r="Q1052" s="116">
        <v>1967.9</v>
      </c>
      <c r="R1052">
        <v>2266166</v>
      </c>
    </row>
    <row r="1053" spans="1:18" x14ac:dyDescent="0.25">
      <c r="A1053" s="170">
        <v>43552</v>
      </c>
      <c r="B1053" s="116">
        <v>2010.95</v>
      </c>
      <c r="C1053" s="116">
        <v>2000.45</v>
      </c>
      <c r="D1053" s="116">
        <v>1972.4</v>
      </c>
      <c r="E1053" s="116">
        <v>1978</v>
      </c>
      <c r="F1053" s="116">
        <v>2000.45</v>
      </c>
      <c r="G1053">
        <v>204930</v>
      </c>
      <c r="H1053" s="116"/>
      <c r="I1053" s="116"/>
      <c r="L1053" s="170">
        <v>43552</v>
      </c>
      <c r="M1053" s="116">
        <v>2000.3</v>
      </c>
      <c r="N1053" s="116">
        <v>2014.6</v>
      </c>
      <c r="O1053" s="116">
        <v>1972.8</v>
      </c>
      <c r="P1053" s="116">
        <v>1980</v>
      </c>
      <c r="Q1053" s="116">
        <v>2000.3</v>
      </c>
      <c r="R1053">
        <v>4054489</v>
      </c>
    </row>
    <row r="1054" spans="1:18" x14ac:dyDescent="0.25">
      <c r="A1054" s="170">
        <v>43553</v>
      </c>
      <c r="B1054" s="116">
        <v>2024.9</v>
      </c>
      <c r="C1054" s="116">
        <v>2000.4</v>
      </c>
      <c r="D1054" s="116">
        <v>1986.75</v>
      </c>
      <c r="E1054" s="116">
        <v>2017.9</v>
      </c>
      <c r="F1054" s="116">
        <v>2000.4</v>
      </c>
      <c r="G1054">
        <v>148516</v>
      </c>
      <c r="H1054" s="116"/>
      <c r="I1054" s="116"/>
      <c r="L1054" s="170">
        <v>43553</v>
      </c>
      <c r="M1054" s="116">
        <v>2001.65</v>
      </c>
      <c r="N1054" s="116">
        <v>2024.9</v>
      </c>
      <c r="O1054" s="116">
        <v>1983.55</v>
      </c>
      <c r="P1054" s="116">
        <v>2019</v>
      </c>
      <c r="Q1054" s="116">
        <v>2001.65</v>
      </c>
      <c r="R1054">
        <v>2948955</v>
      </c>
    </row>
    <row r="1055" spans="1:18" x14ac:dyDescent="0.25">
      <c r="A1055" s="170">
        <v>43556</v>
      </c>
      <c r="B1055" s="116">
        <v>2040</v>
      </c>
      <c r="C1055" s="116">
        <v>2031.3</v>
      </c>
      <c r="D1055" s="116">
        <v>2009.25</v>
      </c>
      <c r="E1055" s="116">
        <v>2010</v>
      </c>
      <c r="F1055" s="116">
        <v>2031.3</v>
      </c>
      <c r="G1055">
        <v>532795</v>
      </c>
      <c r="H1055" s="116"/>
      <c r="I1055" s="116"/>
      <c r="L1055" s="170">
        <v>43556</v>
      </c>
      <c r="M1055" s="116">
        <v>2031.65</v>
      </c>
      <c r="N1055" s="116">
        <v>2039.95</v>
      </c>
      <c r="O1055" s="116">
        <v>2008.25</v>
      </c>
      <c r="P1055" s="116">
        <v>2010</v>
      </c>
      <c r="Q1055" s="116">
        <v>2031.65</v>
      </c>
      <c r="R1055">
        <v>2095740</v>
      </c>
    </row>
    <row r="1056" spans="1:18" x14ac:dyDescent="0.25">
      <c r="A1056" s="170">
        <v>43557</v>
      </c>
      <c r="B1056" s="116">
        <v>2084</v>
      </c>
      <c r="C1056" s="116">
        <v>2079.5</v>
      </c>
      <c r="D1056" s="116">
        <v>2035.55</v>
      </c>
      <c r="E1056" s="116">
        <v>2040</v>
      </c>
      <c r="F1056" s="116">
        <v>2079.5</v>
      </c>
      <c r="G1056">
        <v>156214</v>
      </c>
      <c r="H1056" s="116"/>
      <c r="I1056" s="116"/>
      <c r="L1056" s="170">
        <v>43557</v>
      </c>
      <c r="M1056" s="116">
        <v>2079.3000000000002</v>
      </c>
      <c r="N1056" s="116">
        <v>2086</v>
      </c>
      <c r="O1056" s="116">
        <v>2037</v>
      </c>
      <c r="P1056" s="116">
        <v>2037.1</v>
      </c>
      <c r="Q1056" s="116">
        <v>2079.3000000000002</v>
      </c>
      <c r="R1056">
        <v>3719663</v>
      </c>
    </row>
    <row r="1057" spans="1:18" x14ac:dyDescent="0.25">
      <c r="A1057" s="170">
        <v>43558</v>
      </c>
      <c r="B1057" s="116">
        <v>2089.8000000000002</v>
      </c>
      <c r="C1057" s="116">
        <v>2080.25</v>
      </c>
      <c r="D1057" s="116">
        <v>2060</v>
      </c>
      <c r="E1057" s="116">
        <v>2089.8000000000002</v>
      </c>
      <c r="F1057" s="116">
        <v>2080.25</v>
      </c>
      <c r="G1057">
        <v>126061</v>
      </c>
      <c r="H1057" s="116"/>
      <c r="I1057" s="116"/>
      <c r="L1057" s="170">
        <v>43558</v>
      </c>
      <c r="M1057" s="116">
        <v>2079.3000000000002</v>
      </c>
      <c r="N1057" s="116">
        <v>2089.6</v>
      </c>
      <c r="O1057" s="116">
        <v>2058.1</v>
      </c>
      <c r="P1057" s="116">
        <v>2085</v>
      </c>
      <c r="Q1057" s="116">
        <v>2079.3000000000002</v>
      </c>
      <c r="R1057">
        <v>2939886</v>
      </c>
    </row>
    <row r="1058" spans="1:18" x14ac:dyDescent="0.25">
      <c r="A1058" s="170">
        <v>43559</v>
      </c>
      <c r="B1058" s="116">
        <v>2080.75</v>
      </c>
      <c r="C1058" s="116">
        <v>2014.3</v>
      </c>
      <c r="D1058" s="116">
        <v>2006</v>
      </c>
      <c r="E1058" s="116">
        <v>2080</v>
      </c>
      <c r="F1058" s="116">
        <v>2014.3</v>
      </c>
      <c r="G1058">
        <v>150806</v>
      </c>
      <c r="H1058" s="116"/>
      <c r="I1058" s="116"/>
      <c r="L1058" s="170">
        <v>43559</v>
      </c>
      <c r="M1058" s="116">
        <v>2014.5</v>
      </c>
      <c r="N1058" s="116">
        <v>2079.6999999999998</v>
      </c>
      <c r="O1058" s="116">
        <v>2007.4</v>
      </c>
      <c r="P1058" s="116">
        <v>2078.15</v>
      </c>
      <c r="Q1058" s="116">
        <v>2014.5</v>
      </c>
      <c r="R1058">
        <v>4397518</v>
      </c>
    </row>
    <row r="1059" spans="1:18" x14ac:dyDescent="0.25">
      <c r="A1059" s="170">
        <v>43560</v>
      </c>
      <c r="B1059" s="116">
        <v>2058.9499999999998</v>
      </c>
      <c r="C1059" s="116">
        <v>2051.4499999999998</v>
      </c>
      <c r="D1059" s="116">
        <v>2020</v>
      </c>
      <c r="E1059" s="116">
        <v>2029.7</v>
      </c>
      <c r="F1059" s="116">
        <v>2051.4499999999998</v>
      </c>
      <c r="G1059">
        <v>152384</v>
      </c>
      <c r="H1059" s="116"/>
      <c r="I1059" s="116"/>
      <c r="L1059" s="170">
        <v>43560</v>
      </c>
      <c r="M1059" s="116">
        <v>2048.3000000000002</v>
      </c>
      <c r="N1059" s="116">
        <v>2054.4</v>
      </c>
      <c r="O1059" s="116">
        <v>2018.8</v>
      </c>
      <c r="P1059" s="116">
        <v>2028.65</v>
      </c>
      <c r="Q1059" s="116">
        <v>2048.3000000000002</v>
      </c>
      <c r="R1059">
        <v>3152103</v>
      </c>
    </row>
    <row r="1060" spans="1:18" x14ac:dyDescent="0.25">
      <c r="A1060" s="170">
        <v>43563</v>
      </c>
      <c r="B1060" s="116">
        <v>2078</v>
      </c>
      <c r="C1060" s="116">
        <v>2069.75</v>
      </c>
      <c r="D1060" s="116">
        <v>2033.55</v>
      </c>
      <c r="E1060" s="116">
        <v>2060</v>
      </c>
      <c r="F1060" s="116">
        <v>2069.75</v>
      </c>
      <c r="G1060">
        <v>112239</v>
      </c>
      <c r="H1060" s="116"/>
      <c r="I1060" s="116"/>
      <c r="L1060" s="170">
        <v>43563</v>
      </c>
      <c r="M1060" s="116">
        <v>2070.75</v>
      </c>
      <c r="N1060" s="116">
        <v>2075</v>
      </c>
      <c r="O1060" s="116">
        <v>2032.7</v>
      </c>
      <c r="P1060" s="116">
        <v>2059</v>
      </c>
      <c r="Q1060" s="116">
        <v>2070.75</v>
      </c>
      <c r="R1060">
        <v>2194294</v>
      </c>
    </row>
    <row r="1061" spans="1:18" x14ac:dyDescent="0.25">
      <c r="A1061" s="170">
        <v>43564</v>
      </c>
      <c r="B1061" s="116">
        <v>2096.1</v>
      </c>
      <c r="C1061" s="116">
        <v>2088.1</v>
      </c>
      <c r="D1061" s="116">
        <v>2057</v>
      </c>
      <c r="E1061" s="116">
        <v>2074.6999999999998</v>
      </c>
      <c r="F1061" s="116">
        <v>2088.1</v>
      </c>
      <c r="G1061">
        <v>124591</v>
      </c>
      <c r="H1061" s="116"/>
      <c r="I1061" s="116"/>
      <c r="L1061" s="170">
        <v>43564</v>
      </c>
      <c r="M1061" s="116">
        <v>2091.5</v>
      </c>
      <c r="N1061" s="116">
        <v>2098</v>
      </c>
      <c r="O1061" s="116">
        <v>2057.65</v>
      </c>
      <c r="P1061" s="116">
        <v>2070</v>
      </c>
      <c r="Q1061" s="116">
        <v>2091.5</v>
      </c>
      <c r="R1061">
        <v>2690970</v>
      </c>
    </row>
    <row r="1062" spans="1:18" x14ac:dyDescent="0.25">
      <c r="A1062" s="170">
        <v>43565</v>
      </c>
      <c r="B1062" s="116">
        <v>2098.6</v>
      </c>
      <c r="C1062" s="116">
        <v>2043.8</v>
      </c>
      <c r="D1062" s="116">
        <v>2038.55</v>
      </c>
      <c r="E1062" s="116">
        <v>2098.6</v>
      </c>
      <c r="F1062" s="116">
        <v>2043.8</v>
      </c>
      <c r="G1062">
        <v>108591</v>
      </c>
      <c r="H1062" s="116"/>
      <c r="I1062" s="116"/>
      <c r="L1062" s="170">
        <v>43565</v>
      </c>
      <c r="M1062" s="116">
        <v>2040.25</v>
      </c>
      <c r="N1062" s="116">
        <v>2085.5</v>
      </c>
      <c r="O1062" s="116">
        <v>2036</v>
      </c>
      <c r="P1062" s="116">
        <v>2083</v>
      </c>
      <c r="Q1062" s="116">
        <v>2040.25</v>
      </c>
      <c r="R1062">
        <v>3313062</v>
      </c>
    </row>
    <row r="1063" spans="1:18" x14ac:dyDescent="0.25">
      <c r="A1063" s="170">
        <v>43566</v>
      </c>
      <c r="B1063" s="116">
        <v>2055.3000000000002</v>
      </c>
      <c r="C1063" s="116">
        <v>2019.05</v>
      </c>
      <c r="D1063" s="116">
        <v>2012.35</v>
      </c>
      <c r="E1063" s="116">
        <v>2048</v>
      </c>
      <c r="F1063" s="116">
        <v>2019.05</v>
      </c>
      <c r="G1063">
        <v>133391</v>
      </c>
      <c r="H1063" s="116"/>
      <c r="I1063" s="116"/>
      <c r="L1063" s="170">
        <v>43566</v>
      </c>
      <c r="M1063" s="116">
        <v>2019.5</v>
      </c>
      <c r="N1063" s="116">
        <v>2055</v>
      </c>
      <c r="O1063" s="116">
        <v>2013.65</v>
      </c>
      <c r="P1063" s="116">
        <v>2045</v>
      </c>
      <c r="Q1063" s="116">
        <v>2019.5</v>
      </c>
      <c r="R1063">
        <v>3422442</v>
      </c>
    </row>
    <row r="1064" spans="1:18" x14ac:dyDescent="0.25">
      <c r="A1064" s="170">
        <v>43567</v>
      </c>
      <c r="B1064" s="116">
        <v>2040</v>
      </c>
      <c r="C1064" s="116">
        <v>2013.75</v>
      </c>
      <c r="D1064" s="116">
        <v>2008.05</v>
      </c>
      <c r="E1064" s="116">
        <v>2040</v>
      </c>
      <c r="F1064" s="116">
        <v>2013.75</v>
      </c>
      <c r="G1064">
        <v>164813</v>
      </c>
      <c r="H1064" s="116"/>
      <c r="I1064" s="116"/>
      <c r="L1064" s="170">
        <v>43567</v>
      </c>
      <c r="M1064" s="116">
        <v>2014.5</v>
      </c>
      <c r="N1064" s="116">
        <v>2039</v>
      </c>
      <c r="O1064" s="116">
        <v>2007</v>
      </c>
      <c r="P1064" s="116">
        <v>2038</v>
      </c>
      <c r="Q1064" s="116">
        <v>2014.5</v>
      </c>
      <c r="R1064">
        <v>3198471</v>
      </c>
    </row>
    <row r="1065" spans="1:18" x14ac:dyDescent="0.25">
      <c r="A1065" s="170">
        <v>43570</v>
      </c>
      <c r="B1065" s="116">
        <v>2115</v>
      </c>
      <c r="C1065" s="116">
        <v>2110.0500000000002</v>
      </c>
      <c r="D1065" s="116">
        <v>2041.05</v>
      </c>
      <c r="E1065" s="116">
        <v>2071</v>
      </c>
      <c r="F1065" s="116">
        <v>2110.0500000000002</v>
      </c>
      <c r="G1065">
        <v>397080</v>
      </c>
      <c r="H1065" s="116"/>
      <c r="I1065" s="116"/>
      <c r="L1065" s="170">
        <v>43570</v>
      </c>
      <c r="M1065" s="116">
        <v>2113.3000000000002</v>
      </c>
      <c r="N1065" s="116">
        <v>2119.8000000000002</v>
      </c>
      <c r="O1065" s="116">
        <v>2041</v>
      </c>
      <c r="P1065" s="116">
        <v>2070</v>
      </c>
      <c r="Q1065" s="116">
        <v>2113.3000000000002</v>
      </c>
      <c r="R1065">
        <v>9189201</v>
      </c>
    </row>
    <row r="1066" spans="1:18" x14ac:dyDescent="0.25">
      <c r="A1066" s="170">
        <v>43571</v>
      </c>
      <c r="B1066" s="116">
        <v>2153.8000000000002</v>
      </c>
      <c r="C1066" s="116">
        <v>2132.4499999999998</v>
      </c>
      <c r="D1066" s="116">
        <v>2116</v>
      </c>
      <c r="E1066" s="116">
        <v>2116</v>
      </c>
      <c r="F1066" s="116">
        <v>2132.4499999999998</v>
      </c>
      <c r="G1066">
        <v>237129</v>
      </c>
      <c r="H1066" s="116"/>
      <c r="I1066" s="116"/>
      <c r="L1066" s="170">
        <v>43571</v>
      </c>
      <c r="M1066" s="116">
        <v>2131.8000000000002</v>
      </c>
      <c r="N1066" s="116">
        <v>2155.9499999999998</v>
      </c>
      <c r="O1066" s="116">
        <v>2115.5500000000002</v>
      </c>
      <c r="P1066" s="116">
        <v>2120</v>
      </c>
      <c r="Q1066" s="116">
        <v>2131.8000000000002</v>
      </c>
      <c r="R1066">
        <v>5771952</v>
      </c>
    </row>
    <row r="1067" spans="1:18" x14ac:dyDescent="0.25">
      <c r="A1067" s="170">
        <v>43573</v>
      </c>
      <c r="B1067" s="116">
        <v>2150.0500000000002</v>
      </c>
      <c r="C1067" s="116">
        <v>2145.5</v>
      </c>
      <c r="D1067" s="116">
        <v>2116.3000000000002</v>
      </c>
      <c r="E1067" s="116">
        <v>2141</v>
      </c>
      <c r="F1067" s="116">
        <v>2145.5</v>
      </c>
      <c r="G1067">
        <v>88311</v>
      </c>
      <c r="H1067" s="116"/>
      <c r="I1067" s="116"/>
      <c r="L1067" s="170">
        <v>43573</v>
      </c>
      <c r="M1067" s="116">
        <v>2150.0500000000002</v>
      </c>
      <c r="N1067" s="116">
        <v>2155</v>
      </c>
      <c r="O1067" s="116">
        <v>2114.1999999999998</v>
      </c>
      <c r="P1067" s="116">
        <v>2149.9</v>
      </c>
      <c r="Q1067" s="116">
        <v>2150.0500000000002</v>
      </c>
      <c r="R1067">
        <v>3413728</v>
      </c>
    </row>
    <row r="1068" spans="1:18" x14ac:dyDescent="0.25">
      <c r="A1068" s="170">
        <v>43577</v>
      </c>
      <c r="B1068" s="116">
        <v>2175.9499999999998</v>
      </c>
      <c r="C1068" s="116">
        <v>2164.35</v>
      </c>
      <c r="D1068" s="116">
        <v>2147.25</v>
      </c>
      <c r="E1068" s="116">
        <v>2148</v>
      </c>
      <c r="F1068" s="116">
        <v>2164.35</v>
      </c>
      <c r="G1068">
        <v>186485</v>
      </c>
      <c r="H1068" s="116"/>
      <c r="I1068" s="116"/>
      <c r="L1068" s="170">
        <v>43577</v>
      </c>
      <c r="M1068" s="116">
        <v>2161.4499999999998</v>
      </c>
      <c r="N1068" s="116">
        <v>2176</v>
      </c>
      <c r="O1068" s="116">
        <v>2145.6</v>
      </c>
      <c r="P1068" s="116">
        <v>2148</v>
      </c>
      <c r="Q1068" s="116">
        <v>2161.4499999999998</v>
      </c>
      <c r="R1068">
        <v>2007135</v>
      </c>
    </row>
    <row r="1069" spans="1:18" x14ac:dyDescent="0.25">
      <c r="A1069" s="170">
        <v>43578</v>
      </c>
      <c r="B1069" s="116">
        <v>2167.6</v>
      </c>
      <c r="C1069" s="116">
        <v>2157.6999999999998</v>
      </c>
      <c r="D1069" s="116">
        <v>2135.1</v>
      </c>
      <c r="E1069" s="116">
        <v>2166</v>
      </c>
      <c r="F1069" s="116">
        <v>2157.6999999999998</v>
      </c>
      <c r="G1069">
        <v>74839</v>
      </c>
      <c r="H1069" s="116"/>
      <c r="I1069" s="116"/>
      <c r="L1069" s="170">
        <v>43578</v>
      </c>
      <c r="M1069" s="116">
        <v>2155.0500000000002</v>
      </c>
      <c r="N1069" s="116">
        <v>2165.5</v>
      </c>
      <c r="O1069" s="116">
        <v>2134.0500000000002</v>
      </c>
      <c r="P1069" s="116">
        <v>2163</v>
      </c>
      <c r="Q1069" s="116">
        <v>2155.0500000000002</v>
      </c>
      <c r="R1069">
        <v>2163524</v>
      </c>
    </row>
    <row r="1070" spans="1:18" x14ac:dyDescent="0.25">
      <c r="A1070" s="170">
        <v>43579</v>
      </c>
      <c r="B1070" s="116">
        <v>2195</v>
      </c>
      <c r="C1070" s="116">
        <v>2185.4499999999998</v>
      </c>
      <c r="D1070" s="116">
        <v>2155.4</v>
      </c>
      <c r="E1070" s="116">
        <v>2157.6999999999998</v>
      </c>
      <c r="F1070" s="116">
        <v>2185.4499999999998</v>
      </c>
      <c r="G1070">
        <v>114028</v>
      </c>
      <c r="H1070" s="116"/>
      <c r="I1070" s="116"/>
      <c r="L1070" s="170">
        <v>43579</v>
      </c>
      <c r="M1070" s="116">
        <v>2183.4499999999998</v>
      </c>
      <c r="N1070" s="116">
        <v>2195</v>
      </c>
      <c r="O1070" s="116">
        <v>2156.1</v>
      </c>
      <c r="P1070" s="116">
        <v>2158</v>
      </c>
      <c r="Q1070" s="116">
        <v>2183.4499999999998</v>
      </c>
      <c r="R1070">
        <v>3003071</v>
      </c>
    </row>
    <row r="1071" spans="1:18" x14ac:dyDescent="0.25">
      <c r="A1071" s="170">
        <v>43580</v>
      </c>
      <c r="B1071" s="116">
        <v>2199</v>
      </c>
      <c r="C1071" s="116">
        <v>2191.6999999999998</v>
      </c>
      <c r="D1071" s="116">
        <v>2169</v>
      </c>
      <c r="E1071" s="116">
        <v>2169</v>
      </c>
      <c r="F1071" s="116">
        <v>2191.6999999999998</v>
      </c>
      <c r="G1071">
        <v>97687</v>
      </c>
      <c r="H1071" s="116"/>
      <c r="I1071" s="116"/>
      <c r="L1071" s="170">
        <v>43580</v>
      </c>
      <c r="M1071" s="116">
        <v>2195</v>
      </c>
      <c r="N1071" s="116">
        <v>2205</v>
      </c>
      <c r="O1071" s="116">
        <v>2168.0500000000002</v>
      </c>
      <c r="P1071" s="116">
        <v>2175</v>
      </c>
      <c r="Q1071" s="116">
        <v>2195</v>
      </c>
      <c r="R1071">
        <v>4211526</v>
      </c>
    </row>
    <row r="1072" spans="1:18" x14ac:dyDescent="0.25">
      <c r="A1072" s="170">
        <v>43581</v>
      </c>
      <c r="B1072" s="116">
        <v>2244.5500000000002</v>
      </c>
      <c r="C1072" s="116">
        <v>2238.3000000000002</v>
      </c>
      <c r="D1072" s="116">
        <v>2193.75</v>
      </c>
      <c r="E1072" s="116">
        <v>2200</v>
      </c>
      <c r="F1072" s="116">
        <v>2238.3000000000002</v>
      </c>
      <c r="G1072">
        <v>149597</v>
      </c>
      <c r="H1072" s="116"/>
      <c r="I1072" s="116"/>
      <c r="L1072" s="170">
        <v>43581</v>
      </c>
      <c r="M1072" s="116">
        <v>2238.5500000000002</v>
      </c>
      <c r="N1072" s="116">
        <v>2243.9499999999998</v>
      </c>
      <c r="O1072" s="116">
        <v>2193.15</v>
      </c>
      <c r="P1072" s="116">
        <v>2203</v>
      </c>
      <c r="Q1072" s="116">
        <v>2238.5500000000002</v>
      </c>
      <c r="R1072">
        <v>2716958</v>
      </c>
    </row>
    <row r="1073" spans="1:18" x14ac:dyDescent="0.25">
      <c r="A1073" s="170">
        <v>43585</v>
      </c>
      <c r="B1073" s="116">
        <v>2265</v>
      </c>
      <c r="C1073" s="116">
        <v>2254.9499999999998</v>
      </c>
      <c r="D1073" s="116">
        <v>2230</v>
      </c>
      <c r="E1073" s="116">
        <v>2230</v>
      </c>
      <c r="F1073" s="116">
        <v>2254.9499999999998</v>
      </c>
      <c r="G1073">
        <v>125430</v>
      </c>
      <c r="H1073" s="116"/>
      <c r="I1073" s="116"/>
      <c r="L1073" s="170">
        <v>43585</v>
      </c>
      <c r="M1073" s="116">
        <v>2260.35</v>
      </c>
      <c r="N1073" s="116">
        <v>2266.9499999999998</v>
      </c>
      <c r="O1073" s="116">
        <v>2230.1</v>
      </c>
      <c r="P1073" s="116">
        <v>2238.5500000000002</v>
      </c>
      <c r="Q1073" s="116">
        <v>2260.35</v>
      </c>
      <c r="R1073">
        <v>3488395</v>
      </c>
    </row>
    <row r="1074" spans="1:18" x14ac:dyDescent="0.25">
      <c r="A1074" s="170">
        <v>43587</v>
      </c>
      <c r="B1074" s="116">
        <v>2260</v>
      </c>
      <c r="C1074" s="116">
        <v>2214.4</v>
      </c>
      <c r="D1074" s="116">
        <v>2209.4499999999998</v>
      </c>
      <c r="E1074" s="116">
        <v>2260</v>
      </c>
      <c r="F1074" s="116">
        <v>2214.4</v>
      </c>
      <c r="G1074">
        <v>67719</v>
      </c>
      <c r="H1074" s="116"/>
      <c r="I1074" s="116"/>
      <c r="L1074" s="170">
        <v>43587</v>
      </c>
      <c r="M1074" s="116">
        <v>2215.4</v>
      </c>
      <c r="N1074" s="116">
        <v>2259.4</v>
      </c>
      <c r="O1074" s="116">
        <v>2211.1</v>
      </c>
      <c r="P1074" s="116">
        <v>2255</v>
      </c>
      <c r="Q1074" s="116">
        <v>2215.4</v>
      </c>
      <c r="R1074">
        <v>2457699</v>
      </c>
    </row>
    <row r="1075" spans="1:18" x14ac:dyDescent="0.25">
      <c r="A1075" s="170">
        <v>43588</v>
      </c>
      <c r="B1075" s="116">
        <v>2191</v>
      </c>
      <c r="C1075" s="116">
        <v>2132.5</v>
      </c>
      <c r="D1075" s="116">
        <v>2125.15</v>
      </c>
      <c r="E1075" s="116">
        <v>2191</v>
      </c>
      <c r="F1075" s="116">
        <v>2132.5</v>
      </c>
      <c r="G1075">
        <v>167475</v>
      </c>
      <c r="H1075" s="116"/>
      <c r="I1075" s="116"/>
      <c r="L1075" s="170">
        <v>43588</v>
      </c>
      <c r="M1075" s="116">
        <v>2132</v>
      </c>
      <c r="N1075" s="116">
        <v>2186.0500000000002</v>
      </c>
      <c r="O1075" s="116">
        <v>2125</v>
      </c>
      <c r="P1075" s="116">
        <v>2185</v>
      </c>
      <c r="Q1075" s="116">
        <v>2132</v>
      </c>
      <c r="R1075">
        <v>3780886</v>
      </c>
    </row>
    <row r="1076" spans="1:18" x14ac:dyDescent="0.25">
      <c r="A1076" s="170">
        <v>43591</v>
      </c>
      <c r="B1076" s="116">
        <v>2165</v>
      </c>
      <c r="C1076" s="116">
        <v>2154.6999999999998</v>
      </c>
      <c r="D1076" s="116">
        <v>2104.5500000000002</v>
      </c>
      <c r="E1076" s="116">
        <v>2113</v>
      </c>
      <c r="F1076" s="116">
        <v>2154.6999999999998</v>
      </c>
      <c r="G1076">
        <v>123793</v>
      </c>
      <c r="H1076" s="116"/>
      <c r="I1076" s="116"/>
      <c r="L1076" s="170">
        <v>43591</v>
      </c>
      <c r="M1076" s="116">
        <v>2157.85</v>
      </c>
      <c r="N1076" s="116">
        <v>2165</v>
      </c>
      <c r="O1076" s="116">
        <v>2108.5</v>
      </c>
      <c r="P1076" s="116">
        <v>2110</v>
      </c>
      <c r="Q1076" s="116">
        <v>2157.85</v>
      </c>
      <c r="R1076">
        <v>2891422</v>
      </c>
    </row>
    <row r="1077" spans="1:18" x14ac:dyDescent="0.25">
      <c r="A1077" s="170">
        <v>43592</v>
      </c>
      <c r="B1077" s="116">
        <v>2185</v>
      </c>
      <c r="C1077" s="116">
        <v>2150.35</v>
      </c>
      <c r="D1077" s="116">
        <v>2140.1</v>
      </c>
      <c r="E1077" s="116">
        <v>2155</v>
      </c>
      <c r="F1077" s="116">
        <v>2150.35</v>
      </c>
      <c r="G1077">
        <v>107919</v>
      </c>
      <c r="H1077" s="116"/>
      <c r="I1077" s="116"/>
      <c r="L1077" s="170">
        <v>43592</v>
      </c>
      <c r="M1077" s="116">
        <v>2151.9499999999998</v>
      </c>
      <c r="N1077" s="116">
        <v>2184.35</v>
      </c>
      <c r="O1077" s="116">
        <v>2138.8000000000002</v>
      </c>
      <c r="P1077" s="116">
        <v>2160.0500000000002</v>
      </c>
      <c r="Q1077" s="116">
        <v>2151.9499999999998</v>
      </c>
      <c r="R1077">
        <v>2201698</v>
      </c>
    </row>
    <row r="1078" spans="1:18" x14ac:dyDescent="0.25">
      <c r="A1078" s="170">
        <v>43593</v>
      </c>
      <c r="B1078" s="116">
        <v>2167.75</v>
      </c>
      <c r="C1078" s="116">
        <v>2152.65</v>
      </c>
      <c r="D1078" s="116">
        <v>2130.1999999999998</v>
      </c>
      <c r="E1078" s="116">
        <v>2158</v>
      </c>
      <c r="F1078" s="116">
        <v>2152.65</v>
      </c>
      <c r="G1078">
        <v>59590</v>
      </c>
      <c r="H1078" s="116"/>
      <c r="I1078" s="116"/>
      <c r="L1078" s="170">
        <v>43593</v>
      </c>
      <c r="M1078" s="116">
        <v>2152.85</v>
      </c>
      <c r="N1078" s="116">
        <v>2168</v>
      </c>
      <c r="O1078" s="116">
        <v>2130.4</v>
      </c>
      <c r="P1078" s="116">
        <v>2151</v>
      </c>
      <c r="Q1078" s="116">
        <v>2152.85</v>
      </c>
      <c r="R1078">
        <v>1824895</v>
      </c>
    </row>
    <row r="1079" spans="1:18" x14ac:dyDescent="0.25">
      <c r="A1079" s="170">
        <v>43594</v>
      </c>
      <c r="B1079" s="116">
        <v>2182</v>
      </c>
      <c r="C1079" s="116">
        <v>2168.6999999999998</v>
      </c>
      <c r="D1079" s="116">
        <v>2138</v>
      </c>
      <c r="E1079" s="116">
        <v>2145</v>
      </c>
      <c r="F1079" s="116">
        <v>2168.6999999999998</v>
      </c>
      <c r="G1079">
        <v>80051</v>
      </c>
      <c r="H1079" s="116"/>
      <c r="I1079" s="116"/>
      <c r="L1079" s="170">
        <v>43594</v>
      </c>
      <c r="M1079" s="116">
        <v>2172.5500000000002</v>
      </c>
      <c r="N1079" s="116">
        <v>2184.1</v>
      </c>
      <c r="O1079" s="116">
        <v>2136.1</v>
      </c>
      <c r="P1079" s="116">
        <v>2145</v>
      </c>
      <c r="Q1079" s="116">
        <v>2172.5500000000002</v>
      </c>
      <c r="R1079">
        <v>2264162</v>
      </c>
    </row>
    <row r="1080" spans="1:18" x14ac:dyDescent="0.25">
      <c r="A1080" s="170">
        <v>43595</v>
      </c>
      <c r="B1080" s="116">
        <v>2193.6</v>
      </c>
      <c r="C1080" s="116">
        <v>2135.5500000000002</v>
      </c>
      <c r="D1080" s="116">
        <v>2125</v>
      </c>
      <c r="E1080" s="116">
        <v>2174.35</v>
      </c>
      <c r="F1080" s="116">
        <v>2135.5500000000002</v>
      </c>
      <c r="G1080">
        <v>105470</v>
      </c>
      <c r="H1080" s="116"/>
      <c r="I1080" s="116"/>
      <c r="L1080" s="170">
        <v>43595</v>
      </c>
      <c r="M1080" s="116">
        <v>2135.8000000000002</v>
      </c>
      <c r="N1080" s="116">
        <v>2192</v>
      </c>
      <c r="O1080" s="116">
        <v>2125.85</v>
      </c>
      <c r="P1080" s="116">
        <v>2175</v>
      </c>
      <c r="Q1080" s="116">
        <v>2135.8000000000002</v>
      </c>
      <c r="R1080">
        <v>2039633</v>
      </c>
    </row>
    <row r="1081" spans="1:18" x14ac:dyDescent="0.25">
      <c r="A1081" s="170">
        <v>43598</v>
      </c>
      <c r="B1081" s="116">
        <v>2167</v>
      </c>
      <c r="C1081" s="116">
        <v>2131.1</v>
      </c>
      <c r="D1081" s="116">
        <v>2122.85</v>
      </c>
      <c r="E1081" s="116">
        <v>2140</v>
      </c>
      <c r="F1081" s="116">
        <v>2131.1</v>
      </c>
      <c r="G1081">
        <v>154027</v>
      </c>
      <c r="H1081" s="116"/>
      <c r="I1081" s="116"/>
      <c r="L1081" s="170">
        <v>43598</v>
      </c>
      <c r="M1081" s="116">
        <v>2128.75</v>
      </c>
      <c r="N1081" s="116">
        <v>2167</v>
      </c>
      <c r="O1081" s="116">
        <v>2121.65</v>
      </c>
      <c r="P1081" s="116">
        <v>2133</v>
      </c>
      <c r="Q1081" s="116">
        <v>2128.75</v>
      </c>
      <c r="R1081">
        <v>1701744</v>
      </c>
    </row>
    <row r="1082" spans="1:18" x14ac:dyDescent="0.25">
      <c r="A1082" s="170">
        <v>43599</v>
      </c>
      <c r="B1082" s="116">
        <v>2158.1999999999998</v>
      </c>
      <c r="C1082" s="116">
        <v>2094.35</v>
      </c>
      <c r="D1082" s="116">
        <v>2074.5</v>
      </c>
      <c r="E1082" s="116">
        <v>2137.5</v>
      </c>
      <c r="F1082" s="116">
        <v>2094.35</v>
      </c>
      <c r="G1082">
        <v>107390</v>
      </c>
      <c r="H1082" s="116"/>
      <c r="I1082" s="116"/>
      <c r="L1082" s="170">
        <v>43599</v>
      </c>
      <c r="M1082" s="116">
        <v>2092.35</v>
      </c>
      <c r="N1082" s="116">
        <v>2159.8000000000002</v>
      </c>
      <c r="O1082" s="116">
        <v>2072.35</v>
      </c>
      <c r="P1082" s="116">
        <v>2135</v>
      </c>
      <c r="Q1082" s="116">
        <v>2092.35</v>
      </c>
      <c r="R1082">
        <v>2456110</v>
      </c>
    </row>
    <row r="1083" spans="1:18" x14ac:dyDescent="0.25">
      <c r="A1083" s="170">
        <v>43600</v>
      </c>
      <c r="B1083" s="116">
        <v>2125.5500000000002</v>
      </c>
      <c r="C1083" s="116">
        <v>2094.5</v>
      </c>
      <c r="D1083" s="116">
        <v>2084.6</v>
      </c>
      <c r="E1083" s="116">
        <v>2105</v>
      </c>
      <c r="F1083" s="116">
        <v>2094.5</v>
      </c>
      <c r="G1083">
        <v>122743</v>
      </c>
      <c r="H1083" s="116"/>
      <c r="I1083" s="116"/>
      <c r="L1083" s="170">
        <v>43600</v>
      </c>
      <c r="M1083" s="116">
        <v>2095.4</v>
      </c>
      <c r="N1083" s="116">
        <v>2124</v>
      </c>
      <c r="O1083" s="116">
        <v>2084.5</v>
      </c>
      <c r="P1083" s="116">
        <v>2097</v>
      </c>
      <c r="Q1083" s="116">
        <v>2095.4</v>
      </c>
      <c r="R1083">
        <v>2346876</v>
      </c>
    </row>
    <row r="1084" spans="1:18" x14ac:dyDescent="0.25">
      <c r="A1084" s="170">
        <v>43601</v>
      </c>
      <c r="B1084" s="116">
        <v>2123.4</v>
      </c>
      <c r="C1084" s="116">
        <v>2109.4499999999998</v>
      </c>
      <c r="D1084" s="116">
        <v>2078.0500000000002</v>
      </c>
      <c r="E1084" s="116">
        <v>2096</v>
      </c>
      <c r="F1084" s="116">
        <v>2109.4499999999998</v>
      </c>
      <c r="G1084">
        <v>85235</v>
      </c>
      <c r="H1084" s="116"/>
      <c r="I1084" s="116"/>
      <c r="L1084" s="170">
        <v>43601</v>
      </c>
      <c r="M1084" s="116">
        <v>2108.75</v>
      </c>
      <c r="N1084" s="116">
        <v>2124</v>
      </c>
      <c r="O1084" s="116">
        <v>2077.0500000000002</v>
      </c>
      <c r="P1084" s="116">
        <v>2096</v>
      </c>
      <c r="Q1084" s="116">
        <v>2108.75</v>
      </c>
      <c r="R1084">
        <v>1946529</v>
      </c>
    </row>
    <row r="1085" spans="1:18" x14ac:dyDescent="0.25">
      <c r="A1085" s="170">
        <v>43602</v>
      </c>
      <c r="B1085" s="116">
        <v>2134.9499999999998</v>
      </c>
      <c r="C1085" s="116">
        <v>2096.35</v>
      </c>
      <c r="D1085" s="116">
        <v>2088.9499999999998</v>
      </c>
      <c r="E1085" s="116">
        <v>2120.6</v>
      </c>
      <c r="F1085" s="116">
        <v>2096.35</v>
      </c>
      <c r="G1085">
        <v>96029</v>
      </c>
      <c r="H1085" s="116"/>
      <c r="I1085" s="116"/>
      <c r="L1085" s="170">
        <v>43602</v>
      </c>
      <c r="M1085" s="116">
        <v>2095.4499999999998</v>
      </c>
      <c r="N1085" s="116">
        <v>2135</v>
      </c>
      <c r="O1085" s="116">
        <v>2090</v>
      </c>
      <c r="P1085" s="116">
        <v>2112.6</v>
      </c>
      <c r="Q1085" s="116">
        <v>2095.4499999999998</v>
      </c>
      <c r="R1085">
        <v>1947908</v>
      </c>
    </row>
    <row r="1086" spans="1:18" x14ac:dyDescent="0.25">
      <c r="A1086" s="170">
        <v>43605</v>
      </c>
      <c r="B1086" s="116">
        <v>2145</v>
      </c>
      <c r="C1086" s="116">
        <v>2139.3000000000002</v>
      </c>
      <c r="D1086" s="116">
        <v>2050.25</v>
      </c>
      <c r="E1086" s="116">
        <v>2126</v>
      </c>
      <c r="F1086" s="116">
        <v>2139.3000000000002</v>
      </c>
      <c r="G1086">
        <v>131596</v>
      </c>
      <c r="H1086" s="116"/>
      <c r="I1086" s="116"/>
      <c r="L1086" s="170">
        <v>43605</v>
      </c>
      <c r="M1086" s="116">
        <v>2143.9499999999998</v>
      </c>
      <c r="N1086" s="116">
        <v>2151.4</v>
      </c>
      <c r="O1086" s="116">
        <v>2050</v>
      </c>
      <c r="P1086" s="116">
        <v>2125</v>
      </c>
      <c r="Q1086" s="116">
        <v>2143.9499999999998</v>
      </c>
      <c r="R1086">
        <v>2625116</v>
      </c>
    </row>
    <row r="1087" spans="1:18" x14ac:dyDescent="0.25">
      <c r="A1087" s="170">
        <v>43606</v>
      </c>
      <c r="B1087" s="116">
        <v>2149.9499999999998</v>
      </c>
      <c r="C1087" s="116">
        <v>2109.1999999999998</v>
      </c>
      <c r="D1087" s="116">
        <v>2101.6</v>
      </c>
      <c r="E1087" s="116">
        <v>2145</v>
      </c>
      <c r="F1087" s="116">
        <v>2109.1999999999998</v>
      </c>
      <c r="G1087">
        <v>87743</v>
      </c>
      <c r="H1087" s="116"/>
      <c r="I1087" s="116"/>
      <c r="L1087" s="170">
        <v>43606</v>
      </c>
      <c r="M1087" s="116">
        <v>2109.75</v>
      </c>
      <c r="N1087" s="116">
        <v>2148.6999999999998</v>
      </c>
      <c r="O1087" s="116">
        <v>2102.5500000000002</v>
      </c>
      <c r="P1087" s="116">
        <v>2148.0500000000002</v>
      </c>
      <c r="Q1087" s="116">
        <v>2109.75</v>
      </c>
      <c r="R1087">
        <v>1863157</v>
      </c>
    </row>
    <row r="1088" spans="1:18" x14ac:dyDescent="0.25">
      <c r="A1088" s="170">
        <v>43607</v>
      </c>
      <c r="B1088" s="116">
        <v>2121.6</v>
      </c>
      <c r="C1088" s="116">
        <v>2082.75</v>
      </c>
      <c r="D1088" s="116">
        <v>2076.6999999999998</v>
      </c>
      <c r="E1088" s="116">
        <v>2114</v>
      </c>
      <c r="F1088" s="116">
        <v>2082.75</v>
      </c>
      <c r="G1088">
        <v>122238</v>
      </c>
      <c r="H1088" s="116"/>
      <c r="I1088" s="116"/>
      <c r="L1088" s="170">
        <v>43607</v>
      </c>
      <c r="M1088" s="116">
        <v>2081.75</v>
      </c>
      <c r="N1088" s="116">
        <v>2121.9499999999998</v>
      </c>
      <c r="O1088" s="116">
        <v>2075</v>
      </c>
      <c r="P1088" s="116">
        <v>2110</v>
      </c>
      <c r="Q1088" s="116">
        <v>2081.75</v>
      </c>
      <c r="R1088">
        <v>2595795</v>
      </c>
    </row>
    <row r="1089" spans="1:18" x14ac:dyDescent="0.25">
      <c r="A1089" s="170">
        <v>43608</v>
      </c>
      <c r="B1089" s="116">
        <v>2115.1</v>
      </c>
      <c r="C1089" s="116">
        <v>2053.75</v>
      </c>
      <c r="D1089" s="116">
        <v>2049</v>
      </c>
      <c r="E1089" s="116">
        <v>2100</v>
      </c>
      <c r="F1089" s="116">
        <v>2053.75</v>
      </c>
      <c r="G1089">
        <v>167233</v>
      </c>
      <c r="H1089" s="116"/>
      <c r="I1089" s="116"/>
      <c r="L1089" s="170">
        <v>43608</v>
      </c>
      <c r="M1089" s="116">
        <v>2054.0500000000002</v>
      </c>
      <c r="N1089" s="116">
        <v>2115.35</v>
      </c>
      <c r="O1089" s="116">
        <v>2050</v>
      </c>
      <c r="P1089" s="116">
        <v>2098</v>
      </c>
      <c r="Q1089" s="116">
        <v>2054.0500000000002</v>
      </c>
      <c r="R1089">
        <v>2541294</v>
      </c>
    </row>
    <row r="1090" spans="1:18" x14ac:dyDescent="0.25">
      <c r="A1090" s="170">
        <v>43609</v>
      </c>
      <c r="B1090" s="116">
        <v>2074</v>
      </c>
      <c r="C1090" s="116">
        <v>2049.65</v>
      </c>
      <c r="D1090" s="116">
        <v>2034</v>
      </c>
      <c r="E1090" s="116">
        <v>2074</v>
      </c>
      <c r="F1090" s="116">
        <v>2049.65</v>
      </c>
      <c r="G1090">
        <v>102735</v>
      </c>
      <c r="H1090" s="116"/>
      <c r="I1090" s="116"/>
      <c r="L1090" s="170">
        <v>43609</v>
      </c>
      <c r="M1090" s="116">
        <v>2048</v>
      </c>
      <c r="N1090" s="116">
        <v>2070</v>
      </c>
      <c r="O1090" s="116">
        <v>2032.25</v>
      </c>
      <c r="P1090" s="116">
        <v>2070</v>
      </c>
      <c r="Q1090" s="116">
        <v>2048</v>
      </c>
      <c r="R1090">
        <v>2274208</v>
      </c>
    </row>
    <row r="1091" spans="1:18" x14ac:dyDescent="0.25">
      <c r="A1091" s="170">
        <v>43612</v>
      </c>
      <c r="B1091" s="116">
        <v>2067.75</v>
      </c>
      <c r="C1091" s="116">
        <v>2053.8000000000002</v>
      </c>
      <c r="D1091" s="116">
        <v>2040.4</v>
      </c>
      <c r="E1091" s="116">
        <v>2060</v>
      </c>
      <c r="F1091" s="116">
        <v>2053.8000000000002</v>
      </c>
      <c r="G1091">
        <v>222227</v>
      </c>
      <c r="H1091" s="116"/>
      <c r="I1091" s="116"/>
      <c r="L1091" s="170">
        <v>43612</v>
      </c>
      <c r="M1091" s="116">
        <v>2055.15</v>
      </c>
      <c r="N1091" s="116">
        <v>2068.9499999999998</v>
      </c>
      <c r="O1091" s="116">
        <v>2040.1</v>
      </c>
      <c r="P1091" s="116">
        <v>2054.8000000000002</v>
      </c>
      <c r="Q1091" s="116">
        <v>2055.15</v>
      </c>
      <c r="R1091">
        <v>2329820</v>
      </c>
    </row>
    <row r="1092" spans="1:18" x14ac:dyDescent="0.25">
      <c r="A1092" s="170">
        <v>43613</v>
      </c>
      <c r="B1092" s="116">
        <v>2097.4499999999998</v>
      </c>
      <c r="C1092" s="116">
        <v>2075</v>
      </c>
      <c r="D1092" s="116">
        <v>2047.25</v>
      </c>
      <c r="E1092" s="116">
        <v>2060</v>
      </c>
      <c r="F1092" s="116">
        <v>2075</v>
      </c>
      <c r="G1092">
        <v>212368</v>
      </c>
      <c r="H1092" s="116"/>
      <c r="I1092" s="116"/>
      <c r="L1092" s="170">
        <v>43613</v>
      </c>
      <c r="M1092" s="116">
        <v>2073.75</v>
      </c>
      <c r="N1092" s="116">
        <v>2097.5</v>
      </c>
      <c r="O1092" s="116">
        <v>2045</v>
      </c>
      <c r="P1092" s="116">
        <v>2060</v>
      </c>
      <c r="Q1092" s="116">
        <v>2073.75</v>
      </c>
      <c r="R1092">
        <v>5872979</v>
      </c>
    </row>
    <row r="1093" spans="1:18" x14ac:dyDescent="0.25">
      <c r="A1093" s="170">
        <v>43614</v>
      </c>
      <c r="B1093" s="116">
        <v>2121.75</v>
      </c>
      <c r="C1093" s="116">
        <v>2105.25</v>
      </c>
      <c r="D1093" s="116">
        <v>2071</v>
      </c>
      <c r="E1093" s="116">
        <v>2071</v>
      </c>
      <c r="F1093" s="116">
        <v>2105.25</v>
      </c>
      <c r="G1093">
        <v>199565</v>
      </c>
      <c r="H1093" s="116"/>
      <c r="I1093" s="116"/>
      <c r="L1093" s="170">
        <v>43614</v>
      </c>
      <c r="M1093" s="116">
        <v>2107.5500000000002</v>
      </c>
      <c r="N1093" s="116">
        <v>2123.6999999999998</v>
      </c>
      <c r="O1093" s="116">
        <v>2077.1</v>
      </c>
      <c r="P1093" s="116">
        <v>2080</v>
      </c>
      <c r="Q1093" s="116">
        <v>2107.5500000000002</v>
      </c>
      <c r="R1093">
        <v>3281320</v>
      </c>
    </row>
    <row r="1094" spans="1:18" x14ac:dyDescent="0.25">
      <c r="A1094" s="170">
        <v>43615</v>
      </c>
      <c r="B1094" s="116">
        <v>2153.4</v>
      </c>
      <c r="C1094" s="116">
        <v>2145.4</v>
      </c>
      <c r="D1094" s="116">
        <v>2116.4</v>
      </c>
      <c r="E1094" s="116">
        <v>2120</v>
      </c>
      <c r="F1094" s="116">
        <v>2145.4</v>
      </c>
      <c r="G1094">
        <v>170973</v>
      </c>
      <c r="H1094" s="116"/>
      <c r="I1094" s="116"/>
      <c r="L1094" s="170">
        <v>43615</v>
      </c>
      <c r="M1094" s="116">
        <v>2146.3000000000002</v>
      </c>
      <c r="N1094" s="116">
        <v>2156.5500000000002</v>
      </c>
      <c r="O1094" s="116">
        <v>2114.4</v>
      </c>
      <c r="P1094" s="116">
        <v>2123</v>
      </c>
      <c r="Q1094" s="116">
        <v>2146.3000000000002</v>
      </c>
      <c r="R1094">
        <v>4971725</v>
      </c>
    </row>
    <row r="1095" spans="1:18" x14ac:dyDescent="0.25">
      <c r="A1095" s="170">
        <v>43616</v>
      </c>
      <c r="B1095" s="116">
        <v>2205</v>
      </c>
      <c r="C1095" s="116">
        <v>2196.85</v>
      </c>
      <c r="D1095" s="116">
        <v>2155</v>
      </c>
      <c r="E1095" s="116">
        <v>2159.9499999999998</v>
      </c>
      <c r="F1095" s="116">
        <v>2196.85</v>
      </c>
      <c r="G1095">
        <v>165501</v>
      </c>
      <c r="H1095" s="116"/>
      <c r="I1095" s="116"/>
      <c r="L1095" s="170">
        <v>43616</v>
      </c>
      <c r="M1095" s="116">
        <v>2196.5500000000002</v>
      </c>
      <c r="N1095" s="116">
        <v>2204.9499999999998</v>
      </c>
      <c r="O1095" s="116">
        <v>2152.25</v>
      </c>
      <c r="P1095" s="116">
        <v>2160</v>
      </c>
      <c r="Q1095" s="116">
        <v>2196.5500000000002</v>
      </c>
      <c r="R1095">
        <v>4265370</v>
      </c>
    </row>
    <row r="1096" spans="1:18" x14ac:dyDescent="0.25">
      <c r="A1096" s="170">
        <v>43619</v>
      </c>
      <c r="B1096" s="116">
        <v>2248</v>
      </c>
      <c r="C1096" s="116">
        <v>2240.35</v>
      </c>
      <c r="D1096" s="116">
        <v>2186</v>
      </c>
      <c r="E1096" s="116">
        <v>2207.8000000000002</v>
      </c>
      <c r="F1096" s="116">
        <v>2240.35</v>
      </c>
      <c r="G1096">
        <v>292099</v>
      </c>
      <c r="H1096" s="116"/>
      <c r="I1096" s="116"/>
      <c r="L1096" s="170">
        <v>43619</v>
      </c>
      <c r="M1096" s="116">
        <v>2242.3000000000002</v>
      </c>
      <c r="N1096" s="116">
        <v>2247.65</v>
      </c>
      <c r="O1096" s="116">
        <v>2185.65</v>
      </c>
      <c r="P1096" s="116">
        <v>2201</v>
      </c>
      <c r="Q1096" s="116">
        <v>2242.3000000000002</v>
      </c>
      <c r="R1096">
        <v>3682419</v>
      </c>
    </row>
    <row r="1097" spans="1:18" x14ac:dyDescent="0.25">
      <c r="A1097" s="170">
        <v>43620</v>
      </c>
      <c r="B1097" s="116">
        <v>2226</v>
      </c>
      <c r="C1097" s="116">
        <v>2182.4499999999998</v>
      </c>
      <c r="D1097" s="116">
        <v>2175</v>
      </c>
      <c r="E1097" s="116">
        <v>2226</v>
      </c>
      <c r="F1097" s="116">
        <v>2182.4499999999998</v>
      </c>
      <c r="G1097">
        <v>111042</v>
      </c>
      <c r="H1097" s="116"/>
      <c r="I1097" s="116"/>
      <c r="L1097" s="170">
        <v>43620</v>
      </c>
      <c r="M1097" s="116">
        <v>2183.1</v>
      </c>
      <c r="N1097" s="116">
        <v>2224</v>
      </c>
      <c r="O1097" s="116">
        <v>2175</v>
      </c>
      <c r="P1097" s="116">
        <v>2224</v>
      </c>
      <c r="Q1097" s="116">
        <v>2183.1</v>
      </c>
      <c r="R1097">
        <v>2408658</v>
      </c>
    </row>
    <row r="1098" spans="1:18" x14ac:dyDescent="0.25">
      <c r="A1098" s="170">
        <v>43622</v>
      </c>
      <c r="B1098" s="116">
        <v>2199</v>
      </c>
      <c r="C1098" s="116">
        <v>2167.4</v>
      </c>
      <c r="D1098" s="116">
        <v>2151.4499999999998</v>
      </c>
      <c r="E1098" s="116">
        <v>2199</v>
      </c>
      <c r="F1098" s="116">
        <v>2167.4</v>
      </c>
      <c r="G1098">
        <v>125991</v>
      </c>
      <c r="H1098" s="116"/>
      <c r="I1098" s="116"/>
      <c r="L1098" s="170">
        <v>43622</v>
      </c>
      <c r="M1098" s="116">
        <v>2166.1</v>
      </c>
      <c r="N1098" s="116">
        <v>2199</v>
      </c>
      <c r="O1098" s="116">
        <v>2152</v>
      </c>
      <c r="P1098" s="116">
        <v>2199</v>
      </c>
      <c r="Q1098" s="116">
        <v>2166.1</v>
      </c>
      <c r="R1098">
        <v>3735467</v>
      </c>
    </row>
    <row r="1099" spans="1:18" x14ac:dyDescent="0.25">
      <c r="A1099" s="170">
        <v>43623</v>
      </c>
      <c r="B1099" s="116">
        <v>2189</v>
      </c>
      <c r="C1099" s="116">
        <v>2178.9499999999998</v>
      </c>
      <c r="D1099" s="116">
        <v>2145.1999999999998</v>
      </c>
      <c r="E1099" s="116">
        <v>2177</v>
      </c>
      <c r="F1099" s="116">
        <v>2178.9499999999998</v>
      </c>
      <c r="G1099">
        <v>84031</v>
      </c>
      <c r="H1099" s="116"/>
      <c r="I1099" s="116"/>
      <c r="L1099" s="170">
        <v>43623</v>
      </c>
      <c r="M1099" s="116">
        <v>2181.75</v>
      </c>
      <c r="N1099" s="116">
        <v>2189.8000000000002</v>
      </c>
      <c r="O1099" s="116">
        <v>2142.1</v>
      </c>
      <c r="P1099" s="116">
        <v>2174</v>
      </c>
      <c r="Q1099" s="116">
        <v>2181.75</v>
      </c>
      <c r="R1099">
        <v>2659446</v>
      </c>
    </row>
    <row r="1100" spans="1:18" x14ac:dyDescent="0.25">
      <c r="A1100" s="170">
        <v>43626</v>
      </c>
      <c r="B1100" s="116">
        <v>2234.9499999999998</v>
      </c>
      <c r="C1100" s="116">
        <v>2231.1</v>
      </c>
      <c r="D1100" s="116">
        <v>2189.25</v>
      </c>
      <c r="E1100" s="116">
        <v>2194.9</v>
      </c>
      <c r="F1100" s="116">
        <v>2231.1</v>
      </c>
      <c r="G1100">
        <v>94323</v>
      </c>
      <c r="H1100" s="116"/>
      <c r="I1100" s="116"/>
      <c r="L1100" s="170">
        <v>43626</v>
      </c>
      <c r="M1100" s="116">
        <v>2231.5</v>
      </c>
      <c r="N1100" s="116">
        <v>2235.85</v>
      </c>
      <c r="O1100" s="116">
        <v>2185.5</v>
      </c>
      <c r="P1100" s="116">
        <v>2196.6999999999998</v>
      </c>
      <c r="Q1100" s="116">
        <v>2231.5</v>
      </c>
      <c r="R1100">
        <v>2080593</v>
      </c>
    </row>
    <row r="1101" spans="1:18" x14ac:dyDescent="0.25">
      <c r="A1101" s="170">
        <v>43627</v>
      </c>
      <c r="B1101" s="116">
        <v>2263</v>
      </c>
      <c r="C1101" s="116">
        <v>2252.85</v>
      </c>
      <c r="D1101" s="116">
        <v>2233</v>
      </c>
      <c r="E1101" s="116">
        <v>2237.9</v>
      </c>
      <c r="F1101" s="116">
        <v>2252.85</v>
      </c>
      <c r="G1101">
        <v>121513</v>
      </c>
      <c r="H1101" s="116"/>
      <c r="I1101" s="116"/>
      <c r="L1101" s="170">
        <v>43627</v>
      </c>
      <c r="M1101" s="116">
        <v>2252.8000000000002</v>
      </c>
      <c r="N1101" s="116">
        <v>2263.9499999999998</v>
      </c>
      <c r="O1101" s="116">
        <v>2231</v>
      </c>
      <c r="P1101" s="116">
        <v>2237</v>
      </c>
      <c r="Q1101" s="116">
        <v>2252.8000000000002</v>
      </c>
      <c r="R1101">
        <v>3048937</v>
      </c>
    </row>
    <row r="1102" spans="1:18" x14ac:dyDescent="0.25">
      <c r="A1102" s="170">
        <v>43628</v>
      </c>
      <c r="B1102" s="116">
        <v>2267</v>
      </c>
      <c r="C1102" s="116">
        <v>2258.4499999999998</v>
      </c>
      <c r="D1102" s="116">
        <v>2219.5</v>
      </c>
      <c r="E1102" s="116">
        <v>2249</v>
      </c>
      <c r="F1102" s="116">
        <v>2258.4499999999998</v>
      </c>
      <c r="G1102">
        <v>71366</v>
      </c>
      <c r="H1102" s="116"/>
      <c r="I1102" s="116"/>
      <c r="L1102" s="170">
        <v>43628</v>
      </c>
      <c r="M1102" s="116">
        <v>2260.9</v>
      </c>
      <c r="N1102" s="116">
        <v>2266.9</v>
      </c>
      <c r="O1102" s="116">
        <v>2219</v>
      </c>
      <c r="P1102" s="116">
        <v>2245</v>
      </c>
      <c r="Q1102" s="116">
        <v>2260.9</v>
      </c>
      <c r="R1102">
        <v>2404448</v>
      </c>
    </row>
    <row r="1103" spans="1:18" x14ac:dyDescent="0.25">
      <c r="A1103" s="170">
        <v>43629</v>
      </c>
      <c r="B1103" s="116">
        <v>2285.0500000000002</v>
      </c>
      <c r="C1103" s="116">
        <v>2250.25</v>
      </c>
      <c r="D1103" s="116">
        <v>2241.3000000000002</v>
      </c>
      <c r="E1103" s="116">
        <v>2257</v>
      </c>
      <c r="F1103" s="116">
        <v>2250.25</v>
      </c>
      <c r="G1103">
        <v>160534</v>
      </c>
      <c r="H1103" s="116"/>
      <c r="I1103" s="116"/>
      <c r="L1103" s="170">
        <v>43629</v>
      </c>
      <c r="M1103" s="116">
        <v>2254.1</v>
      </c>
      <c r="N1103" s="116">
        <v>2285</v>
      </c>
      <c r="O1103" s="116">
        <v>2243.0500000000002</v>
      </c>
      <c r="P1103" s="116">
        <v>2264</v>
      </c>
      <c r="Q1103" s="116">
        <v>2254.1</v>
      </c>
      <c r="R1103">
        <v>3320916</v>
      </c>
    </row>
    <row r="1104" spans="1:18" x14ac:dyDescent="0.25">
      <c r="A1104" s="170">
        <v>43630</v>
      </c>
      <c r="B1104" s="116">
        <v>2262.5500000000002</v>
      </c>
      <c r="C1104" s="116">
        <v>2252.3000000000002</v>
      </c>
      <c r="D1104" s="116">
        <v>2236.4</v>
      </c>
      <c r="E1104" s="116">
        <v>2255</v>
      </c>
      <c r="F1104" s="116">
        <v>2252.3000000000002</v>
      </c>
      <c r="G1104">
        <v>102702</v>
      </c>
      <c r="H1104" s="116"/>
      <c r="I1104" s="116"/>
      <c r="L1104" s="170">
        <v>43630</v>
      </c>
      <c r="M1104" s="116">
        <v>2254.5</v>
      </c>
      <c r="N1104" s="116">
        <v>2263.1</v>
      </c>
      <c r="O1104" s="116">
        <v>2234</v>
      </c>
      <c r="P1104" s="116">
        <v>2257.25</v>
      </c>
      <c r="Q1104" s="116">
        <v>2254.5</v>
      </c>
      <c r="R1104">
        <v>2131408</v>
      </c>
    </row>
    <row r="1105" spans="1:18" x14ac:dyDescent="0.25">
      <c r="A1105" s="170">
        <v>43633</v>
      </c>
      <c r="B1105" s="116">
        <v>2262.8000000000002</v>
      </c>
      <c r="C1105" s="116">
        <v>2245.6</v>
      </c>
      <c r="D1105" s="116">
        <v>2240.0500000000002</v>
      </c>
      <c r="E1105" s="116">
        <v>2259.9</v>
      </c>
      <c r="F1105" s="116">
        <v>2245.6</v>
      </c>
      <c r="G1105">
        <v>107409</v>
      </c>
      <c r="H1105" s="116"/>
      <c r="I1105" s="116"/>
      <c r="L1105" s="170">
        <v>43633</v>
      </c>
      <c r="M1105" s="116">
        <v>2249.1999999999998</v>
      </c>
      <c r="N1105" s="116">
        <v>2262</v>
      </c>
      <c r="O1105" s="116">
        <v>2241.4499999999998</v>
      </c>
      <c r="P1105" s="116">
        <v>2256</v>
      </c>
      <c r="Q1105" s="116">
        <v>2249.1999999999998</v>
      </c>
      <c r="R1105">
        <v>1489497</v>
      </c>
    </row>
    <row r="1106" spans="1:18" x14ac:dyDescent="0.25">
      <c r="A1106" s="170">
        <v>43634</v>
      </c>
      <c r="B1106" s="116">
        <v>2260</v>
      </c>
      <c r="C1106" s="116">
        <v>2251.6999999999998</v>
      </c>
      <c r="D1106" s="116">
        <v>2232</v>
      </c>
      <c r="E1106" s="116">
        <v>2249.8000000000002</v>
      </c>
      <c r="F1106" s="116">
        <v>2251.6999999999998</v>
      </c>
      <c r="G1106">
        <v>84866</v>
      </c>
      <c r="H1106" s="116"/>
      <c r="I1106" s="116"/>
      <c r="L1106" s="170">
        <v>43634</v>
      </c>
      <c r="M1106" s="116">
        <v>2250.85</v>
      </c>
      <c r="N1106" s="116">
        <v>2260</v>
      </c>
      <c r="O1106" s="116">
        <v>2231.1999999999998</v>
      </c>
      <c r="P1106" s="116">
        <v>2244</v>
      </c>
      <c r="Q1106" s="116">
        <v>2250.85</v>
      </c>
      <c r="R1106">
        <v>1877447</v>
      </c>
    </row>
    <row r="1107" spans="1:18" x14ac:dyDescent="0.25">
      <c r="A1107" s="170">
        <v>43635</v>
      </c>
      <c r="B1107" s="116">
        <v>2275</v>
      </c>
      <c r="C1107" s="116">
        <v>2259.9</v>
      </c>
      <c r="D1107" s="116">
        <v>2244.4</v>
      </c>
      <c r="E1107" s="116">
        <v>2253</v>
      </c>
      <c r="F1107" s="116">
        <v>2259.9</v>
      </c>
      <c r="G1107">
        <v>100800</v>
      </c>
      <c r="H1107" s="116"/>
      <c r="I1107" s="116"/>
      <c r="L1107" s="170">
        <v>43635</v>
      </c>
      <c r="M1107" s="116">
        <v>2259.9</v>
      </c>
      <c r="N1107" s="116">
        <v>2276</v>
      </c>
      <c r="O1107" s="116">
        <v>2243.15</v>
      </c>
      <c r="P1107" s="116">
        <v>2255</v>
      </c>
      <c r="Q1107" s="116">
        <v>2259.9</v>
      </c>
      <c r="R1107">
        <v>1652817</v>
      </c>
    </row>
    <row r="1108" spans="1:18" x14ac:dyDescent="0.25">
      <c r="A1108" s="170">
        <v>43636</v>
      </c>
      <c r="B1108" s="116">
        <v>2285</v>
      </c>
      <c r="C1108" s="116">
        <v>2279</v>
      </c>
      <c r="D1108" s="116">
        <v>2214.0500000000002</v>
      </c>
      <c r="E1108" s="116">
        <v>2230</v>
      </c>
      <c r="F1108" s="116">
        <v>2279</v>
      </c>
      <c r="G1108">
        <v>133605</v>
      </c>
      <c r="H1108" s="116"/>
      <c r="I1108" s="116"/>
      <c r="L1108" s="170">
        <v>43636</v>
      </c>
      <c r="M1108" s="116">
        <v>2277.9499999999998</v>
      </c>
      <c r="N1108" s="116">
        <v>2284</v>
      </c>
      <c r="O1108" s="116">
        <v>2212</v>
      </c>
      <c r="P1108" s="116">
        <v>2230</v>
      </c>
      <c r="Q1108" s="116">
        <v>2277.9499999999998</v>
      </c>
      <c r="R1108">
        <v>2199377</v>
      </c>
    </row>
    <row r="1109" spans="1:18" x14ac:dyDescent="0.25">
      <c r="A1109" s="170">
        <v>43637</v>
      </c>
      <c r="B1109" s="116">
        <v>2290.65</v>
      </c>
      <c r="C1109" s="116">
        <v>2249.9499999999998</v>
      </c>
      <c r="D1109" s="116">
        <v>2242.0500000000002</v>
      </c>
      <c r="E1109" s="116">
        <v>2280</v>
      </c>
      <c r="F1109" s="116">
        <v>2249.9499999999998</v>
      </c>
      <c r="G1109">
        <v>115557</v>
      </c>
      <c r="H1109" s="116"/>
      <c r="I1109" s="116"/>
      <c r="L1109" s="170">
        <v>43637</v>
      </c>
      <c r="M1109" s="116">
        <v>2249.85</v>
      </c>
      <c r="N1109" s="116">
        <v>2292.5</v>
      </c>
      <c r="O1109" s="116">
        <v>2242</v>
      </c>
      <c r="P1109" s="116">
        <v>2285</v>
      </c>
      <c r="Q1109" s="116">
        <v>2249.85</v>
      </c>
      <c r="R1109">
        <v>3871804</v>
      </c>
    </row>
    <row r="1110" spans="1:18" x14ac:dyDescent="0.25">
      <c r="A1110" s="170">
        <v>43640</v>
      </c>
      <c r="B1110" s="116">
        <v>2279.9</v>
      </c>
      <c r="C1110" s="116">
        <v>2275</v>
      </c>
      <c r="D1110" s="116">
        <v>2250</v>
      </c>
      <c r="E1110" s="116">
        <v>2250</v>
      </c>
      <c r="F1110" s="116">
        <v>2275</v>
      </c>
      <c r="G1110">
        <v>83606</v>
      </c>
      <c r="H1110" s="116"/>
      <c r="I1110" s="116"/>
      <c r="L1110" s="170">
        <v>43640</v>
      </c>
      <c r="M1110" s="116">
        <v>2275.5</v>
      </c>
      <c r="N1110" s="116">
        <v>2280</v>
      </c>
      <c r="O1110" s="116">
        <v>2250.8000000000002</v>
      </c>
      <c r="P1110" s="116">
        <v>2254.15</v>
      </c>
      <c r="Q1110" s="116">
        <v>2275.5</v>
      </c>
      <c r="R1110">
        <v>1382424</v>
      </c>
    </row>
    <row r="1111" spans="1:18" x14ac:dyDescent="0.25">
      <c r="A1111" s="170">
        <v>43641</v>
      </c>
      <c r="B1111" s="116">
        <v>2277</v>
      </c>
      <c r="C1111" s="116">
        <v>2266.75</v>
      </c>
      <c r="D1111" s="116">
        <v>2250.9</v>
      </c>
      <c r="E1111" s="116">
        <v>2277</v>
      </c>
      <c r="F1111" s="116">
        <v>2266.75</v>
      </c>
      <c r="G1111">
        <v>62663</v>
      </c>
      <c r="H1111" s="116"/>
      <c r="I1111" s="116"/>
      <c r="L1111" s="170">
        <v>43641</v>
      </c>
      <c r="M1111" s="116">
        <v>2267.8000000000002</v>
      </c>
      <c r="N1111" s="116">
        <v>2274.4499999999998</v>
      </c>
      <c r="O1111" s="116">
        <v>2250.5</v>
      </c>
      <c r="P1111" s="116">
        <v>2270</v>
      </c>
      <c r="Q1111" s="116">
        <v>2267.8000000000002</v>
      </c>
      <c r="R1111">
        <v>1386077</v>
      </c>
    </row>
    <row r="1112" spans="1:18" x14ac:dyDescent="0.25">
      <c r="A1112" s="170">
        <v>43642</v>
      </c>
      <c r="B1112" s="116">
        <v>2272.9</v>
      </c>
      <c r="C1112" s="116">
        <v>2253.6999999999998</v>
      </c>
      <c r="D1112" s="116">
        <v>2251.1</v>
      </c>
      <c r="E1112" s="116">
        <v>2272.9</v>
      </c>
      <c r="F1112" s="116">
        <v>2253.6999999999998</v>
      </c>
      <c r="G1112">
        <v>67735</v>
      </c>
      <c r="H1112" s="116"/>
      <c r="I1112" s="116"/>
      <c r="L1112" s="170">
        <v>43642</v>
      </c>
      <c r="M1112" s="116">
        <v>2254.1999999999998</v>
      </c>
      <c r="N1112" s="116">
        <v>2266.8000000000002</v>
      </c>
      <c r="O1112" s="116">
        <v>2250</v>
      </c>
      <c r="P1112" s="116">
        <v>2265</v>
      </c>
      <c r="Q1112" s="116">
        <v>2254.1999999999998</v>
      </c>
      <c r="R1112">
        <v>1762224</v>
      </c>
    </row>
    <row r="1113" spans="1:18" x14ac:dyDescent="0.25">
      <c r="A1113" s="170">
        <v>43643</v>
      </c>
      <c r="B1113" s="116">
        <v>2264.8000000000002</v>
      </c>
      <c r="C1113" s="116">
        <v>2252.65</v>
      </c>
      <c r="D1113" s="116">
        <v>2242.3000000000002</v>
      </c>
      <c r="E1113" s="116">
        <v>2256.4</v>
      </c>
      <c r="F1113" s="116">
        <v>2252.65</v>
      </c>
      <c r="G1113">
        <v>41248</v>
      </c>
      <c r="H1113" s="116"/>
      <c r="I1113" s="116"/>
      <c r="L1113" s="170">
        <v>43643</v>
      </c>
      <c r="M1113" s="116">
        <v>2252.5500000000002</v>
      </c>
      <c r="N1113" s="116">
        <v>2264</v>
      </c>
      <c r="O1113" s="116">
        <v>2241.3000000000002</v>
      </c>
      <c r="P1113" s="116">
        <v>2255</v>
      </c>
      <c r="Q1113" s="116">
        <v>2252.5500000000002</v>
      </c>
      <c r="R1113">
        <v>2813464</v>
      </c>
    </row>
    <row r="1114" spans="1:18" x14ac:dyDescent="0.25">
      <c r="A1114" s="170">
        <v>43644</v>
      </c>
      <c r="B1114" s="116">
        <v>2261.25</v>
      </c>
      <c r="C1114" s="116">
        <v>2227.25</v>
      </c>
      <c r="D1114" s="116">
        <v>2222.9499999999998</v>
      </c>
      <c r="E1114" s="116">
        <v>2255</v>
      </c>
      <c r="F1114" s="116">
        <v>2227.25</v>
      </c>
      <c r="G1114">
        <v>99596</v>
      </c>
      <c r="H1114" s="116"/>
      <c r="I1114" s="116"/>
      <c r="L1114" s="170">
        <v>43644</v>
      </c>
      <c r="M1114" s="116">
        <v>2227.1999999999998</v>
      </c>
      <c r="N1114" s="116">
        <v>2261.9499999999998</v>
      </c>
      <c r="O1114" s="116">
        <v>2222.5</v>
      </c>
      <c r="P1114" s="116">
        <v>2260</v>
      </c>
      <c r="Q1114" s="116">
        <v>2227.1999999999998</v>
      </c>
      <c r="R1114">
        <v>2372928</v>
      </c>
    </row>
    <row r="1115" spans="1:18" x14ac:dyDescent="0.25">
      <c r="A1115" s="170">
        <v>43647</v>
      </c>
      <c r="B1115" s="116">
        <v>2255</v>
      </c>
      <c r="C1115" s="116">
        <v>2239.6999999999998</v>
      </c>
      <c r="D1115" s="116">
        <v>2207.65</v>
      </c>
      <c r="E1115" s="116">
        <v>2239.65</v>
      </c>
      <c r="F1115" s="116">
        <v>2239.6999999999998</v>
      </c>
      <c r="G1115">
        <v>106178</v>
      </c>
      <c r="H1115" s="116"/>
      <c r="I1115" s="116"/>
      <c r="L1115" s="170">
        <v>43647</v>
      </c>
      <c r="M1115" s="116">
        <v>2239.5500000000002</v>
      </c>
      <c r="N1115" s="116">
        <v>2255</v>
      </c>
      <c r="O1115" s="116">
        <v>2206.6</v>
      </c>
      <c r="P1115" s="116">
        <v>2235</v>
      </c>
      <c r="Q1115" s="116">
        <v>2239.5500000000002</v>
      </c>
      <c r="R1115">
        <v>2769940</v>
      </c>
    </row>
    <row r="1116" spans="1:18" x14ac:dyDescent="0.25">
      <c r="A1116" s="170">
        <v>43648</v>
      </c>
      <c r="B1116" s="116">
        <v>2257.35</v>
      </c>
      <c r="C1116" s="116">
        <v>2252.75</v>
      </c>
      <c r="D1116" s="116">
        <v>2216.1999999999998</v>
      </c>
      <c r="E1116" s="116">
        <v>2240</v>
      </c>
      <c r="F1116" s="116">
        <v>2252.75</v>
      </c>
      <c r="G1116">
        <v>98136</v>
      </c>
      <c r="H1116" s="116"/>
      <c r="I1116" s="116"/>
      <c r="L1116" s="170">
        <v>43648</v>
      </c>
      <c r="M1116" s="116">
        <v>2252.1</v>
      </c>
      <c r="N1116" s="116">
        <v>2257</v>
      </c>
      <c r="O1116" s="116">
        <v>2216.4499999999998</v>
      </c>
      <c r="P1116" s="116">
        <v>2244.9</v>
      </c>
      <c r="Q1116" s="116">
        <v>2252.1</v>
      </c>
      <c r="R1116">
        <v>1771746</v>
      </c>
    </row>
    <row r="1117" spans="1:18" x14ac:dyDescent="0.25">
      <c r="A1117" s="170">
        <v>43649</v>
      </c>
      <c r="B1117" s="116">
        <v>2259.9</v>
      </c>
      <c r="C1117" s="116">
        <v>2237.1999999999998</v>
      </c>
      <c r="D1117" s="116">
        <v>2232.5</v>
      </c>
      <c r="E1117" s="116">
        <v>2259.9</v>
      </c>
      <c r="F1117" s="116">
        <v>2237.1999999999998</v>
      </c>
      <c r="G1117">
        <v>59889</v>
      </c>
      <c r="H1117" s="116"/>
      <c r="I1117" s="116"/>
      <c r="L1117" s="170">
        <v>43649</v>
      </c>
      <c r="M1117" s="116">
        <v>2237.65</v>
      </c>
      <c r="N1117" s="116">
        <v>2258.8000000000002</v>
      </c>
      <c r="O1117" s="116">
        <v>2232</v>
      </c>
      <c r="P1117" s="116">
        <v>2252.1999999999998</v>
      </c>
      <c r="Q1117" s="116">
        <v>2237.65</v>
      </c>
      <c r="R1117">
        <v>1656881</v>
      </c>
    </row>
    <row r="1118" spans="1:18" x14ac:dyDescent="0.25">
      <c r="A1118" s="170">
        <v>43650</v>
      </c>
      <c r="B1118" s="116">
        <v>2251.8000000000002</v>
      </c>
      <c r="C1118" s="116">
        <v>2242.6</v>
      </c>
      <c r="D1118" s="116">
        <v>2232</v>
      </c>
      <c r="E1118" s="116">
        <v>2237.3000000000002</v>
      </c>
      <c r="F1118" s="116">
        <v>2242.6</v>
      </c>
      <c r="G1118">
        <v>55390</v>
      </c>
      <c r="H1118" s="116"/>
      <c r="I1118" s="116"/>
      <c r="L1118" s="170">
        <v>43650</v>
      </c>
      <c r="M1118" s="116">
        <v>2242.65</v>
      </c>
      <c r="N1118" s="116">
        <v>2252</v>
      </c>
      <c r="O1118" s="116">
        <v>2230.1</v>
      </c>
      <c r="P1118" s="116">
        <v>2234</v>
      </c>
      <c r="Q1118" s="116">
        <v>2242.65</v>
      </c>
      <c r="R1118">
        <v>984140</v>
      </c>
    </row>
    <row r="1119" spans="1:18" x14ac:dyDescent="0.25">
      <c r="A1119" s="170">
        <v>43651</v>
      </c>
      <c r="B1119" s="116">
        <v>2250</v>
      </c>
      <c r="C1119" s="116">
        <v>2161.65</v>
      </c>
      <c r="D1119" s="116">
        <v>2139</v>
      </c>
      <c r="E1119" s="116">
        <v>2241</v>
      </c>
      <c r="F1119" s="116">
        <v>2161.65</v>
      </c>
      <c r="G1119">
        <v>1222990</v>
      </c>
      <c r="H1119" s="116"/>
      <c r="I1119" s="116"/>
      <c r="L1119" s="170">
        <v>43651</v>
      </c>
      <c r="M1119" s="116">
        <v>2163.1</v>
      </c>
      <c r="N1119" s="116">
        <v>2250</v>
      </c>
      <c r="O1119" s="116">
        <v>2140</v>
      </c>
      <c r="P1119" s="116">
        <v>2247</v>
      </c>
      <c r="Q1119" s="116">
        <v>2163.1</v>
      </c>
      <c r="R1119">
        <v>4088470</v>
      </c>
    </row>
    <row r="1120" spans="1:18" x14ac:dyDescent="0.25">
      <c r="A1120" s="170">
        <v>43654</v>
      </c>
      <c r="B1120" s="116">
        <v>2184</v>
      </c>
      <c r="C1120" s="116">
        <v>2176.1</v>
      </c>
      <c r="D1120" s="116">
        <v>2131</v>
      </c>
      <c r="E1120" s="116">
        <v>2159</v>
      </c>
      <c r="F1120" s="116">
        <v>2176.1</v>
      </c>
      <c r="G1120">
        <v>131169</v>
      </c>
      <c r="H1120" s="116"/>
      <c r="I1120" s="116"/>
      <c r="L1120" s="170">
        <v>43654</v>
      </c>
      <c r="M1120" s="116">
        <v>2175.4</v>
      </c>
      <c r="N1120" s="116">
        <v>2188.8000000000002</v>
      </c>
      <c r="O1120" s="116">
        <v>2132.1</v>
      </c>
      <c r="P1120" s="116">
        <v>2149</v>
      </c>
      <c r="Q1120" s="116">
        <v>2175.4</v>
      </c>
      <c r="R1120">
        <v>2788062</v>
      </c>
    </row>
    <row r="1121" spans="1:18" x14ac:dyDescent="0.25">
      <c r="A1121" s="170">
        <v>43655</v>
      </c>
      <c r="B1121" s="116">
        <v>2175</v>
      </c>
      <c r="C1121" s="116">
        <v>2131.4499999999998</v>
      </c>
      <c r="D1121" s="116">
        <v>2090</v>
      </c>
      <c r="E1121" s="116">
        <v>2170.5</v>
      </c>
      <c r="F1121" s="116">
        <v>2131.4499999999998</v>
      </c>
      <c r="G1121">
        <v>1132727</v>
      </c>
      <c r="H1121" s="116"/>
      <c r="I1121" s="116"/>
      <c r="L1121" s="170">
        <v>43655</v>
      </c>
      <c r="M1121" s="116">
        <v>2133.35</v>
      </c>
      <c r="N1121" s="116">
        <v>2174.4</v>
      </c>
      <c r="O1121" s="116">
        <v>2104.5500000000002</v>
      </c>
      <c r="P1121" s="116">
        <v>2174</v>
      </c>
      <c r="Q1121" s="116">
        <v>2133.35</v>
      </c>
      <c r="R1121">
        <v>3977224</v>
      </c>
    </row>
    <row r="1122" spans="1:18" x14ac:dyDescent="0.25">
      <c r="A1122" s="170">
        <v>43656</v>
      </c>
      <c r="B1122" s="116">
        <v>2127.65</v>
      </c>
      <c r="C1122" s="116">
        <v>2107.6999999999998</v>
      </c>
      <c r="D1122" s="116">
        <v>2070.1</v>
      </c>
      <c r="E1122" s="116">
        <v>2081</v>
      </c>
      <c r="F1122" s="116">
        <v>2107.6999999999998</v>
      </c>
      <c r="G1122">
        <v>264565</v>
      </c>
      <c r="H1122" s="116"/>
      <c r="I1122" s="116"/>
      <c r="L1122" s="170">
        <v>43656</v>
      </c>
      <c r="M1122" s="116">
        <v>2108.1999999999998</v>
      </c>
      <c r="N1122" s="116">
        <v>2127.85</v>
      </c>
      <c r="O1122" s="116">
        <v>2071.3000000000002</v>
      </c>
      <c r="P1122" s="116">
        <v>2080</v>
      </c>
      <c r="Q1122" s="116">
        <v>2108.1999999999998</v>
      </c>
      <c r="R1122">
        <v>6343581</v>
      </c>
    </row>
    <row r="1123" spans="1:18" x14ac:dyDescent="0.25">
      <c r="A1123" s="170">
        <v>43657</v>
      </c>
      <c r="B1123" s="116">
        <v>2128.1</v>
      </c>
      <c r="C1123" s="116">
        <v>2101.4499999999998</v>
      </c>
      <c r="D1123" s="116">
        <v>2087.0500000000002</v>
      </c>
      <c r="E1123" s="116">
        <v>2124.6</v>
      </c>
      <c r="F1123" s="116">
        <v>2101.4499999999998</v>
      </c>
      <c r="G1123">
        <v>102758</v>
      </c>
      <c r="H1123" s="116"/>
      <c r="I1123" s="116"/>
      <c r="L1123" s="170">
        <v>43657</v>
      </c>
      <c r="M1123" s="116">
        <v>2102.5500000000002</v>
      </c>
      <c r="N1123" s="116">
        <v>2129</v>
      </c>
      <c r="O1123" s="116">
        <v>2086.0500000000002</v>
      </c>
      <c r="P1123" s="116">
        <v>2128</v>
      </c>
      <c r="Q1123" s="116">
        <v>2102.5500000000002</v>
      </c>
      <c r="R1123">
        <v>2400346</v>
      </c>
    </row>
    <row r="1124" spans="1:18" x14ac:dyDescent="0.25">
      <c r="A1124" s="170">
        <v>43658</v>
      </c>
      <c r="B1124" s="116">
        <v>2118</v>
      </c>
      <c r="C1124" s="116">
        <v>2107.9499999999998</v>
      </c>
      <c r="D1124" s="116">
        <v>2094.0500000000002</v>
      </c>
      <c r="E1124" s="116">
        <v>2108.5</v>
      </c>
      <c r="F1124" s="116">
        <v>2107.9499999999998</v>
      </c>
      <c r="G1124">
        <v>59397</v>
      </c>
      <c r="H1124" s="116"/>
      <c r="I1124" s="116"/>
      <c r="L1124" s="170">
        <v>43658</v>
      </c>
      <c r="M1124" s="116">
        <v>2107.6</v>
      </c>
      <c r="N1124" s="116">
        <v>2119.75</v>
      </c>
      <c r="O1124" s="116">
        <v>2093.1</v>
      </c>
      <c r="P1124" s="116">
        <v>2102.1</v>
      </c>
      <c r="Q1124" s="116">
        <v>2107.6</v>
      </c>
      <c r="R1124">
        <v>1560725</v>
      </c>
    </row>
    <row r="1125" spans="1:18" x14ac:dyDescent="0.25">
      <c r="A1125" s="170">
        <v>43661</v>
      </c>
      <c r="B1125" s="116">
        <v>2153</v>
      </c>
      <c r="C1125" s="116">
        <v>2145.1999999999998</v>
      </c>
      <c r="D1125" s="116">
        <v>2099</v>
      </c>
      <c r="E1125" s="116">
        <v>2120</v>
      </c>
      <c r="F1125" s="116">
        <v>2145.1999999999998</v>
      </c>
      <c r="G1125">
        <v>74130</v>
      </c>
      <c r="H1125" s="116"/>
      <c r="I1125" s="116"/>
      <c r="L1125" s="170">
        <v>43661</v>
      </c>
      <c r="M1125" s="116">
        <v>2145.6999999999998</v>
      </c>
      <c r="N1125" s="116">
        <v>2153.6</v>
      </c>
      <c r="O1125" s="116">
        <v>2098</v>
      </c>
      <c r="P1125" s="116">
        <v>2125</v>
      </c>
      <c r="Q1125" s="116">
        <v>2145.6999999999998</v>
      </c>
      <c r="R1125">
        <v>2900415</v>
      </c>
    </row>
    <row r="1126" spans="1:18" x14ac:dyDescent="0.25">
      <c r="A1126" s="170">
        <v>43662</v>
      </c>
      <c r="B1126" s="116">
        <v>2131.65</v>
      </c>
      <c r="C1126" s="116">
        <v>2105.3000000000002</v>
      </c>
      <c r="D1126" s="116">
        <v>2100.3000000000002</v>
      </c>
      <c r="E1126" s="116">
        <v>2131.65</v>
      </c>
      <c r="F1126" s="116">
        <v>2105.3000000000002</v>
      </c>
      <c r="G1126">
        <v>137617</v>
      </c>
      <c r="H1126" s="116"/>
      <c r="I1126" s="116"/>
      <c r="L1126" s="170">
        <v>43662</v>
      </c>
      <c r="M1126" s="116">
        <v>2106</v>
      </c>
      <c r="N1126" s="116">
        <v>2132.5</v>
      </c>
      <c r="O1126" s="116">
        <v>2100</v>
      </c>
      <c r="P1126" s="116">
        <v>2126</v>
      </c>
      <c r="Q1126" s="116">
        <v>2106</v>
      </c>
      <c r="R1126">
        <v>2735399</v>
      </c>
    </row>
    <row r="1127" spans="1:18" x14ac:dyDescent="0.25">
      <c r="A1127" s="170">
        <v>43663</v>
      </c>
      <c r="B1127" s="116">
        <v>2125</v>
      </c>
      <c r="C1127" s="116">
        <v>2117.15</v>
      </c>
      <c r="D1127" s="116">
        <v>2092.5500000000002</v>
      </c>
      <c r="E1127" s="116">
        <v>2106</v>
      </c>
      <c r="F1127" s="116">
        <v>2117.15</v>
      </c>
      <c r="G1127">
        <v>94758</v>
      </c>
      <c r="H1127" s="116"/>
      <c r="I1127" s="116"/>
      <c r="L1127" s="170">
        <v>43663</v>
      </c>
      <c r="M1127" s="116">
        <v>2117.25</v>
      </c>
      <c r="N1127" s="116">
        <v>2125</v>
      </c>
      <c r="O1127" s="116">
        <v>2092.1</v>
      </c>
      <c r="P1127" s="116">
        <v>2108</v>
      </c>
      <c r="Q1127" s="116">
        <v>2117.25</v>
      </c>
      <c r="R1127">
        <v>1802969</v>
      </c>
    </row>
    <row r="1128" spans="1:18" x14ac:dyDescent="0.25">
      <c r="A1128" s="170">
        <v>43664</v>
      </c>
      <c r="B1128" s="116">
        <v>2115</v>
      </c>
      <c r="C1128" s="116">
        <v>2065.6</v>
      </c>
      <c r="D1128" s="116">
        <v>2060</v>
      </c>
      <c r="E1128" s="116">
        <v>2115</v>
      </c>
      <c r="F1128" s="116">
        <v>2065.6</v>
      </c>
      <c r="G1128">
        <v>95604</v>
      </c>
      <c r="H1128" s="116"/>
      <c r="I1128" s="116"/>
      <c r="L1128" s="170">
        <v>43664</v>
      </c>
      <c r="M1128" s="116">
        <v>2065.9499999999998</v>
      </c>
      <c r="N1128" s="116">
        <v>2116.1999999999998</v>
      </c>
      <c r="O1128" s="116">
        <v>2060</v>
      </c>
      <c r="P1128" s="116">
        <v>2116.1999999999998</v>
      </c>
      <c r="Q1128" s="116">
        <v>2065.9499999999998</v>
      </c>
      <c r="R1128">
        <v>3072096</v>
      </c>
    </row>
    <row r="1129" spans="1:18" x14ac:dyDescent="0.25">
      <c r="A1129" s="170">
        <v>43665</v>
      </c>
      <c r="B1129" s="116">
        <v>2096.75</v>
      </c>
      <c r="C1129" s="116">
        <v>2076.9499999999998</v>
      </c>
      <c r="D1129" s="116">
        <v>2064</v>
      </c>
      <c r="E1129" s="116">
        <v>2095</v>
      </c>
      <c r="F1129" s="116">
        <v>2076.9499999999998</v>
      </c>
      <c r="G1129">
        <v>89018</v>
      </c>
      <c r="H1129" s="116"/>
      <c r="I1129" s="116"/>
      <c r="L1129" s="170">
        <v>43665</v>
      </c>
      <c r="M1129" s="116">
        <v>2076.9499999999998</v>
      </c>
      <c r="N1129" s="116">
        <v>2097</v>
      </c>
      <c r="O1129" s="116">
        <v>2062.5</v>
      </c>
      <c r="P1129" s="116">
        <v>2077</v>
      </c>
      <c r="Q1129" s="116">
        <v>2076.9499999999998</v>
      </c>
      <c r="R1129">
        <v>1953177</v>
      </c>
    </row>
    <row r="1130" spans="1:18" x14ac:dyDescent="0.25">
      <c r="A1130" s="170">
        <v>43668</v>
      </c>
      <c r="B1130" s="116">
        <v>2117</v>
      </c>
      <c r="C1130" s="116">
        <v>2109.6999999999998</v>
      </c>
      <c r="D1130" s="116">
        <v>2068.85</v>
      </c>
      <c r="E1130" s="116">
        <v>2080</v>
      </c>
      <c r="F1130" s="116">
        <v>2109.6999999999998</v>
      </c>
      <c r="G1130">
        <v>72161</v>
      </c>
      <c r="H1130" s="116"/>
      <c r="I1130" s="116"/>
      <c r="L1130" s="170">
        <v>43668</v>
      </c>
      <c r="M1130" s="116">
        <v>2109.9</v>
      </c>
      <c r="N1130" s="116">
        <v>2117.4499999999998</v>
      </c>
      <c r="O1130" s="116">
        <v>2068.8000000000002</v>
      </c>
      <c r="P1130" s="116">
        <v>2077</v>
      </c>
      <c r="Q1130" s="116">
        <v>2109.9</v>
      </c>
      <c r="R1130">
        <v>1920167</v>
      </c>
    </row>
    <row r="1131" spans="1:18" x14ac:dyDescent="0.25">
      <c r="A1131" s="170">
        <v>43669</v>
      </c>
      <c r="B1131" s="116">
        <v>2128.9499999999998</v>
      </c>
      <c r="C1131" s="116">
        <v>2111.8000000000002</v>
      </c>
      <c r="D1131" s="116">
        <v>2102.9499999999998</v>
      </c>
      <c r="E1131" s="116">
        <v>2127.8000000000002</v>
      </c>
      <c r="F1131" s="116">
        <v>2111.8000000000002</v>
      </c>
      <c r="G1131">
        <v>90107</v>
      </c>
      <c r="H1131" s="116"/>
      <c r="I1131" s="116"/>
      <c r="L1131" s="170">
        <v>43669</v>
      </c>
      <c r="M1131" s="116">
        <v>2112.4499999999998</v>
      </c>
      <c r="N1131" s="116">
        <v>2130</v>
      </c>
      <c r="O1131" s="116">
        <v>2102.4</v>
      </c>
      <c r="P1131" s="116">
        <v>2127.9</v>
      </c>
      <c r="Q1131" s="116">
        <v>2112.4499999999998</v>
      </c>
      <c r="R1131">
        <v>3538588</v>
      </c>
    </row>
    <row r="1132" spans="1:18" x14ac:dyDescent="0.25">
      <c r="A1132" s="170">
        <v>43670</v>
      </c>
      <c r="B1132" s="116">
        <v>2120.65</v>
      </c>
      <c r="C1132" s="116">
        <v>2096.6999999999998</v>
      </c>
      <c r="D1132" s="116">
        <v>2076.6</v>
      </c>
      <c r="E1132" s="116">
        <v>2115</v>
      </c>
      <c r="F1132" s="116">
        <v>2096.6999999999998</v>
      </c>
      <c r="G1132">
        <v>91060</v>
      </c>
      <c r="H1132" s="116"/>
      <c r="I1132" s="116"/>
      <c r="L1132" s="170">
        <v>43670</v>
      </c>
      <c r="M1132" s="116">
        <v>2096.8000000000002</v>
      </c>
      <c r="N1132" s="116">
        <v>2120.8000000000002</v>
      </c>
      <c r="O1132" s="116">
        <v>2076.5</v>
      </c>
      <c r="P1132" s="116">
        <v>2110</v>
      </c>
      <c r="Q1132" s="116">
        <v>2096.8000000000002</v>
      </c>
      <c r="R1132">
        <v>2413196</v>
      </c>
    </row>
    <row r="1133" spans="1:18" x14ac:dyDescent="0.25">
      <c r="A1133" s="170">
        <v>43671</v>
      </c>
      <c r="B1133" s="116">
        <v>2134.8000000000002</v>
      </c>
      <c r="C1133" s="116">
        <v>2128.3000000000002</v>
      </c>
      <c r="D1133" s="116">
        <v>2094</v>
      </c>
      <c r="E1133" s="116">
        <v>2115</v>
      </c>
      <c r="F1133" s="116">
        <v>2128.3000000000002</v>
      </c>
      <c r="G1133">
        <v>60682</v>
      </c>
      <c r="H1133" s="116"/>
      <c r="I1133" s="116"/>
      <c r="L1133" s="170">
        <v>43671</v>
      </c>
      <c r="M1133" s="116">
        <v>2127.9</v>
      </c>
      <c r="N1133" s="116">
        <v>2135</v>
      </c>
      <c r="O1133" s="116">
        <v>2092.5500000000002</v>
      </c>
      <c r="P1133" s="116">
        <v>2108.9</v>
      </c>
      <c r="Q1133" s="116">
        <v>2127.9</v>
      </c>
      <c r="R1133">
        <v>2544464</v>
      </c>
    </row>
    <row r="1134" spans="1:18" x14ac:dyDescent="0.25">
      <c r="A1134" s="170">
        <v>43672</v>
      </c>
      <c r="B1134" s="116">
        <v>2130.1</v>
      </c>
      <c r="C1134" s="116">
        <v>2108.8000000000002</v>
      </c>
      <c r="D1134" s="116">
        <v>2096</v>
      </c>
      <c r="E1134" s="116">
        <v>2111</v>
      </c>
      <c r="F1134" s="116">
        <v>2108.8000000000002</v>
      </c>
      <c r="G1134">
        <v>43813</v>
      </c>
      <c r="H1134" s="116"/>
      <c r="I1134" s="116"/>
      <c r="L1134" s="170">
        <v>43672</v>
      </c>
      <c r="M1134" s="116">
        <v>2109.0500000000002</v>
      </c>
      <c r="N1134" s="116">
        <v>2129.8000000000002</v>
      </c>
      <c r="O1134" s="116">
        <v>2095</v>
      </c>
      <c r="P1134" s="116">
        <v>2129.8000000000002</v>
      </c>
      <c r="Q1134" s="116">
        <v>2109.0500000000002</v>
      </c>
      <c r="R1134">
        <v>1720592</v>
      </c>
    </row>
    <row r="1135" spans="1:18" x14ac:dyDescent="0.25">
      <c r="A1135" s="170">
        <v>43675</v>
      </c>
      <c r="B1135" s="116">
        <v>2141.75</v>
      </c>
      <c r="C1135" s="116">
        <v>2129.5</v>
      </c>
      <c r="D1135" s="116">
        <v>2103.6</v>
      </c>
      <c r="E1135" s="116">
        <v>2111</v>
      </c>
      <c r="F1135" s="116">
        <v>2129.5</v>
      </c>
      <c r="G1135">
        <v>64054</v>
      </c>
      <c r="H1135" s="116"/>
      <c r="I1135" s="116"/>
      <c r="L1135" s="170">
        <v>43675</v>
      </c>
      <c r="M1135" s="116">
        <v>2130</v>
      </c>
      <c r="N1135" s="116">
        <v>2142</v>
      </c>
      <c r="O1135" s="116">
        <v>2103.3000000000002</v>
      </c>
      <c r="P1135" s="116">
        <v>2110.8000000000002</v>
      </c>
      <c r="Q1135" s="116">
        <v>2130</v>
      </c>
      <c r="R1135">
        <v>1647090</v>
      </c>
    </row>
    <row r="1136" spans="1:18" x14ac:dyDescent="0.25">
      <c r="A1136" s="170">
        <v>43676</v>
      </c>
      <c r="B1136" s="116">
        <v>2184.6999999999998</v>
      </c>
      <c r="C1136" s="116">
        <v>2179</v>
      </c>
      <c r="D1136" s="116">
        <v>2121</v>
      </c>
      <c r="E1136" s="116">
        <v>2125</v>
      </c>
      <c r="F1136" s="116">
        <v>2179</v>
      </c>
      <c r="G1136">
        <v>81306</v>
      </c>
      <c r="H1136" s="116"/>
      <c r="I1136" s="116"/>
      <c r="L1136" s="170">
        <v>43676</v>
      </c>
      <c r="M1136" s="116">
        <v>2179.15</v>
      </c>
      <c r="N1136" s="116">
        <v>2185</v>
      </c>
      <c r="O1136" s="116">
        <v>2120.4499999999998</v>
      </c>
      <c r="P1136" s="116">
        <v>2130</v>
      </c>
      <c r="Q1136" s="116">
        <v>2179.15</v>
      </c>
      <c r="R1136">
        <v>2851672</v>
      </c>
    </row>
    <row r="1137" spans="1:18" x14ac:dyDescent="0.25">
      <c r="A1137" s="170">
        <v>43677</v>
      </c>
      <c r="B1137" s="116">
        <v>2210.9499999999998</v>
      </c>
      <c r="C1137" s="116">
        <v>2205.4</v>
      </c>
      <c r="D1137" s="116">
        <v>2148.3000000000002</v>
      </c>
      <c r="E1137" s="116">
        <v>2175</v>
      </c>
      <c r="F1137" s="116">
        <v>2205.4</v>
      </c>
      <c r="G1137">
        <v>73304</v>
      </c>
      <c r="H1137" s="116"/>
      <c r="I1137" s="116"/>
      <c r="L1137" s="170">
        <v>43677</v>
      </c>
      <c r="M1137" s="116">
        <v>2205.6999999999998</v>
      </c>
      <c r="N1137" s="116">
        <v>2211.6999999999998</v>
      </c>
      <c r="O1137" s="116">
        <v>2147.15</v>
      </c>
      <c r="P1137" s="116">
        <v>2171.75</v>
      </c>
      <c r="Q1137" s="116">
        <v>2205.6999999999998</v>
      </c>
      <c r="R1137">
        <v>3000677</v>
      </c>
    </row>
    <row r="1138" spans="1:18" x14ac:dyDescent="0.25">
      <c r="A1138" s="170">
        <v>43678</v>
      </c>
      <c r="B1138" s="116">
        <v>2217</v>
      </c>
      <c r="C1138" s="116">
        <v>2179.9</v>
      </c>
      <c r="D1138" s="116">
        <v>2166.85</v>
      </c>
      <c r="E1138" s="116">
        <v>2206</v>
      </c>
      <c r="F1138" s="116">
        <v>2179.9</v>
      </c>
      <c r="G1138">
        <v>59288</v>
      </c>
      <c r="H1138" s="116"/>
      <c r="I1138" s="116"/>
      <c r="L1138" s="170">
        <v>43678</v>
      </c>
      <c r="M1138" s="116">
        <v>2180.0500000000002</v>
      </c>
      <c r="N1138" s="116">
        <v>2217.5</v>
      </c>
      <c r="O1138" s="116">
        <v>2166.25</v>
      </c>
      <c r="P1138" s="116">
        <v>2200</v>
      </c>
      <c r="Q1138" s="116">
        <v>2180.0500000000002</v>
      </c>
      <c r="R1138">
        <v>2375236</v>
      </c>
    </row>
    <row r="1139" spans="1:18" x14ac:dyDescent="0.25">
      <c r="A1139" s="170">
        <v>43679</v>
      </c>
      <c r="B1139" s="116">
        <v>2210</v>
      </c>
      <c r="C1139" s="116">
        <v>2206.0500000000002</v>
      </c>
      <c r="D1139" s="116">
        <v>2166.4</v>
      </c>
      <c r="E1139" s="116">
        <v>2179.9</v>
      </c>
      <c r="F1139" s="116">
        <v>2206.0500000000002</v>
      </c>
      <c r="G1139">
        <v>192986</v>
      </c>
      <c r="H1139" s="116"/>
      <c r="I1139" s="116"/>
      <c r="L1139" s="170">
        <v>43679</v>
      </c>
      <c r="M1139" s="116">
        <v>2205.3000000000002</v>
      </c>
      <c r="N1139" s="116">
        <v>2210</v>
      </c>
      <c r="O1139" s="116">
        <v>2165.5</v>
      </c>
      <c r="P1139" s="116">
        <v>2173</v>
      </c>
      <c r="Q1139" s="116">
        <v>2205.3000000000002</v>
      </c>
      <c r="R1139">
        <v>2500816</v>
      </c>
    </row>
    <row r="1140" spans="1:18" x14ac:dyDescent="0.25">
      <c r="A1140" s="170">
        <v>43682</v>
      </c>
      <c r="B1140" s="116">
        <v>2250.4</v>
      </c>
      <c r="C1140" s="116">
        <v>2248.5500000000002</v>
      </c>
      <c r="D1140" s="116">
        <v>2185</v>
      </c>
      <c r="E1140" s="116">
        <v>2185</v>
      </c>
      <c r="F1140" s="116">
        <v>2248.5500000000002</v>
      </c>
      <c r="G1140">
        <v>105681</v>
      </c>
      <c r="H1140" s="116"/>
      <c r="I1140" s="116"/>
      <c r="L1140" s="170">
        <v>43682</v>
      </c>
      <c r="M1140" s="116">
        <v>2248.6</v>
      </c>
      <c r="N1140" s="116">
        <v>2252.25</v>
      </c>
      <c r="O1140" s="116">
        <v>2195.6</v>
      </c>
      <c r="P1140" s="116">
        <v>2199.9</v>
      </c>
      <c r="Q1140" s="116">
        <v>2248.6</v>
      </c>
      <c r="R1140">
        <v>3039682</v>
      </c>
    </row>
    <row r="1141" spans="1:18" x14ac:dyDescent="0.25">
      <c r="A1141" s="170">
        <v>43683</v>
      </c>
      <c r="B1141" s="116">
        <v>2251.75</v>
      </c>
      <c r="C1141" s="116">
        <v>2215.4499999999998</v>
      </c>
      <c r="D1141" s="116">
        <v>2211.5500000000002</v>
      </c>
      <c r="E1141" s="116">
        <v>2232</v>
      </c>
      <c r="F1141" s="116">
        <v>2215.4499999999998</v>
      </c>
      <c r="G1141">
        <v>66361</v>
      </c>
      <c r="H1141" s="116"/>
      <c r="I1141" s="116"/>
      <c r="L1141" s="170">
        <v>43683</v>
      </c>
      <c r="M1141" s="116">
        <v>2214.9</v>
      </c>
      <c r="N1141" s="116">
        <v>2251.9499999999998</v>
      </c>
      <c r="O1141" s="116">
        <v>2211.4499999999998</v>
      </c>
      <c r="P1141" s="116">
        <v>2232.8000000000002</v>
      </c>
      <c r="Q1141" s="116">
        <v>2214.9</v>
      </c>
      <c r="R1141">
        <v>2885467</v>
      </c>
    </row>
    <row r="1142" spans="1:18" x14ac:dyDescent="0.25">
      <c r="A1142" s="170">
        <v>43684</v>
      </c>
      <c r="B1142" s="116">
        <v>2238.5</v>
      </c>
      <c r="C1142" s="116">
        <v>2214</v>
      </c>
      <c r="D1142" s="116">
        <v>2208.4</v>
      </c>
      <c r="E1142" s="116">
        <v>2220</v>
      </c>
      <c r="F1142" s="116">
        <v>2214</v>
      </c>
      <c r="G1142">
        <v>59921</v>
      </c>
      <c r="H1142" s="116"/>
      <c r="I1142" s="116"/>
      <c r="L1142" s="170">
        <v>43684</v>
      </c>
      <c r="M1142" s="116">
        <v>2213.4499999999998</v>
      </c>
      <c r="N1142" s="116">
        <v>2238.5</v>
      </c>
      <c r="O1142" s="116">
        <v>2207.25</v>
      </c>
      <c r="P1142" s="116">
        <v>2230</v>
      </c>
      <c r="Q1142" s="116">
        <v>2213.4499999999998</v>
      </c>
      <c r="R1142">
        <v>2165362</v>
      </c>
    </row>
    <row r="1143" spans="1:18" x14ac:dyDescent="0.25">
      <c r="A1143" s="170">
        <v>43685</v>
      </c>
      <c r="B1143" s="116">
        <v>2280.85</v>
      </c>
      <c r="C1143" s="116">
        <v>2258.85</v>
      </c>
      <c r="D1143" s="116">
        <v>2220</v>
      </c>
      <c r="E1143" s="116">
        <v>2222</v>
      </c>
      <c r="F1143" s="116">
        <v>2258.85</v>
      </c>
      <c r="G1143">
        <v>91474</v>
      </c>
      <c r="H1143" s="116"/>
      <c r="I1143" s="116"/>
      <c r="L1143" s="170">
        <v>43685</v>
      </c>
      <c r="M1143" s="116">
        <v>2258.1</v>
      </c>
      <c r="N1143" s="116">
        <v>2281</v>
      </c>
      <c r="O1143" s="116">
        <v>2218.9</v>
      </c>
      <c r="P1143" s="116">
        <v>2228.9</v>
      </c>
      <c r="Q1143" s="116">
        <v>2258.1</v>
      </c>
      <c r="R1143">
        <v>2073298</v>
      </c>
    </row>
    <row r="1144" spans="1:18" x14ac:dyDescent="0.25">
      <c r="A1144" s="170">
        <v>43686</v>
      </c>
      <c r="B1144" s="116">
        <v>2270</v>
      </c>
      <c r="C1144" s="116">
        <v>2245.6</v>
      </c>
      <c r="D1144" s="116">
        <v>2242</v>
      </c>
      <c r="E1144" s="116">
        <v>2270</v>
      </c>
      <c r="F1144" s="116">
        <v>2245.6</v>
      </c>
      <c r="G1144">
        <v>47328</v>
      </c>
      <c r="H1144" s="116"/>
      <c r="I1144" s="116"/>
      <c r="L1144" s="170">
        <v>43686</v>
      </c>
      <c r="M1144" s="116">
        <v>2246.25</v>
      </c>
      <c r="N1144" s="116">
        <v>2267.9</v>
      </c>
      <c r="O1144" s="116">
        <v>2241.35</v>
      </c>
      <c r="P1144" s="116">
        <v>2260</v>
      </c>
      <c r="Q1144" s="116">
        <v>2246.25</v>
      </c>
      <c r="R1144">
        <v>1744550</v>
      </c>
    </row>
    <row r="1145" spans="1:18" x14ac:dyDescent="0.25">
      <c r="A1145" s="170">
        <v>43690</v>
      </c>
      <c r="B1145" s="116">
        <v>2250.1999999999998</v>
      </c>
      <c r="C1145" s="116">
        <v>2200.1999999999998</v>
      </c>
      <c r="D1145" s="116">
        <v>2195</v>
      </c>
      <c r="E1145" s="116">
        <v>2250.1999999999998</v>
      </c>
      <c r="F1145" s="116">
        <v>2200.1999999999998</v>
      </c>
      <c r="G1145">
        <v>78148</v>
      </c>
      <c r="H1145" s="116"/>
      <c r="I1145" s="116"/>
      <c r="L1145" s="170">
        <v>43690</v>
      </c>
      <c r="M1145" s="116">
        <v>2199.4499999999998</v>
      </c>
      <c r="N1145" s="116">
        <v>2246.25</v>
      </c>
      <c r="O1145" s="116">
        <v>2194.3000000000002</v>
      </c>
      <c r="P1145" s="116">
        <v>2245</v>
      </c>
      <c r="Q1145" s="116">
        <v>2199.4499999999998</v>
      </c>
      <c r="R1145">
        <v>1647281</v>
      </c>
    </row>
    <row r="1146" spans="1:18" x14ac:dyDescent="0.25">
      <c r="A1146" s="170">
        <v>43691</v>
      </c>
      <c r="B1146" s="116">
        <v>2217.8000000000002</v>
      </c>
      <c r="C1146" s="116">
        <v>2204.65</v>
      </c>
      <c r="D1146" s="116">
        <v>2168.8000000000002</v>
      </c>
      <c r="E1146" s="116">
        <v>2182</v>
      </c>
      <c r="F1146" s="116">
        <v>2204.65</v>
      </c>
      <c r="G1146">
        <v>254492</v>
      </c>
      <c r="H1146" s="116"/>
      <c r="I1146" s="116"/>
      <c r="L1146" s="170">
        <v>43691</v>
      </c>
      <c r="M1146" s="116">
        <v>2204.4</v>
      </c>
      <c r="N1146" s="116">
        <v>2217.85</v>
      </c>
      <c r="O1146" s="116">
        <v>2167.4</v>
      </c>
      <c r="P1146" s="116">
        <v>2181.1</v>
      </c>
      <c r="Q1146" s="116">
        <v>2204.4</v>
      </c>
      <c r="R1146">
        <v>1945002</v>
      </c>
    </row>
    <row r="1147" spans="1:18" x14ac:dyDescent="0.25">
      <c r="A1147" s="170">
        <v>43693</v>
      </c>
      <c r="B1147" s="116">
        <v>2237</v>
      </c>
      <c r="C1147" s="116">
        <v>2163.5</v>
      </c>
      <c r="D1147" s="116">
        <v>2145.9</v>
      </c>
      <c r="E1147" s="116">
        <v>2233</v>
      </c>
      <c r="F1147" s="116">
        <v>2163.5</v>
      </c>
      <c r="G1147">
        <v>168125</v>
      </c>
      <c r="H1147" s="116"/>
      <c r="I1147" s="116"/>
      <c r="L1147" s="170">
        <v>43693</v>
      </c>
      <c r="M1147" s="116">
        <v>2165.1</v>
      </c>
      <c r="N1147" s="116">
        <v>2241.4</v>
      </c>
      <c r="O1147" s="116">
        <v>2143.25</v>
      </c>
      <c r="P1147" s="116">
        <v>2241.4</v>
      </c>
      <c r="Q1147" s="116">
        <v>2165.1</v>
      </c>
      <c r="R1147">
        <v>3755507</v>
      </c>
    </row>
    <row r="1148" spans="1:18" x14ac:dyDescent="0.25">
      <c r="A1148" s="170">
        <v>43696</v>
      </c>
      <c r="B1148" s="116">
        <v>2185</v>
      </c>
      <c r="C1148" s="116">
        <v>2163.5500000000002</v>
      </c>
      <c r="D1148" s="116">
        <v>2158.1999999999998</v>
      </c>
      <c r="E1148" s="116">
        <v>2167</v>
      </c>
      <c r="F1148" s="116">
        <v>2163.5500000000002</v>
      </c>
      <c r="G1148">
        <v>45987</v>
      </c>
      <c r="H1148" s="116"/>
      <c r="I1148" s="116"/>
      <c r="L1148" s="170">
        <v>43696</v>
      </c>
      <c r="M1148" s="116">
        <v>2163</v>
      </c>
      <c r="N1148" s="116">
        <v>2186</v>
      </c>
      <c r="O1148" s="116">
        <v>2157.6999999999998</v>
      </c>
      <c r="P1148" s="116">
        <v>2180</v>
      </c>
      <c r="Q1148" s="116">
        <v>2163</v>
      </c>
      <c r="R1148">
        <v>974884</v>
      </c>
    </row>
    <row r="1149" spans="1:18" x14ac:dyDescent="0.25">
      <c r="A1149" s="170">
        <v>43697</v>
      </c>
      <c r="B1149" s="116">
        <v>2205.6999999999998</v>
      </c>
      <c r="C1149" s="116">
        <v>2187.15</v>
      </c>
      <c r="D1149" s="116">
        <v>2168</v>
      </c>
      <c r="E1149" s="116">
        <v>2168.5</v>
      </c>
      <c r="F1149" s="116">
        <v>2187.15</v>
      </c>
      <c r="G1149">
        <v>294610</v>
      </c>
      <c r="H1149" s="116"/>
      <c r="I1149" s="116"/>
      <c r="L1149" s="170">
        <v>43697</v>
      </c>
      <c r="M1149" s="116">
        <v>2186.75</v>
      </c>
      <c r="N1149" s="116">
        <v>2205</v>
      </c>
      <c r="O1149" s="116">
        <v>2166.5</v>
      </c>
      <c r="P1149" s="116">
        <v>2172</v>
      </c>
      <c r="Q1149" s="116">
        <v>2186.75</v>
      </c>
      <c r="R1149">
        <v>1843611</v>
      </c>
    </row>
    <row r="1150" spans="1:18" x14ac:dyDescent="0.25">
      <c r="A1150" s="170">
        <v>43698</v>
      </c>
      <c r="B1150" s="116">
        <v>2202.5</v>
      </c>
      <c r="C1150" s="116">
        <v>2185.85</v>
      </c>
      <c r="D1150" s="116">
        <v>2180.9499999999998</v>
      </c>
      <c r="E1150" s="116">
        <v>2187</v>
      </c>
      <c r="F1150" s="116">
        <v>2185.85</v>
      </c>
      <c r="G1150">
        <v>64591</v>
      </c>
      <c r="H1150" s="116"/>
      <c r="I1150" s="116"/>
      <c r="L1150" s="170">
        <v>43698</v>
      </c>
      <c r="M1150" s="116">
        <v>2186.1999999999998</v>
      </c>
      <c r="N1150" s="116">
        <v>2202</v>
      </c>
      <c r="O1150" s="116">
        <v>2182.25</v>
      </c>
      <c r="P1150" s="116">
        <v>2184.9499999999998</v>
      </c>
      <c r="Q1150" s="116">
        <v>2186.1999999999998</v>
      </c>
      <c r="R1150">
        <v>1214408</v>
      </c>
    </row>
    <row r="1151" spans="1:18" x14ac:dyDescent="0.25">
      <c r="A1151" s="170">
        <v>43699</v>
      </c>
      <c r="B1151" s="116">
        <v>2235</v>
      </c>
      <c r="C1151" s="116">
        <v>2214.9</v>
      </c>
      <c r="D1151" s="116">
        <v>2171</v>
      </c>
      <c r="E1151" s="116">
        <v>2186.0500000000002</v>
      </c>
      <c r="F1151" s="116">
        <v>2214.9</v>
      </c>
      <c r="G1151">
        <v>67488</v>
      </c>
      <c r="H1151" s="116"/>
      <c r="I1151" s="116"/>
      <c r="L1151" s="170">
        <v>43699</v>
      </c>
      <c r="M1151" s="116">
        <v>2216</v>
      </c>
      <c r="N1151" s="116">
        <v>2235.65</v>
      </c>
      <c r="O1151" s="116">
        <v>2170</v>
      </c>
      <c r="P1151" s="116">
        <v>2187</v>
      </c>
      <c r="Q1151" s="116">
        <v>2216</v>
      </c>
      <c r="R1151">
        <v>2131601</v>
      </c>
    </row>
    <row r="1152" spans="1:18" x14ac:dyDescent="0.25">
      <c r="A1152" s="170">
        <v>43700</v>
      </c>
      <c r="B1152" s="116">
        <v>2260</v>
      </c>
      <c r="C1152" s="116">
        <v>2247.5500000000002</v>
      </c>
      <c r="D1152" s="116">
        <v>2212.75</v>
      </c>
      <c r="E1152" s="116">
        <v>2221.5</v>
      </c>
      <c r="F1152" s="116">
        <v>2247.5500000000002</v>
      </c>
      <c r="G1152">
        <v>83246</v>
      </c>
      <c r="H1152" s="116"/>
      <c r="I1152" s="116"/>
      <c r="L1152" s="170">
        <v>43700</v>
      </c>
      <c r="M1152" s="116">
        <v>2247.6999999999998</v>
      </c>
      <c r="N1152" s="116">
        <v>2259.9</v>
      </c>
      <c r="O1152" s="116">
        <v>2213.9</v>
      </c>
      <c r="P1152" s="116">
        <v>2214.9499999999998</v>
      </c>
      <c r="Q1152" s="116">
        <v>2247.6999999999998</v>
      </c>
      <c r="R1152">
        <v>2826425</v>
      </c>
    </row>
    <row r="1153" spans="1:18" x14ac:dyDescent="0.25">
      <c r="A1153" s="170">
        <v>43703</v>
      </c>
      <c r="B1153" s="116">
        <v>2280</v>
      </c>
      <c r="C1153" s="116">
        <v>2275.1</v>
      </c>
      <c r="D1153" s="116">
        <v>2225.1999999999998</v>
      </c>
      <c r="E1153" s="116">
        <v>2254</v>
      </c>
      <c r="F1153" s="116">
        <v>2275.1</v>
      </c>
      <c r="G1153">
        <v>78887</v>
      </c>
      <c r="H1153" s="116"/>
      <c r="I1153" s="116"/>
      <c r="L1153" s="170">
        <v>43703</v>
      </c>
      <c r="M1153" s="116">
        <v>2276.3000000000002</v>
      </c>
      <c r="N1153" s="116">
        <v>2282</v>
      </c>
      <c r="O1153" s="116">
        <v>2225</v>
      </c>
      <c r="P1153" s="116">
        <v>2247</v>
      </c>
      <c r="Q1153" s="116">
        <v>2276.3000000000002</v>
      </c>
      <c r="R1153">
        <v>2345475</v>
      </c>
    </row>
    <row r="1154" spans="1:18" x14ac:dyDescent="0.25">
      <c r="A1154" s="170">
        <v>43704</v>
      </c>
      <c r="B1154" s="116">
        <v>2273</v>
      </c>
      <c r="C1154" s="116">
        <v>2237</v>
      </c>
      <c r="D1154" s="116">
        <v>2229</v>
      </c>
      <c r="E1154" s="116">
        <v>2270</v>
      </c>
      <c r="F1154" s="116">
        <v>2237</v>
      </c>
      <c r="G1154">
        <v>203658</v>
      </c>
      <c r="H1154" s="116"/>
      <c r="I1154" s="116"/>
      <c r="L1154" s="170">
        <v>43704</v>
      </c>
      <c r="M1154" s="116">
        <v>2236.5</v>
      </c>
      <c r="N1154" s="116">
        <v>2274.85</v>
      </c>
      <c r="O1154" s="116">
        <v>2229</v>
      </c>
      <c r="P1154" s="116">
        <v>2270</v>
      </c>
      <c r="Q1154" s="116">
        <v>2236.5</v>
      </c>
      <c r="R1154">
        <v>3432106</v>
      </c>
    </row>
    <row r="1155" spans="1:18" x14ac:dyDescent="0.25">
      <c r="A1155" s="170">
        <v>43705</v>
      </c>
      <c r="B1155" s="116">
        <v>2251.1</v>
      </c>
      <c r="C1155" s="116">
        <v>2239.65</v>
      </c>
      <c r="D1155" s="116">
        <v>2216.0500000000002</v>
      </c>
      <c r="E1155" s="116">
        <v>2242</v>
      </c>
      <c r="F1155" s="116">
        <v>2239.65</v>
      </c>
      <c r="G1155">
        <v>38316</v>
      </c>
      <c r="H1155" s="116"/>
      <c r="I1155" s="116"/>
      <c r="L1155" s="170">
        <v>43705</v>
      </c>
      <c r="M1155" s="116">
        <v>2239.25</v>
      </c>
      <c r="N1155" s="116">
        <v>2252.15</v>
      </c>
      <c r="O1155" s="116">
        <v>2216</v>
      </c>
      <c r="P1155" s="116">
        <v>2240</v>
      </c>
      <c r="Q1155" s="116">
        <v>2239.25</v>
      </c>
      <c r="R1155">
        <v>1294621</v>
      </c>
    </row>
    <row r="1156" spans="1:18" x14ac:dyDescent="0.25">
      <c r="A1156" s="170">
        <v>43706</v>
      </c>
      <c r="B1156" s="116">
        <v>2248</v>
      </c>
      <c r="C1156" s="116">
        <v>2233.3000000000002</v>
      </c>
      <c r="D1156" s="116">
        <v>2222.0500000000002</v>
      </c>
      <c r="E1156" s="116">
        <v>2239</v>
      </c>
      <c r="F1156" s="116">
        <v>2233.3000000000002</v>
      </c>
      <c r="G1156">
        <v>31047</v>
      </c>
      <c r="H1156" s="116"/>
      <c r="I1156" s="116"/>
      <c r="L1156" s="170">
        <v>43706</v>
      </c>
      <c r="M1156" s="116">
        <v>2233.4499999999998</v>
      </c>
      <c r="N1156" s="116">
        <v>2248.1999999999998</v>
      </c>
      <c r="O1156" s="116">
        <v>2222.1999999999998</v>
      </c>
      <c r="P1156" s="116">
        <v>2222.1999999999998</v>
      </c>
      <c r="Q1156" s="116">
        <v>2233.4499999999998</v>
      </c>
      <c r="R1156">
        <v>1670652</v>
      </c>
    </row>
    <row r="1157" spans="1:18" x14ac:dyDescent="0.25">
      <c r="A1157" s="170">
        <v>43707</v>
      </c>
      <c r="B1157" s="116">
        <v>2266.1</v>
      </c>
      <c r="C1157" s="116">
        <v>2258.0500000000002</v>
      </c>
      <c r="D1157" s="116">
        <v>2218</v>
      </c>
      <c r="E1157" s="116">
        <v>2236.0500000000002</v>
      </c>
      <c r="F1157" s="116">
        <v>2258.0500000000002</v>
      </c>
      <c r="G1157">
        <v>56766</v>
      </c>
      <c r="H1157" s="116"/>
      <c r="I1157" s="116"/>
      <c r="L1157" s="170">
        <v>43707</v>
      </c>
      <c r="M1157" s="116">
        <v>2259.6</v>
      </c>
      <c r="N1157" s="116">
        <v>2266</v>
      </c>
      <c r="O1157" s="116">
        <v>2218</v>
      </c>
      <c r="P1157" s="116">
        <v>2241</v>
      </c>
      <c r="Q1157" s="116">
        <v>2259.6</v>
      </c>
      <c r="R1157">
        <v>2583625</v>
      </c>
    </row>
    <row r="1158" spans="1:18" x14ac:dyDescent="0.25">
      <c r="A1158" s="170">
        <v>43711</v>
      </c>
      <c r="B1158" s="116">
        <v>2296</v>
      </c>
      <c r="C1158" s="116">
        <v>2252.25</v>
      </c>
      <c r="D1158" s="116">
        <v>2237.15</v>
      </c>
      <c r="E1158" s="116">
        <v>2259</v>
      </c>
      <c r="F1158" s="116">
        <v>2252.25</v>
      </c>
      <c r="G1158">
        <v>69973</v>
      </c>
      <c r="H1158" s="116"/>
      <c r="I1158" s="116"/>
      <c r="L1158" s="170">
        <v>43711</v>
      </c>
      <c r="M1158" s="116">
        <v>2251.6</v>
      </c>
      <c r="N1158" s="116">
        <v>2296.1999999999998</v>
      </c>
      <c r="O1158" s="116">
        <v>2236.9499999999998</v>
      </c>
      <c r="P1158" s="116">
        <v>2270</v>
      </c>
      <c r="Q1158" s="116">
        <v>2251.6</v>
      </c>
      <c r="R1158">
        <v>2545060</v>
      </c>
    </row>
    <row r="1159" spans="1:18" x14ac:dyDescent="0.25">
      <c r="A1159" s="170">
        <v>43712</v>
      </c>
      <c r="B1159" s="116">
        <v>2269.9</v>
      </c>
      <c r="C1159" s="116">
        <v>2246.1</v>
      </c>
      <c r="D1159" s="116">
        <v>2234</v>
      </c>
      <c r="E1159" s="116">
        <v>2269.6999999999998</v>
      </c>
      <c r="F1159" s="116">
        <v>2246.1</v>
      </c>
      <c r="G1159">
        <v>44608</v>
      </c>
      <c r="H1159" s="116"/>
      <c r="I1159" s="116"/>
      <c r="L1159" s="170">
        <v>43712</v>
      </c>
      <c r="M1159" s="116">
        <v>2245.4</v>
      </c>
      <c r="N1159" s="116">
        <v>2270</v>
      </c>
      <c r="O1159" s="116">
        <v>2233</v>
      </c>
      <c r="P1159" s="116">
        <v>2265</v>
      </c>
      <c r="Q1159" s="116">
        <v>2245.4</v>
      </c>
      <c r="R1159">
        <v>2228092</v>
      </c>
    </row>
    <row r="1160" spans="1:18" x14ac:dyDescent="0.25">
      <c r="A1160" s="170">
        <v>43713</v>
      </c>
      <c r="B1160" s="116">
        <v>2253.1</v>
      </c>
      <c r="C1160" s="116">
        <v>2215.8000000000002</v>
      </c>
      <c r="D1160" s="116">
        <v>2208</v>
      </c>
      <c r="E1160" s="116">
        <v>2246.65</v>
      </c>
      <c r="F1160" s="116">
        <v>2215.8000000000002</v>
      </c>
      <c r="G1160">
        <v>54328</v>
      </c>
      <c r="H1160" s="116"/>
      <c r="I1160" s="116"/>
      <c r="L1160" s="170">
        <v>43713</v>
      </c>
      <c r="M1160" s="116">
        <v>2215.3000000000002</v>
      </c>
      <c r="N1160" s="116">
        <v>2253.65</v>
      </c>
      <c r="O1160" s="116">
        <v>2207.3000000000002</v>
      </c>
      <c r="P1160" s="116">
        <v>2242.1999999999998</v>
      </c>
      <c r="Q1160" s="116">
        <v>2215.3000000000002</v>
      </c>
      <c r="R1160">
        <v>2055943</v>
      </c>
    </row>
    <row r="1161" spans="1:18" x14ac:dyDescent="0.25">
      <c r="A1161" s="170">
        <v>43714</v>
      </c>
      <c r="B1161" s="116">
        <v>2231.6999999999998</v>
      </c>
      <c r="C1161" s="116">
        <v>2197.65</v>
      </c>
      <c r="D1161" s="116">
        <v>2190.85</v>
      </c>
      <c r="E1161" s="116">
        <v>2215</v>
      </c>
      <c r="F1161" s="116">
        <v>2197.65</v>
      </c>
      <c r="G1161">
        <v>56482</v>
      </c>
      <c r="H1161" s="116"/>
      <c r="I1161" s="116"/>
      <c r="L1161" s="170">
        <v>43714</v>
      </c>
      <c r="M1161" s="116">
        <v>2197.5</v>
      </c>
      <c r="N1161" s="116">
        <v>2233.5</v>
      </c>
      <c r="O1161" s="116">
        <v>2192.6</v>
      </c>
      <c r="P1161" s="116">
        <v>2216</v>
      </c>
      <c r="Q1161" s="116">
        <v>2197.5</v>
      </c>
      <c r="R1161">
        <v>1890550</v>
      </c>
    </row>
    <row r="1162" spans="1:18" x14ac:dyDescent="0.25">
      <c r="A1162" s="170">
        <v>43717</v>
      </c>
      <c r="B1162" s="116">
        <v>2203</v>
      </c>
      <c r="C1162" s="116">
        <v>2183.3000000000002</v>
      </c>
      <c r="D1162" s="116">
        <v>2180</v>
      </c>
      <c r="E1162" s="116">
        <v>2203</v>
      </c>
      <c r="F1162" s="116">
        <v>2183.3000000000002</v>
      </c>
      <c r="G1162">
        <v>48168</v>
      </c>
      <c r="H1162" s="116"/>
      <c r="I1162" s="116"/>
      <c r="L1162" s="170">
        <v>43717</v>
      </c>
      <c r="M1162" s="116">
        <v>2182.85</v>
      </c>
      <c r="N1162" s="116">
        <v>2202.85</v>
      </c>
      <c r="O1162" s="116">
        <v>2179.8000000000002</v>
      </c>
      <c r="P1162" s="116">
        <v>2200</v>
      </c>
      <c r="Q1162" s="116">
        <v>2182.85</v>
      </c>
      <c r="R1162">
        <v>1703945</v>
      </c>
    </row>
    <row r="1163" spans="1:18" x14ac:dyDescent="0.25">
      <c r="A1163" s="170">
        <v>43719</v>
      </c>
      <c r="B1163" s="116">
        <v>2200</v>
      </c>
      <c r="C1163" s="116">
        <v>2153.9499999999998</v>
      </c>
      <c r="D1163" s="116">
        <v>2147.0500000000002</v>
      </c>
      <c r="E1163" s="116">
        <v>2192</v>
      </c>
      <c r="F1163" s="116">
        <v>2153.9499999999998</v>
      </c>
      <c r="G1163">
        <v>83914</v>
      </c>
      <c r="H1163" s="116"/>
      <c r="I1163" s="116"/>
      <c r="L1163" s="170">
        <v>43719</v>
      </c>
      <c r="M1163" s="116">
        <v>2154</v>
      </c>
      <c r="N1163" s="116">
        <v>2195</v>
      </c>
      <c r="O1163" s="116">
        <v>2146.5500000000002</v>
      </c>
      <c r="P1163" s="116">
        <v>2186</v>
      </c>
      <c r="Q1163" s="116">
        <v>2154</v>
      </c>
      <c r="R1163">
        <v>2627440</v>
      </c>
    </row>
    <row r="1164" spans="1:18" x14ac:dyDescent="0.25">
      <c r="A1164" s="170">
        <v>43720</v>
      </c>
      <c r="B1164" s="116">
        <v>2164.9499999999998</v>
      </c>
      <c r="C1164" s="116">
        <v>2133.85</v>
      </c>
      <c r="D1164" s="116">
        <v>2120.65</v>
      </c>
      <c r="E1164" s="116">
        <v>2154</v>
      </c>
      <c r="F1164" s="116">
        <v>2133.85</v>
      </c>
      <c r="G1164">
        <v>77824</v>
      </c>
      <c r="H1164" s="116"/>
      <c r="I1164" s="116"/>
      <c r="L1164" s="170">
        <v>43720</v>
      </c>
      <c r="M1164" s="116">
        <v>2133.6</v>
      </c>
      <c r="N1164" s="116">
        <v>2165</v>
      </c>
      <c r="O1164" s="116">
        <v>2120.35</v>
      </c>
      <c r="P1164" s="116">
        <v>2155</v>
      </c>
      <c r="Q1164" s="116">
        <v>2133.6</v>
      </c>
      <c r="R1164">
        <v>2118859</v>
      </c>
    </row>
    <row r="1165" spans="1:18" x14ac:dyDescent="0.25">
      <c r="A1165" s="170">
        <v>43721</v>
      </c>
      <c r="B1165" s="116">
        <v>2157.9</v>
      </c>
      <c r="C1165" s="116">
        <v>2141.35</v>
      </c>
      <c r="D1165" s="116">
        <v>2116.1999999999998</v>
      </c>
      <c r="E1165" s="116">
        <v>2138</v>
      </c>
      <c r="F1165" s="116">
        <v>2141.35</v>
      </c>
      <c r="G1165">
        <v>113836</v>
      </c>
      <c r="H1165" s="116"/>
      <c r="I1165" s="116"/>
      <c r="L1165" s="170">
        <v>43721</v>
      </c>
      <c r="M1165" s="116">
        <v>2141.9499999999998</v>
      </c>
      <c r="N1165" s="116">
        <v>2157.9499999999998</v>
      </c>
      <c r="O1165" s="116">
        <v>2115.5500000000002</v>
      </c>
      <c r="P1165" s="116">
        <v>2135</v>
      </c>
      <c r="Q1165" s="116">
        <v>2141.9499999999998</v>
      </c>
      <c r="R1165">
        <v>2291174</v>
      </c>
    </row>
    <row r="1166" spans="1:18" x14ac:dyDescent="0.25">
      <c r="A1166" s="170">
        <v>43724</v>
      </c>
      <c r="B1166" s="116">
        <v>2173.5</v>
      </c>
      <c r="C1166" s="116">
        <v>2149.15</v>
      </c>
      <c r="D1166" s="116">
        <v>2127.3000000000002</v>
      </c>
      <c r="E1166" s="116">
        <v>2150.35</v>
      </c>
      <c r="F1166" s="116">
        <v>2149.15</v>
      </c>
      <c r="G1166">
        <v>96788</v>
      </c>
      <c r="H1166" s="116"/>
      <c r="I1166" s="116"/>
      <c r="L1166" s="170">
        <v>43724</v>
      </c>
      <c r="M1166" s="116">
        <v>2150</v>
      </c>
      <c r="N1166" s="116">
        <v>2173.4</v>
      </c>
      <c r="O1166" s="116">
        <v>2126.4</v>
      </c>
      <c r="P1166" s="116">
        <v>2159.9499999999998</v>
      </c>
      <c r="Q1166" s="116">
        <v>2150</v>
      </c>
      <c r="R1166">
        <v>2597948</v>
      </c>
    </row>
    <row r="1167" spans="1:18" x14ac:dyDescent="0.25">
      <c r="A1167" s="170">
        <v>43725</v>
      </c>
      <c r="B1167" s="116">
        <v>2155.85</v>
      </c>
      <c r="C1167" s="116">
        <v>2121.35</v>
      </c>
      <c r="D1167" s="116">
        <v>2107</v>
      </c>
      <c r="E1167" s="116">
        <v>2154</v>
      </c>
      <c r="F1167" s="116">
        <v>2121.35</v>
      </c>
      <c r="G1167">
        <v>120315</v>
      </c>
      <c r="H1167" s="116"/>
      <c r="I1167" s="116"/>
      <c r="L1167" s="170">
        <v>43725</v>
      </c>
      <c r="M1167" s="116">
        <v>2122.65</v>
      </c>
      <c r="N1167" s="116">
        <v>2156.5500000000002</v>
      </c>
      <c r="O1167" s="116">
        <v>2105.6</v>
      </c>
      <c r="P1167" s="116">
        <v>2154.9499999999998</v>
      </c>
      <c r="Q1167" s="116">
        <v>2122.65</v>
      </c>
      <c r="R1167">
        <v>2796530</v>
      </c>
    </row>
    <row r="1168" spans="1:18" x14ac:dyDescent="0.25">
      <c r="A1168" s="170">
        <v>43726</v>
      </c>
      <c r="B1168" s="116">
        <v>2143.75</v>
      </c>
      <c r="C1168" s="116">
        <v>2138.25</v>
      </c>
      <c r="D1168" s="116">
        <v>2114.3000000000002</v>
      </c>
      <c r="E1168" s="116">
        <v>2115</v>
      </c>
      <c r="F1168" s="116">
        <v>2138.25</v>
      </c>
      <c r="G1168">
        <v>81032</v>
      </c>
      <c r="H1168" s="116"/>
      <c r="I1168" s="116"/>
      <c r="L1168" s="170">
        <v>43726</v>
      </c>
      <c r="M1168" s="116">
        <v>2138.5500000000002</v>
      </c>
      <c r="N1168" s="116">
        <v>2142.9499999999998</v>
      </c>
      <c r="O1168" s="116">
        <v>2113.15</v>
      </c>
      <c r="P1168" s="116">
        <v>2126.4</v>
      </c>
      <c r="Q1168" s="116">
        <v>2138.5500000000002</v>
      </c>
      <c r="R1168">
        <v>1454663</v>
      </c>
    </row>
    <row r="1169" spans="1:18" x14ac:dyDescent="0.25">
      <c r="A1169" s="170">
        <v>43727</v>
      </c>
      <c r="B1169" s="116">
        <v>2138.9</v>
      </c>
      <c r="C1169" s="116">
        <v>2102.15</v>
      </c>
      <c r="D1169" s="116">
        <v>2091.5500000000002</v>
      </c>
      <c r="E1169" s="116">
        <v>2138.85</v>
      </c>
      <c r="F1169" s="116">
        <v>2102.15</v>
      </c>
      <c r="G1169">
        <v>74797</v>
      </c>
      <c r="H1169" s="116"/>
      <c r="I1169" s="116"/>
      <c r="L1169" s="170">
        <v>43727</v>
      </c>
      <c r="M1169" s="116">
        <v>2101.9499999999998</v>
      </c>
      <c r="N1169" s="116">
        <v>2135.8000000000002</v>
      </c>
      <c r="O1169" s="116">
        <v>2091</v>
      </c>
      <c r="P1169" s="116">
        <v>2135</v>
      </c>
      <c r="Q1169" s="116">
        <v>2101.9499999999998</v>
      </c>
      <c r="R1169">
        <v>1652691</v>
      </c>
    </row>
    <row r="1170" spans="1:18" x14ac:dyDescent="0.25">
      <c r="A1170" s="170">
        <v>43728</v>
      </c>
      <c r="B1170" s="116">
        <v>2129.25</v>
      </c>
      <c r="C1170" s="116">
        <v>2065.6</v>
      </c>
      <c r="D1170" s="116">
        <v>2055.6</v>
      </c>
      <c r="E1170" s="116">
        <v>2102.5</v>
      </c>
      <c r="F1170" s="116">
        <v>2065.6</v>
      </c>
      <c r="G1170">
        <v>261727</v>
      </c>
      <c r="H1170" s="116"/>
      <c r="I1170" s="116"/>
      <c r="L1170" s="170">
        <v>43728</v>
      </c>
      <c r="M1170" s="116">
        <v>2065.4499999999998</v>
      </c>
      <c r="N1170" s="116">
        <v>2129.4</v>
      </c>
      <c r="O1170" s="116">
        <v>2057</v>
      </c>
      <c r="P1170" s="116">
        <v>2104.9</v>
      </c>
      <c r="Q1170" s="116">
        <v>2065.4499999999998</v>
      </c>
      <c r="R1170">
        <v>6941979</v>
      </c>
    </row>
    <row r="1171" spans="1:18" x14ac:dyDescent="0.25">
      <c r="A1171" s="170">
        <v>43731</v>
      </c>
      <c r="B1171" s="116">
        <v>2089</v>
      </c>
      <c r="C1171" s="116">
        <v>2014.75</v>
      </c>
      <c r="D1171" s="116">
        <v>1975</v>
      </c>
      <c r="E1171" s="116">
        <v>2085</v>
      </c>
      <c r="F1171" s="116">
        <v>2014.75</v>
      </c>
      <c r="G1171">
        <v>470064</v>
      </c>
      <c r="H1171" s="116"/>
      <c r="I1171" s="116"/>
      <c r="L1171" s="170">
        <v>43731</v>
      </c>
      <c r="M1171" s="116">
        <v>2015.8</v>
      </c>
      <c r="N1171" s="116">
        <v>2099</v>
      </c>
      <c r="O1171" s="116">
        <v>1975</v>
      </c>
      <c r="P1171" s="116">
        <v>2099</v>
      </c>
      <c r="Q1171" s="116">
        <v>2015.8</v>
      </c>
      <c r="R1171">
        <v>6323401</v>
      </c>
    </row>
    <row r="1172" spans="1:18" x14ac:dyDescent="0.25">
      <c r="A1172" s="170">
        <v>43732</v>
      </c>
      <c r="B1172" s="116">
        <v>2062.35</v>
      </c>
      <c r="C1172" s="116">
        <v>2044.3</v>
      </c>
      <c r="D1172" s="116">
        <v>2013.7</v>
      </c>
      <c r="E1172" s="116">
        <v>2015</v>
      </c>
      <c r="F1172" s="116">
        <v>2044.3</v>
      </c>
      <c r="G1172">
        <v>233358</v>
      </c>
      <c r="H1172" s="116"/>
      <c r="I1172" s="116"/>
      <c r="L1172" s="170">
        <v>43732</v>
      </c>
      <c r="M1172" s="116">
        <v>2044.7</v>
      </c>
      <c r="N1172" s="116">
        <v>2061</v>
      </c>
      <c r="O1172" s="116">
        <v>2013</v>
      </c>
      <c r="P1172" s="116">
        <v>2015</v>
      </c>
      <c r="Q1172" s="116">
        <v>2044.7</v>
      </c>
      <c r="R1172">
        <v>4620978</v>
      </c>
    </row>
    <row r="1173" spans="1:18" x14ac:dyDescent="0.25">
      <c r="A1173" s="170">
        <v>43733</v>
      </c>
      <c r="B1173" s="116">
        <v>2092.0500000000002</v>
      </c>
      <c r="C1173" s="116">
        <v>2087.8000000000002</v>
      </c>
      <c r="D1173" s="116">
        <v>2057</v>
      </c>
      <c r="E1173" s="116">
        <v>2057</v>
      </c>
      <c r="F1173" s="116">
        <v>2087.8000000000002</v>
      </c>
      <c r="G1173">
        <v>167063</v>
      </c>
      <c r="H1173" s="116"/>
      <c r="I1173" s="116"/>
      <c r="L1173" s="170">
        <v>43733</v>
      </c>
      <c r="M1173" s="116">
        <v>2088.4499999999998</v>
      </c>
      <c r="N1173" s="116">
        <v>2092</v>
      </c>
      <c r="O1173" s="116">
        <v>2060.0500000000002</v>
      </c>
      <c r="P1173" s="116">
        <v>2065</v>
      </c>
      <c r="Q1173" s="116">
        <v>2088.4499999999998</v>
      </c>
      <c r="R1173">
        <v>4002232</v>
      </c>
    </row>
    <row r="1174" spans="1:18" x14ac:dyDescent="0.25">
      <c r="A1174" s="170">
        <v>43734</v>
      </c>
      <c r="B1174" s="116">
        <v>2106.9499999999998</v>
      </c>
      <c r="C1174" s="116">
        <v>2087.65</v>
      </c>
      <c r="D1174" s="116">
        <v>2063</v>
      </c>
      <c r="E1174" s="116">
        <v>2091</v>
      </c>
      <c r="F1174" s="116">
        <v>2087.65</v>
      </c>
      <c r="G1174">
        <v>97699</v>
      </c>
      <c r="H1174" s="116"/>
      <c r="I1174" s="116"/>
      <c r="L1174" s="170">
        <v>43734</v>
      </c>
      <c r="M1174" s="116">
        <v>2087.6</v>
      </c>
      <c r="N1174" s="116">
        <v>2107</v>
      </c>
      <c r="O1174" s="116">
        <v>2063</v>
      </c>
      <c r="P1174" s="116">
        <v>2097.9</v>
      </c>
      <c r="Q1174" s="116">
        <v>2087.6</v>
      </c>
      <c r="R1174">
        <v>4234281</v>
      </c>
    </row>
    <row r="1175" spans="1:18" x14ac:dyDescent="0.25">
      <c r="A1175" s="170">
        <v>43735</v>
      </c>
      <c r="B1175" s="116">
        <v>2087</v>
      </c>
      <c r="C1175" s="116">
        <v>2056.6999999999998</v>
      </c>
      <c r="D1175" s="116">
        <v>2053</v>
      </c>
      <c r="E1175" s="116">
        <v>2087</v>
      </c>
      <c r="F1175" s="116">
        <v>2056.6999999999998</v>
      </c>
      <c r="G1175">
        <v>84102</v>
      </c>
      <c r="H1175" s="116"/>
      <c r="I1175" s="116"/>
      <c r="L1175" s="170">
        <v>43735</v>
      </c>
      <c r="M1175" s="116">
        <v>2056.15</v>
      </c>
      <c r="N1175" s="116">
        <v>2085.1999999999998</v>
      </c>
      <c r="O1175" s="116">
        <v>2051.4</v>
      </c>
      <c r="P1175" s="116">
        <v>2085</v>
      </c>
      <c r="Q1175" s="116">
        <v>2056.15</v>
      </c>
      <c r="R1175">
        <v>2046795</v>
      </c>
    </row>
    <row r="1176" spans="1:18" x14ac:dyDescent="0.25">
      <c r="A1176" s="170">
        <v>43738</v>
      </c>
      <c r="B1176" s="116">
        <v>2103.9</v>
      </c>
      <c r="C1176" s="116">
        <v>2099.1999999999998</v>
      </c>
      <c r="D1176" s="116">
        <v>2060.1</v>
      </c>
      <c r="E1176" s="116">
        <v>2060.1</v>
      </c>
      <c r="F1176" s="116">
        <v>2099.1999999999998</v>
      </c>
      <c r="G1176">
        <v>113250</v>
      </c>
      <c r="H1176" s="116"/>
      <c r="I1176" s="116"/>
      <c r="L1176" s="170">
        <v>43738</v>
      </c>
      <c r="M1176" s="116">
        <v>2099.3000000000002</v>
      </c>
      <c r="N1176" s="116">
        <v>2104</v>
      </c>
      <c r="O1176" s="116">
        <v>2060</v>
      </c>
      <c r="P1176" s="116">
        <v>2061.85</v>
      </c>
      <c r="Q1176" s="116">
        <v>2099.3000000000002</v>
      </c>
      <c r="R1176">
        <v>2620039</v>
      </c>
    </row>
    <row r="1177" spans="1:18" x14ac:dyDescent="0.25">
      <c r="A1177" s="170">
        <v>43739</v>
      </c>
      <c r="B1177" s="116">
        <v>2099.5500000000002</v>
      </c>
      <c r="C1177" s="116">
        <v>2059.6999999999998</v>
      </c>
      <c r="D1177" s="116">
        <v>2040.3</v>
      </c>
      <c r="E1177" s="116">
        <v>2099.5</v>
      </c>
      <c r="F1177" s="116">
        <v>2059.6999999999998</v>
      </c>
      <c r="G1177">
        <v>76242</v>
      </c>
      <c r="H1177" s="116"/>
      <c r="I1177" s="116"/>
      <c r="L1177" s="170">
        <v>43739</v>
      </c>
      <c r="M1177" s="116">
        <v>2059.9499999999998</v>
      </c>
      <c r="N1177" s="116">
        <v>2095.9499999999998</v>
      </c>
      <c r="O1177" s="116">
        <v>2039.7</v>
      </c>
      <c r="P1177" s="116">
        <v>2095.9499999999998</v>
      </c>
      <c r="Q1177" s="116">
        <v>2059.9499999999998</v>
      </c>
      <c r="R1177">
        <v>3342877</v>
      </c>
    </row>
    <row r="1178" spans="1:18" x14ac:dyDescent="0.25">
      <c r="A1178" s="170">
        <v>43741</v>
      </c>
      <c r="B1178" s="116">
        <v>2081.0500000000002</v>
      </c>
      <c r="C1178" s="116">
        <v>2058.85</v>
      </c>
      <c r="D1178" s="116">
        <v>2047</v>
      </c>
      <c r="E1178" s="116">
        <v>2070</v>
      </c>
      <c r="F1178" s="116">
        <v>2058.85</v>
      </c>
      <c r="G1178">
        <v>82996</v>
      </c>
      <c r="H1178" s="116"/>
      <c r="I1178" s="116"/>
      <c r="L1178" s="170">
        <v>43741</v>
      </c>
      <c r="M1178" s="116">
        <v>2060.25</v>
      </c>
      <c r="N1178" s="116">
        <v>2081.15</v>
      </c>
      <c r="O1178" s="116">
        <v>2046.15</v>
      </c>
      <c r="P1178" s="116">
        <v>2070</v>
      </c>
      <c r="Q1178" s="116">
        <v>2060.25</v>
      </c>
      <c r="R1178">
        <v>2317618</v>
      </c>
    </row>
    <row r="1179" spans="1:18" x14ac:dyDescent="0.25">
      <c r="A1179" s="170">
        <v>43742</v>
      </c>
      <c r="B1179" s="116">
        <v>2087</v>
      </c>
      <c r="C1179" s="116">
        <v>2078.65</v>
      </c>
      <c r="D1179" s="116">
        <v>2054.75</v>
      </c>
      <c r="E1179" s="116">
        <v>2079.6999999999998</v>
      </c>
      <c r="F1179" s="116">
        <v>2078.65</v>
      </c>
      <c r="G1179">
        <v>44798</v>
      </c>
      <c r="H1179" s="116"/>
      <c r="I1179" s="116"/>
      <c r="L1179" s="170">
        <v>43742</v>
      </c>
      <c r="M1179" s="116">
        <v>2079.35</v>
      </c>
      <c r="N1179" s="116">
        <v>2087.9499999999998</v>
      </c>
      <c r="O1179" s="116">
        <v>2054.9499999999998</v>
      </c>
      <c r="P1179" s="116">
        <v>2060.6</v>
      </c>
      <c r="Q1179" s="116">
        <v>2079.35</v>
      </c>
      <c r="R1179">
        <v>2163251</v>
      </c>
    </row>
    <row r="1180" spans="1:18" x14ac:dyDescent="0.25">
      <c r="A1180" s="170">
        <v>43745</v>
      </c>
      <c r="B1180" s="116">
        <v>2094.8000000000002</v>
      </c>
      <c r="C1180" s="116">
        <v>2052.85</v>
      </c>
      <c r="D1180" s="116">
        <v>2041.05</v>
      </c>
      <c r="E1180" s="116">
        <v>2080</v>
      </c>
      <c r="F1180" s="116">
        <v>2052.85</v>
      </c>
      <c r="G1180">
        <v>95756</v>
      </c>
      <c r="H1180" s="116"/>
      <c r="I1180" s="116"/>
      <c r="L1180" s="170">
        <v>43745</v>
      </c>
      <c r="M1180" s="116">
        <v>2047.7</v>
      </c>
      <c r="N1180" s="116">
        <v>2094.5</v>
      </c>
      <c r="O1180" s="116">
        <v>2041</v>
      </c>
      <c r="P1180" s="116">
        <v>2080</v>
      </c>
      <c r="Q1180" s="116">
        <v>2047.7</v>
      </c>
      <c r="R1180">
        <v>2177916</v>
      </c>
    </row>
    <row r="1181" spans="1:18" x14ac:dyDescent="0.25">
      <c r="A1181" s="170">
        <v>43747</v>
      </c>
      <c r="B1181" s="116">
        <v>2056.6999999999998</v>
      </c>
      <c r="C1181" s="116">
        <v>2020.65</v>
      </c>
      <c r="D1181" s="116">
        <v>2015.8</v>
      </c>
      <c r="E1181" s="116">
        <v>2052.85</v>
      </c>
      <c r="F1181" s="116">
        <v>2020.65</v>
      </c>
      <c r="G1181">
        <v>87599</v>
      </c>
      <c r="H1181" s="116"/>
      <c r="I1181" s="116"/>
      <c r="L1181" s="170">
        <v>43747</v>
      </c>
      <c r="M1181" s="116">
        <v>2020.1</v>
      </c>
      <c r="N1181" s="116">
        <v>2060</v>
      </c>
      <c r="O1181" s="116">
        <v>2015.5</v>
      </c>
      <c r="P1181" s="116">
        <v>2060</v>
      </c>
      <c r="Q1181" s="116">
        <v>2020.1</v>
      </c>
      <c r="R1181">
        <v>2066920</v>
      </c>
    </row>
    <row r="1182" spans="1:18" x14ac:dyDescent="0.25">
      <c r="A1182" s="170">
        <v>43748</v>
      </c>
      <c r="B1182" s="116">
        <v>2039</v>
      </c>
      <c r="C1182" s="116">
        <v>2004.4</v>
      </c>
      <c r="D1182" s="116">
        <v>1998.85</v>
      </c>
      <c r="E1182" s="116">
        <v>2028</v>
      </c>
      <c r="F1182" s="116">
        <v>2004.4</v>
      </c>
      <c r="G1182">
        <v>219994</v>
      </c>
      <c r="H1182" s="116"/>
      <c r="I1182" s="116"/>
      <c r="L1182" s="170">
        <v>43748</v>
      </c>
      <c r="M1182" s="116">
        <v>2004.45</v>
      </c>
      <c r="N1182" s="116">
        <v>2039.05</v>
      </c>
      <c r="O1182" s="116">
        <v>1997.1</v>
      </c>
      <c r="P1182" s="116">
        <v>2028</v>
      </c>
      <c r="Q1182" s="116">
        <v>2004.45</v>
      </c>
      <c r="R1182">
        <v>2881452</v>
      </c>
    </row>
    <row r="1183" spans="1:18" x14ac:dyDescent="0.25">
      <c r="A1183" s="170">
        <v>43749</v>
      </c>
      <c r="B1183" s="116">
        <v>1994.4</v>
      </c>
      <c r="C1183" s="116">
        <v>1987.05</v>
      </c>
      <c r="D1183" s="116">
        <v>1929</v>
      </c>
      <c r="E1183" s="116">
        <v>1933</v>
      </c>
      <c r="F1183" s="116">
        <v>1987.05</v>
      </c>
      <c r="G1183">
        <v>477346</v>
      </c>
      <c r="H1183" s="116"/>
      <c r="I1183" s="116"/>
      <c r="L1183" s="170">
        <v>43749</v>
      </c>
      <c r="M1183" s="116">
        <v>1986.85</v>
      </c>
      <c r="N1183" s="116">
        <v>1995</v>
      </c>
      <c r="O1183" s="116">
        <v>1925</v>
      </c>
      <c r="P1183" s="116">
        <v>1931</v>
      </c>
      <c r="Q1183" s="116">
        <v>1986.85</v>
      </c>
      <c r="R1183">
        <v>12593069</v>
      </c>
    </row>
    <row r="1184" spans="1:18" x14ac:dyDescent="0.25">
      <c r="A1184" s="170">
        <v>43752</v>
      </c>
      <c r="B1184" s="116">
        <v>2031.9</v>
      </c>
      <c r="C1184" s="116">
        <v>2020.95</v>
      </c>
      <c r="D1184" s="116">
        <v>1969</v>
      </c>
      <c r="E1184" s="116">
        <v>2000</v>
      </c>
      <c r="F1184" s="116">
        <v>2020.95</v>
      </c>
      <c r="G1184">
        <v>113276</v>
      </c>
      <c r="H1184" s="116"/>
      <c r="I1184" s="116"/>
      <c r="L1184" s="170">
        <v>43752</v>
      </c>
      <c r="M1184" s="116">
        <v>2021</v>
      </c>
      <c r="N1184" s="116">
        <v>2032.75</v>
      </c>
      <c r="O1184" s="116">
        <v>1968</v>
      </c>
      <c r="P1184" s="116">
        <v>1995</v>
      </c>
      <c r="Q1184" s="116">
        <v>2021</v>
      </c>
      <c r="R1184">
        <v>3510704</v>
      </c>
    </row>
    <row r="1185" spans="1:18" x14ac:dyDescent="0.25">
      <c r="A1185" s="170">
        <v>43753</v>
      </c>
      <c r="B1185" s="116">
        <v>2046.9</v>
      </c>
      <c r="C1185" s="116">
        <v>2037.4</v>
      </c>
      <c r="D1185" s="116">
        <v>2024.2</v>
      </c>
      <c r="E1185" s="116">
        <v>2028.8</v>
      </c>
      <c r="F1185" s="116">
        <v>2037.4</v>
      </c>
      <c r="G1185">
        <v>137747</v>
      </c>
      <c r="H1185" s="116"/>
      <c r="I1185" s="116"/>
      <c r="L1185" s="170">
        <v>43753</v>
      </c>
      <c r="M1185" s="116">
        <v>2037.3</v>
      </c>
      <c r="N1185" s="116">
        <v>2047</v>
      </c>
      <c r="O1185" s="116">
        <v>2022.7</v>
      </c>
      <c r="P1185" s="116">
        <v>2032</v>
      </c>
      <c r="Q1185" s="116">
        <v>2037.3</v>
      </c>
      <c r="R1185">
        <v>2261310</v>
      </c>
    </row>
    <row r="1186" spans="1:18" x14ac:dyDescent="0.25">
      <c r="A1186" s="170">
        <v>43754</v>
      </c>
      <c r="B1186" s="116">
        <v>2056</v>
      </c>
      <c r="C1186" s="116">
        <v>2045.85</v>
      </c>
      <c r="D1186" s="116">
        <v>2016.5</v>
      </c>
      <c r="E1186" s="116">
        <v>2039</v>
      </c>
      <c r="F1186" s="116">
        <v>2045.85</v>
      </c>
      <c r="G1186">
        <v>81105</v>
      </c>
      <c r="H1186" s="116"/>
      <c r="I1186" s="116"/>
      <c r="L1186" s="170">
        <v>43754</v>
      </c>
      <c r="M1186" s="116">
        <v>2046.4</v>
      </c>
      <c r="N1186" s="116">
        <v>2056</v>
      </c>
      <c r="O1186" s="116">
        <v>2016</v>
      </c>
      <c r="P1186" s="116">
        <v>2038</v>
      </c>
      <c r="Q1186" s="116">
        <v>2046.4</v>
      </c>
      <c r="R1186">
        <v>3034082</v>
      </c>
    </row>
    <row r="1187" spans="1:18" x14ac:dyDescent="0.25">
      <c r="A1187" s="170">
        <v>43755</v>
      </c>
      <c r="B1187" s="116">
        <v>2037.8</v>
      </c>
      <c r="C1187" s="116">
        <v>2030.7</v>
      </c>
      <c r="D1187" s="116">
        <v>2001</v>
      </c>
      <c r="E1187" s="116">
        <v>2015</v>
      </c>
      <c r="F1187" s="116">
        <v>2030.7</v>
      </c>
      <c r="G1187">
        <v>131597</v>
      </c>
      <c r="H1187" s="116"/>
      <c r="I1187" s="116"/>
      <c r="L1187" s="170">
        <v>43755</v>
      </c>
      <c r="M1187" s="116">
        <v>2030.95</v>
      </c>
      <c r="N1187" s="116">
        <v>2038</v>
      </c>
      <c r="O1187" s="116">
        <v>1999.3</v>
      </c>
      <c r="P1187" s="116">
        <v>2014</v>
      </c>
      <c r="Q1187" s="116">
        <v>2030.95</v>
      </c>
      <c r="R1187">
        <v>3818774</v>
      </c>
    </row>
    <row r="1188" spans="1:18" x14ac:dyDescent="0.25">
      <c r="A1188" s="170">
        <v>43756</v>
      </c>
      <c r="B1188" s="116">
        <v>2064</v>
      </c>
      <c r="C1188" s="116">
        <v>2057.35</v>
      </c>
      <c r="D1188" s="116">
        <v>2025.1</v>
      </c>
      <c r="E1188" s="116">
        <v>2038</v>
      </c>
      <c r="F1188" s="116">
        <v>2057.35</v>
      </c>
      <c r="G1188">
        <v>85260</v>
      </c>
      <c r="H1188" s="116"/>
      <c r="I1188" s="116"/>
      <c r="L1188" s="170">
        <v>43756</v>
      </c>
      <c r="M1188" s="116">
        <v>2057.35</v>
      </c>
      <c r="N1188" s="116">
        <v>2063.9</v>
      </c>
      <c r="O1188" s="116">
        <v>2025</v>
      </c>
      <c r="P1188" s="116">
        <v>2037.5</v>
      </c>
      <c r="Q1188" s="116">
        <v>2057.35</v>
      </c>
      <c r="R1188">
        <v>3087901</v>
      </c>
    </row>
    <row r="1189" spans="1:18" x14ac:dyDescent="0.25">
      <c r="A1189" s="170">
        <v>43760</v>
      </c>
      <c r="B1189" s="116">
        <v>2109.9499999999998</v>
      </c>
      <c r="C1189" s="116">
        <v>2051.65</v>
      </c>
      <c r="D1189" s="116">
        <v>2040.45</v>
      </c>
      <c r="E1189" s="116">
        <v>2081</v>
      </c>
      <c r="F1189" s="116">
        <v>2051.65</v>
      </c>
      <c r="G1189">
        <v>119818</v>
      </c>
      <c r="H1189" s="116"/>
      <c r="I1189" s="116"/>
      <c r="L1189" s="170">
        <v>43760</v>
      </c>
      <c r="M1189" s="116">
        <v>2051.4</v>
      </c>
      <c r="N1189" s="116">
        <v>2111.5</v>
      </c>
      <c r="O1189" s="116">
        <v>2040.05</v>
      </c>
      <c r="P1189" s="116">
        <v>2080</v>
      </c>
      <c r="Q1189" s="116">
        <v>2051.4</v>
      </c>
      <c r="R1189">
        <v>5552505</v>
      </c>
    </row>
    <row r="1190" spans="1:18" x14ac:dyDescent="0.25">
      <c r="A1190" s="170">
        <v>43761</v>
      </c>
      <c r="B1190" s="116">
        <v>2084</v>
      </c>
      <c r="C1190" s="116">
        <v>2075.25</v>
      </c>
      <c r="D1190" s="116">
        <v>2052.6</v>
      </c>
      <c r="E1190" s="116">
        <v>2065</v>
      </c>
      <c r="F1190" s="116">
        <v>2075.25</v>
      </c>
      <c r="G1190">
        <v>60167</v>
      </c>
      <c r="H1190" s="116"/>
      <c r="I1190" s="116"/>
      <c r="L1190" s="170">
        <v>43761</v>
      </c>
      <c r="M1190" s="116">
        <v>2070.1</v>
      </c>
      <c r="N1190" s="116">
        <v>2083.85</v>
      </c>
      <c r="O1190" s="116">
        <v>2052.5</v>
      </c>
      <c r="P1190" s="116">
        <v>2060</v>
      </c>
      <c r="Q1190" s="116">
        <v>2070.1</v>
      </c>
      <c r="R1190">
        <v>2348134</v>
      </c>
    </row>
    <row r="1191" spans="1:18" x14ac:dyDescent="0.25">
      <c r="A1191" s="170">
        <v>43762</v>
      </c>
      <c r="B1191" s="116">
        <v>2099</v>
      </c>
      <c r="C1191" s="116">
        <v>2082.1999999999998</v>
      </c>
      <c r="D1191" s="116">
        <v>2062</v>
      </c>
      <c r="E1191" s="116">
        <v>2075.1</v>
      </c>
      <c r="F1191" s="116">
        <v>2082.1999999999998</v>
      </c>
      <c r="G1191">
        <v>149770</v>
      </c>
      <c r="H1191" s="116"/>
      <c r="I1191" s="116"/>
      <c r="L1191" s="170">
        <v>43762</v>
      </c>
      <c r="M1191" s="116">
        <v>2082</v>
      </c>
      <c r="N1191" s="116">
        <v>2099</v>
      </c>
      <c r="O1191" s="116">
        <v>2061.3000000000002</v>
      </c>
      <c r="P1191" s="116">
        <v>2084</v>
      </c>
      <c r="Q1191" s="116">
        <v>2082</v>
      </c>
      <c r="R1191">
        <v>2798671</v>
      </c>
    </row>
    <row r="1192" spans="1:18" x14ac:dyDescent="0.25">
      <c r="A1192" s="170">
        <v>43763</v>
      </c>
      <c r="B1192" s="116">
        <v>2129.5</v>
      </c>
      <c r="C1192" s="116">
        <v>2125.0500000000002</v>
      </c>
      <c r="D1192" s="116">
        <v>2075</v>
      </c>
      <c r="E1192" s="116">
        <v>2088</v>
      </c>
      <c r="F1192" s="116">
        <v>2125.0500000000002</v>
      </c>
      <c r="G1192">
        <v>108564</v>
      </c>
      <c r="H1192" s="116"/>
      <c r="I1192" s="116"/>
      <c r="L1192" s="170">
        <v>43763</v>
      </c>
      <c r="M1192" s="116">
        <v>2124.9499999999998</v>
      </c>
      <c r="N1192" s="116">
        <v>2130</v>
      </c>
      <c r="O1192" s="116">
        <v>2075.0500000000002</v>
      </c>
      <c r="P1192" s="116">
        <v>2094</v>
      </c>
      <c r="Q1192" s="116">
        <v>2124.9499999999998</v>
      </c>
      <c r="R1192">
        <v>3954245</v>
      </c>
    </row>
    <row r="1193" spans="1:18" x14ac:dyDescent="0.25">
      <c r="A1193" s="170">
        <v>43765</v>
      </c>
      <c r="B1193" s="116">
        <v>2133.9</v>
      </c>
      <c r="C1193" s="116">
        <v>2116.6</v>
      </c>
      <c r="D1193" s="116">
        <v>2110</v>
      </c>
      <c r="E1193" s="116">
        <v>2130.5</v>
      </c>
      <c r="F1193" s="116">
        <v>2116.6</v>
      </c>
      <c r="G1193">
        <v>13696</v>
      </c>
      <c r="H1193" s="116"/>
      <c r="I1193" s="116"/>
      <c r="L1193" s="170">
        <v>43765</v>
      </c>
      <c r="M1193" s="116">
        <v>2115.6999999999998</v>
      </c>
      <c r="N1193" s="116">
        <v>2129</v>
      </c>
      <c r="O1193" s="116">
        <v>2108.8000000000002</v>
      </c>
      <c r="P1193" s="116">
        <v>2129</v>
      </c>
      <c r="Q1193" s="116">
        <v>2115.6999999999998</v>
      </c>
      <c r="R1193">
        <v>224421</v>
      </c>
    </row>
    <row r="1194" spans="1:18" x14ac:dyDescent="0.25">
      <c r="A1194" s="170">
        <v>43767</v>
      </c>
      <c r="B1194" s="116">
        <v>2200.9499999999998</v>
      </c>
      <c r="C1194" s="116">
        <v>2196</v>
      </c>
      <c r="D1194" s="116">
        <v>2116.6</v>
      </c>
      <c r="E1194" s="116">
        <v>2116.6</v>
      </c>
      <c r="F1194" s="116">
        <v>2196</v>
      </c>
      <c r="G1194">
        <v>157630</v>
      </c>
      <c r="H1194" s="116"/>
      <c r="I1194" s="116"/>
      <c r="L1194" s="170">
        <v>43767</v>
      </c>
      <c r="M1194" s="116">
        <v>2194.85</v>
      </c>
      <c r="N1194" s="116">
        <v>2201.6999999999998</v>
      </c>
      <c r="O1194" s="116">
        <v>2121.5</v>
      </c>
      <c r="P1194" s="116">
        <v>2121.5</v>
      </c>
      <c r="Q1194" s="116">
        <v>2194.85</v>
      </c>
      <c r="R1194">
        <v>5064173</v>
      </c>
    </row>
    <row r="1195" spans="1:18" x14ac:dyDescent="0.25">
      <c r="A1195" s="170">
        <v>43768</v>
      </c>
      <c r="B1195" s="116">
        <v>2260</v>
      </c>
      <c r="C1195" s="116">
        <v>2253.65</v>
      </c>
      <c r="D1195" s="116">
        <v>2176.75</v>
      </c>
      <c r="E1195" s="116">
        <v>2217</v>
      </c>
      <c r="F1195" s="116">
        <v>2253.65</v>
      </c>
      <c r="G1195">
        <v>152519</v>
      </c>
      <c r="H1195" s="116"/>
      <c r="I1195" s="116"/>
      <c r="L1195" s="170">
        <v>43768</v>
      </c>
      <c r="M1195" s="116">
        <v>2252.8000000000002</v>
      </c>
      <c r="N1195" s="116">
        <v>2260</v>
      </c>
      <c r="O1195" s="116">
        <v>2176.85</v>
      </c>
      <c r="P1195" s="116">
        <v>2225</v>
      </c>
      <c r="Q1195" s="116">
        <v>2252.8000000000002</v>
      </c>
      <c r="R1195">
        <v>5195136</v>
      </c>
    </row>
    <row r="1196" spans="1:18" x14ac:dyDescent="0.25">
      <c r="A1196" s="170">
        <v>43769</v>
      </c>
      <c r="B1196" s="116">
        <v>2285.5</v>
      </c>
      <c r="C1196" s="116">
        <v>2270.1999999999998</v>
      </c>
      <c r="D1196" s="116">
        <v>2238</v>
      </c>
      <c r="E1196" s="116">
        <v>2250</v>
      </c>
      <c r="F1196" s="116">
        <v>2270.1999999999998</v>
      </c>
      <c r="G1196">
        <v>118046</v>
      </c>
      <c r="H1196" s="116"/>
      <c r="I1196" s="116"/>
      <c r="L1196" s="170">
        <v>43769</v>
      </c>
      <c r="M1196" s="116">
        <v>2269.65</v>
      </c>
      <c r="N1196" s="116">
        <v>2284.9499999999998</v>
      </c>
      <c r="O1196" s="116">
        <v>2237</v>
      </c>
      <c r="P1196" s="116">
        <v>2250</v>
      </c>
      <c r="Q1196" s="116">
        <v>2269.65</v>
      </c>
      <c r="R1196">
        <v>4879261</v>
      </c>
    </row>
    <row r="1197" spans="1:18" x14ac:dyDescent="0.25">
      <c r="A1197" s="170">
        <v>43770</v>
      </c>
      <c r="B1197" s="116">
        <v>2274.1999999999998</v>
      </c>
      <c r="C1197" s="116">
        <v>2202.0500000000002</v>
      </c>
      <c r="D1197" s="116">
        <v>2195.5</v>
      </c>
      <c r="E1197" s="116">
        <v>2270</v>
      </c>
      <c r="F1197" s="116">
        <v>2202.0500000000002</v>
      </c>
      <c r="G1197">
        <v>109603</v>
      </c>
      <c r="H1197" s="116"/>
      <c r="I1197" s="116"/>
      <c r="L1197" s="170">
        <v>43770</v>
      </c>
      <c r="M1197" s="116">
        <v>2200.9</v>
      </c>
      <c r="N1197" s="116">
        <v>2275</v>
      </c>
      <c r="O1197" s="116">
        <v>2195</v>
      </c>
      <c r="P1197" s="116">
        <v>2264</v>
      </c>
      <c r="Q1197" s="116">
        <v>2200.9</v>
      </c>
      <c r="R1197">
        <v>4172620</v>
      </c>
    </row>
    <row r="1198" spans="1:18" x14ac:dyDescent="0.25">
      <c r="A1198" s="170">
        <v>43773</v>
      </c>
      <c r="B1198" s="116">
        <v>2229.6999999999998</v>
      </c>
      <c r="C1198" s="116">
        <v>2193.8000000000002</v>
      </c>
      <c r="D1198" s="116">
        <v>2181.5500000000002</v>
      </c>
      <c r="E1198" s="116">
        <v>2224.9</v>
      </c>
      <c r="F1198" s="116">
        <v>2193.8000000000002</v>
      </c>
      <c r="G1198">
        <v>134752</v>
      </c>
      <c r="H1198" s="116"/>
      <c r="I1198" s="116"/>
      <c r="L1198" s="170">
        <v>43773</v>
      </c>
      <c r="M1198" s="116">
        <v>2193.9499999999998</v>
      </c>
      <c r="N1198" s="116">
        <v>2229.1999999999998</v>
      </c>
      <c r="O1198" s="116">
        <v>2180.9</v>
      </c>
      <c r="P1198" s="116">
        <v>2207</v>
      </c>
      <c r="Q1198" s="116">
        <v>2193.9499999999998</v>
      </c>
      <c r="R1198">
        <v>2646411</v>
      </c>
    </row>
    <row r="1199" spans="1:18" x14ac:dyDescent="0.25">
      <c r="A1199" s="170">
        <v>43774</v>
      </c>
      <c r="B1199" s="116">
        <v>2211.9</v>
      </c>
      <c r="C1199" s="116">
        <v>2201.6</v>
      </c>
      <c r="D1199" s="116">
        <v>2169.1</v>
      </c>
      <c r="E1199" s="116">
        <v>2192</v>
      </c>
      <c r="F1199" s="116">
        <v>2201.6</v>
      </c>
      <c r="G1199">
        <v>58756</v>
      </c>
      <c r="H1199" s="116"/>
      <c r="I1199" s="116"/>
      <c r="L1199" s="170">
        <v>43774</v>
      </c>
      <c r="M1199" s="116">
        <v>2201.85</v>
      </c>
      <c r="N1199" s="116">
        <v>2211</v>
      </c>
      <c r="O1199" s="116">
        <v>2169</v>
      </c>
      <c r="P1199" s="116">
        <v>2197</v>
      </c>
      <c r="Q1199" s="116">
        <v>2201.85</v>
      </c>
      <c r="R1199">
        <v>2693475</v>
      </c>
    </row>
    <row r="1200" spans="1:18" x14ac:dyDescent="0.25">
      <c r="A1200" s="170">
        <v>43775</v>
      </c>
      <c r="B1200" s="116">
        <v>2210.8000000000002</v>
      </c>
      <c r="C1200" s="116">
        <v>2188.4</v>
      </c>
      <c r="D1200" s="116">
        <v>2178.9499999999998</v>
      </c>
      <c r="E1200" s="116">
        <v>2201.6</v>
      </c>
      <c r="F1200" s="116">
        <v>2188.4</v>
      </c>
      <c r="G1200">
        <v>57283</v>
      </c>
      <c r="H1200" s="116"/>
      <c r="I1200" s="116"/>
      <c r="L1200" s="170">
        <v>43775</v>
      </c>
      <c r="M1200" s="116">
        <v>2188.5</v>
      </c>
      <c r="N1200" s="116">
        <v>2210.8000000000002</v>
      </c>
      <c r="O1200" s="116">
        <v>2179</v>
      </c>
      <c r="P1200" s="116">
        <v>2200</v>
      </c>
      <c r="Q1200" s="116">
        <v>2188.5</v>
      </c>
      <c r="R1200">
        <v>2540719</v>
      </c>
    </row>
    <row r="1201" spans="1:18" x14ac:dyDescent="0.25">
      <c r="A1201" s="170">
        <v>43776</v>
      </c>
      <c r="B1201" s="116">
        <v>2203.85</v>
      </c>
      <c r="C1201" s="116">
        <v>2185.5</v>
      </c>
      <c r="D1201" s="116">
        <v>2176.0500000000002</v>
      </c>
      <c r="E1201" s="116">
        <v>2196.1</v>
      </c>
      <c r="F1201" s="116">
        <v>2185.5</v>
      </c>
      <c r="G1201">
        <v>44386</v>
      </c>
      <c r="H1201" s="116"/>
      <c r="I1201" s="116"/>
      <c r="L1201" s="170">
        <v>43776</v>
      </c>
      <c r="M1201" s="116">
        <v>2185.35</v>
      </c>
      <c r="N1201" s="116">
        <v>2204.5</v>
      </c>
      <c r="O1201" s="116">
        <v>2175.1999999999998</v>
      </c>
      <c r="P1201" s="116">
        <v>2204.5</v>
      </c>
      <c r="Q1201" s="116">
        <v>2185.35</v>
      </c>
      <c r="R1201">
        <v>1915598</v>
      </c>
    </row>
    <row r="1202" spans="1:18" x14ac:dyDescent="0.25">
      <c r="A1202" s="170">
        <v>43777</v>
      </c>
      <c r="B1202" s="116">
        <v>2188.25</v>
      </c>
      <c r="C1202" s="116">
        <v>2129.9499999999998</v>
      </c>
      <c r="D1202" s="116">
        <v>2124.75</v>
      </c>
      <c r="E1202" s="116">
        <v>2185.5</v>
      </c>
      <c r="F1202" s="116">
        <v>2129.9499999999998</v>
      </c>
      <c r="G1202">
        <v>110688</v>
      </c>
      <c r="H1202" s="116"/>
      <c r="I1202" s="116"/>
      <c r="L1202" s="170">
        <v>43777</v>
      </c>
      <c r="M1202" s="116">
        <v>2129.9499999999998</v>
      </c>
      <c r="N1202" s="116">
        <v>2189.6</v>
      </c>
      <c r="O1202" s="116">
        <v>2124</v>
      </c>
      <c r="P1202" s="116">
        <v>2189.6</v>
      </c>
      <c r="Q1202" s="116">
        <v>2129.9499999999998</v>
      </c>
      <c r="R1202">
        <v>2788759</v>
      </c>
    </row>
    <row r="1203" spans="1:18" x14ac:dyDescent="0.25">
      <c r="A1203" s="170">
        <v>43780</v>
      </c>
      <c r="B1203" s="116">
        <v>2144</v>
      </c>
      <c r="C1203" s="116">
        <v>2099.6999999999998</v>
      </c>
      <c r="D1203" s="116">
        <v>2091.3000000000002</v>
      </c>
      <c r="E1203" s="116">
        <v>2144</v>
      </c>
      <c r="F1203" s="116">
        <v>2099.6999999999998</v>
      </c>
      <c r="G1203">
        <v>142808</v>
      </c>
      <c r="H1203" s="116"/>
      <c r="I1203" s="116"/>
      <c r="L1203" s="170">
        <v>43780</v>
      </c>
      <c r="M1203" s="116">
        <v>2100.9499999999998</v>
      </c>
      <c r="N1203" s="116">
        <v>2139</v>
      </c>
      <c r="O1203" s="116">
        <v>2091</v>
      </c>
      <c r="P1203" s="116">
        <v>2135</v>
      </c>
      <c r="Q1203" s="116">
        <v>2100.9499999999998</v>
      </c>
      <c r="R1203">
        <v>2983768</v>
      </c>
    </row>
    <row r="1204" spans="1:18" x14ac:dyDescent="0.25">
      <c r="A1204" s="170">
        <v>43782</v>
      </c>
      <c r="B1204" s="116">
        <v>2182</v>
      </c>
      <c r="C1204" s="116">
        <v>2178.5500000000002</v>
      </c>
      <c r="D1204" s="116">
        <v>2110.1999999999998</v>
      </c>
      <c r="E1204" s="116">
        <v>2110.1999999999998</v>
      </c>
      <c r="F1204" s="116">
        <v>2178.5500000000002</v>
      </c>
      <c r="G1204">
        <v>135698</v>
      </c>
      <c r="H1204" s="116"/>
      <c r="I1204" s="116"/>
      <c r="L1204" s="170">
        <v>43782</v>
      </c>
      <c r="M1204" s="116">
        <v>2178.6</v>
      </c>
      <c r="N1204" s="116">
        <v>2183.8000000000002</v>
      </c>
      <c r="O1204" s="116">
        <v>2118</v>
      </c>
      <c r="P1204" s="116">
        <v>2118</v>
      </c>
      <c r="Q1204" s="116">
        <v>2178.6</v>
      </c>
      <c r="R1204">
        <v>3823365</v>
      </c>
    </row>
    <row r="1205" spans="1:18" x14ac:dyDescent="0.25">
      <c r="A1205" s="170">
        <v>43783</v>
      </c>
      <c r="B1205" s="116">
        <v>2199.5500000000002</v>
      </c>
      <c r="C1205" s="116">
        <v>2195.6</v>
      </c>
      <c r="D1205" s="116">
        <v>2145.35</v>
      </c>
      <c r="E1205" s="116">
        <v>2181</v>
      </c>
      <c r="F1205" s="116">
        <v>2195.6</v>
      </c>
      <c r="G1205">
        <v>106873</v>
      </c>
      <c r="H1205" s="116"/>
      <c r="I1205" s="116"/>
      <c r="L1205" s="170">
        <v>43783</v>
      </c>
      <c r="M1205" s="116">
        <v>2196.8000000000002</v>
      </c>
      <c r="N1205" s="116">
        <v>2200</v>
      </c>
      <c r="O1205" s="116">
        <v>2146.6999999999998</v>
      </c>
      <c r="P1205" s="116">
        <v>2187.5</v>
      </c>
      <c r="Q1205" s="116">
        <v>2196.8000000000002</v>
      </c>
      <c r="R1205">
        <v>2995915</v>
      </c>
    </row>
    <row r="1206" spans="1:18" x14ac:dyDescent="0.25">
      <c r="A1206" s="170">
        <v>43784</v>
      </c>
      <c r="B1206" s="116">
        <v>2211</v>
      </c>
      <c r="C1206" s="116">
        <v>2174.8000000000002</v>
      </c>
      <c r="D1206" s="116">
        <v>2168.5500000000002</v>
      </c>
      <c r="E1206" s="116">
        <v>2199</v>
      </c>
      <c r="F1206" s="116">
        <v>2174.8000000000002</v>
      </c>
      <c r="G1206">
        <v>70965</v>
      </c>
      <c r="H1206" s="116"/>
      <c r="I1206" s="116"/>
      <c r="L1206" s="170">
        <v>43784</v>
      </c>
      <c r="M1206" s="116">
        <v>2174.4499999999998</v>
      </c>
      <c r="N1206" s="116">
        <v>2211.5</v>
      </c>
      <c r="O1206" s="116">
        <v>2168.75</v>
      </c>
      <c r="P1206" s="116">
        <v>2196</v>
      </c>
      <c r="Q1206" s="116">
        <v>2174.4499999999998</v>
      </c>
      <c r="R1206">
        <v>2724180</v>
      </c>
    </row>
    <row r="1207" spans="1:18" x14ac:dyDescent="0.25">
      <c r="A1207" s="170">
        <v>43787</v>
      </c>
      <c r="B1207" s="116">
        <v>2187.65</v>
      </c>
      <c r="C1207" s="116">
        <v>2151.75</v>
      </c>
      <c r="D1207" s="116">
        <v>2148.15</v>
      </c>
      <c r="E1207" s="116">
        <v>2187</v>
      </c>
      <c r="F1207" s="116">
        <v>2151.75</v>
      </c>
      <c r="G1207">
        <v>406587</v>
      </c>
      <c r="H1207" s="116"/>
      <c r="I1207" s="116"/>
      <c r="L1207" s="170">
        <v>43787</v>
      </c>
      <c r="M1207" s="116">
        <v>2152.6</v>
      </c>
      <c r="N1207" s="116">
        <v>2187.75</v>
      </c>
      <c r="O1207" s="116">
        <v>2148.75</v>
      </c>
      <c r="P1207" s="116">
        <v>2178.4</v>
      </c>
      <c r="Q1207" s="116">
        <v>2152.6</v>
      </c>
      <c r="R1207">
        <v>1611089</v>
      </c>
    </row>
    <row r="1208" spans="1:18" x14ac:dyDescent="0.25">
      <c r="A1208" s="170">
        <v>43788</v>
      </c>
      <c r="B1208" s="116">
        <v>2153.9499999999998</v>
      </c>
      <c r="C1208" s="116">
        <v>2108.3000000000002</v>
      </c>
      <c r="D1208" s="116">
        <v>2105.1</v>
      </c>
      <c r="E1208" s="116">
        <v>2152</v>
      </c>
      <c r="F1208" s="116">
        <v>2108.3000000000002</v>
      </c>
      <c r="G1208">
        <v>100949</v>
      </c>
      <c r="H1208" s="116"/>
      <c r="I1208" s="116"/>
      <c r="L1208" s="170">
        <v>43788</v>
      </c>
      <c r="M1208" s="116">
        <v>2108.8000000000002</v>
      </c>
      <c r="N1208" s="116">
        <v>2154.65</v>
      </c>
      <c r="O1208" s="116">
        <v>2105</v>
      </c>
      <c r="P1208" s="116">
        <v>2153</v>
      </c>
      <c r="Q1208" s="116">
        <v>2108.8000000000002</v>
      </c>
      <c r="R1208">
        <v>2975313</v>
      </c>
    </row>
    <row r="1209" spans="1:18" x14ac:dyDescent="0.25">
      <c r="A1209" s="170">
        <v>43789</v>
      </c>
      <c r="B1209" s="116">
        <v>2135.8000000000002</v>
      </c>
      <c r="C1209" s="116">
        <v>2108</v>
      </c>
      <c r="D1209" s="116">
        <v>2095.1</v>
      </c>
      <c r="E1209" s="116">
        <v>2116.1</v>
      </c>
      <c r="F1209" s="116">
        <v>2108</v>
      </c>
      <c r="G1209">
        <v>76522</v>
      </c>
      <c r="H1209" s="116"/>
      <c r="I1209" s="116"/>
      <c r="L1209" s="170">
        <v>43789</v>
      </c>
      <c r="M1209" s="116">
        <v>2108.5500000000002</v>
      </c>
      <c r="N1209" s="116">
        <v>2135</v>
      </c>
      <c r="O1209" s="116">
        <v>2094.5</v>
      </c>
      <c r="P1209" s="116">
        <v>2121.9499999999998</v>
      </c>
      <c r="Q1209" s="116">
        <v>2108.5500000000002</v>
      </c>
      <c r="R1209">
        <v>2894129</v>
      </c>
    </row>
    <row r="1210" spans="1:18" x14ac:dyDescent="0.25">
      <c r="A1210" s="170">
        <v>43790</v>
      </c>
      <c r="B1210" s="116">
        <v>2126.75</v>
      </c>
      <c r="C1210" s="116">
        <v>2117.0500000000002</v>
      </c>
      <c r="D1210" s="116">
        <v>2108.15</v>
      </c>
      <c r="E1210" s="116">
        <v>2110</v>
      </c>
      <c r="F1210" s="116">
        <v>2117.0500000000002</v>
      </c>
      <c r="G1210">
        <v>74769</v>
      </c>
      <c r="H1210" s="116"/>
      <c r="I1210" s="116"/>
      <c r="L1210" s="170">
        <v>43790</v>
      </c>
      <c r="M1210" s="116">
        <v>2118.1</v>
      </c>
      <c r="N1210" s="116">
        <v>2126.6</v>
      </c>
      <c r="O1210" s="116">
        <v>2107.4</v>
      </c>
      <c r="P1210" s="116">
        <v>2112</v>
      </c>
      <c r="Q1210" s="116">
        <v>2118.1</v>
      </c>
      <c r="R1210">
        <v>2052574</v>
      </c>
    </row>
    <row r="1211" spans="1:18" x14ac:dyDescent="0.25">
      <c r="A1211" s="170">
        <v>43791</v>
      </c>
      <c r="B1211" s="116">
        <v>2110</v>
      </c>
      <c r="C1211" s="116">
        <v>2070.5500000000002</v>
      </c>
      <c r="D1211" s="116">
        <v>2061</v>
      </c>
      <c r="E1211" s="116">
        <v>2110</v>
      </c>
      <c r="F1211" s="116">
        <v>2070.5500000000002</v>
      </c>
      <c r="G1211">
        <v>146157</v>
      </c>
      <c r="H1211" s="116"/>
      <c r="I1211" s="116"/>
      <c r="L1211" s="170">
        <v>43791</v>
      </c>
      <c r="M1211" s="116">
        <v>2071.6999999999998</v>
      </c>
      <c r="N1211" s="116">
        <v>2107</v>
      </c>
      <c r="O1211" s="116">
        <v>2060.5</v>
      </c>
      <c r="P1211" s="116">
        <v>2097</v>
      </c>
      <c r="Q1211" s="116">
        <v>2071.6999999999998</v>
      </c>
      <c r="R1211">
        <v>3742049</v>
      </c>
    </row>
    <row r="1212" spans="1:18" x14ac:dyDescent="0.25">
      <c r="A1212" s="170">
        <v>43794</v>
      </c>
      <c r="B1212" s="116">
        <v>2085.6999999999998</v>
      </c>
      <c r="C1212" s="116">
        <v>2080.1999999999998</v>
      </c>
      <c r="D1212" s="116">
        <v>2053.1999999999998</v>
      </c>
      <c r="E1212" s="116">
        <v>2082</v>
      </c>
      <c r="F1212" s="116">
        <v>2080.1999999999998</v>
      </c>
      <c r="G1212">
        <v>126304</v>
      </c>
      <c r="H1212" s="116"/>
      <c r="I1212" s="116"/>
      <c r="L1212" s="170">
        <v>43794</v>
      </c>
      <c r="M1212" s="116">
        <v>2081.5</v>
      </c>
      <c r="N1212" s="116">
        <v>2084.9499999999998</v>
      </c>
      <c r="O1212" s="116">
        <v>2052.1999999999998</v>
      </c>
      <c r="P1212" s="116">
        <v>2074.5500000000002</v>
      </c>
      <c r="Q1212" s="116">
        <v>2081.5</v>
      </c>
      <c r="R1212">
        <v>2737010</v>
      </c>
    </row>
    <row r="1213" spans="1:18" x14ac:dyDescent="0.25">
      <c r="A1213" s="170">
        <v>43795</v>
      </c>
      <c r="B1213" s="116">
        <v>2097.9</v>
      </c>
      <c r="C1213" s="116">
        <v>2046.9</v>
      </c>
      <c r="D1213" s="116">
        <v>2036</v>
      </c>
      <c r="E1213" s="116">
        <v>2090</v>
      </c>
      <c r="F1213" s="116">
        <v>2046.9</v>
      </c>
      <c r="G1213">
        <v>142885</v>
      </c>
      <c r="H1213" s="116"/>
      <c r="I1213" s="116"/>
      <c r="L1213" s="170">
        <v>43795</v>
      </c>
      <c r="M1213" s="116">
        <v>2046.65</v>
      </c>
      <c r="N1213" s="116">
        <v>2097.9</v>
      </c>
      <c r="O1213" s="116">
        <v>2035.05</v>
      </c>
      <c r="P1213" s="116">
        <v>2089.85</v>
      </c>
      <c r="Q1213" s="116">
        <v>2046.65</v>
      </c>
      <c r="R1213">
        <v>6561580</v>
      </c>
    </row>
    <row r="1214" spans="1:18" x14ac:dyDescent="0.25">
      <c r="A1214" s="170">
        <v>43796</v>
      </c>
      <c r="B1214" s="116">
        <v>2071</v>
      </c>
      <c r="C1214" s="116">
        <v>2053.4499999999998</v>
      </c>
      <c r="D1214" s="116">
        <v>2047.55</v>
      </c>
      <c r="E1214" s="116">
        <v>2048.15</v>
      </c>
      <c r="F1214" s="116">
        <v>2053.4499999999998</v>
      </c>
      <c r="G1214">
        <v>97304</v>
      </c>
      <c r="H1214" s="116"/>
      <c r="I1214" s="116"/>
      <c r="L1214" s="170">
        <v>43796</v>
      </c>
      <c r="M1214" s="116">
        <v>2054.3000000000002</v>
      </c>
      <c r="N1214" s="116">
        <v>2071.6999999999998</v>
      </c>
      <c r="O1214" s="116">
        <v>2046.55</v>
      </c>
      <c r="P1214" s="116">
        <v>2052</v>
      </c>
      <c r="Q1214" s="116">
        <v>2054.3000000000002</v>
      </c>
      <c r="R1214">
        <v>2907521</v>
      </c>
    </row>
    <row r="1215" spans="1:18" x14ac:dyDescent="0.25">
      <c r="A1215" s="170">
        <v>43797</v>
      </c>
      <c r="B1215" s="116">
        <v>2093.9499999999998</v>
      </c>
      <c r="C1215" s="116">
        <v>2077.35</v>
      </c>
      <c r="D1215" s="116">
        <v>2061.3000000000002</v>
      </c>
      <c r="E1215" s="116">
        <v>2069.8000000000002</v>
      </c>
      <c r="F1215" s="116">
        <v>2077.35</v>
      </c>
      <c r="G1215">
        <v>93915</v>
      </c>
      <c r="H1215" s="116"/>
      <c r="I1215" s="116"/>
      <c r="L1215" s="170">
        <v>43797</v>
      </c>
      <c r="M1215" s="116">
        <v>2077.35</v>
      </c>
      <c r="N1215" s="116">
        <v>2094.4</v>
      </c>
      <c r="O1215" s="116">
        <v>2060</v>
      </c>
      <c r="P1215" s="116">
        <v>2067.0500000000002</v>
      </c>
      <c r="Q1215" s="116">
        <v>2077.35</v>
      </c>
      <c r="R1215">
        <v>2924429</v>
      </c>
    </row>
    <row r="1216" spans="1:18" x14ac:dyDescent="0.25">
      <c r="A1216" s="170">
        <v>43798</v>
      </c>
      <c r="B1216" s="116">
        <v>2085</v>
      </c>
      <c r="C1216" s="116">
        <v>2052.6999999999998</v>
      </c>
      <c r="D1216" s="116">
        <v>2046</v>
      </c>
      <c r="E1216" s="116">
        <v>2085</v>
      </c>
      <c r="F1216" s="116">
        <v>2052.6999999999998</v>
      </c>
      <c r="G1216">
        <v>104712</v>
      </c>
      <c r="H1216" s="116"/>
      <c r="I1216" s="116"/>
      <c r="L1216" s="170">
        <v>43798</v>
      </c>
      <c r="M1216" s="116">
        <v>2053.25</v>
      </c>
      <c r="N1216" s="116">
        <v>2085</v>
      </c>
      <c r="O1216" s="116">
        <v>2045.8</v>
      </c>
      <c r="P1216" s="116">
        <v>2085</v>
      </c>
      <c r="Q1216" s="116">
        <v>2053.25</v>
      </c>
      <c r="R1216">
        <v>2064271</v>
      </c>
    </row>
    <row r="1217" spans="1:18" x14ac:dyDescent="0.25">
      <c r="A1217" s="170">
        <v>43801</v>
      </c>
      <c r="B1217" s="116">
        <v>2079</v>
      </c>
      <c r="C1217" s="116">
        <v>2020.95</v>
      </c>
      <c r="D1217" s="116">
        <v>2017</v>
      </c>
      <c r="E1217" s="116">
        <v>2060</v>
      </c>
      <c r="F1217" s="116">
        <v>2020.95</v>
      </c>
      <c r="G1217">
        <v>191856</v>
      </c>
      <c r="H1217" s="116"/>
      <c r="I1217" s="116"/>
      <c r="L1217" s="170">
        <v>43801</v>
      </c>
      <c r="M1217" s="116">
        <v>2021.05</v>
      </c>
      <c r="N1217" s="116">
        <v>2067.6999999999998</v>
      </c>
      <c r="O1217" s="116">
        <v>2016</v>
      </c>
      <c r="P1217" s="116">
        <v>2060</v>
      </c>
      <c r="Q1217" s="116">
        <v>2021.05</v>
      </c>
      <c r="R1217">
        <v>3809860</v>
      </c>
    </row>
    <row r="1218" spans="1:18" x14ac:dyDescent="0.25">
      <c r="A1218" s="170">
        <v>43802</v>
      </c>
      <c r="B1218" s="116">
        <v>2061.8000000000002</v>
      </c>
      <c r="C1218" s="116">
        <v>2050.4</v>
      </c>
      <c r="D1218" s="116">
        <v>2011</v>
      </c>
      <c r="E1218" s="116">
        <v>2025.1</v>
      </c>
      <c r="F1218" s="116">
        <v>2050.4</v>
      </c>
      <c r="G1218">
        <v>792810</v>
      </c>
      <c r="H1218" s="116"/>
      <c r="I1218" s="116"/>
      <c r="L1218" s="170">
        <v>43802</v>
      </c>
      <c r="M1218" s="116">
        <v>2051</v>
      </c>
      <c r="N1218" s="116">
        <v>2062</v>
      </c>
      <c r="O1218" s="116">
        <v>2010</v>
      </c>
      <c r="P1218" s="116">
        <v>2027.7</v>
      </c>
      <c r="Q1218" s="116">
        <v>2051</v>
      </c>
      <c r="R1218">
        <v>4664774</v>
      </c>
    </row>
    <row r="1219" spans="1:18" x14ac:dyDescent="0.25">
      <c r="A1219" s="170">
        <v>43803</v>
      </c>
      <c r="B1219" s="116">
        <v>2081.85</v>
      </c>
      <c r="C1219" s="116">
        <v>2079</v>
      </c>
      <c r="D1219" s="116">
        <v>2045</v>
      </c>
      <c r="E1219" s="116">
        <v>2045</v>
      </c>
      <c r="F1219" s="116">
        <v>2079</v>
      </c>
      <c r="G1219">
        <v>269706</v>
      </c>
      <c r="H1219" s="116"/>
      <c r="I1219" s="116"/>
      <c r="L1219" s="170">
        <v>43803</v>
      </c>
      <c r="M1219" s="116">
        <v>2078.5</v>
      </c>
      <c r="N1219" s="116">
        <v>2082</v>
      </c>
      <c r="O1219" s="116">
        <v>2045.5</v>
      </c>
      <c r="P1219" s="116">
        <v>2053</v>
      </c>
      <c r="Q1219" s="116">
        <v>2078.5</v>
      </c>
      <c r="R1219">
        <v>3334301</v>
      </c>
    </row>
    <row r="1220" spans="1:18" x14ac:dyDescent="0.25">
      <c r="A1220" s="170">
        <v>43804</v>
      </c>
      <c r="B1220" s="116">
        <v>2126</v>
      </c>
      <c r="C1220" s="116">
        <v>2121.5</v>
      </c>
      <c r="D1220" s="116">
        <v>2065</v>
      </c>
      <c r="E1220" s="116">
        <v>2065</v>
      </c>
      <c r="F1220" s="116">
        <v>2121.5</v>
      </c>
      <c r="G1220">
        <v>251530</v>
      </c>
      <c r="H1220" s="116"/>
      <c r="I1220" s="116"/>
      <c r="L1220" s="170">
        <v>43804</v>
      </c>
      <c r="M1220" s="116">
        <v>2121.3000000000002</v>
      </c>
      <c r="N1220" s="116">
        <v>2126.8000000000002</v>
      </c>
      <c r="O1220" s="116">
        <v>2068.35</v>
      </c>
      <c r="P1220" s="116">
        <v>2083</v>
      </c>
      <c r="Q1220" s="116">
        <v>2121.3000000000002</v>
      </c>
      <c r="R1220">
        <v>3902721</v>
      </c>
    </row>
    <row r="1221" spans="1:18" x14ac:dyDescent="0.25">
      <c r="A1221" s="170">
        <v>43805</v>
      </c>
      <c r="B1221" s="116">
        <v>2130</v>
      </c>
      <c r="C1221" s="116">
        <v>2122.9499999999998</v>
      </c>
      <c r="D1221" s="116">
        <v>2101</v>
      </c>
      <c r="E1221" s="116">
        <v>2130</v>
      </c>
      <c r="F1221" s="116">
        <v>2122.9499999999998</v>
      </c>
      <c r="G1221">
        <v>184863</v>
      </c>
      <c r="H1221" s="116"/>
      <c r="I1221" s="116"/>
      <c r="L1221" s="170">
        <v>43805</v>
      </c>
      <c r="M1221" s="116">
        <v>2123.6</v>
      </c>
      <c r="N1221" s="116">
        <v>2128</v>
      </c>
      <c r="O1221" s="116">
        <v>2101</v>
      </c>
      <c r="P1221" s="116">
        <v>2124</v>
      </c>
      <c r="Q1221" s="116">
        <v>2123.6</v>
      </c>
      <c r="R1221">
        <v>1829461</v>
      </c>
    </row>
    <row r="1222" spans="1:18" x14ac:dyDescent="0.25">
      <c r="A1222" s="170">
        <v>43808</v>
      </c>
      <c r="B1222" s="116">
        <v>2128.15</v>
      </c>
      <c r="C1222" s="116">
        <v>2060.6999999999998</v>
      </c>
      <c r="D1222" s="116">
        <v>2054.0500000000002</v>
      </c>
      <c r="E1222" s="116">
        <v>2110</v>
      </c>
      <c r="F1222" s="116">
        <v>2060.6999999999998</v>
      </c>
      <c r="G1222">
        <v>89534</v>
      </c>
      <c r="H1222" s="116"/>
      <c r="I1222" s="116"/>
      <c r="L1222" s="170">
        <v>43808</v>
      </c>
      <c r="M1222" s="116">
        <v>2060.4499999999998</v>
      </c>
      <c r="N1222" s="116">
        <v>2127.9499999999998</v>
      </c>
      <c r="O1222" s="116">
        <v>2053.5</v>
      </c>
      <c r="P1222" s="116">
        <v>2127.9499999999998</v>
      </c>
      <c r="Q1222" s="116">
        <v>2060.4499999999998</v>
      </c>
      <c r="R1222">
        <v>2244747</v>
      </c>
    </row>
    <row r="1223" spans="1:18" x14ac:dyDescent="0.25">
      <c r="A1223" s="170">
        <v>43809</v>
      </c>
      <c r="B1223" s="116">
        <v>2063.5500000000002</v>
      </c>
      <c r="C1223" s="116">
        <v>2012.5</v>
      </c>
      <c r="D1223" s="116">
        <v>2005</v>
      </c>
      <c r="E1223" s="116">
        <v>2063.4</v>
      </c>
      <c r="F1223" s="116">
        <v>2012.5</v>
      </c>
      <c r="G1223">
        <v>148258</v>
      </c>
      <c r="H1223" s="116"/>
      <c r="I1223" s="116"/>
      <c r="L1223" s="170">
        <v>43809</v>
      </c>
      <c r="M1223" s="116">
        <v>2012.85</v>
      </c>
      <c r="N1223" s="116">
        <v>2060.85</v>
      </c>
      <c r="O1223" s="116">
        <v>2003.25</v>
      </c>
      <c r="P1223" s="116">
        <v>2060</v>
      </c>
      <c r="Q1223" s="116">
        <v>2012.85</v>
      </c>
      <c r="R1223">
        <v>4520045</v>
      </c>
    </row>
    <row r="1224" spans="1:18" x14ac:dyDescent="0.25">
      <c r="A1224" s="170">
        <v>43810</v>
      </c>
      <c r="B1224" s="116">
        <v>2047</v>
      </c>
      <c r="C1224" s="116">
        <v>2041.2</v>
      </c>
      <c r="D1224" s="116">
        <v>2007.95</v>
      </c>
      <c r="E1224" s="116">
        <v>2021.05</v>
      </c>
      <c r="F1224" s="116">
        <v>2041.2</v>
      </c>
      <c r="G1224">
        <v>239416</v>
      </c>
      <c r="H1224" s="116"/>
      <c r="I1224" s="116"/>
      <c r="L1224" s="170">
        <v>43810</v>
      </c>
      <c r="M1224" s="116">
        <v>2041.9</v>
      </c>
      <c r="N1224" s="116">
        <v>2048</v>
      </c>
      <c r="O1224" s="116">
        <v>2006.75</v>
      </c>
      <c r="P1224" s="116">
        <v>2025.4</v>
      </c>
      <c r="Q1224" s="116">
        <v>2041.9</v>
      </c>
      <c r="R1224">
        <v>4943024</v>
      </c>
    </row>
    <row r="1225" spans="1:18" x14ac:dyDescent="0.25">
      <c r="A1225" s="170">
        <v>43811</v>
      </c>
      <c r="B1225" s="116">
        <v>2083.35</v>
      </c>
      <c r="C1225" s="116">
        <v>2016.75</v>
      </c>
      <c r="D1225" s="116">
        <v>1983.85</v>
      </c>
      <c r="E1225" s="116">
        <v>2047</v>
      </c>
      <c r="F1225" s="116">
        <v>2016.75</v>
      </c>
      <c r="G1225">
        <v>192895</v>
      </c>
      <c r="H1225" s="116"/>
      <c r="I1225" s="116"/>
      <c r="L1225" s="170">
        <v>43811</v>
      </c>
      <c r="M1225" s="116">
        <v>2020.9</v>
      </c>
      <c r="N1225" s="116">
        <v>2083.65</v>
      </c>
      <c r="O1225" s="116">
        <v>1984</v>
      </c>
      <c r="P1225" s="116">
        <v>2051.1</v>
      </c>
      <c r="Q1225" s="116">
        <v>2020.9</v>
      </c>
      <c r="R1225">
        <v>7137306</v>
      </c>
    </row>
    <row r="1226" spans="1:18" x14ac:dyDescent="0.25">
      <c r="A1226" s="170">
        <v>43812</v>
      </c>
      <c r="B1226" s="116">
        <v>2076.4499999999998</v>
      </c>
      <c r="C1226" s="116">
        <v>2071.6999999999998</v>
      </c>
      <c r="D1226" s="116">
        <v>2007.4</v>
      </c>
      <c r="E1226" s="116">
        <v>2023</v>
      </c>
      <c r="F1226" s="116">
        <v>2071.6999999999998</v>
      </c>
      <c r="G1226">
        <v>197206</v>
      </c>
      <c r="H1226" s="116"/>
      <c r="I1226" s="116"/>
      <c r="L1226" s="170">
        <v>43812</v>
      </c>
      <c r="M1226" s="116">
        <v>2071.25</v>
      </c>
      <c r="N1226" s="116">
        <v>2077.4</v>
      </c>
      <c r="O1226" s="116">
        <v>2007</v>
      </c>
      <c r="P1226" s="116">
        <v>2023</v>
      </c>
      <c r="Q1226" s="116">
        <v>2071.25</v>
      </c>
      <c r="R1226">
        <v>5711133</v>
      </c>
    </row>
    <row r="1227" spans="1:18" x14ac:dyDescent="0.25">
      <c r="A1227" s="170">
        <v>43815</v>
      </c>
      <c r="B1227" s="116">
        <v>2135.6999999999998</v>
      </c>
      <c r="C1227" s="116">
        <v>2127.5500000000002</v>
      </c>
      <c r="D1227" s="116">
        <v>2080.9499999999998</v>
      </c>
      <c r="E1227" s="116">
        <v>2095</v>
      </c>
      <c r="F1227" s="116">
        <v>2127.5500000000002</v>
      </c>
      <c r="G1227">
        <v>184800</v>
      </c>
      <c r="H1227" s="116"/>
      <c r="I1227" s="116"/>
      <c r="L1227" s="170">
        <v>43815</v>
      </c>
      <c r="M1227" s="116">
        <v>2126.75</v>
      </c>
      <c r="N1227" s="116">
        <v>2136</v>
      </c>
      <c r="O1227" s="116">
        <v>2080.3000000000002</v>
      </c>
      <c r="P1227" s="116">
        <v>2096</v>
      </c>
      <c r="Q1227" s="116">
        <v>2126.75</v>
      </c>
      <c r="R1227">
        <v>5574177</v>
      </c>
    </row>
    <row r="1228" spans="1:18" x14ac:dyDescent="0.25">
      <c r="A1228" s="170">
        <v>43816</v>
      </c>
      <c r="B1228" s="116">
        <v>2169</v>
      </c>
      <c r="C1228" s="116">
        <v>2165.65</v>
      </c>
      <c r="D1228" s="116">
        <v>2119.25</v>
      </c>
      <c r="E1228" s="116">
        <v>2130</v>
      </c>
      <c r="F1228" s="116">
        <v>2165.65</v>
      </c>
      <c r="G1228">
        <v>194169</v>
      </c>
      <c r="H1228" s="116"/>
      <c r="I1228" s="116"/>
      <c r="L1228" s="170">
        <v>43816</v>
      </c>
      <c r="M1228" s="116">
        <v>2164.9499999999998</v>
      </c>
      <c r="N1228" s="116">
        <v>2169</v>
      </c>
      <c r="O1228" s="116">
        <v>2119</v>
      </c>
      <c r="P1228" s="116">
        <v>2126.5</v>
      </c>
      <c r="Q1228" s="116">
        <v>2164.9499999999998</v>
      </c>
      <c r="R1228">
        <v>6059673</v>
      </c>
    </row>
    <row r="1229" spans="1:18" x14ac:dyDescent="0.25">
      <c r="A1229" s="170">
        <v>43817</v>
      </c>
      <c r="B1229" s="116">
        <v>2203.6</v>
      </c>
      <c r="C1229" s="116">
        <v>2167.25</v>
      </c>
      <c r="D1229" s="116">
        <v>2152.35</v>
      </c>
      <c r="E1229" s="116">
        <v>2172</v>
      </c>
      <c r="F1229" s="116">
        <v>2167.25</v>
      </c>
      <c r="G1229">
        <v>189902</v>
      </c>
      <c r="H1229" s="116"/>
      <c r="I1229" s="116"/>
      <c r="L1229" s="170">
        <v>43817</v>
      </c>
      <c r="M1229" s="116">
        <v>2167.75</v>
      </c>
      <c r="N1229" s="116">
        <v>2203.4499999999998</v>
      </c>
      <c r="O1229" s="116">
        <v>2153</v>
      </c>
      <c r="P1229" s="116">
        <v>2174</v>
      </c>
      <c r="Q1229" s="116">
        <v>2167.75</v>
      </c>
      <c r="R1229">
        <v>8251081</v>
      </c>
    </row>
    <row r="1230" spans="1:18" x14ac:dyDescent="0.25">
      <c r="A1230" s="170">
        <v>43818</v>
      </c>
      <c r="B1230" s="116">
        <v>2235.85</v>
      </c>
      <c r="C1230" s="116">
        <v>2228.65</v>
      </c>
      <c r="D1230" s="116">
        <v>2165</v>
      </c>
      <c r="E1230" s="116">
        <v>2165.15</v>
      </c>
      <c r="F1230" s="116">
        <v>2228.65</v>
      </c>
      <c r="G1230">
        <v>170417</v>
      </c>
      <c r="H1230" s="116"/>
      <c r="I1230" s="116"/>
      <c r="L1230" s="170">
        <v>43818</v>
      </c>
      <c r="M1230" s="116">
        <v>2229.0500000000002</v>
      </c>
      <c r="N1230" s="116">
        <v>2236.5</v>
      </c>
      <c r="O1230" s="116">
        <v>2167.5500000000002</v>
      </c>
      <c r="P1230" s="116">
        <v>2179.8000000000002</v>
      </c>
      <c r="Q1230" s="116">
        <v>2229.0500000000002</v>
      </c>
      <c r="R1230">
        <v>6251505</v>
      </c>
    </row>
    <row r="1231" spans="1:18" x14ac:dyDescent="0.25">
      <c r="A1231" s="170">
        <v>43819</v>
      </c>
      <c r="B1231" s="116">
        <v>2246.15</v>
      </c>
      <c r="C1231" s="116">
        <v>2222.5500000000002</v>
      </c>
      <c r="D1231" s="116">
        <v>2209.4</v>
      </c>
      <c r="E1231" s="116">
        <v>2225</v>
      </c>
      <c r="F1231" s="116">
        <v>2222.5500000000002</v>
      </c>
      <c r="G1231">
        <v>139678</v>
      </c>
      <c r="H1231" s="116"/>
      <c r="I1231" s="116"/>
      <c r="L1231" s="170">
        <v>43819</v>
      </c>
      <c r="M1231" s="116">
        <v>2222.9</v>
      </c>
      <c r="N1231" s="116">
        <v>2246.6999999999998</v>
      </c>
      <c r="O1231" s="116">
        <v>2208.25</v>
      </c>
      <c r="P1231" s="116">
        <v>2220</v>
      </c>
      <c r="Q1231" s="116">
        <v>2222.9</v>
      </c>
      <c r="R1231">
        <v>5548338</v>
      </c>
    </row>
    <row r="1232" spans="1:18" x14ac:dyDescent="0.25">
      <c r="A1232" s="170">
        <v>43822</v>
      </c>
      <c r="B1232" s="116">
        <v>2241.4</v>
      </c>
      <c r="C1232" s="116">
        <v>2232.4499999999998</v>
      </c>
      <c r="D1232" s="116">
        <v>2211.6</v>
      </c>
      <c r="E1232" s="116">
        <v>2217</v>
      </c>
      <c r="F1232" s="116">
        <v>2232.4499999999998</v>
      </c>
      <c r="G1232">
        <v>53150</v>
      </c>
      <c r="H1232" s="116"/>
      <c r="I1232" s="116"/>
      <c r="L1232" s="170">
        <v>43822</v>
      </c>
      <c r="M1232" s="116">
        <v>2231.6999999999998</v>
      </c>
      <c r="N1232" s="116">
        <v>2241.9499999999998</v>
      </c>
      <c r="O1232" s="116">
        <v>2210</v>
      </c>
      <c r="P1232" s="116">
        <v>2210</v>
      </c>
      <c r="Q1232" s="116">
        <v>2231.6999999999998</v>
      </c>
      <c r="R1232">
        <v>2247329</v>
      </c>
    </row>
    <row r="1233" spans="1:18" x14ac:dyDescent="0.25">
      <c r="A1233" s="170">
        <v>43823</v>
      </c>
      <c r="B1233" s="116">
        <v>2244.9499999999998</v>
      </c>
      <c r="C1233" s="116">
        <v>2215.0500000000002</v>
      </c>
      <c r="D1233" s="116">
        <v>2210.9</v>
      </c>
      <c r="E1233" s="116">
        <v>2244.9499999999998</v>
      </c>
      <c r="F1233" s="116">
        <v>2215.0500000000002</v>
      </c>
      <c r="G1233">
        <v>39616</v>
      </c>
      <c r="H1233" s="116"/>
      <c r="I1233" s="116"/>
      <c r="L1233" s="170">
        <v>43823</v>
      </c>
      <c r="M1233" s="116">
        <v>2215.6</v>
      </c>
      <c r="N1233" s="116">
        <v>2243.5500000000002</v>
      </c>
      <c r="O1233" s="116">
        <v>2211.15</v>
      </c>
      <c r="P1233" s="116">
        <v>2239</v>
      </c>
      <c r="Q1233" s="116">
        <v>2215.6</v>
      </c>
      <c r="R1233">
        <v>1805896</v>
      </c>
    </row>
    <row r="1234" spans="1:18" x14ac:dyDescent="0.25">
      <c r="A1234" s="170">
        <v>43825</v>
      </c>
      <c r="B1234" s="116">
        <v>2227.9</v>
      </c>
      <c r="C1234" s="116">
        <v>2201.0500000000002</v>
      </c>
      <c r="D1234" s="116">
        <v>2197.1</v>
      </c>
      <c r="E1234" s="116">
        <v>2219</v>
      </c>
      <c r="F1234" s="116">
        <v>2201.0500000000002</v>
      </c>
      <c r="G1234">
        <v>49606</v>
      </c>
      <c r="H1234" s="116"/>
      <c r="I1234" s="116"/>
      <c r="L1234" s="170">
        <v>43825</v>
      </c>
      <c r="M1234" s="116">
        <v>2201.9499999999998</v>
      </c>
      <c r="N1234" s="116">
        <v>2229</v>
      </c>
      <c r="O1234" s="116">
        <v>2195.1999999999998</v>
      </c>
      <c r="P1234" s="116">
        <v>2216.4</v>
      </c>
      <c r="Q1234" s="116">
        <v>2201.9499999999998</v>
      </c>
      <c r="R1234">
        <v>1880367</v>
      </c>
    </row>
    <row r="1235" spans="1:18" x14ac:dyDescent="0.25">
      <c r="A1235" s="170">
        <v>43826</v>
      </c>
      <c r="B1235" s="116">
        <v>2214.6</v>
      </c>
      <c r="C1235" s="116">
        <v>2198.15</v>
      </c>
      <c r="D1235" s="116">
        <v>2178.35</v>
      </c>
      <c r="E1235" s="116">
        <v>2210</v>
      </c>
      <c r="F1235" s="116">
        <v>2198.15</v>
      </c>
      <c r="G1235">
        <v>60961</v>
      </c>
      <c r="H1235" s="116"/>
      <c r="I1235" s="116"/>
      <c r="L1235" s="170">
        <v>43826</v>
      </c>
      <c r="M1235" s="116">
        <v>2198.5</v>
      </c>
      <c r="N1235" s="116">
        <v>2226.4</v>
      </c>
      <c r="O1235" s="116">
        <v>2176</v>
      </c>
      <c r="P1235" s="116">
        <v>2208</v>
      </c>
      <c r="Q1235" s="116">
        <v>2198.5</v>
      </c>
      <c r="R1235">
        <v>2720261</v>
      </c>
    </row>
    <row r="1236" spans="1:18" x14ac:dyDescent="0.25">
      <c r="A1236" s="170">
        <v>43829</v>
      </c>
      <c r="B1236" s="116">
        <v>2224.5500000000002</v>
      </c>
      <c r="C1236" s="116">
        <v>2182.9</v>
      </c>
      <c r="D1236" s="116">
        <v>2176.5</v>
      </c>
      <c r="E1236" s="116">
        <v>2202</v>
      </c>
      <c r="F1236" s="116">
        <v>2182.9</v>
      </c>
      <c r="G1236">
        <v>49371</v>
      </c>
      <c r="H1236" s="116"/>
      <c r="I1236" s="116"/>
      <c r="L1236" s="170">
        <v>43829</v>
      </c>
      <c r="M1236" s="116">
        <v>2183.1999999999998</v>
      </c>
      <c r="N1236" s="116">
        <v>2225</v>
      </c>
      <c r="O1236" s="116">
        <v>2177.1</v>
      </c>
      <c r="P1236" s="116">
        <v>2207</v>
      </c>
      <c r="Q1236" s="116">
        <v>2183.1999999999998</v>
      </c>
      <c r="R1236">
        <v>2288830</v>
      </c>
    </row>
    <row r="1237" spans="1:18" x14ac:dyDescent="0.25">
      <c r="A1237" s="170">
        <v>43830</v>
      </c>
      <c r="B1237" s="116">
        <v>2196.8000000000002</v>
      </c>
      <c r="C1237" s="116">
        <v>2161.3000000000002</v>
      </c>
      <c r="D1237" s="116">
        <v>2158.3000000000002</v>
      </c>
      <c r="E1237" s="116">
        <v>2185.25</v>
      </c>
      <c r="F1237" s="116">
        <v>2161.3000000000002</v>
      </c>
      <c r="G1237">
        <v>39005</v>
      </c>
      <c r="H1237" s="116"/>
      <c r="I1237" s="116"/>
      <c r="L1237" s="170">
        <v>43830</v>
      </c>
      <c r="M1237" s="116">
        <v>2161.6999999999998</v>
      </c>
      <c r="N1237" s="116">
        <v>2197</v>
      </c>
      <c r="O1237" s="116">
        <v>2157.4499999999998</v>
      </c>
      <c r="P1237" s="116">
        <v>2189</v>
      </c>
      <c r="Q1237" s="116">
        <v>2161.6999999999998</v>
      </c>
      <c r="R1237">
        <v>1909289</v>
      </c>
    </row>
    <row r="1238" spans="1:18" x14ac:dyDescent="0.25">
      <c r="A1238" s="170">
        <v>43831</v>
      </c>
      <c r="B1238" s="116">
        <v>2183.35</v>
      </c>
      <c r="C1238" s="116">
        <v>2169.8000000000002</v>
      </c>
      <c r="D1238" s="116">
        <v>2154.25</v>
      </c>
      <c r="E1238" s="116">
        <v>2170</v>
      </c>
      <c r="F1238" s="116">
        <v>2169.8000000000002</v>
      </c>
      <c r="G1238">
        <v>36398</v>
      </c>
      <c r="H1238" s="116"/>
      <c r="I1238" s="116"/>
      <c r="L1238" s="170">
        <v>43831</v>
      </c>
      <c r="M1238" s="116">
        <v>2167.6</v>
      </c>
      <c r="N1238" s="116">
        <v>2183.9</v>
      </c>
      <c r="O1238" s="116">
        <v>2154</v>
      </c>
      <c r="P1238" s="116">
        <v>2168</v>
      </c>
      <c r="Q1238" s="116">
        <v>2167.6</v>
      </c>
      <c r="R1238">
        <v>1354908</v>
      </c>
    </row>
    <row r="1239" spans="1:18" x14ac:dyDescent="0.25">
      <c r="A1239" s="170">
        <v>43832</v>
      </c>
      <c r="B1239" s="116">
        <v>2177.9</v>
      </c>
      <c r="C1239" s="116">
        <v>2157.4499999999998</v>
      </c>
      <c r="D1239" s="116">
        <v>2150</v>
      </c>
      <c r="E1239" s="116">
        <v>2173.1</v>
      </c>
      <c r="F1239" s="116">
        <v>2157.4499999999998</v>
      </c>
      <c r="G1239">
        <v>56619</v>
      </c>
      <c r="H1239" s="116"/>
      <c r="I1239" s="116"/>
      <c r="L1239" s="170">
        <v>43832</v>
      </c>
      <c r="M1239" s="116">
        <v>2157.65</v>
      </c>
      <c r="N1239" s="116">
        <v>2179.9499999999998</v>
      </c>
      <c r="O1239" s="116">
        <v>2149.1999999999998</v>
      </c>
      <c r="P1239" s="116">
        <v>2179.9499999999998</v>
      </c>
      <c r="Q1239" s="116">
        <v>2157.65</v>
      </c>
      <c r="R1239">
        <v>2380752</v>
      </c>
    </row>
    <row r="1240" spans="1:18" x14ac:dyDescent="0.25">
      <c r="A1240" s="170">
        <v>43833</v>
      </c>
      <c r="B1240" s="116">
        <v>2223</v>
      </c>
      <c r="C1240" s="116">
        <v>2200.4</v>
      </c>
      <c r="D1240" s="116">
        <v>2162.5500000000002</v>
      </c>
      <c r="E1240" s="116">
        <v>2169</v>
      </c>
      <c r="F1240" s="116">
        <v>2200.4</v>
      </c>
      <c r="G1240">
        <v>330173</v>
      </c>
      <c r="H1240" s="116"/>
      <c r="I1240" s="116"/>
      <c r="L1240" s="170">
        <v>43833</v>
      </c>
      <c r="M1240" s="116">
        <v>2200.65</v>
      </c>
      <c r="N1240" s="116">
        <v>2223</v>
      </c>
      <c r="O1240" s="116">
        <v>2164</v>
      </c>
      <c r="P1240" s="116">
        <v>2164</v>
      </c>
      <c r="Q1240" s="116">
        <v>2200.65</v>
      </c>
      <c r="R1240">
        <v>4655761</v>
      </c>
    </row>
    <row r="1241" spans="1:18" x14ac:dyDescent="0.25">
      <c r="A1241" s="170">
        <v>43836</v>
      </c>
      <c r="B1241" s="116">
        <v>2226.4</v>
      </c>
      <c r="C1241" s="116">
        <v>2200.15</v>
      </c>
      <c r="D1241" s="116">
        <v>2188.3000000000002</v>
      </c>
      <c r="E1241" s="116">
        <v>2201</v>
      </c>
      <c r="F1241" s="116">
        <v>2200.15</v>
      </c>
      <c r="G1241">
        <v>84845</v>
      </c>
      <c r="H1241" s="116"/>
      <c r="I1241" s="116"/>
      <c r="L1241" s="170">
        <v>43836</v>
      </c>
      <c r="M1241" s="116">
        <v>2200.4499999999998</v>
      </c>
      <c r="N1241" s="116">
        <v>2225.9499999999998</v>
      </c>
      <c r="O1241" s="116">
        <v>2187.9</v>
      </c>
      <c r="P1241" s="116">
        <v>2205</v>
      </c>
      <c r="Q1241" s="116">
        <v>2200.4499999999998</v>
      </c>
      <c r="R1241">
        <v>3023209</v>
      </c>
    </row>
    <row r="1242" spans="1:18" x14ac:dyDescent="0.25">
      <c r="A1242" s="170">
        <v>43837</v>
      </c>
      <c r="B1242" s="116">
        <v>2214.8000000000002</v>
      </c>
      <c r="C1242" s="116">
        <v>2205.15</v>
      </c>
      <c r="D1242" s="116">
        <v>2184</v>
      </c>
      <c r="E1242" s="116">
        <v>2201</v>
      </c>
      <c r="F1242" s="116">
        <v>2205.15</v>
      </c>
      <c r="G1242">
        <v>44109</v>
      </c>
      <c r="H1242" s="116"/>
      <c r="I1242" s="116"/>
      <c r="L1242" s="170">
        <v>43837</v>
      </c>
      <c r="M1242" s="116">
        <v>2205.85</v>
      </c>
      <c r="N1242" s="116">
        <v>2214.65</v>
      </c>
      <c r="O1242" s="116">
        <v>2183.8000000000002</v>
      </c>
      <c r="P1242" s="116">
        <v>2200.5</v>
      </c>
      <c r="Q1242" s="116">
        <v>2205.85</v>
      </c>
      <c r="R1242">
        <v>2429317</v>
      </c>
    </row>
    <row r="1243" spans="1:18" x14ac:dyDescent="0.25">
      <c r="A1243" s="170">
        <v>43838</v>
      </c>
      <c r="B1243" s="116">
        <v>2259.9499999999998</v>
      </c>
      <c r="C1243" s="116">
        <v>2255.0500000000002</v>
      </c>
      <c r="D1243" s="116">
        <v>2200</v>
      </c>
      <c r="E1243" s="116">
        <v>2200</v>
      </c>
      <c r="F1243" s="116">
        <v>2255.0500000000002</v>
      </c>
      <c r="G1243">
        <v>109402</v>
      </c>
      <c r="H1243" s="116"/>
      <c r="I1243" s="116"/>
      <c r="L1243" s="170">
        <v>43838</v>
      </c>
      <c r="M1243" s="116">
        <v>2255.25</v>
      </c>
      <c r="N1243" s="116">
        <v>2260</v>
      </c>
      <c r="O1243" s="116">
        <v>2202.0500000000002</v>
      </c>
      <c r="P1243" s="116">
        <v>2205</v>
      </c>
      <c r="Q1243" s="116">
        <v>2255.25</v>
      </c>
      <c r="R1243">
        <v>5197454</v>
      </c>
    </row>
    <row r="1244" spans="1:18" x14ac:dyDescent="0.25">
      <c r="A1244" s="170">
        <v>43839</v>
      </c>
      <c r="B1244" s="116">
        <v>2251.0500000000002</v>
      </c>
      <c r="C1244" s="116">
        <v>2216</v>
      </c>
      <c r="D1244" s="116">
        <v>2210.4499999999998</v>
      </c>
      <c r="E1244" s="116">
        <v>2251.0500000000002</v>
      </c>
      <c r="F1244" s="116">
        <v>2216</v>
      </c>
      <c r="G1244">
        <v>102267</v>
      </c>
      <c r="H1244" s="116"/>
      <c r="I1244" s="116"/>
      <c r="L1244" s="170">
        <v>43839</v>
      </c>
      <c r="M1244" s="116">
        <v>2214.35</v>
      </c>
      <c r="N1244" s="116">
        <v>2251.9499999999998</v>
      </c>
      <c r="O1244" s="116">
        <v>2210</v>
      </c>
      <c r="P1244" s="116">
        <v>2248.75</v>
      </c>
      <c r="Q1244" s="116">
        <v>2214.35</v>
      </c>
      <c r="R1244">
        <v>3734173</v>
      </c>
    </row>
    <row r="1245" spans="1:18" x14ac:dyDescent="0.25">
      <c r="A1245" s="170">
        <v>43840</v>
      </c>
      <c r="B1245" s="116">
        <v>2233</v>
      </c>
      <c r="C1245" s="116">
        <v>2213.85</v>
      </c>
      <c r="D1245" s="116">
        <v>2208</v>
      </c>
      <c r="E1245" s="116">
        <v>2216</v>
      </c>
      <c r="F1245" s="116">
        <v>2213.85</v>
      </c>
      <c r="G1245">
        <v>118682</v>
      </c>
      <c r="H1245" s="116"/>
      <c r="I1245" s="116"/>
      <c r="L1245" s="170">
        <v>43840</v>
      </c>
      <c r="M1245" s="116">
        <v>2213.5500000000002</v>
      </c>
      <c r="N1245" s="116">
        <v>2234</v>
      </c>
      <c r="O1245" s="116">
        <v>2208</v>
      </c>
      <c r="P1245" s="116">
        <v>2228</v>
      </c>
      <c r="Q1245" s="116">
        <v>2213.5500000000002</v>
      </c>
      <c r="R1245">
        <v>1915807</v>
      </c>
    </row>
    <row r="1246" spans="1:18" x14ac:dyDescent="0.25">
      <c r="A1246" s="170">
        <v>43843</v>
      </c>
      <c r="B1246" s="116">
        <v>2221</v>
      </c>
      <c r="C1246" s="116">
        <v>2191</v>
      </c>
      <c r="D1246" s="116">
        <v>2185.1999999999998</v>
      </c>
      <c r="E1246" s="116">
        <v>2221</v>
      </c>
      <c r="F1246" s="116">
        <v>2191</v>
      </c>
      <c r="G1246">
        <v>109319</v>
      </c>
      <c r="H1246" s="116"/>
      <c r="I1246" s="116"/>
      <c r="L1246" s="170">
        <v>43843</v>
      </c>
      <c r="M1246" s="116">
        <v>2190.35</v>
      </c>
      <c r="N1246" s="116">
        <v>2218.9499999999998</v>
      </c>
      <c r="O1246" s="116">
        <v>2184.6999999999998</v>
      </c>
      <c r="P1246" s="116">
        <v>2217.85</v>
      </c>
      <c r="Q1246" s="116">
        <v>2190.35</v>
      </c>
      <c r="R1246">
        <v>2843893</v>
      </c>
    </row>
    <row r="1247" spans="1:18" x14ac:dyDescent="0.25">
      <c r="A1247" s="170">
        <v>43844</v>
      </c>
      <c r="B1247" s="116">
        <v>2229.75</v>
      </c>
      <c r="C1247" s="116">
        <v>2207.1999999999998</v>
      </c>
      <c r="D1247" s="116">
        <v>2198.75</v>
      </c>
      <c r="E1247" s="116">
        <v>2199</v>
      </c>
      <c r="F1247" s="116">
        <v>2207.1999999999998</v>
      </c>
      <c r="G1247">
        <v>121577</v>
      </c>
      <c r="H1247" s="116"/>
      <c r="I1247" s="116"/>
      <c r="L1247" s="170">
        <v>43844</v>
      </c>
      <c r="M1247" s="116">
        <v>2206.9</v>
      </c>
      <c r="N1247" s="116">
        <v>2229.8000000000002</v>
      </c>
      <c r="O1247" s="116">
        <v>2195</v>
      </c>
      <c r="P1247" s="116">
        <v>2195</v>
      </c>
      <c r="Q1247" s="116">
        <v>2206.9</v>
      </c>
      <c r="R1247">
        <v>2948452</v>
      </c>
    </row>
    <row r="1248" spans="1:18" x14ac:dyDescent="0.25">
      <c r="A1248" s="170">
        <v>43845</v>
      </c>
      <c r="B1248" s="116">
        <v>2231.5500000000002</v>
      </c>
      <c r="C1248" s="116">
        <v>2226.5500000000002</v>
      </c>
      <c r="D1248" s="116">
        <v>2195</v>
      </c>
      <c r="E1248" s="116">
        <v>2219</v>
      </c>
      <c r="F1248" s="116">
        <v>2226.5500000000002</v>
      </c>
      <c r="G1248">
        <v>52151</v>
      </c>
      <c r="H1248" s="116"/>
      <c r="I1248" s="116"/>
      <c r="L1248" s="170">
        <v>43845</v>
      </c>
      <c r="M1248" s="116">
        <v>2226.9</v>
      </c>
      <c r="N1248" s="116">
        <v>2231</v>
      </c>
      <c r="O1248" s="116">
        <v>2194.1999999999998</v>
      </c>
      <c r="P1248" s="116">
        <v>2213</v>
      </c>
      <c r="Q1248" s="116">
        <v>2226.9</v>
      </c>
      <c r="R1248">
        <v>2620681</v>
      </c>
    </row>
    <row r="1249" spans="1:18" x14ac:dyDescent="0.25">
      <c r="A1249" s="170">
        <v>43846</v>
      </c>
      <c r="B1249" s="116">
        <v>2248.9499999999998</v>
      </c>
      <c r="C1249" s="116">
        <v>2238.4</v>
      </c>
      <c r="D1249" s="116">
        <v>2220.4</v>
      </c>
      <c r="E1249" s="116">
        <v>2225</v>
      </c>
      <c r="F1249" s="116">
        <v>2238.4</v>
      </c>
      <c r="G1249">
        <v>61468</v>
      </c>
      <c r="H1249" s="116"/>
      <c r="I1249" s="116"/>
      <c r="L1249" s="170">
        <v>43846</v>
      </c>
      <c r="M1249" s="116">
        <v>2238.8000000000002</v>
      </c>
      <c r="N1249" s="116">
        <v>2249</v>
      </c>
      <c r="O1249" s="116">
        <v>2215</v>
      </c>
      <c r="P1249" s="116">
        <v>2226.9499999999998</v>
      </c>
      <c r="Q1249" s="116">
        <v>2238.8000000000002</v>
      </c>
      <c r="R1249">
        <v>3117214</v>
      </c>
    </row>
    <row r="1250" spans="1:18" x14ac:dyDescent="0.25">
      <c r="A1250" s="170">
        <v>43847</v>
      </c>
      <c r="B1250" s="116">
        <v>2254.1999999999998</v>
      </c>
      <c r="C1250" s="116">
        <v>2218.0500000000002</v>
      </c>
      <c r="D1250" s="116">
        <v>2213.0500000000002</v>
      </c>
      <c r="E1250" s="116">
        <v>2242</v>
      </c>
      <c r="F1250" s="116">
        <v>2218.0500000000002</v>
      </c>
      <c r="G1250">
        <v>71372</v>
      </c>
      <c r="H1250" s="116"/>
      <c r="I1250" s="116"/>
      <c r="L1250" s="170">
        <v>43847</v>
      </c>
      <c r="M1250" s="116">
        <v>2219.1</v>
      </c>
      <c r="N1250" s="116">
        <v>2253.5500000000002</v>
      </c>
      <c r="O1250" s="116">
        <v>2213</v>
      </c>
      <c r="P1250" s="116">
        <v>2240.75</v>
      </c>
      <c r="Q1250" s="116">
        <v>2219.1</v>
      </c>
      <c r="R1250">
        <v>3281059</v>
      </c>
    </row>
    <row r="1251" spans="1:18" x14ac:dyDescent="0.25">
      <c r="A1251" s="170">
        <v>43850</v>
      </c>
      <c r="B1251" s="116">
        <v>2241.65</v>
      </c>
      <c r="C1251" s="116">
        <v>2170.25</v>
      </c>
      <c r="D1251" s="116">
        <v>2156.6999999999998</v>
      </c>
      <c r="E1251" s="116">
        <v>2194</v>
      </c>
      <c r="F1251" s="116">
        <v>2170.25</v>
      </c>
      <c r="G1251">
        <v>214236</v>
      </c>
      <c r="H1251" s="116"/>
      <c r="I1251" s="116"/>
      <c r="L1251" s="170">
        <v>43850</v>
      </c>
      <c r="M1251" s="116">
        <v>2170.35</v>
      </c>
      <c r="N1251" s="116">
        <v>2242.1999999999998</v>
      </c>
      <c r="O1251" s="116">
        <v>2156.1999999999998</v>
      </c>
      <c r="P1251" s="116">
        <v>2194.9</v>
      </c>
      <c r="Q1251" s="116">
        <v>2170.35</v>
      </c>
      <c r="R1251">
        <v>5817599</v>
      </c>
    </row>
    <row r="1252" spans="1:18" x14ac:dyDescent="0.25">
      <c r="A1252" s="170">
        <v>43851</v>
      </c>
      <c r="B1252" s="116">
        <v>2185</v>
      </c>
      <c r="C1252" s="116">
        <v>2171.4499999999998</v>
      </c>
      <c r="D1252" s="116">
        <v>2160</v>
      </c>
      <c r="E1252" s="116">
        <v>2174.9499999999998</v>
      </c>
      <c r="F1252" s="116">
        <v>2171.4499999999998</v>
      </c>
      <c r="G1252">
        <v>43940</v>
      </c>
      <c r="H1252" s="116"/>
      <c r="I1252" s="116"/>
      <c r="L1252" s="170">
        <v>43851</v>
      </c>
      <c r="M1252" s="116">
        <v>2171.0500000000002</v>
      </c>
      <c r="N1252" s="116">
        <v>2186.5500000000002</v>
      </c>
      <c r="O1252" s="116">
        <v>2158.0500000000002</v>
      </c>
      <c r="P1252" s="116">
        <v>2169.9499999999998</v>
      </c>
      <c r="Q1252" s="116">
        <v>2171.0500000000002</v>
      </c>
      <c r="R1252">
        <v>1902980</v>
      </c>
    </row>
    <row r="1253" spans="1:18" x14ac:dyDescent="0.25">
      <c r="A1253" s="170">
        <v>43852</v>
      </c>
      <c r="B1253" s="116">
        <v>2210.1</v>
      </c>
      <c r="C1253" s="116">
        <v>2206.5</v>
      </c>
      <c r="D1253" s="116">
        <v>2175.5</v>
      </c>
      <c r="E1253" s="116">
        <v>2175.5</v>
      </c>
      <c r="F1253" s="116">
        <v>2206.5</v>
      </c>
      <c r="G1253">
        <v>90713</v>
      </c>
      <c r="H1253" s="116"/>
      <c r="I1253" s="116"/>
      <c r="L1253" s="170">
        <v>43852</v>
      </c>
      <c r="M1253" s="116">
        <v>2206.9</v>
      </c>
      <c r="N1253" s="116">
        <v>2210</v>
      </c>
      <c r="O1253" s="116">
        <v>2173.6999999999998</v>
      </c>
      <c r="P1253" s="116">
        <v>2181</v>
      </c>
      <c r="Q1253" s="116">
        <v>2206.9</v>
      </c>
      <c r="R1253">
        <v>1773686</v>
      </c>
    </row>
    <row r="1254" spans="1:18" x14ac:dyDescent="0.25">
      <c r="A1254" s="170">
        <v>43853</v>
      </c>
      <c r="B1254" s="116">
        <v>2217.1999999999998</v>
      </c>
      <c r="C1254" s="116">
        <v>2193.4499999999998</v>
      </c>
      <c r="D1254" s="116">
        <v>2182.4</v>
      </c>
      <c r="E1254" s="116">
        <v>2206.5</v>
      </c>
      <c r="F1254" s="116">
        <v>2193.4499999999998</v>
      </c>
      <c r="G1254">
        <v>125220</v>
      </c>
      <c r="H1254" s="116"/>
      <c r="I1254" s="116"/>
      <c r="L1254" s="170">
        <v>43853</v>
      </c>
      <c r="M1254" s="116">
        <v>2190.9499999999998</v>
      </c>
      <c r="N1254" s="116">
        <v>2217.75</v>
      </c>
      <c r="O1254" s="116">
        <v>2183.6999999999998</v>
      </c>
      <c r="P1254" s="116">
        <v>2209.8000000000002</v>
      </c>
      <c r="Q1254" s="116">
        <v>2190.9499999999998</v>
      </c>
      <c r="R1254">
        <v>2069866</v>
      </c>
    </row>
    <row r="1255" spans="1:18" x14ac:dyDescent="0.25">
      <c r="A1255" s="170">
        <v>43854</v>
      </c>
      <c r="B1255" s="116">
        <v>2193.4499999999998</v>
      </c>
      <c r="C1255" s="116">
        <v>2184.6</v>
      </c>
      <c r="D1255" s="116">
        <v>2170.6</v>
      </c>
      <c r="E1255" s="116">
        <v>2193.4499999999998</v>
      </c>
      <c r="F1255" s="116">
        <v>2184.6</v>
      </c>
      <c r="G1255">
        <v>84902</v>
      </c>
      <c r="H1255" s="116"/>
      <c r="I1255" s="116"/>
      <c r="L1255" s="170">
        <v>43854</v>
      </c>
      <c r="M1255" s="116">
        <v>2183.4</v>
      </c>
      <c r="N1255" s="116">
        <v>2190.9499999999998</v>
      </c>
      <c r="O1255" s="116">
        <v>2170</v>
      </c>
      <c r="P1255" s="116">
        <v>2190.9499999999998</v>
      </c>
      <c r="Q1255" s="116">
        <v>2183.4</v>
      </c>
      <c r="R1255">
        <v>1319430</v>
      </c>
    </row>
    <row r="1256" spans="1:18" x14ac:dyDescent="0.25">
      <c r="A1256" s="170">
        <v>43857</v>
      </c>
      <c r="B1256" s="116">
        <v>2193.4499999999998</v>
      </c>
      <c r="C1256" s="116">
        <v>2168.65</v>
      </c>
      <c r="D1256" s="116">
        <v>2165</v>
      </c>
      <c r="E1256" s="116">
        <v>2180</v>
      </c>
      <c r="F1256" s="116">
        <v>2168.65</v>
      </c>
      <c r="G1256">
        <v>69104</v>
      </c>
      <c r="H1256" s="116"/>
      <c r="I1256" s="116"/>
      <c r="L1256" s="170">
        <v>43857</v>
      </c>
      <c r="M1256" s="116">
        <v>2169.25</v>
      </c>
      <c r="N1256" s="116">
        <v>2193.4499999999998</v>
      </c>
      <c r="O1256" s="116">
        <v>2165</v>
      </c>
      <c r="P1256" s="116">
        <v>2189.6999999999998</v>
      </c>
      <c r="Q1256" s="116">
        <v>2169.25</v>
      </c>
      <c r="R1256">
        <v>1549101</v>
      </c>
    </row>
    <row r="1257" spans="1:18" x14ac:dyDescent="0.25">
      <c r="A1257" s="170">
        <v>43858</v>
      </c>
      <c r="B1257" s="116">
        <v>2187.15</v>
      </c>
      <c r="C1257" s="116">
        <v>2184.0500000000002</v>
      </c>
      <c r="D1257" s="116">
        <v>2153</v>
      </c>
      <c r="E1257" s="116">
        <v>2172.3000000000002</v>
      </c>
      <c r="F1257" s="116">
        <v>2184.0500000000002</v>
      </c>
      <c r="G1257">
        <v>158542</v>
      </c>
      <c r="H1257" s="116"/>
      <c r="I1257" s="116"/>
      <c r="L1257" s="170">
        <v>43858</v>
      </c>
      <c r="M1257" s="116">
        <v>2183.75</v>
      </c>
      <c r="N1257" s="116">
        <v>2187.8000000000002</v>
      </c>
      <c r="O1257" s="116">
        <v>2152</v>
      </c>
      <c r="P1257" s="116">
        <v>2174</v>
      </c>
      <c r="Q1257" s="116">
        <v>2183.75</v>
      </c>
      <c r="R1257">
        <v>1743024</v>
      </c>
    </row>
    <row r="1258" spans="1:18" x14ac:dyDescent="0.25">
      <c r="A1258" s="170">
        <v>43859</v>
      </c>
      <c r="B1258" s="116">
        <v>2187.6</v>
      </c>
      <c r="C1258" s="116">
        <v>2152.6999999999998</v>
      </c>
      <c r="D1258" s="116">
        <v>2148.65</v>
      </c>
      <c r="E1258" s="116">
        <v>2187.25</v>
      </c>
      <c r="F1258" s="116">
        <v>2152.6999999999998</v>
      </c>
      <c r="G1258">
        <v>179971</v>
      </c>
      <c r="H1258" s="116"/>
      <c r="I1258" s="116"/>
      <c r="L1258" s="170">
        <v>43859</v>
      </c>
      <c r="M1258" s="116">
        <v>2154.6</v>
      </c>
      <c r="N1258" s="116">
        <v>2186.9499999999998</v>
      </c>
      <c r="O1258" s="116">
        <v>2150</v>
      </c>
      <c r="P1258" s="116">
        <v>2185</v>
      </c>
      <c r="Q1258" s="116">
        <v>2154.6</v>
      </c>
      <c r="R1258">
        <v>2306761</v>
      </c>
    </row>
    <row r="1259" spans="1:18" x14ac:dyDescent="0.25">
      <c r="A1259" s="170">
        <v>43860</v>
      </c>
      <c r="B1259" s="116">
        <v>2165.4499999999998</v>
      </c>
      <c r="C1259" s="116">
        <v>2138.0500000000002</v>
      </c>
      <c r="D1259" s="116">
        <v>2125.5</v>
      </c>
      <c r="E1259" s="116">
        <v>2161</v>
      </c>
      <c r="F1259" s="116">
        <v>2138.0500000000002</v>
      </c>
      <c r="G1259">
        <v>78850</v>
      </c>
      <c r="H1259" s="116"/>
      <c r="I1259" s="116"/>
      <c r="L1259" s="170">
        <v>43860</v>
      </c>
      <c r="M1259" s="116">
        <v>2137.85</v>
      </c>
      <c r="N1259" s="116">
        <v>2165</v>
      </c>
      <c r="O1259" s="116">
        <v>2125</v>
      </c>
      <c r="P1259" s="116">
        <v>2160</v>
      </c>
      <c r="Q1259" s="116">
        <v>2137.85</v>
      </c>
      <c r="R1259">
        <v>2098567</v>
      </c>
    </row>
    <row r="1260" spans="1:18" x14ac:dyDescent="0.25">
      <c r="A1260" s="170">
        <v>43861</v>
      </c>
      <c r="B1260" s="116">
        <v>2145</v>
      </c>
      <c r="C1260" s="116">
        <v>2079.3000000000002</v>
      </c>
      <c r="D1260" s="116">
        <v>2072.4</v>
      </c>
      <c r="E1260" s="116">
        <v>2140</v>
      </c>
      <c r="F1260" s="116">
        <v>2079.3000000000002</v>
      </c>
      <c r="G1260">
        <v>116613</v>
      </c>
      <c r="H1260" s="116"/>
      <c r="I1260" s="116"/>
      <c r="L1260" s="170">
        <v>43861</v>
      </c>
      <c r="M1260" s="116">
        <v>2079.0500000000002</v>
      </c>
      <c r="N1260" s="116">
        <v>2144.35</v>
      </c>
      <c r="O1260" s="116">
        <v>2071.6</v>
      </c>
      <c r="P1260" s="116">
        <v>2139.4</v>
      </c>
      <c r="Q1260" s="116">
        <v>2079.0500000000002</v>
      </c>
      <c r="R1260">
        <v>3287223</v>
      </c>
    </row>
    <row r="1261" spans="1:18" x14ac:dyDescent="0.25">
      <c r="A1261" s="170">
        <v>43862</v>
      </c>
      <c r="B1261" s="116">
        <v>2178</v>
      </c>
      <c r="C1261" s="116">
        <v>2165.1</v>
      </c>
      <c r="D1261" s="116">
        <v>2064.8000000000002</v>
      </c>
      <c r="E1261" s="116">
        <v>2080</v>
      </c>
      <c r="F1261" s="116">
        <v>2165.1</v>
      </c>
      <c r="G1261">
        <v>105794</v>
      </c>
      <c r="H1261" s="116"/>
      <c r="I1261" s="116"/>
      <c r="L1261" s="170">
        <v>43862</v>
      </c>
      <c r="M1261" s="116">
        <v>2164.85</v>
      </c>
      <c r="N1261" s="116">
        <v>2180.6999999999998</v>
      </c>
      <c r="O1261" s="116">
        <v>2063.6</v>
      </c>
      <c r="P1261" s="116">
        <v>2079.5</v>
      </c>
      <c r="Q1261" s="116">
        <v>2164.85</v>
      </c>
      <c r="R1261">
        <v>3319716</v>
      </c>
    </row>
    <row r="1262" spans="1:18" x14ac:dyDescent="0.25">
      <c r="A1262" s="170">
        <v>43864</v>
      </c>
      <c r="B1262" s="116">
        <v>2193.9499999999998</v>
      </c>
      <c r="C1262" s="116">
        <v>2103.15</v>
      </c>
      <c r="D1262" s="116">
        <v>2093.75</v>
      </c>
      <c r="E1262" s="116">
        <v>2164</v>
      </c>
      <c r="F1262" s="116">
        <v>2103.15</v>
      </c>
      <c r="G1262">
        <v>162662</v>
      </c>
      <c r="H1262" s="116"/>
      <c r="I1262" s="116"/>
      <c r="L1262" s="170">
        <v>43864</v>
      </c>
      <c r="M1262" s="116">
        <v>2102.5</v>
      </c>
      <c r="N1262" s="116">
        <v>2194.6999999999998</v>
      </c>
      <c r="O1262" s="116">
        <v>2093.1999999999998</v>
      </c>
      <c r="P1262" s="116">
        <v>2152</v>
      </c>
      <c r="Q1262" s="116">
        <v>2102.5</v>
      </c>
      <c r="R1262">
        <v>4728073</v>
      </c>
    </row>
    <row r="1263" spans="1:18" x14ac:dyDescent="0.25">
      <c r="A1263" s="170">
        <v>43865</v>
      </c>
      <c r="B1263" s="116">
        <v>2137.5500000000002</v>
      </c>
      <c r="C1263" s="116">
        <v>2107.6999999999998</v>
      </c>
      <c r="D1263" s="116">
        <v>2087.9499999999998</v>
      </c>
      <c r="E1263" s="116">
        <v>2134.9</v>
      </c>
      <c r="F1263" s="116">
        <v>2107.6999999999998</v>
      </c>
      <c r="G1263">
        <v>116533</v>
      </c>
      <c r="H1263" s="116"/>
      <c r="I1263" s="116"/>
      <c r="L1263" s="170">
        <v>43865</v>
      </c>
      <c r="M1263" s="116">
        <v>2107.75</v>
      </c>
      <c r="N1263" s="116">
        <v>2136.6999999999998</v>
      </c>
      <c r="O1263" s="116">
        <v>2086.6</v>
      </c>
      <c r="P1263" s="116">
        <v>2129</v>
      </c>
      <c r="Q1263" s="116">
        <v>2107.75</v>
      </c>
      <c r="R1263">
        <v>3509339</v>
      </c>
    </row>
    <row r="1264" spans="1:18" x14ac:dyDescent="0.25">
      <c r="A1264" s="170">
        <v>43866</v>
      </c>
      <c r="B1264" s="116">
        <v>2158</v>
      </c>
      <c r="C1264" s="116">
        <v>2145.25</v>
      </c>
      <c r="D1264" s="116">
        <v>2105.75</v>
      </c>
      <c r="E1264" s="116">
        <v>2125</v>
      </c>
      <c r="F1264" s="116">
        <v>2145.25</v>
      </c>
      <c r="G1264">
        <v>115764</v>
      </c>
      <c r="H1264" s="116"/>
      <c r="I1264" s="116"/>
      <c r="L1264" s="170">
        <v>43866</v>
      </c>
      <c r="M1264" s="116">
        <v>2146.5500000000002</v>
      </c>
      <c r="N1264" s="116">
        <v>2156.6999999999998</v>
      </c>
      <c r="O1264" s="116">
        <v>2104.3000000000002</v>
      </c>
      <c r="P1264" s="116">
        <v>2115</v>
      </c>
      <c r="Q1264" s="116">
        <v>2146.5500000000002</v>
      </c>
      <c r="R1264">
        <v>2439322</v>
      </c>
    </row>
    <row r="1265" spans="1:18" x14ac:dyDescent="0.25">
      <c r="A1265" s="170">
        <v>43867</v>
      </c>
      <c r="B1265" s="116">
        <v>2174.25</v>
      </c>
      <c r="C1265" s="116">
        <v>2128.6999999999998</v>
      </c>
      <c r="D1265" s="116">
        <v>2116</v>
      </c>
      <c r="E1265" s="116">
        <v>2155</v>
      </c>
      <c r="F1265" s="116">
        <v>2128.6999999999998</v>
      </c>
      <c r="G1265">
        <v>541706</v>
      </c>
      <c r="H1265" s="116"/>
      <c r="I1265" s="116"/>
      <c r="L1265" s="170">
        <v>43867</v>
      </c>
      <c r="M1265" s="116">
        <v>2128.35</v>
      </c>
      <c r="N1265" s="116">
        <v>2174.1999999999998</v>
      </c>
      <c r="O1265" s="116">
        <v>2115.5</v>
      </c>
      <c r="P1265" s="116">
        <v>2145</v>
      </c>
      <c r="Q1265" s="116">
        <v>2128.35</v>
      </c>
      <c r="R1265">
        <v>2640065</v>
      </c>
    </row>
    <row r="1266" spans="1:18" x14ac:dyDescent="0.25">
      <c r="A1266" s="170">
        <v>43868</v>
      </c>
      <c r="B1266" s="116">
        <v>2150.6</v>
      </c>
      <c r="C1266" s="116">
        <v>2136.6999999999998</v>
      </c>
      <c r="D1266" s="116">
        <v>2119</v>
      </c>
      <c r="E1266" s="116">
        <v>2142</v>
      </c>
      <c r="F1266" s="116">
        <v>2136.6999999999998</v>
      </c>
      <c r="G1266">
        <v>73624</v>
      </c>
      <c r="H1266" s="116"/>
      <c r="I1266" s="116"/>
      <c r="L1266" s="170">
        <v>43868</v>
      </c>
      <c r="M1266" s="116">
        <v>2136.5500000000002</v>
      </c>
      <c r="N1266" s="116">
        <v>2151</v>
      </c>
      <c r="O1266" s="116">
        <v>2119</v>
      </c>
      <c r="P1266" s="116">
        <v>2139</v>
      </c>
      <c r="Q1266" s="116">
        <v>2136.5500000000002</v>
      </c>
      <c r="R1266">
        <v>2083442</v>
      </c>
    </row>
    <row r="1267" spans="1:18" x14ac:dyDescent="0.25">
      <c r="A1267" s="170">
        <v>43871</v>
      </c>
      <c r="B1267" s="116">
        <v>2166.9499999999998</v>
      </c>
      <c r="C1267" s="116">
        <v>2162.35</v>
      </c>
      <c r="D1267" s="116">
        <v>2119.8000000000002</v>
      </c>
      <c r="E1267" s="116">
        <v>2136.6999999999998</v>
      </c>
      <c r="F1267" s="116">
        <v>2162.35</v>
      </c>
      <c r="G1267">
        <v>72009</v>
      </c>
      <c r="H1267" s="116"/>
      <c r="I1267" s="116"/>
      <c r="L1267" s="170">
        <v>43871</v>
      </c>
      <c r="M1267" s="116">
        <v>2161.9499999999998</v>
      </c>
      <c r="N1267" s="116">
        <v>2167</v>
      </c>
      <c r="O1267" s="116">
        <v>2119</v>
      </c>
      <c r="P1267" s="116">
        <v>2140.9</v>
      </c>
      <c r="Q1267" s="116">
        <v>2161.9499999999998</v>
      </c>
      <c r="R1267">
        <v>2383032</v>
      </c>
    </row>
    <row r="1268" spans="1:18" x14ac:dyDescent="0.25">
      <c r="A1268" s="170">
        <v>43872</v>
      </c>
      <c r="B1268" s="116">
        <v>2174</v>
      </c>
      <c r="C1268" s="116">
        <v>2151.65</v>
      </c>
      <c r="D1268" s="116">
        <v>2147</v>
      </c>
      <c r="E1268" s="116">
        <v>2164.9</v>
      </c>
      <c r="F1268" s="116">
        <v>2151.65</v>
      </c>
      <c r="G1268">
        <v>48006</v>
      </c>
      <c r="H1268" s="116"/>
      <c r="I1268" s="116"/>
      <c r="L1268" s="170">
        <v>43872</v>
      </c>
      <c r="M1268" s="116">
        <v>2153.4</v>
      </c>
      <c r="N1268" s="116">
        <v>2174.8000000000002</v>
      </c>
      <c r="O1268" s="116">
        <v>2147.6</v>
      </c>
      <c r="P1268" s="116">
        <v>2163</v>
      </c>
      <c r="Q1268" s="116">
        <v>2153.4</v>
      </c>
      <c r="R1268">
        <v>1335820</v>
      </c>
    </row>
    <row r="1269" spans="1:18" x14ac:dyDescent="0.25">
      <c r="A1269" s="170">
        <v>43873</v>
      </c>
      <c r="B1269" s="116">
        <v>2184.8000000000002</v>
      </c>
      <c r="C1269" s="116">
        <v>2170.5</v>
      </c>
      <c r="D1269" s="116">
        <v>2152</v>
      </c>
      <c r="E1269" s="116">
        <v>2157</v>
      </c>
      <c r="F1269" s="116">
        <v>2170.5</v>
      </c>
      <c r="G1269">
        <v>75247</v>
      </c>
      <c r="H1269" s="116"/>
      <c r="I1269" s="116"/>
      <c r="L1269" s="170">
        <v>43873</v>
      </c>
      <c r="M1269" s="116">
        <v>2170.75</v>
      </c>
      <c r="N1269" s="116">
        <v>2185</v>
      </c>
      <c r="O1269" s="116">
        <v>2150</v>
      </c>
      <c r="P1269" s="116">
        <v>2151.1</v>
      </c>
      <c r="Q1269" s="116">
        <v>2170.75</v>
      </c>
      <c r="R1269">
        <v>1620407</v>
      </c>
    </row>
    <row r="1270" spans="1:18" x14ac:dyDescent="0.25">
      <c r="A1270" s="170">
        <v>43874</v>
      </c>
      <c r="B1270" s="116">
        <v>2197</v>
      </c>
      <c r="C1270" s="116">
        <v>2191.6</v>
      </c>
      <c r="D1270" s="116">
        <v>2169.9499999999998</v>
      </c>
      <c r="E1270" s="116">
        <v>2170</v>
      </c>
      <c r="F1270" s="116">
        <v>2191.6</v>
      </c>
      <c r="G1270">
        <v>73682</v>
      </c>
      <c r="H1270" s="116"/>
      <c r="I1270" s="116"/>
      <c r="L1270" s="170">
        <v>43874</v>
      </c>
      <c r="M1270" s="116">
        <v>2191.9499999999998</v>
      </c>
      <c r="N1270" s="116">
        <v>2197</v>
      </c>
      <c r="O1270" s="116">
        <v>2171</v>
      </c>
      <c r="P1270" s="116">
        <v>2172.9499999999998</v>
      </c>
      <c r="Q1270" s="116">
        <v>2191.9499999999998</v>
      </c>
      <c r="R1270">
        <v>1645948</v>
      </c>
    </row>
    <row r="1271" spans="1:18" x14ac:dyDescent="0.25">
      <c r="A1271" s="170">
        <v>43875</v>
      </c>
      <c r="B1271" s="116">
        <v>2211.5500000000002</v>
      </c>
      <c r="C1271" s="116">
        <v>2183.8000000000002</v>
      </c>
      <c r="D1271" s="116">
        <v>2170.9499999999998</v>
      </c>
      <c r="E1271" s="116">
        <v>2181</v>
      </c>
      <c r="F1271" s="116">
        <v>2183.8000000000002</v>
      </c>
      <c r="G1271">
        <v>58034</v>
      </c>
      <c r="H1271" s="116"/>
      <c r="I1271" s="116"/>
      <c r="L1271" s="170">
        <v>43875</v>
      </c>
      <c r="M1271" s="116">
        <v>2184.1999999999998</v>
      </c>
      <c r="N1271" s="116">
        <v>2212</v>
      </c>
      <c r="O1271" s="116">
        <v>2171</v>
      </c>
      <c r="P1271" s="116">
        <v>2188</v>
      </c>
      <c r="Q1271" s="116">
        <v>2184.1999999999998</v>
      </c>
      <c r="R1271">
        <v>1500115</v>
      </c>
    </row>
    <row r="1272" spans="1:18" x14ac:dyDescent="0.25">
      <c r="A1272" s="170">
        <v>43878</v>
      </c>
      <c r="B1272" s="116">
        <v>2216.15</v>
      </c>
      <c r="C1272" s="116">
        <v>2203.25</v>
      </c>
      <c r="D1272" s="116">
        <v>2190</v>
      </c>
      <c r="E1272" s="116">
        <v>2199.9</v>
      </c>
      <c r="F1272" s="116">
        <v>2203.25</v>
      </c>
      <c r="G1272">
        <v>77670</v>
      </c>
      <c r="H1272" s="116"/>
      <c r="I1272" s="116"/>
      <c r="L1272" s="170">
        <v>43878</v>
      </c>
      <c r="M1272" s="116">
        <v>2203.25</v>
      </c>
      <c r="N1272" s="116">
        <v>2217</v>
      </c>
      <c r="O1272" s="116">
        <v>2190.1999999999998</v>
      </c>
      <c r="P1272" s="116">
        <v>2196.9499999999998</v>
      </c>
      <c r="Q1272" s="116">
        <v>2203.25</v>
      </c>
      <c r="R1272">
        <v>1774724</v>
      </c>
    </row>
    <row r="1273" spans="1:18" x14ac:dyDescent="0.25">
      <c r="A1273" s="170">
        <v>43879</v>
      </c>
      <c r="B1273" s="116">
        <v>2221.35</v>
      </c>
      <c r="C1273" s="116">
        <v>2215.3000000000002</v>
      </c>
      <c r="D1273" s="116">
        <v>2186.75</v>
      </c>
      <c r="E1273" s="116">
        <v>2209.9</v>
      </c>
      <c r="F1273" s="116">
        <v>2215.3000000000002</v>
      </c>
      <c r="G1273">
        <v>96139</v>
      </c>
      <c r="H1273" s="116"/>
      <c r="I1273" s="116"/>
      <c r="L1273" s="170">
        <v>43879</v>
      </c>
      <c r="M1273" s="116">
        <v>2215.75</v>
      </c>
      <c r="N1273" s="116">
        <v>2221</v>
      </c>
      <c r="O1273" s="116">
        <v>2186.0500000000002</v>
      </c>
      <c r="P1273" s="116">
        <v>2199.9499999999998</v>
      </c>
      <c r="Q1273" s="116">
        <v>2215.75</v>
      </c>
      <c r="R1273">
        <v>2486223</v>
      </c>
    </row>
    <row r="1274" spans="1:18" x14ac:dyDescent="0.25">
      <c r="A1274" s="170">
        <v>43880</v>
      </c>
      <c r="B1274" s="116">
        <v>2228.85</v>
      </c>
      <c r="C1274" s="116">
        <v>2194.6</v>
      </c>
      <c r="D1274" s="116">
        <v>2190.1</v>
      </c>
      <c r="E1274" s="116">
        <v>2215</v>
      </c>
      <c r="F1274" s="116">
        <v>2194.6</v>
      </c>
      <c r="G1274">
        <v>58248</v>
      </c>
      <c r="H1274" s="116"/>
      <c r="I1274" s="116"/>
      <c r="L1274" s="170">
        <v>43880</v>
      </c>
      <c r="M1274" s="116">
        <v>2196.35</v>
      </c>
      <c r="N1274" s="116">
        <v>2230</v>
      </c>
      <c r="O1274" s="116">
        <v>2190.5</v>
      </c>
      <c r="P1274" s="116">
        <v>2215.75</v>
      </c>
      <c r="Q1274" s="116">
        <v>2196.35</v>
      </c>
      <c r="R1274">
        <v>1760463</v>
      </c>
    </row>
    <row r="1275" spans="1:18" x14ac:dyDescent="0.25">
      <c r="A1275" s="170">
        <v>43881</v>
      </c>
      <c r="B1275" s="116">
        <v>2215</v>
      </c>
      <c r="C1275" s="116">
        <v>2156.3000000000002</v>
      </c>
      <c r="D1275" s="116">
        <v>2152.0500000000002</v>
      </c>
      <c r="E1275" s="116">
        <v>2215</v>
      </c>
      <c r="F1275" s="116">
        <v>2156.3000000000002</v>
      </c>
      <c r="G1275">
        <v>186124</v>
      </c>
      <c r="H1275" s="116"/>
      <c r="I1275" s="116"/>
      <c r="L1275" s="170">
        <v>43881</v>
      </c>
      <c r="M1275" s="116">
        <v>2156.8000000000002</v>
      </c>
      <c r="N1275" s="116">
        <v>2214.4</v>
      </c>
      <c r="O1275" s="116">
        <v>2151.25</v>
      </c>
      <c r="P1275" s="116">
        <v>2204.5</v>
      </c>
      <c r="Q1275" s="116">
        <v>2156.8000000000002</v>
      </c>
      <c r="R1275">
        <v>2317278</v>
      </c>
    </row>
    <row r="1276" spans="1:18" x14ac:dyDescent="0.25">
      <c r="A1276" s="170">
        <v>43885</v>
      </c>
      <c r="B1276" s="116">
        <v>2178.9499999999998</v>
      </c>
      <c r="C1276" s="116">
        <v>2116.3000000000002</v>
      </c>
      <c r="D1276" s="116">
        <v>2106.65</v>
      </c>
      <c r="E1276" s="116">
        <v>2157</v>
      </c>
      <c r="F1276" s="116">
        <v>2116.3000000000002</v>
      </c>
      <c r="G1276">
        <v>80671</v>
      </c>
      <c r="H1276" s="116"/>
      <c r="I1276" s="116"/>
      <c r="L1276" s="170">
        <v>43885</v>
      </c>
      <c r="M1276" s="116">
        <v>2115.35</v>
      </c>
      <c r="N1276" s="116">
        <v>2178.9499999999998</v>
      </c>
      <c r="O1276" s="116">
        <v>2106.6999999999998</v>
      </c>
      <c r="P1276" s="116">
        <v>2156</v>
      </c>
      <c r="Q1276" s="116">
        <v>2115.35</v>
      </c>
      <c r="R1276">
        <v>3092877</v>
      </c>
    </row>
    <row r="1277" spans="1:18" x14ac:dyDescent="0.25">
      <c r="A1277" s="170">
        <v>43886</v>
      </c>
      <c r="B1277" s="116">
        <v>2176</v>
      </c>
      <c r="C1277" s="116">
        <v>2155.9</v>
      </c>
      <c r="D1277" s="116">
        <v>2111.0500000000002</v>
      </c>
      <c r="E1277" s="116">
        <v>2117</v>
      </c>
      <c r="F1277" s="116">
        <v>2155.9</v>
      </c>
      <c r="G1277">
        <v>52702</v>
      </c>
      <c r="H1277" s="116"/>
      <c r="I1277" s="116"/>
      <c r="L1277" s="170">
        <v>43886</v>
      </c>
      <c r="M1277" s="116">
        <v>2156.15</v>
      </c>
      <c r="N1277" s="116">
        <v>2176.65</v>
      </c>
      <c r="O1277" s="116">
        <v>2111</v>
      </c>
      <c r="P1277" s="116">
        <v>2115.5</v>
      </c>
      <c r="Q1277" s="116">
        <v>2156.15</v>
      </c>
      <c r="R1277">
        <v>2674567</v>
      </c>
    </row>
    <row r="1278" spans="1:18" x14ac:dyDescent="0.25">
      <c r="A1278" s="170">
        <v>43887</v>
      </c>
      <c r="B1278" s="116">
        <v>2163.6</v>
      </c>
      <c r="C1278" s="116">
        <v>2123.0500000000002</v>
      </c>
      <c r="D1278" s="116">
        <v>2113.1</v>
      </c>
      <c r="E1278" s="116">
        <v>2156</v>
      </c>
      <c r="F1278" s="116">
        <v>2123.0500000000002</v>
      </c>
      <c r="G1278">
        <v>51900</v>
      </c>
      <c r="H1278" s="116"/>
      <c r="I1278" s="116"/>
      <c r="L1278" s="170">
        <v>43887</v>
      </c>
      <c r="M1278" s="116">
        <v>2123.6</v>
      </c>
      <c r="N1278" s="116">
        <v>2163.9</v>
      </c>
      <c r="O1278" s="116">
        <v>2112.9499999999998</v>
      </c>
      <c r="P1278" s="116">
        <v>2154</v>
      </c>
      <c r="Q1278" s="116">
        <v>2123.6</v>
      </c>
      <c r="R1278">
        <v>2686842</v>
      </c>
    </row>
    <row r="1279" spans="1:18" x14ac:dyDescent="0.25">
      <c r="A1279" s="170">
        <v>43888</v>
      </c>
      <c r="B1279" s="116">
        <v>2140</v>
      </c>
      <c r="C1279" s="116">
        <v>2103.9</v>
      </c>
      <c r="D1279" s="116">
        <v>2086.85</v>
      </c>
      <c r="E1279" s="116">
        <v>2140</v>
      </c>
      <c r="F1279" s="116">
        <v>2103.9</v>
      </c>
      <c r="G1279">
        <v>83108</v>
      </c>
      <c r="H1279" s="116"/>
      <c r="I1279" s="116"/>
      <c r="L1279" s="170">
        <v>43888</v>
      </c>
      <c r="M1279" s="116">
        <v>2105.5</v>
      </c>
      <c r="N1279" s="116">
        <v>2119.9499999999998</v>
      </c>
      <c r="O1279" s="116">
        <v>2086.1999999999998</v>
      </c>
      <c r="P1279" s="116">
        <v>2119.9499999999998</v>
      </c>
      <c r="Q1279" s="116">
        <v>2105.5</v>
      </c>
      <c r="R1279">
        <v>2349001</v>
      </c>
    </row>
    <row r="1280" spans="1:18" x14ac:dyDescent="0.25">
      <c r="A1280" s="170">
        <v>43889</v>
      </c>
      <c r="B1280" s="116">
        <v>2080</v>
      </c>
      <c r="C1280" s="116">
        <v>2000.95</v>
      </c>
      <c r="D1280" s="116">
        <v>1990.4</v>
      </c>
      <c r="E1280" s="116">
        <v>2080</v>
      </c>
      <c r="F1280" s="116">
        <v>2000.95</v>
      </c>
      <c r="G1280">
        <v>135017</v>
      </c>
      <c r="H1280" s="116"/>
      <c r="I1280" s="116"/>
      <c r="L1280" s="170">
        <v>43889</v>
      </c>
      <c r="M1280" s="116">
        <v>2000.15</v>
      </c>
      <c r="N1280" s="116">
        <v>2069.5</v>
      </c>
      <c r="O1280" s="116">
        <v>1990</v>
      </c>
      <c r="P1280" s="116">
        <v>2068</v>
      </c>
      <c r="Q1280" s="116">
        <v>2000.15</v>
      </c>
      <c r="R1280">
        <v>4298076</v>
      </c>
    </row>
    <row r="1281" spans="1:18" x14ac:dyDescent="0.25">
      <c r="A1281" s="170">
        <v>43892</v>
      </c>
      <c r="B1281" s="116">
        <v>2054.6</v>
      </c>
      <c r="C1281" s="116">
        <v>1999.9</v>
      </c>
      <c r="D1281" s="116">
        <v>1985.7</v>
      </c>
      <c r="E1281" s="116">
        <v>2025.1</v>
      </c>
      <c r="F1281" s="116">
        <v>1999.9</v>
      </c>
      <c r="G1281">
        <v>103572</v>
      </c>
      <c r="H1281" s="116"/>
      <c r="I1281" s="116"/>
      <c r="L1281" s="170">
        <v>43892</v>
      </c>
      <c r="M1281" s="116">
        <v>2001.3</v>
      </c>
      <c r="N1281" s="116">
        <v>2053.9499999999998</v>
      </c>
      <c r="O1281" s="116">
        <v>1985.7</v>
      </c>
      <c r="P1281" s="116">
        <v>2035</v>
      </c>
      <c r="Q1281" s="116">
        <v>2001.3</v>
      </c>
      <c r="R1281">
        <v>2667076</v>
      </c>
    </row>
    <row r="1282" spans="1:18" x14ac:dyDescent="0.25">
      <c r="A1282" s="170">
        <v>43893</v>
      </c>
      <c r="B1282" s="116">
        <v>2060</v>
      </c>
      <c r="C1282" s="116">
        <v>2038.9</v>
      </c>
      <c r="D1282" s="116">
        <v>2004</v>
      </c>
      <c r="E1282" s="116">
        <v>2004</v>
      </c>
      <c r="F1282" s="116">
        <v>2038.9</v>
      </c>
      <c r="G1282">
        <v>68762</v>
      </c>
      <c r="H1282" s="116"/>
      <c r="I1282" s="116"/>
      <c r="L1282" s="170">
        <v>43893</v>
      </c>
      <c r="M1282" s="116">
        <v>2036.2</v>
      </c>
      <c r="N1282" s="116">
        <v>2060</v>
      </c>
      <c r="O1282" s="116">
        <v>2012</v>
      </c>
      <c r="P1282" s="116">
        <v>2020</v>
      </c>
      <c r="Q1282" s="116">
        <v>2036.2</v>
      </c>
      <c r="R1282">
        <v>2757585</v>
      </c>
    </row>
    <row r="1283" spans="1:18" x14ac:dyDescent="0.25">
      <c r="A1283" s="170">
        <v>43894</v>
      </c>
      <c r="B1283" s="116">
        <v>2093</v>
      </c>
      <c r="C1283" s="116">
        <v>2083.15</v>
      </c>
      <c r="D1283" s="116">
        <v>2026</v>
      </c>
      <c r="E1283" s="116">
        <v>2045.5</v>
      </c>
      <c r="F1283" s="116">
        <v>2083.15</v>
      </c>
      <c r="G1283">
        <v>83356</v>
      </c>
      <c r="H1283" s="116"/>
      <c r="I1283" s="116"/>
      <c r="L1283" s="170">
        <v>43894</v>
      </c>
      <c r="M1283" s="116">
        <v>2083.1999999999998</v>
      </c>
      <c r="N1283" s="116">
        <v>2094.4499999999998</v>
      </c>
      <c r="O1283" s="116">
        <v>2025</v>
      </c>
      <c r="P1283" s="116">
        <v>2056</v>
      </c>
      <c r="Q1283" s="116">
        <v>2083.1999999999998</v>
      </c>
      <c r="R1283">
        <v>3237002</v>
      </c>
    </row>
    <row r="1284" spans="1:18" x14ac:dyDescent="0.25">
      <c r="A1284" s="170">
        <v>43895</v>
      </c>
      <c r="B1284" s="116">
        <v>2147</v>
      </c>
      <c r="C1284" s="116">
        <v>2124.9</v>
      </c>
      <c r="D1284" s="116">
        <v>2085</v>
      </c>
      <c r="E1284" s="116">
        <v>2085</v>
      </c>
      <c r="F1284" s="116">
        <v>2124.9</v>
      </c>
      <c r="G1284">
        <v>73872</v>
      </c>
      <c r="H1284" s="116"/>
      <c r="I1284" s="116"/>
      <c r="L1284" s="170">
        <v>43895</v>
      </c>
      <c r="M1284" s="116">
        <v>2125.0500000000002</v>
      </c>
      <c r="N1284" s="116">
        <v>2147.75</v>
      </c>
      <c r="O1284" s="116">
        <v>2084.0500000000002</v>
      </c>
      <c r="P1284" s="116">
        <v>2085.6999999999998</v>
      </c>
      <c r="Q1284" s="116">
        <v>2125.0500000000002</v>
      </c>
      <c r="R1284">
        <v>3937056</v>
      </c>
    </row>
    <row r="1285" spans="1:18" x14ac:dyDescent="0.25">
      <c r="A1285" s="170">
        <v>43896</v>
      </c>
      <c r="B1285" s="116">
        <v>2125</v>
      </c>
      <c r="C1285" s="116">
        <v>2117.9</v>
      </c>
      <c r="D1285" s="116">
        <v>2073</v>
      </c>
      <c r="E1285" s="116">
        <v>2125</v>
      </c>
      <c r="F1285" s="116">
        <v>2117.9</v>
      </c>
      <c r="G1285">
        <v>55592</v>
      </c>
      <c r="H1285" s="116"/>
      <c r="I1285" s="116"/>
      <c r="L1285" s="170">
        <v>43896</v>
      </c>
      <c r="M1285" s="116">
        <v>2116.4499999999998</v>
      </c>
      <c r="N1285" s="116">
        <v>2123.65</v>
      </c>
      <c r="O1285" s="116">
        <v>2071.6</v>
      </c>
      <c r="P1285" s="116">
        <v>2098</v>
      </c>
      <c r="Q1285" s="116">
        <v>2116.4499999999998</v>
      </c>
      <c r="R1285">
        <v>2595027</v>
      </c>
    </row>
    <row r="1286" spans="1:18" x14ac:dyDescent="0.25">
      <c r="A1286" s="170">
        <v>43899</v>
      </c>
      <c r="B1286" s="116">
        <v>2080.0500000000002</v>
      </c>
      <c r="C1286" s="116">
        <v>1972.2</v>
      </c>
      <c r="D1286" s="116">
        <v>1936</v>
      </c>
      <c r="E1286" s="116">
        <v>2080</v>
      </c>
      <c r="F1286" s="116">
        <v>1972.2</v>
      </c>
      <c r="G1286">
        <v>196607</v>
      </c>
      <c r="H1286" s="116"/>
      <c r="I1286" s="116"/>
      <c r="L1286" s="170">
        <v>43899</v>
      </c>
      <c r="M1286" s="116">
        <v>1972.35</v>
      </c>
      <c r="N1286" s="116">
        <v>2079.9</v>
      </c>
      <c r="O1286" s="116">
        <v>1935</v>
      </c>
      <c r="P1286" s="116">
        <v>2075</v>
      </c>
      <c r="Q1286" s="116">
        <v>1972.35</v>
      </c>
      <c r="R1286">
        <v>4940982</v>
      </c>
    </row>
    <row r="1287" spans="1:18" x14ac:dyDescent="0.25">
      <c r="A1287" s="170">
        <v>43901</v>
      </c>
      <c r="B1287" s="116">
        <v>1988.35</v>
      </c>
      <c r="C1287" s="116">
        <v>1954.55</v>
      </c>
      <c r="D1287" s="116">
        <v>1923.6</v>
      </c>
      <c r="E1287" s="116">
        <v>1955</v>
      </c>
      <c r="F1287" s="116">
        <v>1954.55</v>
      </c>
      <c r="G1287">
        <v>461132</v>
      </c>
      <c r="H1287" s="116"/>
      <c r="I1287" s="116"/>
      <c r="L1287" s="170">
        <v>43901</v>
      </c>
      <c r="M1287" s="116">
        <v>1953.7</v>
      </c>
      <c r="N1287" s="116">
        <v>1987.3</v>
      </c>
      <c r="O1287" s="116">
        <v>1920</v>
      </c>
      <c r="P1287" s="116">
        <v>1933</v>
      </c>
      <c r="Q1287" s="116">
        <v>1953.7</v>
      </c>
      <c r="R1287">
        <v>6796752</v>
      </c>
    </row>
    <row r="1288" spans="1:18" x14ac:dyDescent="0.25">
      <c r="A1288" s="170">
        <v>43902</v>
      </c>
      <c r="B1288" s="116">
        <v>1915</v>
      </c>
      <c r="C1288" s="116">
        <v>1769.85</v>
      </c>
      <c r="D1288" s="116">
        <v>1759.2</v>
      </c>
      <c r="E1288" s="116">
        <v>1915</v>
      </c>
      <c r="F1288" s="116">
        <v>1769.85</v>
      </c>
      <c r="G1288">
        <v>519323</v>
      </c>
      <c r="H1288" s="116"/>
      <c r="I1288" s="116"/>
      <c r="L1288" s="170">
        <v>43902</v>
      </c>
      <c r="M1288" s="116">
        <v>1769.85</v>
      </c>
      <c r="N1288" s="116">
        <v>1908.4</v>
      </c>
      <c r="O1288" s="116">
        <v>1758.35</v>
      </c>
      <c r="P1288" s="116">
        <v>1904</v>
      </c>
      <c r="Q1288" s="116">
        <v>1769.85</v>
      </c>
      <c r="R1288">
        <v>8728972</v>
      </c>
    </row>
    <row r="1289" spans="1:18" x14ac:dyDescent="0.25">
      <c r="A1289" s="170">
        <v>43903</v>
      </c>
      <c r="B1289" s="116">
        <v>1819</v>
      </c>
      <c r="C1289" s="116">
        <v>1807.3</v>
      </c>
      <c r="D1289" s="116">
        <v>1504.4</v>
      </c>
      <c r="E1289" s="116">
        <v>1690.65</v>
      </c>
      <c r="F1289" s="116">
        <v>1807.3</v>
      </c>
      <c r="G1289">
        <v>364701</v>
      </c>
      <c r="H1289" s="116"/>
      <c r="I1289" s="116"/>
      <c r="L1289" s="170">
        <v>43903</v>
      </c>
      <c r="M1289" s="116">
        <v>1806.3</v>
      </c>
      <c r="N1289" s="116">
        <v>1820</v>
      </c>
      <c r="O1289" s="116">
        <v>1506.05</v>
      </c>
      <c r="P1289" s="116">
        <v>1687.9</v>
      </c>
      <c r="Q1289" s="116">
        <v>1806.3</v>
      </c>
      <c r="R1289">
        <v>8029725</v>
      </c>
    </row>
    <row r="1290" spans="1:18" x14ac:dyDescent="0.25">
      <c r="A1290" s="170">
        <v>43906</v>
      </c>
      <c r="B1290" s="116">
        <v>1843.35</v>
      </c>
      <c r="C1290" s="116">
        <v>1698.05</v>
      </c>
      <c r="D1290" s="116">
        <v>1677</v>
      </c>
      <c r="E1290" s="116">
        <v>1769</v>
      </c>
      <c r="F1290" s="116">
        <v>1698.05</v>
      </c>
      <c r="G1290">
        <v>225552</v>
      </c>
      <c r="H1290" s="116"/>
      <c r="I1290" s="116"/>
      <c r="L1290" s="170">
        <v>43906</v>
      </c>
      <c r="M1290" s="116">
        <v>1696.4</v>
      </c>
      <c r="N1290" s="116">
        <v>1842.25</v>
      </c>
      <c r="O1290" s="116">
        <v>1675.85</v>
      </c>
      <c r="P1290" s="116">
        <v>1755</v>
      </c>
      <c r="Q1290" s="116">
        <v>1696.4</v>
      </c>
      <c r="R1290">
        <v>7844420</v>
      </c>
    </row>
    <row r="1291" spans="1:18" x14ac:dyDescent="0.25">
      <c r="A1291" s="170">
        <v>43907</v>
      </c>
      <c r="B1291" s="116">
        <v>1731</v>
      </c>
      <c r="C1291" s="116">
        <v>1658.2</v>
      </c>
      <c r="D1291" s="116">
        <v>1623</v>
      </c>
      <c r="E1291" s="116">
        <v>1725</v>
      </c>
      <c r="F1291" s="116">
        <v>1658.2</v>
      </c>
      <c r="G1291">
        <v>239263</v>
      </c>
      <c r="H1291" s="116"/>
      <c r="I1291" s="116"/>
      <c r="L1291" s="170">
        <v>43907</v>
      </c>
      <c r="M1291" s="116">
        <v>1658</v>
      </c>
      <c r="N1291" s="116">
        <v>1731</v>
      </c>
      <c r="O1291" s="116">
        <v>1623.15</v>
      </c>
      <c r="P1291" s="116">
        <v>1730</v>
      </c>
      <c r="Q1291" s="116">
        <v>1658</v>
      </c>
      <c r="R1291">
        <v>5713269</v>
      </c>
    </row>
    <row r="1292" spans="1:18" x14ac:dyDescent="0.25">
      <c r="A1292" s="170">
        <v>43908</v>
      </c>
      <c r="B1292" s="116">
        <v>1712.35</v>
      </c>
      <c r="C1292" s="116">
        <v>1650.95</v>
      </c>
      <c r="D1292" s="116">
        <v>1628</v>
      </c>
      <c r="E1292" s="116">
        <v>1688</v>
      </c>
      <c r="F1292" s="116">
        <v>1650.95</v>
      </c>
      <c r="G1292">
        <v>204763</v>
      </c>
      <c r="H1292" s="116"/>
      <c r="I1292" s="116"/>
      <c r="L1292" s="170">
        <v>43908</v>
      </c>
      <c r="M1292" s="116">
        <v>1654.4</v>
      </c>
      <c r="N1292" s="116">
        <v>1713.55</v>
      </c>
      <c r="O1292" s="116">
        <v>1627.75</v>
      </c>
      <c r="P1292" s="116">
        <v>1676.8</v>
      </c>
      <c r="Q1292" s="116">
        <v>1654.4</v>
      </c>
      <c r="R1292">
        <v>7259111</v>
      </c>
    </row>
    <row r="1293" spans="1:18" x14ac:dyDescent="0.25">
      <c r="A1293" s="170">
        <v>43909</v>
      </c>
      <c r="B1293" s="116">
        <v>1685.75</v>
      </c>
      <c r="C1293" s="116">
        <v>1636.1</v>
      </c>
      <c r="D1293" s="116">
        <v>1547.3</v>
      </c>
      <c r="E1293" s="116">
        <v>1581</v>
      </c>
      <c r="F1293" s="116">
        <v>1636.1</v>
      </c>
      <c r="G1293">
        <v>244595</v>
      </c>
      <c r="H1293" s="116"/>
      <c r="I1293" s="116"/>
      <c r="L1293" s="170">
        <v>43909</v>
      </c>
      <c r="M1293" s="116">
        <v>1636.35</v>
      </c>
      <c r="N1293" s="116">
        <v>1685.45</v>
      </c>
      <c r="O1293" s="116">
        <v>1546.75</v>
      </c>
      <c r="P1293" s="116">
        <v>1559.7</v>
      </c>
      <c r="Q1293" s="116">
        <v>1636.35</v>
      </c>
      <c r="R1293">
        <v>5135162</v>
      </c>
    </row>
    <row r="1294" spans="1:18" x14ac:dyDescent="0.25">
      <c r="A1294" s="170">
        <v>43910</v>
      </c>
      <c r="B1294" s="116">
        <v>1867.95</v>
      </c>
      <c r="C1294" s="116">
        <v>1798</v>
      </c>
      <c r="D1294" s="116">
        <v>1627</v>
      </c>
      <c r="E1294" s="116">
        <v>1637</v>
      </c>
      <c r="F1294" s="116">
        <v>1798</v>
      </c>
      <c r="G1294">
        <v>330779</v>
      </c>
      <c r="H1294" s="116"/>
      <c r="I1294" s="116"/>
      <c r="L1294" s="170">
        <v>43910</v>
      </c>
      <c r="M1294" s="116">
        <v>1797.45</v>
      </c>
      <c r="N1294" s="116">
        <v>1869</v>
      </c>
      <c r="O1294" s="116">
        <v>1627</v>
      </c>
      <c r="P1294" s="116">
        <v>1630</v>
      </c>
      <c r="Q1294" s="116">
        <v>1797.45</v>
      </c>
      <c r="R1294">
        <v>8547645</v>
      </c>
    </row>
    <row r="1295" spans="1:18" x14ac:dyDescent="0.25">
      <c r="A1295" s="170">
        <v>43913</v>
      </c>
      <c r="B1295" s="116">
        <v>1742.55</v>
      </c>
      <c r="C1295" s="116">
        <v>1662.65</v>
      </c>
      <c r="D1295" s="116">
        <v>1620</v>
      </c>
      <c r="E1295" s="116">
        <v>1648.2</v>
      </c>
      <c r="F1295" s="116">
        <v>1662.65</v>
      </c>
      <c r="G1295">
        <v>173724</v>
      </c>
      <c r="H1295" s="116"/>
      <c r="I1295" s="116"/>
      <c r="L1295" s="170">
        <v>43913</v>
      </c>
      <c r="M1295" s="116">
        <v>1669.7</v>
      </c>
      <c r="N1295" s="116">
        <v>1750</v>
      </c>
      <c r="O1295" s="116">
        <v>1617.75</v>
      </c>
      <c r="P1295" s="116">
        <v>1620</v>
      </c>
      <c r="Q1295" s="116">
        <v>1669.7</v>
      </c>
      <c r="R1295">
        <v>7003558</v>
      </c>
    </row>
    <row r="1296" spans="1:18" x14ac:dyDescent="0.25">
      <c r="A1296" s="170">
        <v>43914</v>
      </c>
      <c r="B1296" s="116">
        <v>1767.6</v>
      </c>
      <c r="C1296" s="116">
        <v>1702.85</v>
      </c>
      <c r="D1296" s="116">
        <v>1652.05</v>
      </c>
      <c r="E1296" s="116">
        <v>1740</v>
      </c>
      <c r="F1296" s="116">
        <v>1702.85</v>
      </c>
      <c r="G1296">
        <v>156649</v>
      </c>
      <c r="H1296" s="116"/>
      <c r="I1296" s="116"/>
      <c r="L1296" s="170">
        <v>43914</v>
      </c>
      <c r="M1296" s="116">
        <v>1703.15</v>
      </c>
      <c r="N1296" s="116">
        <v>1770</v>
      </c>
      <c r="O1296" s="116">
        <v>1632.85</v>
      </c>
      <c r="P1296" s="116">
        <v>1653.05</v>
      </c>
      <c r="Q1296" s="116">
        <v>1703.15</v>
      </c>
      <c r="R1296">
        <v>6354209</v>
      </c>
    </row>
    <row r="1297" spans="1:18" x14ac:dyDescent="0.25">
      <c r="A1297" s="170">
        <v>43915</v>
      </c>
      <c r="B1297" s="116">
        <v>1810</v>
      </c>
      <c r="C1297" s="116">
        <v>1752.2</v>
      </c>
      <c r="D1297" s="116">
        <v>1681</v>
      </c>
      <c r="E1297" s="116">
        <v>1700</v>
      </c>
      <c r="F1297" s="116">
        <v>1752.2</v>
      </c>
      <c r="G1297">
        <v>104880</v>
      </c>
      <c r="H1297" s="116"/>
      <c r="I1297" s="116"/>
      <c r="L1297" s="170">
        <v>43915</v>
      </c>
      <c r="M1297" s="116">
        <v>1750.3</v>
      </c>
      <c r="N1297" s="116">
        <v>1810</v>
      </c>
      <c r="O1297" s="116">
        <v>1680</v>
      </c>
      <c r="P1297" s="116">
        <v>1700</v>
      </c>
      <c r="Q1297" s="116">
        <v>1750.3</v>
      </c>
      <c r="R1297">
        <v>2765527</v>
      </c>
    </row>
    <row r="1298" spans="1:18" x14ac:dyDescent="0.25">
      <c r="A1298" s="170">
        <v>43916</v>
      </c>
      <c r="B1298" s="116">
        <v>1880.9</v>
      </c>
      <c r="C1298" s="116">
        <v>1806.7</v>
      </c>
      <c r="D1298" s="116">
        <v>1723</v>
      </c>
      <c r="E1298" s="116">
        <v>1815</v>
      </c>
      <c r="F1298" s="116">
        <v>1806.7</v>
      </c>
      <c r="G1298">
        <v>143192</v>
      </c>
      <c r="H1298" s="116"/>
      <c r="I1298" s="116"/>
      <c r="L1298" s="170">
        <v>43916</v>
      </c>
      <c r="M1298" s="116">
        <v>1790.95</v>
      </c>
      <c r="N1298" s="116">
        <v>1832.05</v>
      </c>
      <c r="O1298" s="116">
        <v>1722.55</v>
      </c>
      <c r="P1298" s="116">
        <v>1831.6</v>
      </c>
      <c r="Q1298" s="116">
        <v>1790.95</v>
      </c>
      <c r="R1298">
        <v>4556071</v>
      </c>
    </row>
    <row r="1299" spans="1:18" x14ac:dyDescent="0.25">
      <c r="A1299" s="170">
        <v>43917</v>
      </c>
      <c r="B1299" s="116">
        <v>1850</v>
      </c>
      <c r="C1299" s="116">
        <v>1818.6</v>
      </c>
      <c r="D1299" s="116">
        <v>1752</v>
      </c>
      <c r="E1299" s="116">
        <v>1839</v>
      </c>
      <c r="F1299" s="116">
        <v>1818.6</v>
      </c>
      <c r="G1299">
        <v>197136</v>
      </c>
      <c r="H1299" s="116"/>
      <c r="I1299" s="116"/>
      <c r="L1299" s="170">
        <v>43917</v>
      </c>
      <c r="M1299" s="116">
        <v>1824.5</v>
      </c>
      <c r="N1299" s="116">
        <v>1850</v>
      </c>
      <c r="O1299" s="116">
        <v>1750.4</v>
      </c>
      <c r="P1299" s="116">
        <v>1820</v>
      </c>
      <c r="Q1299" s="116">
        <v>1824.5</v>
      </c>
      <c r="R1299">
        <v>4331310</v>
      </c>
    </row>
    <row r="1300" spans="1:18" x14ac:dyDescent="0.25">
      <c r="A1300" s="170">
        <v>43920</v>
      </c>
      <c r="B1300" s="116">
        <v>1907</v>
      </c>
      <c r="C1300" s="116">
        <v>1776.15</v>
      </c>
      <c r="D1300" s="116">
        <v>1763.35</v>
      </c>
      <c r="E1300" s="116">
        <v>1769</v>
      </c>
      <c r="F1300" s="116">
        <v>1776.15</v>
      </c>
      <c r="G1300">
        <v>1324734</v>
      </c>
      <c r="H1300" s="116"/>
      <c r="I1300" s="116"/>
      <c r="L1300" s="170">
        <v>43920</v>
      </c>
      <c r="M1300" s="116">
        <v>1778.5</v>
      </c>
      <c r="N1300" s="116">
        <v>1905</v>
      </c>
      <c r="O1300" s="116">
        <v>1763.55</v>
      </c>
      <c r="P1300" s="116">
        <v>1766</v>
      </c>
      <c r="Q1300" s="116">
        <v>1778.5</v>
      </c>
      <c r="R1300">
        <v>8513608</v>
      </c>
    </row>
    <row r="1301" spans="1:18" x14ac:dyDescent="0.25">
      <c r="A1301" s="170">
        <v>43921</v>
      </c>
      <c r="B1301" s="116">
        <v>1856</v>
      </c>
      <c r="C1301" s="116">
        <v>1823.05</v>
      </c>
      <c r="D1301" s="116">
        <v>1780</v>
      </c>
      <c r="E1301" s="116">
        <v>1826</v>
      </c>
      <c r="F1301" s="116">
        <v>1823.05</v>
      </c>
      <c r="G1301">
        <v>133416</v>
      </c>
      <c r="H1301" s="116"/>
      <c r="I1301" s="116"/>
      <c r="L1301" s="170">
        <v>43921</v>
      </c>
      <c r="M1301" s="116">
        <v>1826.1</v>
      </c>
      <c r="N1301" s="116">
        <v>1855</v>
      </c>
      <c r="O1301" s="116">
        <v>1780</v>
      </c>
      <c r="P1301" s="116">
        <v>1837.4</v>
      </c>
      <c r="Q1301" s="116">
        <v>1826.1</v>
      </c>
      <c r="R1301">
        <v>3927593</v>
      </c>
    </row>
    <row r="1302" spans="1:18" x14ac:dyDescent="0.25">
      <c r="A1302" s="170">
        <v>43922</v>
      </c>
      <c r="B1302" s="116">
        <v>1834</v>
      </c>
      <c r="C1302" s="116">
        <v>1709.55</v>
      </c>
      <c r="D1302" s="116">
        <v>1702.25</v>
      </c>
      <c r="E1302" s="116">
        <v>1830</v>
      </c>
      <c r="F1302" s="116">
        <v>1709.55</v>
      </c>
      <c r="G1302">
        <v>212968</v>
      </c>
      <c r="H1302" s="116"/>
      <c r="I1302" s="116"/>
      <c r="L1302" s="170">
        <v>43922</v>
      </c>
      <c r="M1302" s="116">
        <v>1708.75</v>
      </c>
      <c r="N1302" s="116">
        <v>1834.75</v>
      </c>
      <c r="O1302" s="116">
        <v>1702</v>
      </c>
      <c r="P1302" s="116">
        <v>1825.9</v>
      </c>
      <c r="Q1302" s="116">
        <v>1708.75</v>
      </c>
      <c r="R1302">
        <v>4941898</v>
      </c>
    </row>
    <row r="1303" spans="1:18" x14ac:dyDescent="0.25">
      <c r="A1303" s="170">
        <v>43924</v>
      </c>
      <c r="B1303" s="116">
        <v>1740</v>
      </c>
      <c r="C1303" s="116">
        <v>1654.4</v>
      </c>
      <c r="D1303" s="116">
        <v>1650</v>
      </c>
      <c r="E1303" s="116">
        <v>1731.3</v>
      </c>
      <c r="F1303" s="116">
        <v>1654.4</v>
      </c>
      <c r="G1303">
        <v>170043</v>
      </c>
      <c r="H1303" s="116"/>
      <c r="I1303" s="116"/>
      <c r="L1303" s="170">
        <v>43924</v>
      </c>
      <c r="M1303" s="116">
        <v>1654.2</v>
      </c>
      <c r="N1303" s="116">
        <v>1740</v>
      </c>
      <c r="O1303" s="116">
        <v>1650</v>
      </c>
      <c r="P1303" s="116">
        <v>1740</v>
      </c>
      <c r="Q1303" s="116">
        <v>1654.2</v>
      </c>
      <c r="R1303">
        <v>5735529</v>
      </c>
    </row>
    <row r="1304" spans="1:18" x14ac:dyDescent="0.25">
      <c r="A1304" s="170">
        <v>43928</v>
      </c>
      <c r="B1304" s="116">
        <v>1785</v>
      </c>
      <c r="C1304" s="116">
        <v>1775.05</v>
      </c>
      <c r="D1304" s="116">
        <v>1703.3</v>
      </c>
      <c r="E1304" s="116">
        <v>1703.3</v>
      </c>
      <c r="F1304" s="116">
        <v>1775.05</v>
      </c>
      <c r="G1304">
        <v>167673</v>
      </c>
      <c r="H1304" s="116"/>
      <c r="I1304" s="116"/>
      <c r="L1304" s="170">
        <v>43928</v>
      </c>
      <c r="M1304" s="116">
        <v>1775.2</v>
      </c>
      <c r="N1304" s="116">
        <v>1785.85</v>
      </c>
      <c r="O1304" s="116">
        <v>1705</v>
      </c>
      <c r="P1304" s="116">
        <v>1710</v>
      </c>
      <c r="Q1304" s="116">
        <v>1775.2</v>
      </c>
      <c r="R1304">
        <v>5427965</v>
      </c>
    </row>
    <row r="1305" spans="1:18" x14ac:dyDescent="0.25">
      <c r="A1305" s="170">
        <v>43929</v>
      </c>
      <c r="B1305" s="116">
        <v>1805</v>
      </c>
      <c r="C1305" s="116">
        <v>1705.6</v>
      </c>
      <c r="D1305" s="116">
        <v>1701</v>
      </c>
      <c r="E1305" s="116">
        <v>1760</v>
      </c>
      <c r="F1305" s="116">
        <v>1705.6</v>
      </c>
      <c r="G1305">
        <v>159832</v>
      </c>
      <c r="H1305" s="116"/>
      <c r="I1305" s="116"/>
      <c r="L1305" s="170">
        <v>43929</v>
      </c>
      <c r="M1305" s="116">
        <v>1705.45</v>
      </c>
      <c r="N1305" s="116">
        <v>1806</v>
      </c>
      <c r="O1305" s="116">
        <v>1701</v>
      </c>
      <c r="P1305" s="116">
        <v>1760</v>
      </c>
      <c r="Q1305" s="116">
        <v>1705.45</v>
      </c>
      <c r="R1305">
        <v>6285616</v>
      </c>
    </row>
    <row r="1306" spans="1:18" x14ac:dyDescent="0.25">
      <c r="A1306" s="170">
        <v>43930</v>
      </c>
      <c r="B1306" s="116">
        <v>1778.45</v>
      </c>
      <c r="C1306" s="116">
        <v>1765.9</v>
      </c>
      <c r="D1306" s="116">
        <v>1733</v>
      </c>
      <c r="E1306" s="116">
        <v>1745</v>
      </c>
      <c r="F1306" s="116">
        <v>1765.9</v>
      </c>
      <c r="G1306">
        <v>126479</v>
      </c>
      <c r="H1306" s="116"/>
      <c r="I1306" s="116"/>
      <c r="L1306" s="170">
        <v>43930</v>
      </c>
      <c r="M1306" s="116">
        <v>1766.15</v>
      </c>
      <c r="N1306" s="116">
        <v>1778.8</v>
      </c>
      <c r="O1306" s="116">
        <v>1731.2</v>
      </c>
      <c r="P1306" s="116">
        <v>1750.45</v>
      </c>
      <c r="Q1306" s="116">
        <v>1766.15</v>
      </c>
      <c r="R1306">
        <v>5307649</v>
      </c>
    </row>
    <row r="1307" spans="1:18" x14ac:dyDescent="0.25">
      <c r="A1307" s="170">
        <v>43934</v>
      </c>
      <c r="B1307" s="116">
        <v>1786</v>
      </c>
      <c r="C1307" s="116">
        <v>1758.4</v>
      </c>
      <c r="D1307" s="116">
        <v>1747</v>
      </c>
      <c r="E1307" s="116">
        <v>1769.8</v>
      </c>
      <c r="F1307" s="116">
        <v>1758.4</v>
      </c>
      <c r="G1307">
        <v>72307</v>
      </c>
      <c r="H1307" s="116"/>
      <c r="I1307" s="116"/>
      <c r="L1307" s="170">
        <v>43934</v>
      </c>
      <c r="M1307" s="116">
        <v>1759.25</v>
      </c>
      <c r="N1307" s="116">
        <v>1787</v>
      </c>
      <c r="O1307" s="116">
        <v>1746</v>
      </c>
      <c r="P1307" s="116">
        <v>1761</v>
      </c>
      <c r="Q1307" s="116">
        <v>1759.25</v>
      </c>
      <c r="R1307">
        <v>2990478</v>
      </c>
    </row>
    <row r="1308" spans="1:18" x14ac:dyDescent="0.25">
      <c r="A1308" s="170">
        <v>43936</v>
      </c>
      <c r="B1308" s="116">
        <v>1812.25</v>
      </c>
      <c r="C1308" s="116">
        <v>1734.45</v>
      </c>
      <c r="D1308" s="116">
        <v>1728.9</v>
      </c>
      <c r="E1308" s="116">
        <v>1770</v>
      </c>
      <c r="F1308" s="116">
        <v>1734.45</v>
      </c>
      <c r="G1308">
        <v>150148</v>
      </c>
      <c r="H1308" s="116"/>
      <c r="I1308" s="116"/>
      <c r="L1308" s="170">
        <v>43936</v>
      </c>
      <c r="M1308" s="116">
        <v>1735.15</v>
      </c>
      <c r="N1308" s="116">
        <v>1812</v>
      </c>
      <c r="O1308" s="116">
        <v>1727.8</v>
      </c>
      <c r="P1308" s="116">
        <v>1785</v>
      </c>
      <c r="Q1308" s="116">
        <v>1735.15</v>
      </c>
      <c r="R1308">
        <v>4761401</v>
      </c>
    </row>
    <row r="1309" spans="1:18" x14ac:dyDescent="0.25">
      <c r="A1309" s="170">
        <v>43937</v>
      </c>
      <c r="B1309" s="116">
        <v>1762.9</v>
      </c>
      <c r="C1309" s="116">
        <v>1715.6</v>
      </c>
      <c r="D1309" s="116">
        <v>1677.6</v>
      </c>
      <c r="E1309" s="116">
        <v>1701</v>
      </c>
      <c r="F1309" s="116">
        <v>1715.6</v>
      </c>
      <c r="G1309">
        <v>240124</v>
      </c>
      <c r="H1309" s="116"/>
      <c r="I1309" s="116"/>
      <c r="L1309" s="170">
        <v>43937</v>
      </c>
      <c r="M1309" s="116">
        <v>1716.05</v>
      </c>
      <c r="N1309" s="116">
        <v>1764.9</v>
      </c>
      <c r="O1309" s="116">
        <v>1675.05</v>
      </c>
      <c r="P1309" s="116">
        <v>1709.95</v>
      </c>
      <c r="Q1309" s="116">
        <v>1716.05</v>
      </c>
      <c r="R1309">
        <v>6245583</v>
      </c>
    </row>
    <row r="1310" spans="1:18" x14ac:dyDescent="0.25">
      <c r="A1310" s="170">
        <v>43938</v>
      </c>
      <c r="B1310" s="116">
        <v>1851.85</v>
      </c>
      <c r="C1310" s="116">
        <v>1806.8</v>
      </c>
      <c r="D1310" s="116">
        <v>1752.8</v>
      </c>
      <c r="E1310" s="116">
        <v>1800</v>
      </c>
      <c r="F1310" s="116">
        <v>1806.8</v>
      </c>
      <c r="G1310">
        <v>309427</v>
      </c>
      <c r="H1310" s="116"/>
      <c r="I1310" s="116"/>
      <c r="L1310" s="170">
        <v>43938</v>
      </c>
      <c r="M1310" s="116">
        <v>1806.2</v>
      </c>
      <c r="N1310" s="116">
        <v>1851.95</v>
      </c>
      <c r="O1310" s="116">
        <v>1753</v>
      </c>
      <c r="P1310" s="116">
        <v>1800</v>
      </c>
      <c r="Q1310" s="116">
        <v>1806.2</v>
      </c>
      <c r="R1310">
        <v>9895825</v>
      </c>
    </row>
    <row r="1311" spans="1:18" x14ac:dyDescent="0.25">
      <c r="A1311" s="170">
        <v>43941</v>
      </c>
      <c r="B1311" s="116">
        <v>1829</v>
      </c>
      <c r="C1311" s="116">
        <v>1818.8</v>
      </c>
      <c r="D1311" s="116">
        <v>1803</v>
      </c>
      <c r="E1311" s="116">
        <v>1827</v>
      </c>
      <c r="F1311" s="116">
        <v>1818.8</v>
      </c>
      <c r="G1311">
        <v>101688</v>
      </c>
      <c r="H1311" s="116"/>
      <c r="I1311" s="116"/>
      <c r="L1311" s="170">
        <v>43941</v>
      </c>
      <c r="M1311" s="116">
        <v>1818.65</v>
      </c>
      <c r="N1311" s="116">
        <v>1830</v>
      </c>
      <c r="O1311" s="116">
        <v>1802.5</v>
      </c>
      <c r="P1311" s="116">
        <v>1830</v>
      </c>
      <c r="Q1311" s="116">
        <v>1818.65</v>
      </c>
      <c r="R1311">
        <v>3244293</v>
      </c>
    </row>
    <row r="1312" spans="1:18" x14ac:dyDescent="0.25">
      <c r="A1312" s="170">
        <v>43942</v>
      </c>
      <c r="B1312" s="116">
        <v>1794</v>
      </c>
      <c r="C1312" s="116">
        <v>1737.25</v>
      </c>
      <c r="D1312" s="116">
        <v>1728.75</v>
      </c>
      <c r="E1312" s="116">
        <v>1775</v>
      </c>
      <c r="F1312" s="116">
        <v>1737.25</v>
      </c>
      <c r="G1312">
        <v>149222</v>
      </c>
      <c r="H1312" s="116"/>
      <c r="I1312" s="116"/>
      <c r="L1312" s="170">
        <v>43942</v>
      </c>
      <c r="M1312" s="116">
        <v>1737.65</v>
      </c>
      <c r="N1312" s="116">
        <v>1794.6</v>
      </c>
      <c r="O1312" s="116">
        <v>1727.7</v>
      </c>
      <c r="P1312" s="116">
        <v>1765</v>
      </c>
      <c r="Q1312" s="116">
        <v>1737.65</v>
      </c>
      <c r="R1312">
        <v>5122606</v>
      </c>
    </row>
    <row r="1313" spans="1:18" x14ac:dyDescent="0.25">
      <c r="A1313" s="170">
        <v>43943</v>
      </c>
      <c r="B1313" s="116">
        <v>1789.1</v>
      </c>
      <c r="C1313" s="116">
        <v>1771.2</v>
      </c>
      <c r="D1313" s="116">
        <v>1720.35</v>
      </c>
      <c r="E1313" s="116">
        <v>1746</v>
      </c>
      <c r="F1313" s="116">
        <v>1771.2</v>
      </c>
      <c r="G1313">
        <v>103696</v>
      </c>
      <c r="H1313" s="116"/>
      <c r="I1313" s="116"/>
      <c r="L1313" s="170">
        <v>43943</v>
      </c>
      <c r="M1313" s="116">
        <v>1769.5</v>
      </c>
      <c r="N1313" s="116">
        <v>1790</v>
      </c>
      <c r="O1313" s="116">
        <v>1719.15</v>
      </c>
      <c r="P1313" s="116">
        <v>1737.65</v>
      </c>
      <c r="Q1313" s="116">
        <v>1769.5</v>
      </c>
      <c r="R1313">
        <v>3829839</v>
      </c>
    </row>
    <row r="1314" spans="1:18" x14ac:dyDescent="0.25">
      <c r="A1314" s="170">
        <v>43944</v>
      </c>
      <c r="B1314" s="116">
        <v>1891.7</v>
      </c>
      <c r="C1314" s="116">
        <v>1876.9</v>
      </c>
      <c r="D1314" s="116">
        <v>1768.05</v>
      </c>
      <c r="E1314" s="116">
        <v>1786</v>
      </c>
      <c r="F1314" s="116">
        <v>1876.9</v>
      </c>
      <c r="G1314">
        <v>453645</v>
      </c>
      <c r="H1314" s="116"/>
      <c r="I1314" s="116"/>
      <c r="L1314" s="170">
        <v>43944</v>
      </c>
      <c r="M1314" s="116">
        <v>1878.25</v>
      </c>
      <c r="N1314" s="116">
        <v>1900</v>
      </c>
      <c r="O1314" s="116">
        <v>1760.85</v>
      </c>
      <c r="P1314" s="116">
        <v>1780</v>
      </c>
      <c r="Q1314" s="116">
        <v>1878.25</v>
      </c>
      <c r="R1314">
        <v>5934424</v>
      </c>
    </row>
    <row r="1315" spans="1:18" x14ac:dyDescent="0.25">
      <c r="A1315" s="170">
        <v>43945</v>
      </c>
      <c r="B1315" s="116">
        <v>1851.6</v>
      </c>
      <c r="C1315" s="116">
        <v>1818.3</v>
      </c>
      <c r="D1315" s="116">
        <v>1807.5</v>
      </c>
      <c r="E1315" s="116">
        <v>1840.1</v>
      </c>
      <c r="F1315" s="116">
        <v>1818.3</v>
      </c>
      <c r="G1315">
        <v>93384</v>
      </c>
      <c r="H1315" s="116"/>
      <c r="I1315" s="116"/>
      <c r="L1315" s="170">
        <v>43945</v>
      </c>
      <c r="M1315" s="116">
        <v>1818.55</v>
      </c>
      <c r="N1315" s="116">
        <v>1851.95</v>
      </c>
      <c r="O1315" s="116">
        <v>1807.8</v>
      </c>
      <c r="P1315" s="116">
        <v>1840.7</v>
      </c>
      <c r="Q1315" s="116">
        <v>1818.55</v>
      </c>
      <c r="R1315">
        <v>2987150</v>
      </c>
    </row>
    <row r="1316" spans="1:18" x14ac:dyDescent="0.25">
      <c r="A1316" s="170">
        <v>43948</v>
      </c>
      <c r="B1316" s="116">
        <v>1875</v>
      </c>
      <c r="C1316" s="116">
        <v>1837.3</v>
      </c>
      <c r="D1316" s="116">
        <v>1825.95</v>
      </c>
      <c r="E1316" s="116">
        <v>1830.1</v>
      </c>
      <c r="F1316" s="116">
        <v>1837.3</v>
      </c>
      <c r="G1316">
        <v>82109</v>
      </c>
      <c r="H1316" s="116"/>
      <c r="I1316" s="116"/>
      <c r="L1316" s="170">
        <v>43948</v>
      </c>
      <c r="M1316" s="116">
        <v>1836.6</v>
      </c>
      <c r="N1316" s="116">
        <v>1875</v>
      </c>
      <c r="O1316" s="116">
        <v>1825</v>
      </c>
      <c r="P1316" s="116">
        <v>1832.3</v>
      </c>
      <c r="Q1316" s="116">
        <v>1836.6</v>
      </c>
      <c r="R1316">
        <v>3374747</v>
      </c>
    </row>
    <row r="1317" spans="1:18" x14ac:dyDescent="0.25">
      <c r="A1317" s="170">
        <v>43949</v>
      </c>
      <c r="B1317" s="116">
        <v>1867</v>
      </c>
      <c r="C1317" s="116">
        <v>1859.4</v>
      </c>
      <c r="D1317" s="116">
        <v>1833</v>
      </c>
      <c r="E1317" s="116">
        <v>1866.5</v>
      </c>
      <c r="F1317" s="116">
        <v>1859.4</v>
      </c>
      <c r="G1317">
        <v>56291</v>
      </c>
      <c r="H1317" s="116"/>
      <c r="I1317" s="116"/>
      <c r="L1317" s="170">
        <v>43949</v>
      </c>
      <c r="M1317" s="116">
        <v>1859.05</v>
      </c>
      <c r="N1317" s="116">
        <v>1868</v>
      </c>
      <c r="O1317" s="116">
        <v>1832.6</v>
      </c>
      <c r="P1317" s="116">
        <v>1865</v>
      </c>
      <c r="Q1317" s="116">
        <v>1859.05</v>
      </c>
      <c r="R1317">
        <v>2678512</v>
      </c>
    </row>
    <row r="1318" spans="1:18" x14ac:dyDescent="0.25">
      <c r="A1318" s="170">
        <v>43950</v>
      </c>
      <c r="B1318" s="116">
        <v>1911.3</v>
      </c>
      <c r="C1318" s="116">
        <v>1905.2</v>
      </c>
      <c r="D1318" s="116">
        <v>1851</v>
      </c>
      <c r="E1318" s="116">
        <v>1872.35</v>
      </c>
      <c r="F1318" s="116">
        <v>1905.2</v>
      </c>
      <c r="G1318">
        <v>138273</v>
      </c>
      <c r="H1318" s="116"/>
      <c r="I1318" s="116"/>
      <c r="L1318" s="170">
        <v>43950</v>
      </c>
      <c r="M1318" s="116">
        <v>1905.65</v>
      </c>
      <c r="N1318" s="116">
        <v>1912.55</v>
      </c>
      <c r="O1318" s="116">
        <v>1850.05</v>
      </c>
      <c r="P1318" s="116">
        <v>1874</v>
      </c>
      <c r="Q1318" s="116">
        <v>1905.65</v>
      </c>
      <c r="R1318">
        <v>4241579</v>
      </c>
    </row>
    <row r="1319" spans="1:18" x14ac:dyDescent="0.25">
      <c r="A1319" s="170">
        <v>43951</v>
      </c>
      <c r="B1319" s="116">
        <v>2030</v>
      </c>
      <c r="C1319" s="116">
        <v>2014.85</v>
      </c>
      <c r="D1319" s="116">
        <v>1943</v>
      </c>
      <c r="E1319" s="116">
        <v>1963</v>
      </c>
      <c r="F1319" s="116">
        <v>2014.85</v>
      </c>
      <c r="G1319">
        <v>146238</v>
      </c>
      <c r="H1319" s="116"/>
      <c r="I1319" s="116"/>
      <c r="L1319" s="170">
        <v>43951</v>
      </c>
      <c r="M1319" s="116">
        <v>2014.45</v>
      </c>
      <c r="N1319" s="116">
        <v>2032</v>
      </c>
      <c r="O1319" s="116">
        <v>1942.2</v>
      </c>
      <c r="P1319" s="116">
        <v>1980</v>
      </c>
      <c r="Q1319" s="116">
        <v>2014.45</v>
      </c>
      <c r="R1319">
        <v>5915950</v>
      </c>
    </row>
    <row r="1320" spans="1:18" x14ac:dyDescent="0.25">
      <c r="A1320" s="170">
        <v>43955</v>
      </c>
      <c r="B1320" s="116">
        <v>1965</v>
      </c>
      <c r="C1320" s="116">
        <v>1929.15</v>
      </c>
      <c r="D1320" s="116">
        <v>1914.05</v>
      </c>
      <c r="E1320" s="116">
        <v>1960</v>
      </c>
      <c r="F1320" s="116">
        <v>1929.15</v>
      </c>
      <c r="G1320">
        <v>117290</v>
      </c>
      <c r="H1320" s="116"/>
      <c r="I1320" s="116"/>
      <c r="L1320" s="170">
        <v>43955</v>
      </c>
      <c r="M1320" s="116">
        <v>1930.45</v>
      </c>
      <c r="N1320" s="116">
        <v>1966</v>
      </c>
      <c r="O1320" s="116">
        <v>1913.65</v>
      </c>
      <c r="P1320" s="116">
        <v>1966</v>
      </c>
      <c r="Q1320" s="116">
        <v>1930.45</v>
      </c>
      <c r="R1320">
        <v>3729409</v>
      </c>
    </row>
    <row r="1321" spans="1:18" x14ac:dyDescent="0.25">
      <c r="A1321" s="170">
        <v>43956</v>
      </c>
      <c r="B1321" s="116">
        <v>1976</v>
      </c>
      <c r="C1321" s="116">
        <v>1931.5</v>
      </c>
      <c r="D1321" s="116">
        <v>1926.15</v>
      </c>
      <c r="E1321" s="116">
        <v>1960</v>
      </c>
      <c r="F1321" s="116">
        <v>1931.5</v>
      </c>
      <c r="G1321">
        <v>67646</v>
      </c>
      <c r="H1321" s="116"/>
      <c r="I1321" s="116"/>
      <c r="L1321" s="170">
        <v>43956</v>
      </c>
      <c r="M1321" s="116">
        <v>1932.75</v>
      </c>
      <c r="N1321" s="116">
        <v>1977</v>
      </c>
      <c r="O1321" s="116">
        <v>1927</v>
      </c>
      <c r="P1321" s="116">
        <v>1955.1</v>
      </c>
      <c r="Q1321" s="116">
        <v>1932.75</v>
      </c>
      <c r="R1321">
        <v>2905541</v>
      </c>
    </row>
    <row r="1322" spans="1:18" x14ac:dyDescent="0.25">
      <c r="A1322" s="170">
        <v>43957</v>
      </c>
      <c r="B1322" s="116">
        <v>1953.3</v>
      </c>
      <c r="C1322" s="116">
        <v>1904.25</v>
      </c>
      <c r="D1322" s="116">
        <v>1895.05</v>
      </c>
      <c r="E1322" s="116">
        <v>1935</v>
      </c>
      <c r="F1322" s="116">
        <v>1904.25</v>
      </c>
      <c r="G1322">
        <v>84763</v>
      </c>
      <c r="H1322" s="116"/>
      <c r="I1322" s="116"/>
      <c r="L1322" s="170">
        <v>43957</v>
      </c>
      <c r="M1322" s="116">
        <v>1903.6</v>
      </c>
      <c r="N1322" s="116">
        <v>1953.7</v>
      </c>
      <c r="O1322" s="116">
        <v>1893.6</v>
      </c>
      <c r="P1322" s="116">
        <v>1939.8</v>
      </c>
      <c r="Q1322" s="116">
        <v>1903.6</v>
      </c>
      <c r="R1322">
        <v>3517432</v>
      </c>
    </row>
    <row r="1323" spans="1:18" x14ac:dyDescent="0.25">
      <c r="A1323" s="170">
        <v>43958</v>
      </c>
      <c r="B1323" s="116">
        <v>1934.75</v>
      </c>
      <c r="C1323" s="116">
        <v>1891.25</v>
      </c>
      <c r="D1323" s="116">
        <v>1886.3</v>
      </c>
      <c r="E1323" s="116">
        <v>1917</v>
      </c>
      <c r="F1323" s="116">
        <v>1891.25</v>
      </c>
      <c r="G1323">
        <v>86388</v>
      </c>
      <c r="H1323" s="116"/>
      <c r="I1323" s="116"/>
      <c r="L1323" s="170">
        <v>43958</v>
      </c>
      <c r="M1323" s="116">
        <v>1891.65</v>
      </c>
      <c r="N1323" s="116">
        <v>1934.45</v>
      </c>
      <c r="O1323" s="116">
        <v>1883.35</v>
      </c>
      <c r="P1323" s="116">
        <v>1910</v>
      </c>
      <c r="Q1323" s="116">
        <v>1891.65</v>
      </c>
      <c r="R1323">
        <v>3166784</v>
      </c>
    </row>
    <row r="1324" spans="1:18" x14ac:dyDescent="0.25">
      <c r="A1324" s="170">
        <v>43959</v>
      </c>
      <c r="B1324" s="116">
        <v>1945</v>
      </c>
      <c r="C1324" s="116">
        <v>1893.5</v>
      </c>
      <c r="D1324" s="116">
        <v>1887</v>
      </c>
      <c r="E1324" s="116">
        <v>1945</v>
      </c>
      <c r="F1324" s="116">
        <v>1893.5</v>
      </c>
      <c r="G1324">
        <v>64653</v>
      </c>
      <c r="H1324" s="116"/>
      <c r="I1324" s="116"/>
      <c r="L1324" s="170">
        <v>43959</v>
      </c>
      <c r="M1324" s="116">
        <v>1893.4</v>
      </c>
      <c r="N1324" s="116">
        <v>1939.5</v>
      </c>
      <c r="O1324" s="116">
        <v>1886.25</v>
      </c>
      <c r="P1324" s="116">
        <v>1939.1</v>
      </c>
      <c r="Q1324" s="116">
        <v>1893.4</v>
      </c>
      <c r="R1324">
        <v>2686536</v>
      </c>
    </row>
    <row r="1325" spans="1:18" x14ac:dyDescent="0.25">
      <c r="A1325" s="170">
        <v>43962</v>
      </c>
      <c r="B1325" s="116">
        <v>1952.1</v>
      </c>
      <c r="C1325" s="116">
        <v>1935.3</v>
      </c>
      <c r="D1325" s="116">
        <v>1909.85</v>
      </c>
      <c r="E1325" s="116">
        <v>1920</v>
      </c>
      <c r="F1325" s="116">
        <v>1935.3</v>
      </c>
      <c r="G1325">
        <v>212252</v>
      </c>
      <c r="H1325" s="116"/>
      <c r="I1325" s="116"/>
      <c r="L1325" s="170">
        <v>43962</v>
      </c>
      <c r="M1325" s="116">
        <v>1935.3</v>
      </c>
      <c r="N1325" s="116">
        <v>1951.4</v>
      </c>
      <c r="O1325" s="116">
        <v>1909</v>
      </c>
      <c r="P1325" s="116">
        <v>1909</v>
      </c>
      <c r="Q1325" s="116">
        <v>1935.3</v>
      </c>
      <c r="R1325">
        <v>2449846</v>
      </c>
    </row>
    <row r="1326" spans="1:18" x14ac:dyDescent="0.25">
      <c r="A1326" s="170">
        <v>43963</v>
      </c>
      <c r="B1326" s="116">
        <v>1957.2</v>
      </c>
      <c r="C1326" s="116">
        <v>1948.95</v>
      </c>
      <c r="D1326" s="116">
        <v>1911.35</v>
      </c>
      <c r="E1326" s="116">
        <v>1928</v>
      </c>
      <c r="F1326" s="116">
        <v>1948.95</v>
      </c>
      <c r="G1326">
        <v>97123</v>
      </c>
      <c r="H1326" s="116"/>
      <c r="I1326" s="116"/>
      <c r="L1326" s="170">
        <v>43963</v>
      </c>
      <c r="M1326" s="116">
        <v>1949.5</v>
      </c>
      <c r="N1326" s="116">
        <v>1956.5</v>
      </c>
      <c r="O1326" s="116">
        <v>1910.25</v>
      </c>
      <c r="P1326" s="116">
        <v>1933.4</v>
      </c>
      <c r="Q1326" s="116">
        <v>1949.5</v>
      </c>
      <c r="R1326">
        <v>3256630</v>
      </c>
    </row>
    <row r="1327" spans="1:18" x14ac:dyDescent="0.25">
      <c r="A1327" s="170">
        <v>43964</v>
      </c>
      <c r="B1327" s="116">
        <v>1999</v>
      </c>
      <c r="C1327" s="116">
        <v>1949.45</v>
      </c>
      <c r="D1327" s="116">
        <v>1926.3</v>
      </c>
      <c r="E1327" s="116">
        <v>1999</v>
      </c>
      <c r="F1327" s="116">
        <v>1949.45</v>
      </c>
      <c r="G1327">
        <v>63153</v>
      </c>
      <c r="H1327" s="116"/>
      <c r="I1327" s="116"/>
      <c r="L1327" s="170">
        <v>43964</v>
      </c>
      <c r="M1327" s="116">
        <v>1949.65</v>
      </c>
      <c r="N1327" s="116">
        <v>1994</v>
      </c>
      <c r="O1327" s="116">
        <v>1925.65</v>
      </c>
      <c r="P1327" s="116">
        <v>1994</v>
      </c>
      <c r="Q1327" s="116">
        <v>1949.65</v>
      </c>
      <c r="R1327">
        <v>2656665</v>
      </c>
    </row>
    <row r="1328" spans="1:18" x14ac:dyDescent="0.25">
      <c r="A1328" s="170">
        <v>43965</v>
      </c>
      <c r="B1328" s="116">
        <v>1922.4</v>
      </c>
      <c r="C1328" s="116">
        <v>1900.8</v>
      </c>
      <c r="D1328" s="116">
        <v>1892</v>
      </c>
      <c r="E1328" s="116">
        <v>1922</v>
      </c>
      <c r="F1328" s="116">
        <v>1900.8</v>
      </c>
      <c r="G1328">
        <v>67890</v>
      </c>
      <c r="H1328" s="116"/>
      <c r="I1328" s="116"/>
      <c r="L1328" s="170">
        <v>43965</v>
      </c>
      <c r="M1328" s="116">
        <v>1902.35</v>
      </c>
      <c r="N1328" s="116">
        <v>1923.1</v>
      </c>
      <c r="O1328" s="116">
        <v>1891.1</v>
      </c>
      <c r="P1328" s="116">
        <v>1910</v>
      </c>
      <c r="Q1328" s="116">
        <v>1902.35</v>
      </c>
      <c r="R1328">
        <v>2263204</v>
      </c>
    </row>
    <row r="1329" spans="1:18" x14ac:dyDescent="0.25">
      <c r="A1329" s="170">
        <v>43966</v>
      </c>
      <c r="B1329" s="116">
        <v>1919</v>
      </c>
      <c r="C1329" s="116">
        <v>1893.3</v>
      </c>
      <c r="D1329" s="116">
        <v>1867</v>
      </c>
      <c r="E1329" s="116">
        <v>1908</v>
      </c>
      <c r="F1329" s="116">
        <v>1893.3</v>
      </c>
      <c r="G1329">
        <v>72171</v>
      </c>
      <c r="H1329" s="116"/>
      <c r="I1329" s="116"/>
      <c r="L1329" s="170">
        <v>43966</v>
      </c>
      <c r="M1329" s="116">
        <v>1892.9</v>
      </c>
      <c r="N1329" s="116">
        <v>1917.4</v>
      </c>
      <c r="O1329" s="116">
        <v>1865.2</v>
      </c>
      <c r="P1329" s="116">
        <v>1916</v>
      </c>
      <c r="Q1329" s="116">
        <v>1892.9</v>
      </c>
      <c r="R1329">
        <v>3173682</v>
      </c>
    </row>
    <row r="1330" spans="1:18" x14ac:dyDescent="0.25">
      <c r="A1330" s="170">
        <v>43969</v>
      </c>
      <c r="B1330" s="116">
        <v>1949.45</v>
      </c>
      <c r="C1330" s="116">
        <v>1944.85</v>
      </c>
      <c r="D1330" s="116">
        <v>1873.6</v>
      </c>
      <c r="E1330" s="116">
        <v>1901</v>
      </c>
      <c r="F1330" s="116">
        <v>1944.85</v>
      </c>
      <c r="G1330">
        <v>97858</v>
      </c>
      <c r="H1330" s="116"/>
      <c r="I1330" s="116"/>
      <c r="L1330" s="170">
        <v>43969</v>
      </c>
      <c r="M1330" s="116">
        <v>1945.6</v>
      </c>
      <c r="N1330" s="116">
        <v>1952.95</v>
      </c>
      <c r="O1330" s="116">
        <v>1872.1</v>
      </c>
      <c r="P1330" s="116">
        <v>1907</v>
      </c>
      <c r="Q1330" s="116">
        <v>1945.6</v>
      </c>
      <c r="R1330">
        <v>3727896</v>
      </c>
    </row>
    <row r="1331" spans="1:18" x14ac:dyDescent="0.25">
      <c r="A1331" s="170">
        <v>43970</v>
      </c>
      <c r="B1331" s="116">
        <v>1965.8</v>
      </c>
      <c r="C1331" s="116">
        <v>1948.25</v>
      </c>
      <c r="D1331" s="116">
        <v>1869.5</v>
      </c>
      <c r="E1331" s="116">
        <v>1869.5</v>
      </c>
      <c r="F1331" s="116">
        <v>1948.25</v>
      </c>
      <c r="G1331">
        <v>547420</v>
      </c>
      <c r="H1331" s="116"/>
      <c r="I1331" s="116"/>
      <c r="L1331" s="170">
        <v>43970</v>
      </c>
      <c r="M1331" s="116">
        <v>1948.65</v>
      </c>
      <c r="N1331" s="116">
        <v>1966.45</v>
      </c>
      <c r="O1331" s="116">
        <v>1903</v>
      </c>
      <c r="P1331" s="116">
        <v>1903</v>
      </c>
      <c r="Q1331" s="116">
        <v>1948.65</v>
      </c>
      <c r="R1331">
        <v>3198699</v>
      </c>
    </row>
    <row r="1332" spans="1:18" x14ac:dyDescent="0.25">
      <c r="A1332" s="170">
        <v>43971</v>
      </c>
      <c r="B1332" s="116">
        <v>1963.1</v>
      </c>
      <c r="C1332" s="116">
        <v>1952.45</v>
      </c>
      <c r="D1332" s="116">
        <v>1932.8</v>
      </c>
      <c r="E1332" s="116">
        <v>1945.2</v>
      </c>
      <c r="F1332" s="116">
        <v>1952.45</v>
      </c>
      <c r="G1332">
        <v>68859</v>
      </c>
      <c r="H1332" s="116"/>
      <c r="I1332" s="116"/>
      <c r="L1332" s="170">
        <v>43971</v>
      </c>
      <c r="M1332" s="116">
        <v>1953.6</v>
      </c>
      <c r="N1332" s="116">
        <v>1962.9</v>
      </c>
      <c r="O1332" s="116">
        <v>1931.7</v>
      </c>
      <c r="P1332" s="116">
        <v>1950</v>
      </c>
      <c r="Q1332" s="116">
        <v>1953.6</v>
      </c>
      <c r="R1332">
        <v>2778505</v>
      </c>
    </row>
    <row r="1333" spans="1:18" x14ac:dyDescent="0.25">
      <c r="A1333" s="170">
        <v>43972</v>
      </c>
      <c r="B1333" s="116">
        <v>1997</v>
      </c>
      <c r="C1333" s="116">
        <v>1991.55</v>
      </c>
      <c r="D1333" s="116">
        <v>1942.05</v>
      </c>
      <c r="E1333" s="116">
        <v>1952.8</v>
      </c>
      <c r="F1333" s="116">
        <v>1991.55</v>
      </c>
      <c r="G1333">
        <v>73577</v>
      </c>
      <c r="H1333" s="116"/>
      <c r="I1333" s="116"/>
      <c r="L1333" s="170">
        <v>43972</v>
      </c>
      <c r="M1333" s="116">
        <v>1991.2</v>
      </c>
      <c r="N1333" s="116">
        <v>1998</v>
      </c>
      <c r="O1333" s="116">
        <v>1941.15</v>
      </c>
      <c r="P1333" s="116">
        <v>1946</v>
      </c>
      <c r="Q1333" s="116">
        <v>1991.2</v>
      </c>
      <c r="R1333">
        <v>3400925</v>
      </c>
    </row>
    <row r="1334" spans="1:18" x14ac:dyDescent="0.25">
      <c r="A1334" s="170">
        <v>43973</v>
      </c>
      <c r="B1334" s="116">
        <v>2030</v>
      </c>
      <c r="C1334" s="116">
        <v>2018.95</v>
      </c>
      <c r="D1334" s="116">
        <v>1966</v>
      </c>
      <c r="E1334" s="116">
        <v>1973</v>
      </c>
      <c r="F1334" s="116">
        <v>2018.95</v>
      </c>
      <c r="G1334">
        <v>84400</v>
      </c>
      <c r="H1334" s="116"/>
      <c r="I1334" s="116"/>
      <c r="L1334" s="170">
        <v>43973</v>
      </c>
      <c r="M1334" s="116">
        <v>2020.35</v>
      </c>
      <c r="N1334" s="116">
        <v>2032</v>
      </c>
      <c r="O1334" s="116">
        <v>1961.25</v>
      </c>
      <c r="P1334" s="116">
        <v>1977.1</v>
      </c>
      <c r="Q1334" s="116">
        <v>2020.35</v>
      </c>
      <c r="R1334">
        <v>3663422</v>
      </c>
    </row>
    <row r="1335" spans="1:18" x14ac:dyDescent="0.25">
      <c r="A1335" s="170">
        <v>43977</v>
      </c>
      <c r="B1335" s="116">
        <v>2022</v>
      </c>
      <c r="C1335" s="116">
        <v>1943.35</v>
      </c>
      <c r="D1335" s="116">
        <v>1925</v>
      </c>
      <c r="E1335" s="116">
        <v>2020</v>
      </c>
      <c r="F1335" s="116">
        <v>1943.35</v>
      </c>
      <c r="G1335">
        <v>111751</v>
      </c>
      <c r="H1335" s="116"/>
      <c r="I1335" s="116"/>
      <c r="L1335" s="170">
        <v>43977</v>
      </c>
      <c r="M1335" s="116">
        <v>1943</v>
      </c>
      <c r="N1335" s="116">
        <v>2024</v>
      </c>
      <c r="O1335" s="116">
        <v>1925</v>
      </c>
      <c r="P1335" s="116">
        <v>2015</v>
      </c>
      <c r="Q1335" s="116">
        <v>1943</v>
      </c>
      <c r="R1335">
        <v>4575512</v>
      </c>
    </row>
    <row r="1336" spans="1:18" x14ac:dyDescent="0.25">
      <c r="A1336" s="170">
        <v>43978</v>
      </c>
      <c r="B1336" s="116">
        <v>2010</v>
      </c>
      <c r="C1336" s="116">
        <v>2005.1</v>
      </c>
      <c r="D1336" s="116">
        <v>1941.2</v>
      </c>
      <c r="E1336" s="116">
        <v>1956.1</v>
      </c>
      <c r="F1336" s="116">
        <v>2005.1</v>
      </c>
      <c r="G1336">
        <v>85566</v>
      </c>
      <c r="H1336" s="116"/>
      <c r="I1336" s="116"/>
      <c r="L1336" s="170">
        <v>43978</v>
      </c>
      <c r="M1336" s="116">
        <v>2005.3</v>
      </c>
      <c r="N1336" s="116">
        <v>2010</v>
      </c>
      <c r="O1336" s="116">
        <v>1941.25</v>
      </c>
      <c r="P1336" s="116">
        <v>1959</v>
      </c>
      <c r="Q1336" s="116">
        <v>2005.3</v>
      </c>
      <c r="R1336">
        <v>3482185</v>
      </c>
    </row>
    <row r="1337" spans="1:18" x14ac:dyDescent="0.25">
      <c r="A1337" s="170">
        <v>43979</v>
      </c>
      <c r="B1337" s="116">
        <v>2013</v>
      </c>
      <c r="C1337" s="116">
        <v>2005.2</v>
      </c>
      <c r="D1337" s="116">
        <v>1971.25</v>
      </c>
      <c r="E1337" s="116">
        <v>1996.7</v>
      </c>
      <c r="F1337" s="116">
        <v>2005.2</v>
      </c>
      <c r="G1337">
        <v>110455</v>
      </c>
      <c r="H1337" s="116"/>
      <c r="I1337" s="116"/>
      <c r="L1337" s="170">
        <v>43979</v>
      </c>
      <c r="M1337" s="116">
        <v>2004.3</v>
      </c>
      <c r="N1337" s="116">
        <v>2014</v>
      </c>
      <c r="O1337" s="116">
        <v>1971.3</v>
      </c>
      <c r="P1337" s="116">
        <v>1988.5</v>
      </c>
      <c r="Q1337" s="116">
        <v>2004.3</v>
      </c>
      <c r="R1337">
        <v>3475788</v>
      </c>
    </row>
    <row r="1338" spans="1:18" x14ac:dyDescent="0.25">
      <c r="A1338" s="170">
        <v>43980</v>
      </c>
      <c r="B1338" s="116">
        <v>2002.35</v>
      </c>
      <c r="C1338" s="116">
        <v>1971.55</v>
      </c>
      <c r="D1338" s="116">
        <v>1962.9</v>
      </c>
      <c r="E1338" s="116">
        <v>1995</v>
      </c>
      <c r="F1338" s="116">
        <v>1971.55</v>
      </c>
      <c r="G1338">
        <v>222964</v>
      </c>
      <c r="H1338" s="116"/>
      <c r="I1338" s="116"/>
      <c r="L1338" s="170">
        <v>43980</v>
      </c>
      <c r="M1338" s="116">
        <v>1972.35</v>
      </c>
      <c r="N1338" s="116">
        <v>2002.65</v>
      </c>
      <c r="O1338" s="116">
        <v>1962.4</v>
      </c>
      <c r="P1338" s="116">
        <v>1982</v>
      </c>
      <c r="Q1338" s="116">
        <v>1972.35</v>
      </c>
      <c r="R1338">
        <v>7237765</v>
      </c>
    </row>
    <row r="1339" spans="1:18" x14ac:dyDescent="0.25">
      <c r="A1339" s="170">
        <v>43983</v>
      </c>
      <c r="B1339" s="116">
        <v>2060</v>
      </c>
      <c r="C1339" s="116">
        <v>2044.65</v>
      </c>
      <c r="D1339" s="116">
        <v>1982</v>
      </c>
      <c r="E1339" s="116">
        <v>1995</v>
      </c>
      <c r="F1339" s="116">
        <v>2044.65</v>
      </c>
      <c r="G1339">
        <v>129607</v>
      </c>
      <c r="H1339" s="116"/>
      <c r="I1339" s="116"/>
      <c r="L1339" s="170">
        <v>43983</v>
      </c>
      <c r="M1339" s="116">
        <v>2045.25</v>
      </c>
      <c r="N1339" s="116">
        <v>2060</v>
      </c>
      <c r="O1339" s="116">
        <v>1981.1</v>
      </c>
      <c r="P1339" s="116">
        <v>1990</v>
      </c>
      <c r="Q1339" s="116">
        <v>2045.25</v>
      </c>
      <c r="R1339">
        <v>3747850</v>
      </c>
    </row>
    <row r="1340" spans="1:18" x14ac:dyDescent="0.25">
      <c r="A1340" s="170">
        <v>43984</v>
      </c>
      <c r="B1340" s="116">
        <v>2081</v>
      </c>
      <c r="C1340" s="116">
        <v>2046.9</v>
      </c>
      <c r="D1340" s="116">
        <v>2040</v>
      </c>
      <c r="E1340" s="116">
        <v>2054.9</v>
      </c>
      <c r="F1340" s="116">
        <v>2046.9</v>
      </c>
      <c r="G1340">
        <v>74927</v>
      </c>
      <c r="H1340" s="116"/>
      <c r="I1340" s="116"/>
      <c r="L1340" s="170">
        <v>43984</v>
      </c>
      <c r="M1340" s="116">
        <v>2047.15</v>
      </c>
      <c r="N1340" s="116">
        <v>2081</v>
      </c>
      <c r="O1340" s="116">
        <v>2040.05</v>
      </c>
      <c r="P1340" s="116">
        <v>2060.1999999999998</v>
      </c>
      <c r="Q1340" s="116">
        <v>2047.15</v>
      </c>
      <c r="R1340">
        <v>2443886</v>
      </c>
    </row>
    <row r="1341" spans="1:18" x14ac:dyDescent="0.25">
      <c r="A1341" s="170">
        <v>43985</v>
      </c>
      <c r="B1341" s="116">
        <v>2064</v>
      </c>
      <c r="C1341" s="116">
        <v>2045.35</v>
      </c>
      <c r="D1341" s="116">
        <v>2019.6</v>
      </c>
      <c r="E1341" s="116">
        <v>2047.15</v>
      </c>
      <c r="F1341" s="116">
        <v>2045.35</v>
      </c>
      <c r="G1341">
        <v>96580</v>
      </c>
      <c r="H1341" s="116"/>
      <c r="I1341" s="116"/>
      <c r="L1341" s="170">
        <v>43985</v>
      </c>
      <c r="M1341" s="116">
        <v>2046.15</v>
      </c>
      <c r="N1341" s="116">
        <v>2063.75</v>
      </c>
      <c r="O1341" s="116">
        <v>2020</v>
      </c>
      <c r="P1341" s="116">
        <v>2051.85</v>
      </c>
      <c r="Q1341" s="116">
        <v>2046.15</v>
      </c>
      <c r="R1341">
        <v>3699799</v>
      </c>
    </row>
    <row r="1342" spans="1:18" x14ac:dyDescent="0.25">
      <c r="A1342" s="170">
        <v>43986</v>
      </c>
      <c r="B1342" s="116">
        <v>2100</v>
      </c>
      <c r="C1342" s="116">
        <v>2093.9</v>
      </c>
      <c r="D1342" s="116">
        <v>2045.35</v>
      </c>
      <c r="E1342" s="116">
        <v>2045.35</v>
      </c>
      <c r="F1342" s="116">
        <v>2093.9</v>
      </c>
      <c r="G1342">
        <v>115956</v>
      </c>
      <c r="H1342" s="116"/>
      <c r="I1342" s="116"/>
      <c r="L1342" s="170">
        <v>43986</v>
      </c>
      <c r="M1342" s="116">
        <v>2091.5500000000002</v>
      </c>
      <c r="N1342" s="116">
        <v>2100</v>
      </c>
      <c r="O1342" s="116">
        <v>2046.75</v>
      </c>
      <c r="P1342" s="116">
        <v>2046.75</v>
      </c>
      <c r="Q1342" s="116">
        <v>2091.5500000000002</v>
      </c>
      <c r="R1342">
        <v>4048593</v>
      </c>
    </row>
    <row r="1343" spans="1:18" x14ac:dyDescent="0.25">
      <c r="A1343" s="170">
        <v>43987</v>
      </c>
      <c r="B1343" s="116">
        <v>2094.9499999999998</v>
      </c>
      <c r="C1343" s="116">
        <v>2048.1</v>
      </c>
      <c r="D1343" s="116">
        <v>2040.9</v>
      </c>
      <c r="E1343" s="116">
        <v>2093.9</v>
      </c>
      <c r="F1343" s="116">
        <v>2048.1</v>
      </c>
      <c r="G1343">
        <v>133484</v>
      </c>
      <c r="H1343" s="116"/>
      <c r="I1343" s="116"/>
      <c r="L1343" s="170">
        <v>43987</v>
      </c>
      <c r="M1343" s="116">
        <v>2048.25</v>
      </c>
      <c r="N1343" s="116">
        <v>2098</v>
      </c>
      <c r="O1343" s="116">
        <v>2040.3</v>
      </c>
      <c r="P1343" s="116">
        <v>2091.6</v>
      </c>
      <c r="Q1343" s="116">
        <v>2048.25</v>
      </c>
      <c r="R1343">
        <v>3573299</v>
      </c>
    </row>
    <row r="1344" spans="1:18" x14ac:dyDescent="0.25">
      <c r="A1344" s="170">
        <v>43990</v>
      </c>
      <c r="B1344" s="116">
        <v>2095</v>
      </c>
      <c r="C1344" s="116">
        <v>2071.4</v>
      </c>
      <c r="D1344" s="116">
        <v>2062.6</v>
      </c>
      <c r="E1344" s="116">
        <v>2073</v>
      </c>
      <c r="F1344" s="116">
        <v>2071.4</v>
      </c>
      <c r="G1344">
        <v>248364</v>
      </c>
      <c r="H1344" s="116"/>
      <c r="I1344" s="116"/>
      <c r="L1344" s="170">
        <v>43990</v>
      </c>
      <c r="M1344" s="116">
        <v>2071.75</v>
      </c>
      <c r="N1344" s="116">
        <v>2095</v>
      </c>
      <c r="O1344" s="116">
        <v>2062.1</v>
      </c>
      <c r="P1344" s="116">
        <v>2078.25</v>
      </c>
      <c r="Q1344" s="116">
        <v>2071.75</v>
      </c>
      <c r="R1344">
        <v>2957841</v>
      </c>
    </row>
    <row r="1345" spans="1:18" x14ac:dyDescent="0.25">
      <c r="A1345" s="170">
        <v>43991</v>
      </c>
      <c r="B1345" s="116">
        <v>2096.85</v>
      </c>
      <c r="C1345" s="116">
        <v>2073.35</v>
      </c>
      <c r="D1345" s="116">
        <v>2061.1</v>
      </c>
      <c r="E1345" s="116">
        <v>2068.9</v>
      </c>
      <c r="F1345" s="116">
        <v>2073.35</v>
      </c>
      <c r="G1345">
        <v>72244</v>
      </c>
      <c r="H1345" s="116"/>
      <c r="I1345" s="116"/>
      <c r="L1345" s="170">
        <v>43991</v>
      </c>
      <c r="M1345" s="116">
        <v>2072.0500000000002</v>
      </c>
      <c r="N1345" s="116">
        <v>2095.5</v>
      </c>
      <c r="O1345" s="116">
        <v>2060.25</v>
      </c>
      <c r="P1345" s="116">
        <v>2063.1</v>
      </c>
      <c r="Q1345" s="116">
        <v>2072.0500000000002</v>
      </c>
      <c r="R1345">
        <v>2910152</v>
      </c>
    </row>
    <row r="1346" spans="1:18" x14ac:dyDescent="0.25">
      <c r="A1346" s="170">
        <v>43992</v>
      </c>
      <c r="B1346" s="116">
        <v>2132.0500000000002</v>
      </c>
      <c r="C1346" s="116">
        <v>2108.3000000000002</v>
      </c>
      <c r="D1346" s="116">
        <v>2073</v>
      </c>
      <c r="E1346" s="116">
        <v>2073</v>
      </c>
      <c r="F1346" s="116">
        <v>2108.3000000000002</v>
      </c>
      <c r="G1346">
        <v>183320</v>
      </c>
      <c r="H1346" s="116"/>
      <c r="I1346" s="116"/>
      <c r="L1346" s="170">
        <v>43992</v>
      </c>
      <c r="M1346" s="116">
        <v>2108.75</v>
      </c>
      <c r="N1346" s="116">
        <v>2132</v>
      </c>
      <c r="O1346" s="116">
        <v>2073.5</v>
      </c>
      <c r="P1346" s="116">
        <v>2077.0500000000002</v>
      </c>
      <c r="Q1346" s="116">
        <v>2108.75</v>
      </c>
      <c r="R1346">
        <v>5168494</v>
      </c>
    </row>
    <row r="1347" spans="1:18" x14ac:dyDescent="0.25">
      <c r="A1347" s="170">
        <v>43993</v>
      </c>
      <c r="B1347" s="116">
        <v>2103.75</v>
      </c>
      <c r="C1347" s="116">
        <v>2067.8000000000002</v>
      </c>
      <c r="D1347" s="116">
        <v>2062.5</v>
      </c>
      <c r="E1347" s="116">
        <v>2102</v>
      </c>
      <c r="F1347" s="116">
        <v>2067.8000000000002</v>
      </c>
      <c r="G1347">
        <v>80173</v>
      </c>
      <c r="H1347" s="116"/>
      <c r="I1347" s="116"/>
      <c r="L1347" s="170">
        <v>43993</v>
      </c>
      <c r="M1347" s="116">
        <v>2067.65</v>
      </c>
      <c r="N1347" s="116">
        <v>2105</v>
      </c>
      <c r="O1347" s="116">
        <v>2061.8000000000002</v>
      </c>
      <c r="P1347" s="116">
        <v>2100</v>
      </c>
      <c r="Q1347" s="116">
        <v>2067.65</v>
      </c>
      <c r="R1347">
        <v>2269569</v>
      </c>
    </row>
    <row r="1348" spans="1:18" x14ac:dyDescent="0.25">
      <c r="A1348" s="170">
        <v>43994</v>
      </c>
      <c r="B1348" s="116">
        <v>2049</v>
      </c>
      <c r="C1348" s="116">
        <v>2038.7</v>
      </c>
      <c r="D1348" s="116">
        <v>2009</v>
      </c>
      <c r="E1348" s="116">
        <v>2009</v>
      </c>
      <c r="F1348" s="116">
        <v>2038.7</v>
      </c>
      <c r="G1348">
        <v>94325</v>
      </c>
      <c r="H1348" s="116"/>
      <c r="I1348" s="116"/>
      <c r="L1348" s="170">
        <v>43994</v>
      </c>
      <c r="M1348" s="116">
        <v>2039.5</v>
      </c>
      <c r="N1348" s="116">
        <v>2049.1999999999998</v>
      </c>
      <c r="O1348" s="116">
        <v>2011</v>
      </c>
      <c r="P1348" s="116">
        <v>2011.2</v>
      </c>
      <c r="Q1348" s="116">
        <v>2039.5</v>
      </c>
      <c r="R1348">
        <v>2842757</v>
      </c>
    </row>
    <row r="1349" spans="1:18" x14ac:dyDescent="0.25">
      <c r="A1349" s="170">
        <v>43997</v>
      </c>
      <c r="B1349" s="116">
        <v>2058</v>
      </c>
      <c r="C1349" s="116">
        <v>2030.05</v>
      </c>
      <c r="D1349" s="116">
        <v>2000.6</v>
      </c>
      <c r="E1349" s="116">
        <v>2040</v>
      </c>
      <c r="F1349" s="116">
        <v>2030.05</v>
      </c>
      <c r="G1349">
        <v>70028</v>
      </c>
      <c r="H1349" s="116"/>
      <c r="I1349" s="116"/>
      <c r="L1349" s="170">
        <v>43997</v>
      </c>
      <c r="M1349" s="116">
        <v>2029.9</v>
      </c>
      <c r="N1349" s="116">
        <v>2059</v>
      </c>
      <c r="O1349" s="116">
        <v>2000.95</v>
      </c>
      <c r="P1349" s="116">
        <v>2039.1</v>
      </c>
      <c r="Q1349" s="116">
        <v>2029.9</v>
      </c>
      <c r="R1349">
        <v>2399028</v>
      </c>
    </row>
    <row r="1350" spans="1:18" x14ac:dyDescent="0.25">
      <c r="A1350" s="170">
        <v>43998</v>
      </c>
      <c r="B1350" s="116">
        <v>2072.5500000000002</v>
      </c>
      <c r="C1350" s="116">
        <v>2044.95</v>
      </c>
      <c r="D1350" s="116">
        <v>2031</v>
      </c>
      <c r="E1350" s="116">
        <v>2061</v>
      </c>
      <c r="F1350" s="116">
        <v>2044.95</v>
      </c>
      <c r="G1350">
        <v>274912</v>
      </c>
      <c r="H1350" s="116"/>
      <c r="I1350" s="116"/>
      <c r="L1350" s="170">
        <v>43998</v>
      </c>
      <c r="M1350" s="116">
        <v>2045.8</v>
      </c>
      <c r="N1350" s="116">
        <v>2073.9499999999998</v>
      </c>
      <c r="O1350" s="116">
        <v>2031</v>
      </c>
      <c r="P1350" s="116">
        <v>2065</v>
      </c>
      <c r="Q1350" s="116">
        <v>2045.8</v>
      </c>
      <c r="R1350">
        <v>2146528</v>
      </c>
    </row>
    <row r="1351" spans="1:18" x14ac:dyDescent="0.25">
      <c r="A1351" s="170">
        <v>43999</v>
      </c>
      <c r="B1351" s="116">
        <v>2058.9</v>
      </c>
      <c r="C1351" s="116">
        <v>2047.75</v>
      </c>
      <c r="D1351" s="116">
        <v>2027.65</v>
      </c>
      <c r="E1351" s="116">
        <v>2042</v>
      </c>
      <c r="F1351" s="116">
        <v>2047.75</v>
      </c>
      <c r="G1351">
        <v>1555595</v>
      </c>
      <c r="H1351" s="116"/>
      <c r="I1351" s="116"/>
      <c r="L1351" s="170">
        <v>43999</v>
      </c>
      <c r="M1351" s="116">
        <v>2047.8</v>
      </c>
      <c r="N1351" s="116">
        <v>2058.85</v>
      </c>
      <c r="O1351" s="116">
        <v>2026.55</v>
      </c>
      <c r="P1351" s="116">
        <v>2046</v>
      </c>
      <c r="Q1351" s="116">
        <v>2047.8</v>
      </c>
      <c r="R1351">
        <v>2703546</v>
      </c>
    </row>
    <row r="1352" spans="1:18" x14ac:dyDescent="0.25">
      <c r="A1352" s="170">
        <v>44000</v>
      </c>
      <c r="B1352" s="116">
        <v>2059</v>
      </c>
      <c r="C1352" s="116">
        <v>2036.8</v>
      </c>
      <c r="D1352" s="116">
        <v>2026</v>
      </c>
      <c r="E1352" s="116">
        <v>2035.05</v>
      </c>
      <c r="F1352" s="116">
        <v>2036.8</v>
      </c>
      <c r="G1352">
        <v>107922</v>
      </c>
      <c r="H1352" s="116"/>
      <c r="I1352" s="116"/>
      <c r="L1352" s="170">
        <v>44000</v>
      </c>
      <c r="M1352" s="116">
        <v>2038.1</v>
      </c>
      <c r="N1352" s="116">
        <v>2059.1999999999998</v>
      </c>
      <c r="O1352" s="116">
        <v>2025.2</v>
      </c>
      <c r="P1352" s="116">
        <v>2045</v>
      </c>
      <c r="Q1352" s="116">
        <v>2038.1</v>
      </c>
      <c r="R1352">
        <v>1944471</v>
      </c>
    </row>
    <row r="1353" spans="1:18" x14ac:dyDescent="0.25">
      <c r="A1353" s="170">
        <v>44001</v>
      </c>
      <c r="B1353" s="116">
        <v>2090</v>
      </c>
      <c r="C1353" s="116">
        <v>2047.05</v>
      </c>
      <c r="D1353" s="116">
        <v>2032.2</v>
      </c>
      <c r="E1353" s="116">
        <v>2046.9</v>
      </c>
      <c r="F1353" s="116">
        <v>2047.05</v>
      </c>
      <c r="G1353">
        <v>154262</v>
      </c>
      <c r="H1353" s="116"/>
      <c r="I1353" s="116"/>
      <c r="L1353" s="170">
        <v>44001</v>
      </c>
      <c r="M1353" s="116">
        <v>2044.6</v>
      </c>
      <c r="N1353" s="116">
        <v>2090</v>
      </c>
      <c r="O1353" s="116">
        <v>2032</v>
      </c>
      <c r="P1353" s="116">
        <v>2042</v>
      </c>
      <c r="Q1353" s="116">
        <v>2044.6</v>
      </c>
      <c r="R1353">
        <v>5681784</v>
      </c>
    </row>
    <row r="1354" spans="1:18" x14ac:dyDescent="0.25">
      <c r="A1354" s="170">
        <v>44004</v>
      </c>
      <c r="B1354" s="116">
        <v>2050</v>
      </c>
      <c r="C1354" s="116">
        <v>2028.3</v>
      </c>
      <c r="D1354" s="116">
        <v>2020</v>
      </c>
      <c r="E1354" s="116">
        <v>2045.05</v>
      </c>
      <c r="F1354" s="116">
        <v>2028.3</v>
      </c>
      <c r="G1354">
        <v>210773</v>
      </c>
      <c r="H1354" s="116"/>
      <c r="I1354" s="116"/>
      <c r="L1354" s="170">
        <v>44004</v>
      </c>
      <c r="M1354" s="116">
        <v>2027.95</v>
      </c>
      <c r="N1354" s="116">
        <v>2052.25</v>
      </c>
      <c r="O1354" s="116">
        <v>2019.15</v>
      </c>
      <c r="P1354" s="116">
        <v>2050</v>
      </c>
      <c r="Q1354" s="116">
        <v>2027.95</v>
      </c>
      <c r="R1354">
        <v>3196138</v>
      </c>
    </row>
    <row r="1355" spans="1:18" x14ac:dyDescent="0.25">
      <c r="A1355" s="170">
        <v>44005</v>
      </c>
      <c r="B1355" s="116">
        <v>2043.85</v>
      </c>
      <c r="C1355" s="116">
        <v>2035.4</v>
      </c>
      <c r="D1355" s="116">
        <v>2010</v>
      </c>
      <c r="E1355" s="116">
        <v>2017</v>
      </c>
      <c r="F1355" s="116">
        <v>2035.4</v>
      </c>
      <c r="G1355">
        <v>925309</v>
      </c>
      <c r="H1355" s="116"/>
      <c r="I1355" s="116"/>
      <c r="L1355" s="170">
        <v>44005</v>
      </c>
      <c r="M1355" s="116">
        <v>2035.3</v>
      </c>
      <c r="N1355" s="116">
        <v>2044</v>
      </c>
      <c r="O1355" s="116">
        <v>2010</v>
      </c>
      <c r="P1355" s="116">
        <v>2027</v>
      </c>
      <c r="Q1355" s="116">
        <v>2035.3</v>
      </c>
      <c r="R1355">
        <v>4206122</v>
      </c>
    </row>
    <row r="1356" spans="1:18" x14ac:dyDescent="0.25">
      <c r="A1356" s="170">
        <v>44006</v>
      </c>
      <c r="B1356" s="116">
        <v>2064</v>
      </c>
      <c r="C1356" s="116">
        <v>2042.35</v>
      </c>
      <c r="D1356" s="116">
        <v>2033.75</v>
      </c>
      <c r="E1356" s="116">
        <v>2037</v>
      </c>
      <c r="F1356" s="116">
        <v>2042.35</v>
      </c>
      <c r="G1356">
        <v>183408</v>
      </c>
      <c r="H1356" s="116"/>
      <c r="I1356" s="116"/>
      <c r="L1356" s="170">
        <v>44006</v>
      </c>
      <c r="M1356" s="116">
        <v>2042.2</v>
      </c>
      <c r="N1356" s="116">
        <v>2064.25</v>
      </c>
      <c r="O1356" s="116">
        <v>2031.6</v>
      </c>
      <c r="P1356" s="116">
        <v>2034</v>
      </c>
      <c r="Q1356" s="116">
        <v>2042.2</v>
      </c>
      <c r="R1356">
        <v>2560951</v>
      </c>
    </row>
    <row r="1357" spans="1:18" x14ac:dyDescent="0.25">
      <c r="A1357" s="170">
        <v>44007</v>
      </c>
      <c r="B1357" s="116">
        <v>2059.75</v>
      </c>
      <c r="C1357" s="116">
        <v>2010.9</v>
      </c>
      <c r="D1357" s="116">
        <v>2008</v>
      </c>
      <c r="E1357" s="116">
        <v>2027.25</v>
      </c>
      <c r="F1357" s="116">
        <v>2010.9</v>
      </c>
      <c r="G1357">
        <v>401416</v>
      </c>
      <c r="H1357" s="116"/>
      <c r="I1357" s="116"/>
      <c r="L1357" s="170">
        <v>44007</v>
      </c>
      <c r="M1357" s="116">
        <v>2016.1</v>
      </c>
      <c r="N1357" s="116">
        <v>2060</v>
      </c>
      <c r="O1357" s="116">
        <v>2009.25</v>
      </c>
      <c r="P1357" s="116">
        <v>2035</v>
      </c>
      <c r="Q1357" s="116">
        <v>2016.1</v>
      </c>
      <c r="R1357">
        <v>3044089</v>
      </c>
    </row>
    <row r="1358" spans="1:18" x14ac:dyDescent="0.25">
      <c r="A1358" s="170">
        <v>44008</v>
      </c>
      <c r="B1358" s="116">
        <v>2129.8000000000002</v>
      </c>
      <c r="C1358" s="116">
        <v>2115.6</v>
      </c>
      <c r="D1358" s="116">
        <v>2020</v>
      </c>
      <c r="E1358" s="116">
        <v>2025</v>
      </c>
      <c r="F1358" s="116">
        <v>2115.6</v>
      </c>
      <c r="G1358">
        <v>285133</v>
      </c>
      <c r="H1358" s="116"/>
      <c r="I1358" s="116"/>
      <c r="L1358" s="170">
        <v>44008</v>
      </c>
      <c r="M1358" s="116">
        <v>2118.85</v>
      </c>
      <c r="N1358" s="116">
        <v>2132</v>
      </c>
      <c r="O1358" s="116">
        <v>2019.95</v>
      </c>
      <c r="P1358" s="116">
        <v>2025</v>
      </c>
      <c r="Q1358" s="116">
        <v>2118.85</v>
      </c>
      <c r="R1358">
        <v>6300912</v>
      </c>
    </row>
    <row r="1359" spans="1:18" x14ac:dyDescent="0.25">
      <c r="A1359" s="170">
        <v>44011</v>
      </c>
      <c r="B1359" s="116">
        <v>2127</v>
      </c>
      <c r="C1359" s="116">
        <v>2101.85</v>
      </c>
      <c r="D1359" s="116">
        <v>2091.8000000000002</v>
      </c>
      <c r="E1359" s="116">
        <v>2114</v>
      </c>
      <c r="F1359" s="116">
        <v>2101.85</v>
      </c>
      <c r="G1359">
        <v>113144</v>
      </c>
      <c r="H1359" s="116"/>
      <c r="I1359" s="116"/>
      <c r="L1359" s="170">
        <v>44011</v>
      </c>
      <c r="M1359" s="116">
        <v>2101.65</v>
      </c>
      <c r="N1359" s="116">
        <v>2127.6</v>
      </c>
      <c r="O1359" s="116">
        <v>2091.3000000000002</v>
      </c>
      <c r="P1359" s="116">
        <v>2108</v>
      </c>
      <c r="Q1359" s="116">
        <v>2101.65</v>
      </c>
      <c r="R1359">
        <v>3076344</v>
      </c>
    </row>
    <row r="1360" spans="1:18" x14ac:dyDescent="0.25">
      <c r="A1360" s="170">
        <v>44012</v>
      </c>
      <c r="B1360" s="116">
        <v>2111</v>
      </c>
      <c r="C1360" s="116">
        <v>2082.1999999999998</v>
      </c>
      <c r="D1360" s="116">
        <v>2075.85</v>
      </c>
      <c r="E1360" s="116">
        <v>2090</v>
      </c>
      <c r="F1360" s="116">
        <v>2082.1999999999998</v>
      </c>
      <c r="G1360">
        <v>144796</v>
      </c>
      <c r="H1360" s="116"/>
      <c r="I1360" s="116"/>
      <c r="L1360" s="170">
        <v>44012</v>
      </c>
      <c r="M1360" s="116">
        <v>2082.15</v>
      </c>
      <c r="N1360" s="116">
        <v>2111.9</v>
      </c>
      <c r="O1360" s="116">
        <v>2075.0500000000002</v>
      </c>
      <c r="P1360" s="116">
        <v>2100</v>
      </c>
      <c r="Q1360" s="116">
        <v>2082.15</v>
      </c>
      <c r="R1360">
        <v>3071877</v>
      </c>
    </row>
    <row r="1361" spans="1:18" x14ac:dyDescent="0.25">
      <c r="A1361" s="170">
        <v>44013</v>
      </c>
      <c r="B1361" s="116">
        <v>2113.65</v>
      </c>
      <c r="C1361" s="116">
        <v>2092.5500000000002</v>
      </c>
      <c r="D1361" s="116">
        <v>2081.5500000000002</v>
      </c>
      <c r="E1361" s="116">
        <v>2085.0500000000002</v>
      </c>
      <c r="F1361" s="116">
        <v>2092.5500000000002</v>
      </c>
      <c r="G1361">
        <v>85048</v>
      </c>
      <c r="H1361" s="116"/>
      <c r="I1361" s="116"/>
      <c r="L1361" s="170">
        <v>44013</v>
      </c>
      <c r="M1361" s="116">
        <v>2092.0500000000002</v>
      </c>
      <c r="N1361" s="116">
        <v>2113.9499999999998</v>
      </c>
      <c r="O1361" s="116">
        <v>2079.5</v>
      </c>
      <c r="P1361" s="116">
        <v>2079.6999999999998</v>
      </c>
      <c r="Q1361" s="116">
        <v>2092.0500000000002</v>
      </c>
      <c r="R1361">
        <v>2503466</v>
      </c>
    </row>
    <row r="1362" spans="1:18" x14ac:dyDescent="0.25">
      <c r="A1362" s="170">
        <v>44014</v>
      </c>
      <c r="B1362" s="116">
        <v>2165</v>
      </c>
      <c r="C1362" s="116">
        <v>2158.35</v>
      </c>
      <c r="D1362" s="116">
        <v>2096.1</v>
      </c>
      <c r="E1362" s="116">
        <v>2096.1</v>
      </c>
      <c r="F1362" s="116">
        <v>2158.35</v>
      </c>
      <c r="G1362">
        <v>159176</v>
      </c>
      <c r="H1362" s="116"/>
      <c r="I1362" s="116"/>
      <c r="L1362" s="170">
        <v>44014</v>
      </c>
      <c r="M1362" s="116">
        <v>2157.15</v>
      </c>
      <c r="N1362" s="116">
        <v>2165</v>
      </c>
      <c r="O1362" s="116">
        <v>2098</v>
      </c>
      <c r="P1362" s="116">
        <v>2102</v>
      </c>
      <c r="Q1362" s="116">
        <v>2157.15</v>
      </c>
      <c r="R1362">
        <v>3758709</v>
      </c>
    </row>
    <row r="1363" spans="1:18" x14ac:dyDescent="0.25">
      <c r="A1363" s="170">
        <v>44015</v>
      </c>
      <c r="B1363" s="116">
        <v>2203.15</v>
      </c>
      <c r="C1363" s="116">
        <v>2199</v>
      </c>
      <c r="D1363" s="116">
        <v>2160.0500000000002</v>
      </c>
      <c r="E1363" s="116">
        <v>2160.0500000000002</v>
      </c>
      <c r="F1363" s="116">
        <v>2199</v>
      </c>
      <c r="G1363">
        <v>129718</v>
      </c>
      <c r="H1363" s="116"/>
      <c r="I1363" s="116"/>
      <c r="L1363" s="170">
        <v>44015</v>
      </c>
      <c r="M1363" s="116">
        <v>2199.65</v>
      </c>
      <c r="N1363" s="116">
        <v>2205</v>
      </c>
      <c r="O1363" s="116">
        <v>2160.25</v>
      </c>
      <c r="P1363" s="116">
        <v>2163.65</v>
      </c>
      <c r="Q1363" s="116">
        <v>2199.65</v>
      </c>
      <c r="R1363">
        <v>4185215</v>
      </c>
    </row>
    <row r="1364" spans="1:18" x14ac:dyDescent="0.25">
      <c r="A1364" s="170">
        <v>44018</v>
      </c>
      <c r="B1364" s="116">
        <v>2269</v>
      </c>
      <c r="C1364" s="116">
        <v>2263.1</v>
      </c>
      <c r="D1364" s="116">
        <v>2206.25</v>
      </c>
      <c r="E1364" s="116">
        <v>2208.6999999999998</v>
      </c>
      <c r="F1364" s="116">
        <v>2263.1</v>
      </c>
      <c r="G1364">
        <v>1248594</v>
      </c>
      <c r="H1364" s="116"/>
      <c r="I1364" s="116"/>
      <c r="L1364" s="170">
        <v>44018</v>
      </c>
      <c r="M1364" s="116">
        <v>2263.1999999999998</v>
      </c>
      <c r="N1364" s="116">
        <v>2269.9</v>
      </c>
      <c r="O1364" s="116">
        <v>2205</v>
      </c>
      <c r="P1364" s="116">
        <v>2205</v>
      </c>
      <c r="Q1364" s="116">
        <v>2263.1999999999998</v>
      </c>
      <c r="R1364">
        <v>5190366</v>
      </c>
    </row>
    <row r="1365" spans="1:18" x14ac:dyDescent="0.25">
      <c r="A1365" s="170">
        <v>44019</v>
      </c>
      <c r="B1365" s="116">
        <v>2301.85</v>
      </c>
      <c r="C1365" s="116">
        <v>2269.9499999999998</v>
      </c>
      <c r="D1365" s="116">
        <v>2232.75</v>
      </c>
      <c r="E1365" s="116">
        <v>2269</v>
      </c>
      <c r="F1365" s="116">
        <v>2269.9499999999998</v>
      </c>
      <c r="G1365">
        <v>192542</v>
      </c>
      <c r="H1365" s="116"/>
      <c r="I1365" s="116"/>
      <c r="L1365" s="170">
        <v>44019</v>
      </c>
      <c r="M1365" s="116">
        <v>2269.9</v>
      </c>
      <c r="N1365" s="116">
        <v>2302.6999999999998</v>
      </c>
      <c r="O1365" s="116">
        <v>2232.15</v>
      </c>
      <c r="P1365" s="116">
        <v>2275</v>
      </c>
      <c r="Q1365" s="116">
        <v>2269.9</v>
      </c>
      <c r="R1365">
        <v>5630081</v>
      </c>
    </row>
    <row r="1366" spans="1:18" x14ac:dyDescent="0.25">
      <c r="A1366" s="170">
        <v>44020</v>
      </c>
      <c r="B1366" s="116">
        <v>2275</v>
      </c>
      <c r="C1366" s="116">
        <v>2217.65</v>
      </c>
      <c r="D1366" s="116">
        <v>2209.8000000000002</v>
      </c>
      <c r="E1366" s="116">
        <v>2275</v>
      </c>
      <c r="F1366" s="116">
        <v>2217.65</v>
      </c>
      <c r="G1366">
        <v>107819</v>
      </c>
      <c r="H1366" s="116"/>
      <c r="I1366" s="116"/>
      <c r="L1366" s="170">
        <v>44020</v>
      </c>
      <c r="M1366" s="116">
        <v>2218.9</v>
      </c>
      <c r="N1366" s="116">
        <v>2274.4</v>
      </c>
      <c r="O1366" s="116">
        <v>2207.6</v>
      </c>
      <c r="P1366" s="116">
        <v>2270</v>
      </c>
      <c r="Q1366" s="116">
        <v>2218.9</v>
      </c>
      <c r="R1366">
        <v>2793674</v>
      </c>
    </row>
    <row r="1367" spans="1:18" x14ac:dyDescent="0.25">
      <c r="A1367" s="170">
        <v>44021</v>
      </c>
      <c r="B1367" s="116">
        <v>2244.65</v>
      </c>
      <c r="C1367" s="116">
        <v>2204.35</v>
      </c>
      <c r="D1367" s="116">
        <v>2192.6</v>
      </c>
      <c r="E1367" s="116">
        <v>2225</v>
      </c>
      <c r="F1367" s="116">
        <v>2204.35</v>
      </c>
      <c r="G1367">
        <v>119208</v>
      </c>
      <c r="H1367" s="116"/>
      <c r="I1367" s="116"/>
      <c r="L1367" s="170">
        <v>44021</v>
      </c>
      <c r="M1367" s="116">
        <v>2204.35</v>
      </c>
      <c r="N1367" s="116">
        <v>2244.5</v>
      </c>
      <c r="O1367" s="116">
        <v>2191.0500000000002</v>
      </c>
      <c r="P1367" s="116">
        <v>2229</v>
      </c>
      <c r="Q1367" s="116">
        <v>2204.35</v>
      </c>
      <c r="R1367">
        <v>3443998</v>
      </c>
    </row>
    <row r="1368" spans="1:18" x14ac:dyDescent="0.25">
      <c r="A1368" s="170">
        <v>44022</v>
      </c>
      <c r="B1368" s="116">
        <v>2249.15</v>
      </c>
      <c r="C1368" s="116">
        <v>2221.65</v>
      </c>
      <c r="D1368" s="116">
        <v>2177.25</v>
      </c>
      <c r="E1368" s="116">
        <v>2200</v>
      </c>
      <c r="F1368" s="116">
        <v>2221.65</v>
      </c>
      <c r="G1368">
        <v>259682</v>
      </c>
      <c r="H1368" s="116"/>
      <c r="I1368" s="116"/>
      <c r="L1368" s="170">
        <v>44022</v>
      </c>
      <c r="M1368" s="116">
        <v>2222.35</v>
      </c>
      <c r="N1368" s="116">
        <v>2249.85</v>
      </c>
      <c r="O1368" s="116">
        <v>2176</v>
      </c>
      <c r="P1368" s="116">
        <v>2205.25</v>
      </c>
      <c r="Q1368" s="116">
        <v>2222.35</v>
      </c>
      <c r="R1368">
        <v>9610327</v>
      </c>
    </row>
    <row r="1369" spans="1:18" x14ac:dyDescent="0.25">
      <c r="A1369" s="170">
        <v>44025</v>
      </c>
      <c r="B1369" s="116">
        <v>2244.5</v>
      </c>
      <c r="C1369" s="116">
        <v>2219.5500000000002</v>
      </c>
      <c r="D1369" s="116">
        <v>2210.75</v>
      </c>
      <c r="E1369" s="116">
        <v>2225</v>
      </c>
      <c r="F1369" s="116">
        <v>2219.5500000000002</v>
      </c>
      <c r="G1369">
        <v>91299</v>
      </c>
      <c r="H1369" s="116"/>
      <c r="I1369" s="116"/>
      <c r="L1369" s="170">
        <v>44025</v>
      </c>
      <c r="M1369" s="116">
        <v>2220</v>
      </c>
      <c r="N1369" s="116">
        <v>2244.9499999999998</v>
      </c>
      <c r="O1369" s="116">
        <v>2210</v>
      </c>
      <c r="P1369" s="116">
        <v>2220</v>
      </c>
      <c r="Q1369" s="116">
        <v>2220</v>
      </c>
      <c r="R1369">
        <v>2963525</v>
      </c>
    </row>
    <row r="1370" spans="1:18" x14ac:dyDescent="0.25">
      <c r="A1370" s="170">
        <v>44026</v>
      </c>
      <c r="B1370" s="116">
        <v>2237.4499999999998</v>
      </c>
      <c r="C1370" s="116">
        <v>2171.6999999999998</v>
      </c>
      <c r="D1370" s="116">
        <v>2166.3000000000002</v>
      </c>
      <c r="E1370" s="116">
        <v>2217</v>
      </c>
      <c r="F1370" s="116">
        <v>2171.6999999999998</v>
      </c>
      <c r="G1370">
        <v>105794</v>
      </c>
      <c r="H1370" s="116"/>
      <c r="I1370" s="116"/>
      <c r="L1370" s="170">
        <v>44026</v>
      </c>
      <c r="M1370" s="116">
        <v>2171.9499999999998</v>
      </c>
      <c r="N1370" s="116">
        <v>2239</v>
      </c>
      <c r="O1370" s="116">
        <v>2165</v>
      </c>
      <c r="P1370" s="116">
        <v>2210</v>
      </c>
      <c r="Q1370" s="116">
        <v>2171.9499999999998</v>
      </c>
      <c r="R1370">
        <v>2976749</v>
      </c>
    </row>
    <row r="1371" spans="1:18" x14ac:dyDescent="0.25">
      <c r="A1371" s="170">
        <v>44027</v>
      </c>
      <c r="B1371" s="116">
        <v>2259.15</v>
      </c>
      <c r="C1371" s="116">
        <v>2233.5500000000002</v>
      </c>
      <c r="D1371" s="116">
        <v>2183</v>
      </c>
      <c r="E1371" s="116">
        <v>2183</v>
      </c>
      <c r="F1371" s="116">
        <v>2233.5500000000002</v>
      </c>
      <c r="G1371">
        <v>141346</v>
      </c>
      <c r="H1371" s="116"/>
      <c r="I1371" s="116"/>
      <c r="L1371" s="170">
        <v>44027</v>
      </c>
      <c r="M1371" s="116">
        <v>2233.9</v>
      </c>
      <c r="N1371" s="116">
        <v>2260</v>
      </c>
      <c r="O1371" s="116">
        <v>2181.1</v>
      </c>
      <c r="P1371" s="116">
        <v>2185</v>
      </c>
      <c r="Q1371" s="116">
        <v>2233.9</v>
      </c>
      <c r="R1371">
        <v>5569322</v>
      </c>
    </row>
    <row r="1372" spans="1:18" x14ac:dyDescent="0.25">
      <c r="A1372" s="170">
        <v>44028</v>
      </c>
      <c r="B1372" s="116">
        <v>2332</v>
      </c>
      <c r="C1372" s="116">
        <v>2233.65</v>
      </c>
      <c r="D1372" s="116">
        <v>2220.9499999999998</v>
      </c>
      <c r="E1372" s="116">
        <v>2264</v>
      </c>
      <c r="F1372" s="116">
        <v>2233.65</v>
      </c>
      <c r="G1372">
        <v>260133</v>
      </c>
      <c r="H1372" s="116"/>
      <c r="I1372" s="116"/>
      <c r="L1372" s="170">
        <v>44028</v>
      </c>
      <c r="M1372" s="116">
        <v>2234.75</v>
      </c>
      <c r="N1372" s="116">
        <v>2333</v>
      </c>
      <c r="O1372" s="116">
        <v>2220.1</v>
      </c>
      <c r="P1372" s="116">
        <v>2244</v>
      </c>
      <c r="Q1372" s="116">
        <v>2234.75</v>
      </c>
      <c r="R1372">
        <v>8582120</v>
      </c>
    </row>
    <row r="1373" spans="1:18" x14ac:dyDescent="0.25">
      <c r="A1373" s="170">
        <v>44029</v>
      </c>
      <c r="B1373" s="116">
        <v>2255</v>
      </c>
      <c r="C1373" s="116">
        <v>2201.35</v>
      </c>
      <c r="D1373" s="116">
        <v>2190.1</v>
      </c>
      <c r="E1373" s="116">
        <v>2255</v>
      </c>
      <c r="F1373" s="116">
        <v>2201.35</v>
      </c>
      <c r="G1373">
        <v>167683</v>
      </c>
      <c r="H1373" s="116"/>
      <c r="I1373" s="116"/>
      <c r="L1373" s="170">
        <v>44029</v>
      </c>
      <c r="M1373" s="116">
        <v>2200.75</v>
      </c>
      <c r="N1373" s="116">
        <v>2243.9</v>
      </c>
      <c r="O1373" s="116">
        <v>2190.0500000000002</v>
      </c>
      <c r="P1373" s="116">
        <v>2237</v>
      </c>
      <c r="Q1373" s="116">
        <v>2200.75</v>
      </c>
      <c r="R1373">
        <v>4509143</v>
      </c>
    </row>
    <row r="1374" spans="1:18" x14ac:dyDescent="0.25">
      <c r="A1374" s="170">
        <v>44032</v>
      </c>
      <c r="B1374" s="116">
        <v>2226</v>
      </c>
      <c r="C1374" s="116">
        <v>2209.75</v>
      </c>
      <c r="D1374" s="116">
        <v>2191.1999999999998</v>
      </c>
      <c r="E1374" s="116">
        <v>2200</v>
      </c>
      <c r="F1374" s="116">
        <v>2209.75</v>
      </c>
      <c r="G1374">
        <v>108192</v>
      </c>
      <c r="H1374" s="116"/>
      <c r="I1374" s="116"/>
      <c r="L1374" s="170">
        <v>44032</v>
      </c>
      <c r="M1374" s="116">
        <v>2207.9</v>
      </c>
      <c r="N1374" s="116">
        <v>2226.9</v>
      </c>
      <c r="O1374" s="116">
        <v>2190.8000000000002</v>
      </c>
      <c r="P1374" s="116">
        <v>2201</v>
      </c>
      <c r="Q1374" s="116">
        <v>2207.9</v>
      </c>
      <c r="R1374">
        <v>2952719</v>
      </c>
    </row>
    <row r="1375" spans="1:18" x14ac:dyDescent="0.25">
      <c r="A1375" s="170">
        <v>44033</v>
      </c>
      <c r="B1375" s="116">
        <v>2240.6999999999998</v>
      </c>
      <c r="C1375" s="116">
        <v>2225.6</v>
      </c>
      <c r="D1375" s="116">
        <v>2202</v>
      </c>
      <c r="E1375" s="116">
        <v>2227</v>
      </c>
      <c r="F1375" s="116">
        <v>2225.6</v>
      </c>
      <c r="G1375">
        <v>133461</v>
      </c>
      <c r="H1375" s="116"/>
      <c r="I1375" s="116"/>
      <c r="L1375" s="170">
        <v>44033</v>
      </c>
      <c r="M1375" s="116">
        <v>2225.0500000000002</v>
      </c>
      <c r="N1375" s="116">
        <v>2238.65</v>
      </c>
      <c r="O1375" s="116">
        <v>2201.15</v>
      </c>
      <c r="P1375" s="116">
        <v>2230</v>
      </c>
      <c r="Q1375" s="116">
        <v>2225.0500000000002</v>
      </c>
      <c r="R1375">
        <v>2665386</v>
      </c>
    </row>
    <row r="1376" spans="1:18" x14ac:dyDescent="0.25">
      <c r="A1376" s="170">
        <v>44034</v>
      </c>
      <c r="B1376" s="116">
        <v>2237</v>
      </c>
      <c r="C1376" s="116">
        <v>2189.9499999999998</v>
      </c>
      <c r="D1376" s="116">
        <v>2185</v>
      </c>
      <c r="E1376" s="116">
        <v>2232.3000000000002</v>
      </c>
      <c r="F1376" s="116">
        <v>2189.9499999999998</v>
      </c>
      <c r="G1376">
        <v>128289</v>
      </c>
      <c r="H1376" s="116"/>
      <c r="I1376" s="116"/>
      <c r="L1376" s="170">
        <v>44034</v>
      </c>
      <c r="M1376" s="116">
        <v>2190.9499999999998</v>
      </c>
      <c r="N1376" s="116">
        <v>2231</v>
      </c>
      <c r="O1376" s="116">
        <v>2184.1999999999998</v>
      </c>
      <c r="P1376" s="116">
        <v>2231</v>
      </c>
      <c r="Q1376" s="116">
        <v>2190.9499999999998</v>
      </c>
      <c r="R1376">
        <v>2861698</v>
      </c>
    </row>
    <row r="1377" spans="1:18" x14ac:dyDescent="0.25">
      <c r="A1377" s="170">
        <v>44035</v>
      </c>
      <c r="B1377" s="116">
        <v>2191</v>
      </c>
      <c r="C1377" s="116">
        <v>2170.75</v>
      </c>
      <c r="D1377" s="116">
        <v>2162.4499999999998</v>
      </c>
      <c r="E1377" s="116">
        <v>2190</v>
      </c>
      <c r="F1377" s="116">
        <v>2170.75</v>
      </c>
      <c r="G1377">
        <v>63185</v>
      </c>
      <c r="H1377" s="116"/>
      <c r="I1377" s="116"/>
      <c r="L1377" s="170">
        <v>44035</v>
      </c>
      <c r="M1377" s="116">
        <v>2171.1999999999998</v>
      </c>
      <c r="N1377" s="116">
        <v>2190.9499999999998</v>
      </c>
      <c r="O1377" s="116">
        <v>2163</v>
      </c>
      <c r="P1377" s="116">
        <v>2190.9499999999998</v>
      </c>
      <c r="Q1377" s="116">
        <v>2171.1999999999998</v>
      </c>
      <c r="R1377">
        <v>2265791</v>
      </c>
    </row>
    <row r="1378" spans="1:18" x14ac:dyDescent="0.25">
      <c r="A1378" s="170">
        <v>44036</v>
      </c>
      <c r="B1378" s="116">
        <v>2162.1</v>
      </c>
      <c r="C1378" s="116">
        <v>2157.0500000000002</v>
      </c>
      <c r="D1378" s="116">
        <v>2125.85</v>
      </c>
      <c r="E1378" s="116">
        <v>2158.8000000000002</v>
      </c>
      <c r="F1378" s="116">
        <v>2157.0500000000002</v>
      </c>
      <c r="G1378">
        <v>106972</v>
      </c>
      <c r="H1378" s="116"/>
      <c r="I1378" s="116"/>
      <c r="L1378" s="170">
        <v>44036</v>
      </c>
      <c r="M1378" s="116">
        <v>2157.4</v>
      </c>
      <c r="N1378" s="116">
        <v>2163</v>
      </c>
      <c r="O1378" s="116">
        <v>2125.1</v>
      </c>
      <c r="P1378" s="116">
        <v>2154.5</v>
      </c>
      <c r="Q1378" s="116">
        <v>2157.4</v>
      </c>
      <c r="R1378">
        <v>3665123</v>
      </c>
    </row>
    <row r="1379" spans="1:18" x14ac:dyDescent="0.25">
      <c r="A1379" s="170">
        <v>44039</v>
      </c>
      <c r="B1379" s="116">
        <v>2215</v>
      </c>
      <c r="C1379" s="116">
        <v>2205.8000000000002</v>
      </c>
      <c r="D1379" s="116">
        <v>2160</v>
      </c>
      <c r="E1379" s="116">
        <v>2160</v>
      </c>
      <c r="F1379" s="116">
        <v>2205.8000000000002</v>
      </c>
      <c r="G1379">
        <v>110937</v>
      </c>
      <c r="H1379" s="116"/>
      <c r="I1379" s="116"/>
      <c r="L1379" s="170">
        <v>44039</v>
      </c>
      <c r="M1379" s="116">
        <v>2206.8000000000002</v>
      </c>
      <c r="N1379" s="116">
        <v>2215</v>
      </c>
      <c r="O1379" s="116">
        <v>2163.5</v>
      </c>
      <c r="P1379" s="116">
        <v>2165</v>
      </c>
      <c r="Q1379" s="116">
        <v>2206.8000000000002</v>
      </c>
      <c r="R1379">
        <v>4248837</v>
      </c>
    </row>
    <row r="1380" spans="1:18" x14ac:dyDescent="0.25">
      <c r="A1380" s="170">
        <v>44040</v>
      </c>
      <c r="B1380" s="116">
        <v>2320</v>
      </c>
      <c r="C1380" s="116">
        <v>2309.1999999999998</v>
      </c>
      <c r="D1380" s="116">
        <v>2214</v>
      </c>
      <c r="E1380" s="116">
        <v>2214</v>
      </c>
      <c r="F1380" s="116">
        <v>2309.1999999999998</v>
      </c>
      <c r="G1380">
        <v>345610</v>
      </c>
      <c r="H1380" s="116"/>
      <c r="I1380" s="116"/>
      <c r="L1380" s="170">
        <v>44040</v>
      </c>
      <c r="M1380" s="116">
        <v>2309.75</v>
      </c>
      <c r="N1380" s="116">
        <v>2320</v>
      </c>
      <c r="O1380" s="116">
        <v>2215</v>
      </c>
      <c r="P1380" s="116">
        <v>2215</v>
      </c>
      <c r="Q1380" s="116">
        <v>2309.75</v>
      </c>
      <c r="R1380">
        <v>8092458</v>
      </c>
    </row>
    <row r="1381" spans="1:18" x14ac:dyDescent="0.25">
      <c r="A1381" s="170">
        <v>44041</v>
      </c>
      <c r="B1381" s="116">
        <v>2342</v>
      </c>
      <c r="C1381" s="116">
        <v>2275.0500000000002</v>
      </c>
      <c r="D1381" s="116">
        <v>2247</v>
      </c>
      <c r="E1381" s="116">
        <v>2292</v>
      </c>
      <c r="F1381" s="116">
        <v>2275.0500000000002</v>
      </c>
      <c r="G1381">
        <v>173540</v>
      </c>
      <c r="H1381" s="116"/>
      <c r="I1381" s="116"/>
      <c r="L1381" s="170">
        <v>44041</v>
      </c>
      <c r="M1381" s="116">
        <v>2276.0500000000002</v>
      </c>
      <c r="N1381" s="116">
        <v>2342</v>
      </c>
      <c r="O1381" s="116">
        <v>2246.0500000000002</v>
      </c>
      <c r="P1381" s="116">
        <v>2292</v>
      </c>
      <c r="Q1381" s="116">
        <v>2276.0500000000002</v>
      </c>
      <c r="R1381">
        <v>6090440</v>
      </c>
    </row>
    <row r="1382" spans="1:18" x14ac:dyDescent="0.25">
      <c r="A1382" s="170">
        <v>44042</v>
      </c>
      <c r="B1382" s="116">
        <v>2357.15</v>
      </c>
      <c r="C1382" s="116">
        <v>2277.9499999999998</v>
      </c>
      <c r="D1382" s="116">
        <v>2273.65</v>
      </c>
      <c r="E1382" s="116">
        <v>2292</v>
      </c>
      <c r="F1382" s="116">
        <v>2277.9499999999998</v>
      </c>
      <c r="G1382">
        <v>209369</v>
      </c>
      <c r="H1382" s="116"/>
      <c r="I1382" s="116"/>
      <c r="L1382" s="170">
        <v>44042</v>
      </c>
      <c r="M1382" s="116">
        <v>2279.5</v>
      </c>
      <c r="N1382" s="116">
        <v>2358</v>
      </c>
      <c r="O1382" s="116">
        <v>2272.25</v>
      </c>
      <c r="P1382" s="116">
        <v>2285.9</v>
      </c>
      <c r="Q1382" s="116">
        <v>2279.5</v>
      </c>
      <c r="R1382">
        <v>7098913</v>
      </c>
    </row>
    <row r="1383" spans="1:18" x14ac:dyDescent="0.25">
      <c r="A1383" s="170">
        <v>44043</v>
      </c>
      <c r="B1383" s="116">
        <v>2335</v>
      </c>
      <c r="C1383" s="116">
        <v>2282.4499999999998</v>
      </c>
      <c r="D1383" s="116">
        <v>2258.5</v>
      </c>
      <c r="E1383" s="116">
        <v>2300.5</v>
      </c>
      <c r="F1383" s="116">
        <v>2282.4499999999998</v>
      </c>
      <c r="G1383">
        <v>115665</v>
      </c>
      <c r="H1383" s="116"/>
      <c r="I1383" s="116"/>
      <c r="L1383" s="170">
        <v>44043</v>
      </c>
      <c r="M1383" s="116">
        <v>2281.4</v>
      </c>
      <c r="N1383" s="116">
        <v>2334.8000000000002</v>
      </c>
      <c r="O1383" s="116">
        <v>2257.4499999999998</v>
      </c>
      <c r="P1383" s="116">
        <v>2303.15</v>
      </c>
      <c r="Q1383" s="116">
        <v>2281.4</v>
      </c>
      <c r="R1383">
        <v>4723290</v>
      </c>
    </row>
    <row r="1384" spans="1:18" x14ac:dyDescent="0.25">
      <c r="A1384" s="170">
        <v>44046</v>
      </c>
      <c r="B1384" s="116">
        <v>2302.4499999999998</v>
      </c>
      <c r="C1384" s="116">
        <v>2251.3000000000002</v>
      </c>
      <c r="D1384" s="116">
        <v>2232</v>
      </c>
      <c r="E1384" s="116">
        <v>2299</v>
      </c>
      <c r="F1384" s="116">
        <v>2251.3000000000002</v>
      </c>
      <c r="G1384">
        <v>216125</v>
      </c>
      <c r="H1384" s="116"/>
      <c r="I1384" s="116"/>
      <c r="L1384" s="170">
        <v>44046</v>
      </c>
      <c r="M1384" s="116">
        <v>2254.15</v>
      </c>
      <c r="N1384" s="116">
        <v>2303.85</v>
      </c>
      <c r="O1384" s="116">
        <v>2230.6999999999998</v>
      </c>
      <c r="P1384" s="116">
        <v>2290.4499999999998</v>
      </c>
      <c r="Q1384" s="116">
        <v>2254.15</v>
      </c>
      <c r="R1384">
        <v>4012445</v>
      </c>
    </row>
    <row r="1385" spans="1:18" x14ac:dyDescent="0.25">
      <c r="A1385" s="170">
        <v>44047</v>
      </c>
      <c r="B1385" s="116">
        <v>2269.3000000000002</v>
      </c>
      <c r="C1385" s="116">
        <v>2249.15</v>
      </c>
      <c r="D1385" s="116">
        <v>2226</v>
      </c>
      <c r="E1385" s="116">
        <v>2260</v>
      </c>
      <c r="F1385" s="116">
        <v>2249.15</v>
      </c>
      <c r="G1385">
        <v>98064</v>
      </c>
      <c r="H1385" s="116"/>
      <c r="I1385" s="116"/>
      <c r="L1385" s="170">
        <v>44047</v>
      </c>
      <c r="M1385" s="116">
        <v>2249.6999999999998</v>
      </c>
      <c r="N1385" s="116">
        <v>2269.65</v>
      </c>
      <c r="O1385" s="116">
        <v>2225.0500000000002</v>
      </c>
      <c r="P1385" s="116">
        <v>2259.9499999999998</v>
      </c>
      <c r="Q1385" s="116">
        <v>2249.6999999999998</v>
      </c>
      <c r="R1385">
        <v>2927953</v>
      </c>
    </row>
    <row r="1386" spans="1:18" x14ac:dyDescent="0.25">
      <c r="A1386" s="170">
        <v>44048</v>
      </c>
      <c r="B1386" s="116">
        <v>2299.9499999999998</v>
      </c>
      <c r="C1386" s="116">
        <v>2258.8000000000002</v>
      </c>
      <c r="D1386" s="116">
        <v>2253.3000000000002</v>
      </c>
      <c r="E1386" s="116">
        <v>2264.9499999999998</v>
      </c>
      <c r="F1386" s="116">
        <v>2258.8000000000002</v>
      </c>
      <c r="G1386">
        <v>227082</v>
      </c>
      <c r="H1386" s="116"/>
      <c r="I1386" s="116"/>
      <c r="L1386" s="170">
        <v>44048</v>
      </c>
      <c r="M1386" s="116">
        <v>2259.5</v>
      </c>
      <c r="N1386" s="116">
        <v>2300</v>
      </c>
      <c r="O1386" s="116">
        <v>2253</v>
      </c>
      <c r="P1386" s="116">
        <v>2260</v>
      </c>
      <c r="Q1386" s="116">
        <v>2259.5</v>
      </c>
      <c r="R1386">
        <v>3800641</v>
      </c>
    </row>
    <row r="1387" spans="1:18" x14ac:dyDescent="0.25">
      <c r="A1387" s="170">
        <v>44049</v>
      </c>
      <c r="B1387" s="116">
        <v>2317.75</v>
      </c>
      <c r="C1387" s="116">
        <v>2307.6999999999998</v>
      </c>
      <c r="D1387" s="116">
        <v>2264.35</v>
      </c>
      <c r="E1387" s="116">
        <v>2271.1</v>
      </c>
      <c r="F1387" s="116">
        <v>2307.6999999999998</v>
      </c>
      <c r="G1387">
        <v>136621</v>
      </c>
      <c r="H1387" s="116"/>
      <c r="I1387" s="116"/>
      <c r="L1387" s="170">
        <v>44049</v>
      </c>
      <c r="M1387" s="116">
        <v>2308.1</v>
      </c>
      <c r="N1387" s="116">
        <v>2319.5</v>
      </c>
      <c r="O1387" s="116">
        <v>2265.35</v>
      </c>
      <c r="P1387" s="116">
        <v>2275</v>
      </c>
      <c r="Q1387" s="116">
        <v>2308.1</v>
      </c>
      <c r="R1387">
        <v>4748348</v>
      </c>
    </row>
    <row r="1388" spans="1:18" x14ac:dyDescent="0.25">
      <c r="A1388" s="170">
        <v>44050</v>
      </c>
      <c r="B1388" s="116">
        <v>2327</v>
      </c>
      <c r="C1388" s="116">
        <v>2294.9499999999998</v>
      </c>
      <c r="D1388" s="116">
        <v>2287.8000000000002</v>
      </c>
      <c r="E1388" s="116">
        <v>2318.9</v>
      </c>
      <c r="F1388" s="116">
        <v>2294.9499999999998</v>
      </c>
      <c r="G1388">
        <v>149776</v>
      </c>
      <c r="H1388" s="116"/>
      <c r="I1388" s="116"/>
      <c r="L1388" s="170">
        <v>44050</v>
      </c>
      <c r="M1388" s="116">
        <v>2295.35</v>
      </c>
      <c r="N1388" s="116">
        <v>2328</v>
      </c>
      <c r="O1388" s="116">
        <v>2287</v>
      </c>
      <c r="P1388" s="116">
        <v>2308</v>
      </c>
      <c r="Q1388" s="116">
        <v>2295.35</v>
      </c>
      <c r="R1388">
        <v>3165495</v>
      </c>
    </row>
    <row r="1389" spans="1:18" x14ac:dyDescent="0.25">
      <c r="A1389" s="170">
        <v>44053</v>
      </c>
      <c r="B1389" s="116">
        <v>2324.35</v>
      </c>
      <c r="C1389" s="116">
        <v>2281.6</v>
      </c>
      <c r="D1389" s="116">
        <v>2275.65</v>
      </c>
      <c r="E1389" s="116">
        <v>2310</v>
      </c>
      <c r="F1389" s="116">
        <v>2281.6</v>
      </c>
      <c r="G1389">
        <v>50885</v>
      </c>
      <c r="H1389" s="116"/>
      <c r="I1389" s="116"/>
      <c r="L1389" s="170">
        <v>44053</v>
      </c>
      <c r="M1389" s="116">
        <v>2282.8000000000002</v>
      </c>
      <c r="N1389" s="116">
        <v>2325</v>
      </c>
      <c r="O1389" s="116">
        <v>2276.0500000000002</v>
      </c>
      <c r="P1389" s="116">
        <v>2318</v>
      </c>
      <c r="Q1389" s="116">
        <v>2282.8000000000002</v>
      </c>
      <c r="R1389">
        <v>2929385</v>
      </c>
    </row>
    <row r="1390" spans="1:18" x14ac:dyDescent="0.25">
      <c r="A1390" s="170">
        <v>44054</v>
      </c>
      <c r="B1390" s="116">
        <v>2312.4</v>
      </c>
      <c r="C1390" s="116">
        <v>2279.25</v>
      </c>
      <c r="D1390" s="116">
        <v>2276.1</v>
      </c>
      <c r="E1390" s="116">
        <v>2285</v>
      </c>
      <c r="F1390" s="116">
        <v>2279.25</v>
      </c>
      <c r="G1390">
        <v>53937</v>
      </c>
      <c r="H1390" s="116"/>
      <c r="I1390" s="116"/>
      <c r="L1390" s="170">
        <v>44054</v>
      </c>
      <c r="M1390" s="116">
        <v>2279.9</v>
      </c>
      <c r="N1390" s="116">
        <v>2312</v>
      </c>
      <c r="O1390" s="116">
        <v>2275.6</v>
      </c>
      <c r="P1390" s="116">
        <v>2283</v>
      </c>
      <c r="Q1390" s="116">
        <v>2279.9</v>
      </c>
      <c r="R1390">
        <v>2774509</v>
      </c>
    </row>
    <row r="1391" spans="1:18" x14ac:dyDescent="0.25">
      <c r="A1391" s="170">
        <v>44055</v>
      </c>
      <c r="B1391" s="116">
        <v>2303.5</v>
      </c>
      <c r="C1391" s="116">
        <v>2256.6999999999998</v>
      </c>
      <c r="D1391" s="116">
        <v>2247.1999999999998</v>
      </c>
      <c r="E1391" s="116">
        <v>2281</v>
      </c>
      <c r="F1391" s="116">
        <v>2256.6999999999998</v>
      </c>
      <c r="G1391">
        <v>98143</v>
      </c>
      <c r="H1391" s="116"/>
      <c r="I1391" s="116"/>
      <c r="L1391" s="170">
        <v>44055</v>
      </c>
      <c r="M1391" s="116">
        <v>2257.35</v>
      </c>
      <c r="N1391" s="116">
        <v>2296.4</v>
      </c>
      <c r="O1391" s="116">
        <v>2246.5500000000002</v>
      </c>
      <c r="P1391" s="116">
        <v>2288.35</v>
      </c>
      <c r="Q1391" s="116">
        <v>2257.35</v>
      </c>
      <c r="R1391">
        <v>3415766</v>
      </c>
    </row>
    <row r="1392" spans="1:18" x14ac:dyDescent="0.25">
      <c r="A1392" s="170">
        <v>44056</v>
      </c>
      <c r="B1392" s="116">
        <v>2299.4499999999998</v>
      </c>
      <c r="C1392" s="116">
        <v>2255.5</v>
      </c>
      <c r="D1392" s="116">
        <v>2250.5</v>
      </c>
      <c r="E1392" s="116">
        <v>2277.5</v>
      </c>
      <c r="F1392" s="116">
        <v>2255.5</v>
      </c>
      <c r="G1392">
        <v>64899</v>
      </c>
      <c r="H1392" s="116"/>
      <c r="I1392" s="116"/>
      <c r="L1392" s="170">
        <v>44056</v>
      </c>
      <c r="M1392" s="116">
        <v>2254.4499999999998</v>
      </c>
      <c r="N1392" s="116">
        <v>2300</v>
      </c>
      <c r="O1392" s="116">
        <v>2250.5</v>
      </c>
      <c r="P1392" s="116">
        <v>2273</v>
      </c>
      <c r="Q1392" s="116">
        <v>2254.4499999999998</v>
      </c>
      <c r="R1392">
        <v>2695682</v>
      </c>
    </row>
    <row r="1393" spans="1:18" x14ac:dyDescent="0.25">
      <c r="A1393" s="170">
        <v>44057</v>
      </c>
      <c r="B1393" s="116">
        <v>2281.25</v>
      </c>
      <c r="C1393" s="116">
        <v>2242.4499999999998</v>
      </c>
      <c r="D1393" s="116">
        <v>2233.15</v>
      </c>
      <c r="E1393" s="116">
        <v>2274.4</v>
      </c>
      <c r="F1393" s="116">
        <v>2242.4499999999998</v>
      </c>
      <c r="G1393">
        <v>98443</v>
      </c>
      <c r="H1393" s="116"/>
      <c r="I1393" s="116"/>
      <c r="L1393" s="170">
        <v>44057</v>
      </c>
      <c r="M1393" s="116">
        <v>2242.15</v>
      </c>
      <c r="N1393" s="116">
        <v>2281.3000000000002</v>
      </c>
      <c r="O1393" s="116">
        <v>2233.1</v>
      </c>
      <c r="P1393" s="116">
        <v>2277</v>
      </c>
      <c r="Q1393" s="116">
        <v>2242.15</v>
      </c>
      <c r="R1393">
        <v>2270405</v>
      </c>
    </row>
    <row r="1394" spans="1:18" x14ac:dyDescent="0.25">
      <c r="A1394" s="170">
        <v>44060</v>
      </c>
      <c r="B1394" s="116">
        <v>2268.85</v>
      </c>
      <c r="C1394" s="116">
        <v>2252.0500000000002</v>
      </c>
      <c r="D1394" s="116">
        <v>2239</v>
      </c>
      <c r="E1394" s="116">
        <v>2255</v>
      </c>
      <c r="F1394" s="116">
        <v>2252.0500000000002</v>
      </c>
      <c r="G1394">
        <v>98833</v>
      </c>
      <c r="H1394" s="116"/>
      <c r="I1394" s="116"/>
      <c r="L1394" s="170">
        <v>44060</v>
      </c>
      <c r="M1394" s="116">
        <v>2253.4</v>
      </c>
      <c r="N1394" s="116">
        <v>2270</v>
      </c>
      <c r="O1394" s="116">
        <v>2238.25</v>
      </c>
      <c r="P1394" s="116">
        <v>2263</v>
      </c>
      <c r="Q1394" s="116">
        <v>2253.4</v>
      </c>
      <c r="R1394">
        <v>2625670</v>
      </c>
    </row>
    <row r="1395" spans="1:18" x14ac:dyDescent="0.25">
      <c r="A1395" s="170">
        <v>44061</v>
      </c>
      <c r="B1395" s="116">
        <v>2288.5</v>
      </c>
      <c r="C1395" s="116">
        <v>2269.4</v>
      </c>
      <c r="D1395" s="116">
        <v>2250</v>
      </c>
      <c r="E1395" s="116">
        <v>2264.8000000000002</v>
      </c>
      <c r="F1395" s="116">
        <v>2269.4</v>
      </c>
      <c r="G1395">
        <v>63828</v>
      </c>
      <c r="H1395" s="116"/>
      <c r="I1395" s="116"/>
      <c r="L1395" s="170">
        <v>44061</v>
      </c>
      <c r="M1395" s="116">
        <v>2269.75</v>
      </c>
      <c r="N1395" s="116">
        <v>2289</v>
      </c>
      <c r="O1395" s="116">
        <v>2248.3000000000002</v>
      </c>
      <c r="P1395" s="116">
        <v>2262.8000000000002</v>
      </c>
      <c r="Q1395" s="116">
        <v>2269.75</v>
      </c>
      <c r="R1395">
        <v>3493411</v>
      </c>
    </row>
    <row r="1396" spans="1:18" x14ac:dyDescent="0.25">
      <c r="A1396" s="170">
        <v>44062</v>
      </c>
      <c r="B1396" s="116">
        <v>2283.9499999999998</v>
      </c>
      <c r="C1396" s="116">
        <v>2256.25</v>
      </c>
      <c r="D1396" s="116">
        <v>2253</v>
      </c>
      <c r="E1396" s="116">
        <v>2273.9</v>
      </c>
      <c r="F1396" s="116">
        <v>2256.25</v>
      </c>
      <c r="G1396">
        <v>70011</v>
      </c>
      <c r="H1396" s="116"/>
      <c r="I1396" s="116"/>
      <c r="L1396" s="170">
        <v>44062</v>
      </c>
      <c r="M1396" s="116">
        <v>2256.6</v>
      </c>
      <c r="N1396" s="116">
        <v>2284.6</v>
      </c>
      <c r="O1396" s="116">
        <v>2252.5</v>
      </c>
      <c r="P1396" s="116">
        <v>2276.35</v>
      </c>
      <c r="Q1396" s="116">
        <v>2256.6</v>
      </c>
      <c r="R1396">
        <v>2843007</v>
      </c>
    </row>
    <row r="1397" spans="1:18" x14ac:dyDescent="0.25">
      <c r="A1397" s="170">
        <v>44063</v>
      </c>
      <c r="B1397" s="116">
        <v>2276</v>
      </c>
      <c r="C1397" s="116">
        <v>2252</v>
      </c>
      <c r="D1397" s="116">
        <v>2240</v>
      </c>
      <c r="E1397" s="116">
        <v>2257</v>
      </c>
      <c r="F1397" s="116">
        <v>2252</v>
      </c>
      <c r="G1397">
        <v>137977</v>
      </c>
      <c r="H1397" s="116"/>
      <c r="I1397" s="116"/>
      <c r="L1397" s="170">
        <v>44063</v>
      </c>
      <c r="M1397" s="116">
        <v>2252.85</v>
      </c>
      <c r="N1397" s="116">
        <v>2276.5500000000002</v>
      </c>
      <c r="O1397" s="116">
        <v>2240.0500000000002</v>
      </c>
      <c r="P1397" s="116">
        <v>2257</v>
      </c>
      <c r="Q1397" s="116">
        <v>2252.85</v>
      </c>
      <c r="R1397">
        <v>2895265</v>
      </c>
    </row>
    <row r="1398" spans="1:18" x14ac:dyDescent="0.25">
      <c r="A1398" s="170">
        <v>44064</v>
      </c>
      <c r="B1398" s="116">
        <v>2270.3000000000002</v>
      </c>
      <c r="C1398" s="116">
        <v>2248.1999999999998</v>
      </c>
      <c r="D1398" s="116">
        <v>2242</v>
      </c>
      <c r="E1398" s="116">
        <v>2254</v>
      </c>
      <c r="F1398" s="116">
        <v>2248.1999999999998</v>
      </c>
      <c r="G1398">
        <v>54539</v>
      </c>
      <c r="H1398" s="116"/>
      <c r="I1398" s="116"/>
      <c r="L1398" s="170">
        <v>44064</v>
      </c>
      <c r="M1398" s="116">
        <v>2248.6</v>
      </c>
      <c r="N1398" s="116">
        <v>2271</v>
      </c>
      <c r="O1398" s="116">
        <v>2241.0500000000002</v>
      </c>
      <c r="P1398" s="116">
        <v>2260</v>
      </c>
      <c r="Q1398" s="116">
        <v>2248.6</v>
      </c>
      <c r="R1398">
        <v>1975304</v>
      </c>
    </row>
    <row r="1399" spans="1:18" x14ac:dyDescent="0.25">
      <c r="A1399" s="170">
        <v>44067</v>
      </c>
      <c r="B1399" s="116">
        <v>2259.15</v>
      </c>
      <c r="C1399" s="116">
        <v>2247.9499999999998</v>
      </c>
      <c r="D1399" s="116">
        <v>2230</v>
      </c>
      <c r="E1399" s="116">
        <v>2248</v>
      </c>
      <c r="F1399" s="116">
        <v>2247.9499999999998</v>
      </c>
      <c r="G1399">
        <v>69290</v>
      </c>
      <c r="H1399" s="116"/>
      <c r="I1399" s="116"/>
      <c r="L1399" s="170">
        <v>44067</v>
      </c>
      <c r="M1399" s="116">
        <v>2248.1</v>
      </c>
      <c r="N1399" s="116">
        <v>2259.9499999999998</v>
      </c>
      <c r="O1399" s="116">
        <v>2230</v>
      </c>
      <c r="P1399" s="116">
        <v>2250.6</v>
      </c>
      <c r="Q1399" s="116">
        <v>2248.1</v>
      </c>
      <c r="R1399">
        <v>2167987</v>
      </c>
    </row>
    <row r="1400" spans="1:18" x14ac:dyDescent="0.25">
      <c r="A1400" s="170">
        <v>44068</v>
      </c>
      <c r="B1400" s="116">
        <v>2250</v>
      </c>
      <c r="C1400" s="116">
        <v>2242.25</v>
      </c>
      <c r="D1400" s="116">
        <v>2235</v>
      </c>
      <c r="E1400" s="116">
        <v>2250</v>
      </c>
      <c r="F1400" s="116">
        <v>2242.25</v>
      </c>
      <c r="G1400">
        <v>44505</v>
      </c>
      <c r="H1400" s="116"/>
      <c r="I1400" s="116"/>
      <c r="L1400" s="170">
        <v>44068</v>
      </c>
      <c r="M1400" s="116">
        <v>2242.65</v>
      </c>
      <c r="N1400" s="116">
        <v>2250</v>
      </c>
      <c r="O1400" s="116">
        <v>2233.5500000000002</v>
      </c>
      <c r="P1400" s="116">
        <v>2245</v>
      </c>
      <c r="Q1400" s="116">
        <v>2242.65</v>
      </c>
      <c r="R1400">
        <v>1663454</v>
      </c>
    </row>
    <row r="1401" spans="1:18" x14ac:dyDescent="0.25">
      <c r="A1401" s="170">
        <v>44069</v>
      </c>
      <c r="B1401" s="116">
        <v>2260</v>
      </c>
      <c r="C1401" s="116">
        <v>2254.65</v>
      </c>
      <c r="D1401" s="116">
        <v>2217.0500000000002</v>
      </c>
      <c r="E1401" s="116">
        <v>2245</v>
      </c>
      <c r="F1401" s="116">
        <v>2254.65</v>
      </c>
      <c r="G1401">
        <v>76925</v>
      </c>
      <c r="H1401" s="116"/>
      <c r="I1401" s="116"/>
      <c r="L1401" s="170">
        <v>44069</v>
      </c>
      <c r="M1401" s="116">
        <v>2253.5</v>
      </c>
      <c r="N1401" s="116">
        <v>2259.9</v>
      </c>
      <c r="O1401" s="116">
        <v>2216.4499999999998</v>
      </c>
      <c r="P1401" s="116">
        <v>2242</v>
      </c>
      <c r="Q1401" s="116">
        <v>2253.5</v>
      </c>
      <c r="R1401">
        <v>2618159</v>
      </c>
    </row>
    <row r="1402" spans="1:18" x14ac:dyDescent="0.25">
      <c r="A1402" s="170">
        <v>44070</v>
      </c>
      <c r="B1402" s="116">
        <v>2287</v>
      </c>
      <c r="C1402" s="116">
        <v>2247.9</v>
      </c>
      <c r="D1402" s="116">
        <v>2242.35</v>
      </c>
      <c r="E1402" s="116">
        <v>2261.0500000000002</v>
      </c>
      <c r="F1402" s="116">
        <v>2247.9</v>
      </c>
      <c r="G1402">
        <v>134823</v>
      </c>
      <c r="H1402" s="116"/>
      <c r="I1402" s="116"/>
      <c r="L1402" s="170">
        <v>44070</v>
      </c>
      <c r="M1402" s="116">
        <v>2248.4</v>
      </c>
      <c r="N1402" s="116">
        <v>2287.35</v>
      </c>
      <c r="O1402" s="116">
        <v>2241.75</v>
      </c>
      <c r="P1402" s="116">
        <v>2266</v>
      </c>
      <c r="Q1402" s="116">
        <v>2248.4</v>
      </c>
      <c r="R1402">
        <v>3579397</v>
      </c>
    </row>
    <row r="1403" spans="1:18" x14ac:dyDescent="0.25">
      <c r="A1403" s="170">
        <v>44071</v>
      </c>
      <c r="B1403" s="116">
        <v>2280</v>
      </c>
      <c r="C1403" s="116">
        <v>2237.1</v>
      </c>
      <c r="D1403" s="116">
        <v>2234.5</v>
      </c>
      <c r="E1403" s="116">
        <v>2265</v>
      </c>
      <c r="F1403" s="116">
        <v>2237.1</v>
      </c>
      <c r="G1403">
        <v>75463</v>
      </c>
      <c r="H1403" s="116"/>
      <c r="I1403" s="116"/>
      <c r="L1403" s="170">
        <v>44071</v>
      </c>
      <c r="M1403" s="116">
        <v>2238.5500000000002</v>
      </c>
      <c r="N1403" s="116">
        <v>2279.9499999999998</v>
      </c>
      <c r="O1403" s="116">
        <v>2235.1</v>
      </c>
      <c r="P1403" s="116">
        <v>2268.4</v>
      </c>
      <c r="Q1403" s="116">
        <v>2238.5500000000002</v>
      </c>
      <c r="R1403">
        <v>2941156</v>
      </c>
    </row>
    <row r="1404" spans="1:18" x14ac:dyDescent="0.25">
      <c r="A1404" s="170">
        <v>44074</v>
      </c>
      <c r="B1404" s="116">
        <v>2275.85</v>
      </c>
      <c r="C1404" s="116">
        <v>2256.35</v>
      </c>
      <c r="D1404" s="116">
        <v>2228.3000000000002</v>
      </c>
      <c r="E1404" s="116">
        <v>2241</v>
      </c>
      <c r="F1404" s="116">
        <v>2256.35</v>
      </c>
      <c r="G1404">
        <v>121315</v>
      </c>
      <c r="H1404" s="116"/>
      <c r="I1404" s="116"/>
      <c r="L1404" s="170">
        <v>44074</v>
      </c>
      <c r="M1404" s="116">
        <v>2257.25</v>
      </c>
      <c r="N1404" s="116">
        <v>2276.1999999999998</v>
      </c>
      <c r="O1404" s="116">
        <v>2228</v>
      </c>
      <c r="P1404" s="116">
        <v>2240</v>
      </c>
      <c r="Q1404" s="116">
        <v>2257.25</v>
      </c>
      <c r="R1404">
        <v>6018160</v>
      </c>
    </row>
    <row r="1405" spans="1:18" x14ac:dyDescent="0.25">
      <c r="A1405" s="170">
        <v>44075</v>
      </c>
      <c r="B1405" s="116">
        <v>2278.1</v>
      </c>
      <c r="C1405" s="116">
        <v>2245.3000000000002</v>
      </c>
      <c r="D1405" s="116">
        <v>2241.5</v>
      </c>
      <c r="E1405" s="116">
        <v>2265</v>
      </c>
      <c r="F1405" s="116">
        <v>2245.3000000000002</v>
      </c>
      <c r="G1405">
        <v>54703</v>
      </c>
      <c r="H1405" s="116"/>
      <c r="I1405" s="116"/>
      <c r="L1405" s="170">
        <v>44075</v>
      </c>
      <c r="M1405" s="116">
        <v>2246.35</v>
      </c>
      <c r="N1405" s="116">
        <v>2278</v>
      </c>
      <c r="O1405" s="116">
        <v>2241.3000000000002</v>
      </c>
      <c r="P1405" s="116">
        <v>2269</v>
      </c>
      <c r="Q1405" s="116">
        <v>2246.35</v>
      </c>
      <c r="R1405">
        <v>3610908</v>
      </c>
    </row>
    <row r="1406" spans="1:18" x14ac:dyDescent="0.25">
      <c r="A1406" s="170">
        <v>44076</v>
      </c>
      <c r="B1406" s="116">
        <v>2268.35</v>
      </c>
      <c r="C1406" s="116">
        <v>2264.8000000000002</v>
      </c>
      <c r="D1406" s="116">
        <v>2242</v>
      </c>
      <c r="E1406" s="116">
        <v>2249</v>
      </c>
      <c r="F1406" s="116">
        <v>2264.8000000000002</v>
      </c>
      <c r="G1406">
        <v>408776</v>
      </c>
      <c r="H1406" s="116"/>
      <c r="I1406" s="116"/>
      <c r="L1406" s="170">
        <v>44076</v>
      </c>
      <c r="M1406" s="116">
        <v>2265.15</v>
      </c>
      <c r="N1406" s="116">
        <v>2268.75</v>
      </c>
      <c r="O1406" s="116">
        <v>2241.65</v>
      </c>
      <c r="P1406" s="116">
        <v>2247</v>
      </c>
      <c r="Q1406" s="116">
        <v>2265.15</v>
      </c>
      <c r="R1406">
        <v>2084152</v>
      </c>
    </row>
    <row r="1407" spans="1:18" x14ac:dyDescent="0.25">
      <c r="A1407" s="170">
        <v>44077</v>
      </c>
      <c r="B1407" s="116">
        <v>2323.8000000000002</v>
      </c>
      <c r="C1407" s="116">
        <v>2299.5500000000002</v>
      </c>
      <c r="D1407" s="116">
        <v>2265.1</v>
      </c>
      <c r="E1407" s="116">
        <v>2265.1</v>
      </c>
      <c r="F1407" s="116">
        <v>2299.5500000000002</v>
      </c>
      <c r="G1407">
        <v>109805</v>
      </c>
      <c r="H1407" s="116"/>
      <c r="I1407" s="116"/>
      <c r="L1407" s="170">
        <v>44077</v>
      </c>
      <c r="M1407" s="116">
        <v>2299.5</v>
      </c>
      <c r="N1407" s="116">
        <v>2324</v>
      </c>
      <c r="O1407" s="116">
        <v>2268</v>
      </c>
      <c r="P1407" s="116">
        <v>2268</v>
      </c>
      <c r="Q1407" s="116">
        <v>2299.5</v>
      </c>
      <c r="R1407">
        <v>4654146</v>
      </c>
    </row>
    <row r="1408" spans="1:18" x14ac:dyDescent="0.25">
      <c r="A1408" s="170">
        <v>44078</v>
      </c>
      <c r="B1408" s="116">
        <v>2323.5</v>
      </c>
      <c r="C1408" s="116">
        <v>2289.75</v>
      </c>
      <c r="D1408" s="116">
        <v>2242</v>
      </c>
      <c r="E1408" s="116">
        <v>2242</v>
      </c>
      <c r="F1408" s="116">
        <v>2289.75</v>
      </c>
      <c r="G1408">
        <v>153313</v>
      </c>
      <c r="H1408" s="116"/>
      <c r="I1408" s="116"/>
      <c r="L1408" s="170">
        <v>44078</v>
      </c>
      <c r="M1408" s="116">
        <v>2288.8000000000002</v>
      </c>
      <c r="N1408" s="116">
        <v>2324.25</v>
      </c>
      <c r="O1408" s="116">
        <v>2262.9499999999998</v>
      </c>
      <c r="P1408" s="116">
        <v>2275</v>
      </c>
      <c r="Q1408" s="116">
        <v>2288.8000000000002</v>
      </c>
      <c r="R1408">
        <v>5232180</v>
      </c>
    </row>
    <row r="1409" spans="1:18" x14ac:dyDescent="0.25">
      <c r="A1409" s="170">
        <v>44081</v>
      </c>
      <c r="B1409" s="116">
        <v>2342</v>
      </c>
      <c r="C1409" s="116">
        <v>2327.4</v>
      </c>
      <c r="D1409" s="116">
        <v>2283</v>
      </c>
      <c r="E1409" s="116">
        <v>2288</v>
      </c>
      <c r="F1409" s="116">
        <v>2327.4</v>
      </c>
      <c r="G1409">
        <v>182399</v>
      </c>
      <c r="H1409" s="116"/>
      <c r="I1409" s="116"/>
      <c r="L1409" s="170">
        <v>44081</v>
      </c>
      <c r="M1409" s="116">
        <v>2327.0500000000002</v>
      </c>
      <c r="N1409" s="116">
        <v>2343.5</v>
      </c>
      <c r="O1409" s="116">
        <v>2283.35</v>
      </c>
      <c r="P1409" s="116">
        <v>2289</v>
      </c>
      <c r="Q1409" s="116">
        <v>2327.0500000000002</v>
      </c>
      <c r="R1409">
        <v>4620416</v>
      </c>
    </row>
    <row r="1410" spans="1:18" x14ac:dyDescent="0.25">
      <c r="A1410" s="170">
        <v>44082</v>
      </c>
      <c r="B1410" s="116">
        <v>2389.5</v>
      </c>
      <c r="C1410" s="116">
        <v>2348.9499999999998</v>
      </c>
      <c r="D1410" s="116">
        <v>2326.6</v>
      </c>
      <c r="E1410" s="116">
        <v>2330.5</v>
      </c>
      <c r="F1410" s="116">
        <v>2348.9499999999998</v>
      </c>
      <c r="G1410">
        <v>251949</v>
      </c>
      <c r="H1410" s="116"/>
      <c r="I1410" s="116"/>
      <c r="L1410" s="170">
        <v>44082</v>
      </c>
      <c r="M1410" s="116">
        <v>2348.1999999999998</v>
      </c>
      <c r="N1410" s="116">
        <v>2390.4499999999998</v>
      </c>
      <c r="O1410" s="116">
        <v>2327.0500000000002</v>
      </c>
      <c r="P1410" s="116">
        <v>2335.9499999999998</v>
      </c>
      <c r="Q1410" s="116">
        <v>2348.1999999999998</v>
      </c>
      <c r="R1410">
        <v>7454161</v>
      </c>
    </row>
    <row r="1411" spans="1:18" x14ac:dyDescent="0.25">
      <c r="A1411" s="170">
        <v>44083</v>
      </c>
      <c r="B1411" s="116">
        <v>2359.15</v>
      </c>
      <c r="C1411" s="116">
        <v>2323.75</v>
      </c>
      <c r="D1411" s="116">
        <v>2320</v>
      </c>
      <c r="E1411" s="116">
        <v>2325</v>
      </c>
      <c r="F1411" s="116">
        <v>2323.75</v>
      </c>
      <c r="G1411">
        <v>101324</v>
      </c>
      <c r="H1411" s="116"/>
      <c r="I1411" s="116"/>
      <c r="L1411" s="170">
        <v>44083</v>
      </c>
      <c r="M1411" s="116">
        <v>2327.65</v>
      </c>
      <c r="N1411" s="116">
        <v>2359</v>
      </c>
      <c r="O1411" s="116">
        <v>2320</v>
      </c>
      <c r="P1411" s="116">
        <v>2325</v>
      </c>
      <c r="Q1411" s="116">
        <v>2327.65</v>
      </c>
      <c r="R1411">
        <v>3866542</v>
      </c>
    </row>
    <row r="1412" spans="1:18" x14ac:dyDescent="0.25">
      <c r="A1412" s="170">
        <v>44084</v>
      </c>
      <c r="B1412" s="116">
        <v>2348.9</v>
      </c>
      <c r="C1412" s="116">
        <v>2331.6</v>
      </c>
      <c r="D1412" s="116">
        <v>2324.85</v>
      </c>
      <c r="E1412" s="116">
        <v>2329</v>
      </c>
      <c r="F1412" s="116">
        <v>2331.6</v>
      </c>
      <c r="G1412">
        <v>79509</v>
      </c>
      <c r="H1412" s="116"/>
      <c r="I1412" s="116"/>
      <c r="L1412" s="170">
        <v>44084</v>
      </c>
      <c r="M1412" s="116">
        <v>2331.15</v>
      </c>
      <c r="N1412" s="116">
        <v>2348.5</v>
      </c>
      <c r="O1412" s="116">
        <v>2324.3000000000002</v>
      </c>
      <c r="P1412" s="116">
        <v>2335</v>
      </c>
      <c r="Q1412" s="116">
        <v>2331.15</v>
      </c>
      <c r="R1412">
        <v>2308813</v>
      </c>
    </row>
    <row r="1413" spans="1:18" x14ac:dyDescent="0.25">
      <c r="A1413" s="170">
        <v>44085</v>
      </c>
      <c r="B1413" s="116">
        <v>2382.65</v>
      </c>
      <c r="C1413" s="116">
        <v>2373.6999999999998</v>
      </c>
      <c r="D1413" s="116">
        <v>2331</v>
      </c>
      <c r="E1413" s="116">
        <v>2348</v>
      </c>
      <c r="F1413" s="116">
        <v>2373.6999999999998</v>
      </c>
      <c r="G1413">
        <v>174945</v>
      </c>
      <c r="H1413" s="116"/>
      <c r="I1413" s="116"/>
      <c r="L1413" s="170">
        <v>44085</v>
      </c>
      <c r="M1413" s="116">
        <v>2374.1</v>
      </c>
      <c r="N1413" s="116">
        <v>2383</v>
      </c>
      <c r="O1413" s="116">
        <v>2330.15</v>
      </c>
      <c r="P1413" s="116">
        <v>2330.9499999999998</v>
      </c>
      <c r="Q1413" s="116">
        <v>2374.1</v>
      </c>
      <c r="R1413">
        <v>4145429</v>
      </c>
    </row>
    <row r="1414" spans="1:18" x14ac:dyDescent="0.25">
      <c r="A1414" s="170">
        <v>44088</v>
      </c>
      <c r="B1414" s="116">
        <v>2504.1999999999998</v>
      </c>
      <c r="C1414" s="116">
        <v>2492.3000000000002</v>
      </c>
      <c r="D1414" s="116">
        <v>2377</v>
      </c>
      <c r="E1414" s="116">
        <v>2377</v>
      </c>
      <c r="F1414" s="116">
        <v>2492.3000000000002</v>
      </c>
      <c r="G1414">
        <v>191774</v>
      </c>
      <c r="H1414" s="116"/>
      <c r="I1414" s="116"/>
      <c r="L1414" s="170">
        <v>44088</v>
      </c>
      <c r="M1414" s="116">
        <v>2491.4</v>
      </c>
      <c r="N1414" s="116">
        <v>2505.75</v>
      </c>
      <c r="O1414" s="116">
        <v>2381.85</v>
      </c>
      <c r="P1414" s="116">
        <v>2384.1</v>
      </c>
      <c r="Q1414" s="116">
        <v>2491.4</v>
      </c>
      <c r="R1414">
        <v>7512284</v>
      </c>
    </row>
    <row r="1415" spans="1:18" x14ac:dyDescent="0.25">
      <c r="A1415" s="170">
        <v>44089</v>
      </c>
      <c r="B1415" s="116">
        <v>2538</v>
      </c>
      <c r="C1415" s="116">
        <v>2490.25</v>
      </c>
      <c r="D1415" s="116">
        <v>2459.9</v>
      </c>
      <c r="E1415" s="116">
        <v>2487.5</v>
      </c>
      <c r="F1415" s="116">
        <v>2490.25</v>
      </c>
      <c r="G1415">
        <v>437465</v>
      </c>
      <c r="H1415" s="116"/>
      <c r="I1415" s="116"/>
      <c r="L1415" s="170">
        <v>44089</v>
      </c>
      <c r="M1415" s="116">
        <v>2491.4</v>
      </c>
      <c r="N1415" s="116">
        <v>2538</v>
      </c>
      <c r="O1415" s="116">
        <v>2464.6</v>
      </c>
      <c r="P1415" s="116">
        <v>2491.4</v>
      </c>
      <c r="Q1415" s="116">
        <v>2491.4</v>
      </c>
      <c r="R1415">
        <v>7318773</v>
      </c>
    </row>
    <row r="1416" spans="1:18" x14ac:dyDescent="0.25">
      <c r="A1416" s="170">
        <v>44090</v>
      </c>
      <c r="B1416" s="116">
        <v>2507.1</v>
      </c>
      <c r="C1416" s="116">
        <v>2502.65</v>
      </c>
      <c r="D1416" s="116">
        <v>2478.5</v>
      </c>
      <c r="E1416" s="116">
        <v>2490</v>
      </c>
      <c r="F1416" s="116">
        <v>2502.65</v>
      </c>
      <c r="G1416">
        <v>100286</v>
      </c>
      <c r="H1416" s="116"/>
      <c r="I1416" s="116"/>
      <c r="L1416" s="170">
        <v>44090</v>
      </c>
      <c r="M1416" s="116">
        <v>2503</v>
      </c>
      <c r="N1416" s="116">
        <v>2507.6</v>
      </c>
      <c r="O1416" s="116">
        <v>2477.3000000000002</v>
      </c>
      <c r="P1416" s="116">
        <v>2488.9499999999998</v>
      </c>
      <c r="Q1416" s="116">
        <v>2503</v>
      </c>
      <c r="R1416">
        <v>3074013</v>
      </c>
    </row>
    <row r="1417" spans="1:18" x14ac:dyDescent="0.25">
      <c r="A1417" s="170">
        <v>44091</v>
      </c>
      <c r="B1417" s="116">
        <v>2495</v>
      </c>
      <c r="C1417" s="116">
        <v>2460.0500000000002</v>
      </c>
      <c r="D1417" s="116">
        <v>2452.6</v>
      </c>
      <c r="E1417" s="116">
        <v>2487</v>
      </c>
      <c r="F1417" s="116">
        <v>2460.0500000000002</v>
      </c>
      <c r="G1417">
        <v>83371</v>
      </c>
      <c r="H1417" s="116"/>
      <c r="I1417" s="116"/>
      <c r="L1417" s="170">
        <v>44091</v>
      </c>
      <c r="M1417" s="116">
        <v>2460.9499999999998</v>
      </c>
      <c r="N1417" s="116">
        <v>2495.75</v>
      </c>
      <c r="O1417" s="116">
        <v>2450.6</v>
      </c>
      <c r="P1417" s="116">
        <v>2480</v>
      </c>
      <c r="Q1417" s="116">
        <v>2460.9499999999998</v>
      </c>
      <c r="R1417">
        <v>4828231</v>
      </c>
    </row>
    <row r="1418" spans="1:18" x14ac:dyDescent="0.25">
      <c r="A1418" s="170">
        <v>44092</v>
      </c>
      <c r="B1418" s="116">
        <v>2501</v>
      </c>
      <c r="C1418" s="116">
        <v>2450.75</v>
      </c>
      <c r="D1418" s="116">
        <v>2435.75</v>
      </c>
      <c r="E1418" s="116">
        <v>2480</v>
      </c>
      <c r="F1418" s="116">
        <v>2450.75</v>
      </c>
      <c r="G1418">
        <v>57975</v>
      </c>
      <c r="H1418" s="116"/>
      <c r="I1418" s="116"/>
      <c r="L1418" s="170">
        <v>44092</v>
      </c>
      <c r="M1418" s="116">
        <v>2449.9</v>
      </c>
      <c r="N1418" s="116">
        <v>2500.4</v>
      </c>
      <c r="O1418" s="116">
        <v>2436.4</v>
      </c>
      <c r="P1418" s="116">
        <v>2485</v>
      </c>
      <c r="Q1418" s="116">
        <v>2449.9</v>
      </c>
      <c r="R1418">
        <v>4183256</v>
      </c>
    </row>
    <row r="1419" spans="1:18" x14ac:dyDescent="0.25">
      <c r="A1419" s="170">
        <v>44095</v>
      </c>
      <c r="B1419" s="116">
        <v>2505</v>
      </c>
      <c r="C1419" s="116">
        <v>2464.6</v>
      </c>
      <c r="D1419" s="116">
        <v>2453.6</v>
      </c>
      <c r="E1419" s="116">
        <v>2460</v>
      </c>
      <c r="F1419" s="116">
        <v>2464.6</v>
      </c>
      <c r="G1419">
        <v>127699</v>
      </c>
      <c r="H1419" s="116"/>
      <c r="I1419" s="116"/>
      <c r="L1419" s="170">
        <v>44095</v>
      </c>
      <c r="M1419" s="116">
        <v>2465.3000000000002</v>
      </c>
      <c r="N1419" s="116">
        <v>2504.9</v>
      </c>
      <c r="O1419" s="116">
        <v>2452.15</v>
      </c>
      <c r="P1419" s="116">
        <v>2465</v>
      </c>
      <c r="Q1419" s="116">
        <v>2465.3000000000002</v>
      </c>
      <c r="R1419">
        <v>4598809</v>
      </c>
    </row>
    <row r="1420" spans="1:18" x14ac:dyDescent="0.25">
      <c r="A1420" s="170">
        <v>44096</v>
      </c>
      <c r="B1420" s="116">
        <v>2554</v>
      </c>
      <c r="C1420" s="116">
        <v>2523.5500000000002</v>
      </c>
      <c r="D1420" s="116">
        <v>2458.4499999999998</v>
      </c>
      <c r="E1420" s="116">
        <v>2484.8000000000002</v>
      </c>
      <c r="F1420" s="116">
        <v>2523.5500000000002</v>
      </c>
      <c r="G1420">
        <v>264321</v>
      </c>
      <c r="H1420" s="116"/>
      <c r="I1420" s="116"/>
      <c r="L1420" s="170">
        <v>44096</v>
      </c>
      <c r="M1420" s="116">
        <v>2522.9499999999998</v>
      </c>
      <c r="N1420" s="116">
        <v>2555</v>
      </c>
      <c r="O1420" s="116">
        <v>2458</v>
      </c>
      <c r="P1420" s="116">
        <v>2485</v>
      </c>
      <c r="Q1420" s="116">
        <v>2522.9499999999998</v>
      </c>
      <c r="R1420">
        <v>7499927</v>
      </c>
    </row>
    <row r="1421" spans="1:18" x14ac:dyDescent="0.25">
      <c r="A1421" s="170">
        <v>44097</v>
      </c>
      <c r="B1421" s="116">
        <v>2517</v>
      </c>
      <c r="C1421" s="116">
        <v>2467.15</v>
      </c>
      <c r="D1421" s="116">
        <v>2410</v>
      </c>
      <c r="E1421" s="116">
        <v>2510</v>
      </c>
      <c r="F1421" s="116">
        <v>2467.15</v>
      </c>
      <c r="G1421">
        <v>238132</v>
      </c>
      <c r="H1421" s="116"/>
      <c r="I1421" s="116"/>
      <c r="L1421" s="170">
        <v>44097</v>
      </c>
      <c r="M1421" s="116">
        <v>2467.4499999999998</v>
      </c>
      <c r="N1421" s="116">
        <v>2519.85</v>
      </c>
      <c r="O1421" s="116">
        <v>2409</v>
      </c>
      <c r="P1421" s="116">
        <v>2510</v>
      </c>
      <c r="Q1421" s="116">
        <v>2467.4499999999998</v>
      </c>
      <c r="R1421">
        <v>7503152</v>
      </c>
    </row>
    <row r="1422" spans="1:18" x14ac:dyDescent="0.25">
      <c r="A1422" s="170">
        <v>44098</v>
      </c>
      <c r="B1422" s="116">
        <v>2450</v>
      </c>
      <c r="C1422" s="116">
        <v>2331.5</v>
      </c>
      <c r="D1422" s="116">
        <v>2302.5</v>
      </c>
      <c r="E1422" s="116">
        <v>2450</v>
      </c>
      <c r="F1422" s="116">
        <v>2331.5</v>
      </c>
      <c r="G1422">
        <v>189137</v>
      </c>
      <c r="H1422" s="116"/>
      <c r="I1422" s="116"/>
      <c r="L1422" s="170">
        <v>44098</v>
      </c>
      <c r="M1422" s="116">
        <v>2332.25</v>
      </c>
      <c r="N1422" s="116">
        <v>2450</v>
      </c>
      <c r="O1422" s="116">
        <v>2302.6</v>
      </c>
      <c r="P1422" s="116">
        <v>2450</v>
      </c>
      <c r="Q1422" s="116">
        <v>2332.25</v>
      </c>
      <c r="R1422">
        <v>8425118</v>
      </c>
    </row>
    <row r="1423" spans="1:18" x14ac:dyDescent="0.25">
      <c r="A1423" s="170">
        <v>44099</v>
      </c>
      <c r="B1423" s="116">
        <v>2439.8000000000002</v>
      </c>
      <c r="C1423" s="116">
        <v>2422.3000000000002</v>
      </c>
      <c r="D1423" s="116">
        <v>2350.0500000000002</v>
      </c>
      <c r="E1423" s="116">
        <v>2370</v>
      </c>
      <c r="F1423" s="116">
        <v>2422.3000000000002</v>
      </c>
      <c r="G1423">
        <v>236610</v>
      </c>
      <c r="H1423" s="116"/>
      <c r="I1423" s="116"/>
      <c r="L1423" s="170">
        <v>44099</v>
      </c>
      <c r="M1423" s="116">
        <v>2422.3000000000002</v>
      </c>
      <c r="N1423" s="116">
        <v>2440</v>
      </c>
      <c r="O1423" s="116">
        <v>2352.1</v>
      </c>
      <c r="P1423" s="116">
        <v>2368</v>
      </c>
      <c r="Q1423" s="116">
        <v>2422.3000000000002</v>
      </c>
      <c r="R1423">
        <v>8228297</v>
      </c>
    </row>
    <row r="1424" spans="1:18" x14ac:dyDescent="0.25">
      <c r="A1424" s="170">
        <v>44102</v>
      </c>
      <c r="B1424" s="116">
        <v>2442.8000000000002</v>
      </c>
      <c r="C1424" s="116">
        <v>2425.35</v>
      </c>
      <c r="D1424" s="116">
        <v>2365.85</v>
      </c>
      <c r="E1424" s="116">
        <v>2435</v>
      </c>
      <c r="F1424" s="116">
        <v>2425.35</v>
      </c>
      <c r="G1424">
        <v>158816</v>
      </c>
      <c r="H1424" s="116"/>
      <c r="I1424" s="116"/>
      <c r="L1424" s="170">
        <v>44102</v>
      </c>
      <c r="M1424" s="116">
        <v>2426.3000000000002</v>
      </c>
      <c r="N1424" s="116">
        <v>2444</v>
      </c>
      <c r="O1424" s="116">
        <v>2366</v>
      </c>
      <c r="P1424" s="116">
        <v>2440</v>
      </c>
      <c r="Q1424" s="116">
        <v>2426.3000000000002</v>
      </c>
      <c r="R1424">
        <v>4347177</v>
      </c>
    </row>
    <row r="1425" spans="1:18" x14ac:dyDescent="0.25">
      <c r="A1425" s="170">
        <v>44103</v>
      </c>
      <c r="B1425" s="116">
        <v>2512</v>
      </c>
      <c r="C1425" s="116">
        <v>2487.25</v>
      </c>
      <c r="D1425" s="116">
        <v>2434</v>
      </c>
      <c r="E1425" s="116">
        <v>2439</v>
      </c>
      <c r="F1425" s="116">
        <v>2487.25</v>
      </c>
      <c r="G1425">
        <v>192086</v>
      </c>
      <c r="H1425" s="116"/>
      <c r="I1425" s="116"/>
      <c r="L1425" s="170">
        <v>44103</v>
      </c>
      <c r="M1425" s="116">
        <v>2488.4</v>
      </c>
      <c r="N1425" s="116">
        <v>2511.0500000000002</v>
      </c>
      <c r="O1425" s="116">
        <v>2426.3000000000002</v>
      </c>
      <c r="P1425" s="116">
        <v>2434.85</v>
      </c>
      <c r="Q1425" s="116">
        <v>2488.4</v>
      </c>
      <c r="R1425">
        <v>6995815</v>
      </c>
    </row>
    <row r="1426" spans="1:18" x14ac:dyDescent="0.25">
      <c r="A1426" s="170">
        <v>44104</v>
      </c>
      <c r="B1426" s="116">
        <v>2505.0500000000002</v>
      </c>
      <c r="C1426" s="116">
        <v>2491.5</v>
      </c>
      <c r="D1426" s="116">
        <v>2459.25</v>
      </c>
      <c r="E1426" s="116">
        <v>2495</v>
      </c>
      <c r="F1426" s="116">
        <v>2491.5</v>
      </c>
      <c r="G1426">
        <v>438317</v>
      </c>
      <c r="H1426" s="116"/>
      <c r="I1426" s="116"/>
      <c r="L1426" s="170">
        <v>44104</v>
      </c>
      <c r="M1426" s="116">
        <v>2492.3000000000002</v>
      </c>
      <c r="N1426" s="116">
        <v>2505</v>
      </c>
      <c r="O1426" s="116">
        <v>2460</v>
      </c>
      <c r="P1426" s="116">
        <v>2489</v>
      </c>
      <c r="Q1426" s="116">
        <v>2492.3000000000002</v>
      </c>
      <c r="R1426">
        <v>3917186</v>
      </c>
    </row>
    <row r="1427" spans="1:18" x14ac:dyDescent="0.25">
      <c r="A1427" s="170">
        <v>44105</v>
      </c>
      <c r="B1427" s="116">
        <v>2539</v>
      </c>
      <c r="C1427" s="116">
        <v>2522.75</v>
      </c>
      <c r="D1427" s="116">
        <v>2492</v>
      </c>
      <c r="E1427" s="116">
        <v>2509.8000000000002</v>
      </c>
      <c r="F1427" s="116">
        <v>2522.75</v>
      </c>
      <c r="G1427">
        <v>55334</v>
      </c>
      <c r="H1427" s="116"/>
      <c r="I1427" s="116"/>
      <c r="L1427" s="170">
        <v>44105</v>
      </c>
      <c r="M1427" s="116">
        <v>2523.4499999999998</v>
      </c>
      <c r="N1427" s="116">
        <v>2540</v>
      </c>
      <c r="O1427" s="116">
        <v>2492.3000000000002</v>
      </c>
      <c r="P1427" s="116">
        <v>2510</v>
      </c>
      <c r="Q1427" s="116">
        <v>2523.4499999999998</v>
      </c>
      <c r="R1427">
        <v>2610338</v>
      </c>
    </row>
    <row r="1428" spans="1:18" x14ac:dyDescent="0.25">
      <c r="A1428" s="170">
        <v>44109</v>
      </c>
      <c r="B1428" s="116">
        <v>2727</v>
      </c>
      <c r="C1428" s="116">
        <v>2706.85</v>
      </c>
      <c r="D1428" s="116">
        <v>2604</v>
      </c>
      <c r="E1428" s="116">
        <v>2610</v>
      </c>
      <c r="F1428" s="116">
        <v>2706.85</v>
      </c>
      <c r="G1428">
        <v>473381</v>
      </c>
      <c r="H1428" s="116"/>
      <c r="I1428" s="116"/>
      <c r="L1428" s="170">
        <v>44109</v>
      </c>
      <c r="M1428" s="116">
        <v>2705.8</v>
      </c>
      <c r="N1428" s="116">
        <v>2728.1</v>
      </c>
      <c r="O1428" s="116">
        <v>2603.0500000000002</v>
      </c>
      <c r="P1428" s="116">
        <v>2620</v>
      </c>
      <c r="Q1428" s="116">
        <v>2705.8</v>
      </c>
      <c r="R1428">
        <v>17412119</v>
      </c>
    </row>
    <row r="1429" spans="1:18" x14ac:dyDescent="0.25">
      <c r="A1429" s="170">
        <v>44110</v>
      </c>
      <c r="B1429" s="116">
        <v>2736</v>
      </c>
      <c r="C1429" s="116">
        <v>2716.15</v>
      </c>
      <c r="D1429" s="116">
        <v>2649.35</v>
      </c>
      <c r="E1429" s="116">
        <v>2736</v>
      </c>
      <c r="F1429" s="116">
        <v>2716.15</v>
      </c>
      <c r="G1429">
        <v>330035</v>
      </c>
      <c r="H1429" s="116"/>
      <c r="I1429" s="116"/>
      <c r="L1429" s="170">
        <v>44110</v>
      </c>
      <c r="M1429" s="116">
        <v>2714.3</v>
      </c>
      <c r="N1429" s="116">
        <v>2736</v>
      </c>
      <c r="O1429" s="116">
        <v>2650.1</v>
      </c>
      <c r="P1429" s="116">
        <v>2736</v>
      </c>
      <c r="Q1429" s="116">
        <v>2714.3</v>
      </c>
      <c r="R1429">
        <v>9846376</v>
      </c>
    </row>
    <row r="1430" spans="1:18" x14ac:dyDescent="0.25">
      <c r="A1430" s="170">
        <v>44111</v>
      </c>
      <c r="B1430" s="116">
        <v>2769</v>
      </c>
      <c r="C1430" s="116">
        <v>2737.4</v>
      </c>
      <c r="D1430" s="116">
        <v>2703</v>
      </c>
      <c r="E1430" s="116">
        <v>2738</v>
      </c>
      <c r="F1430" s="116">
        <v>2737.4</v>
      </c>
      <c r="G1430">
        <v>277896</v>
      </c>
      <c r="H1430" s="116"/>
      <c r="I1430" s="116"/>
      <c r="L1430" s="170">
        <v>44111</v>
      </c>
      <c r="M1430" s="116">
        <v>2735.95</v>
      </c>
      <c r="N1430" s="116">
        <v>2770</v>
      </c>
      <c r="O1430" s="116">
        <v>2703</v>
      </c>
      <c r="P1430" s="116">
        <v>2742</v>
      </c>
      <c r="Q1430" s="116">
        <v>2735.95</v>
      </c>
      <c r="R1430">
        <v>9656167</v>
      </c>
    </row>
    <row r="1431" spans="1:18" x14ac:dyDescent="0.25">
      <c r="A1431" s="170">
        <v>44112</v>
      </c>
      <c r="B1431" s="116">
        <v>2885</v>
      </c>
      <c r="C1431" s="116">
        <v>2824.8</v>
      </c>
      <c r="D1431" s="116">
        <v>2800</v>
      </c>
      <c r="E1431" s="116">
        <v>2825</v>
      </c>
      <c r="F1431" s="116">
        <v>2824.8</v>
      </c>
      <c r="G1431">
        <v>692625</v>
      </c>
      <c r="H1431" s="116"/>
      <c r="I1431" s="116"/>
      <c r="L1431" s="170">
        <v>44112</v>
      </c>
      <c r="M1431" s="116">
        <v>2825.7</v>
      </c>
      <c r="N1431" s="116">
        <v>2885</v>
      </c>
      <c r="O1431" s="116">
        <v>2800</v>
      </c>
      <c r="P1431" s="116">
        <v>2800</v>
      </c>
      <c r="Q1431" s="116">
        <v>2825.7</v>
      </c>
      <c r="R1431">
        <v>19839826</v>
      </c>
    </row>
    <row r="1432" spans="1:18" x14ac:dyDescent="0.25">
      <c r="A1432" s="170">
        <v>44113</v>
      </c>
      <c r="B1432" s="116">
        <v>2828.75</v>
      </c>
      <c r="C1432" s="116">
        <v>2814.95</v>
      </c>
      <c r="D1432" s="116">
        <v>2781</v>
      </c>
      <c r="E1432" s="116">
        <v>2823</v>
      </c>
      <c r="F1432" s="116">
        <v>2814.95</v>
      </c>
      <c r="G1432">
        <v>186388</v>
      </c>
      <c r="H1432" s="116"/>
      <c r="I1432" s="116"/>
      <c r="L1432" s="170">
        <v>44113</v>
      </c>
      <c r="M1432" s="116">
        <v>2812.95</v>
      </c>
      <c r="N1432" s="116">
        <v>2829.85</v>
      </c>
      <c r="O1432" s="116">
        <v>2780</v>
      </c>
      <c r="P1432" s="116">
        <v>2810</v>
      </c>
      <c r="Q1432" s="116">
        <v>2812.95</v>
      </c>
      <c r="R1432">
        <v>7739375</v>
      </c>
    </row>
    <row r="1433" spans="1:18" x14ac:dyDescent="0.25">
      <c r="A1433" s="170">
        <v>44116</v>
      </c>
      <c r="B1433" s="116">
        <v>2853.65</v>
      </c>
      <c r="C1433" s="116">
        <v>2831.2</v>
      </c>
      <c r="D1433" s="116">
        <v>2802</v>
      </c>
      <c r="E1433" s="116">
        <v>2818.9</v>
      </c>
      <c r="F1433" s="116">
        <v>2831.2</v>
      </c>
      <c r="G1433">
        <v>191337</v>
      </c>
      <c r="H1433" s="116"/>
      <c r="I1433" s="116"/>
      <c r="L1433" s="170">
        <v>44116</v>
      </c>
      <c r="M1433" s="116">
        <v>2830</v>
      </c>
      <c r="N1433" s="116">
        <v>2854</v>
      </c>
      <c r="O1433" s="116">
        <v>2800.75</v>
      </c>
      <c r="P1433" s="116">
        <v>2815.5</v>
      </c>
      <c r="Q1433" s="116">
        <v>2830</v>
      </c>
      <c r="R1433">
        <v>4623211</v>
      </c>
    </row>
    <row r="1434" spans="1:18" x14ac:dyDescent="0.25">
      <c r="A1434" s="170">
        <v>44117</v>
      </c>
      <c r="B1434" s="116">
        <v>2855</v>
      </c>
      <c r="C1434" s="116">
        <v>2825.65</v>
      </c>
      <c r="D1434" s="116">
        <v>2813.25</v>
      </c>
      <c r="E1434" s="116">
        <v>2845</v>
      </c>
      <c r="F1434" s="116">
        <v>2825.65</v>
      </c>
      <c r="G1434">
        <v>149828</v>
      </c>
      <c r="H1434" s="116"/>
      <c r="I1434" s="116"/>
      <c r="L1434" s="170">
        <v>44117</v>
      </c>
      <c r="M1434" s="116">
        <v>2826.55</v>
      </c>
      <c r="N1434" s="116">
        <v>2854.9</v>
      </c>
      <c r="O1434" s="116">
        <v>2812.2</v>
      </c>
      <c r="P1434" s="116">
        <v>2845</v>
      </c>
      <c r="Q1434" s="116">
        <v>2826.55</v>
      </c>
      <c r="R1434">
        <v>4209905</v>
      </c>
    </row>
    <row r="1435" spans="1:18" x14ac:dyDescent="0.25">
      <c r="A1435" s="170">
        <v>44118</v>
      </c>
      <c r="B1435" s="116">
        <v>2840.15</v>
      </c>
      <c r="C1435" s="116">
        <v>2809.8</v>
      </c>
      <c r="D1435" s="116">
        <v>2788.95</v>
      </c>
      <c r="E1435" s="116">
        <v>2840.15</v>
      </c>
      <c r="F1435" s="116">
        <v>2809.8</v>
      </c>
      <c r="G1435">
        <v>86667</v>
      </c>
      <c r="H1435" s="116"/>
      <c r="I1435" s="116"/>
      <c r="L1435" s="170">
        <v>44118</v>
      </c>
      <c r="M1435" s="116">
        <v>2809.6</v>
      </c>
      <c r="N1435" s="116">
        <v>2842</v>
      </c>
      <c r="O1435" s="116">
        <v>2787.55</v>
      </c>
      <c r="P1435" s="116">
        <v>2842</v>
      </c>
      <c r="Q1435" s="116">
        <v>2809.6</v>
      </c>
      <c r="R1435">
        <v>4395979</v>
      </c>
    </row>
    <row r="1436" spans="1:18" x14ac:dyDescent="0.25">
      <c r="A1436" s="170">
        <v>44119</v>
      </c>
      <c r="B1436" s="116">
        <v>2827</v>
      </c>
      <c r="C1436" s="116">
        <v>2738.7</v>
      </c>
      <c r="D1436" s="116">
        <v>2727</v>
      </c>
      <c r="E1436" s="116">
        <v>2810.1</v>
      </c>
      <c r="F1436" s="116">
        <v>2738.7</v>
      </c>
      <c r="G1436">
        <v>589029</v>
      </c>
      <c r="H1436" s="116"/>
      <c r="I1436" s="116"/>
      <c r="L1436" s="170">
        <v>44119</v>
      </c>
      <c r="M1436" s="116">
        <v>2740.6</v>
      </c>
      <c r="N1436" s="116">
        <v>2827.75</v>
      </c>
      <c r="O1436" s="116">
        <v>2727</v>
      </c>
      <c r="P1436" s="116">
        <v>2811</v>
      </c>
      <c r="Q1436" s="116">
        <v>2740.6</v>
      </c>
      <c r="R1436">
        <v>6629395</v>
      </c>
    </row>
    <row r="1437" spans="1:18" x14ac:dyDescent="0.25">
      <c r="A1437" s="170">
        <v>44120</v>
      </c>
      <c r="B1437" s="116">
        <v>2771.2</v>
      </c>
      <c r="C1437" s="116">
        <v>2762.5</v>
      </c>
      <c r="D1437" s="116">
        <v>2733.45</v>
      </c>
      <c r="E1437" s="116">
        <v>2751</v>
      </c>
      <c r="F1437" s="116">
        <v>2762.5</v>
      </c>
      <c r="G1437">
        <v>64823</v>
      </c>
      <c r="H1437" s="116"/>
      <c r="I1437" s="116"/>
      <c r="L1437" s="170">
        <v>44120</v>
      </c>
      <c r="M1437" s="116">
        <v>2763.3</v>
      </c>
      <c r="N1437" s="116">
        <v>2771.65</v>
      </c>
      <c r="O1437" s="116">
        <v>2731.3</v>
      </c>
      <c r="P1437" s="116">
        <v>2750.1</v>
      </c>
      <c r="Q1437" s="116">
        <v>2763.3</v>
      </c>
      <c r="R1437">
        <v>5273773</v>
      </c>
    </row>
    <row r="1438" spans="1:18" x14ac:dyDescent="0.25">
      <c r="A1438" s="170">
        <v>44123</v>
      </c>
      <c r="B1438" s="116">
        <v>2777</v>
      </c>
      <c r="C1438" s="116">
        <v>2711.45</v>
      </c>
      <c r="D1438" s="116">
        <v>2706.6</v>
      </c>
      <c r="E1438" s="116">
        <v>2777</v>
      </c>
      <c r="F1438" s="116">
        <v>2711.45</v>
      </c>
      <c r="G1438">
        <v>90310</v>
      </c>
      <c r="H1438" s="116"/>
      <c r="I1438" s="116"/>
      <c r="L1438" s="170">
        <v>44123</v>
      </c>
      <c r="M1438" s="116">
        <v>2711.55</v>
      </c>
      <c r="N1438" s="116">
        <v>2774</v>
      </c>
      <c r="O1438" s="116">
        <v>2706.6</v>
      </c>
      <c r="P1438" s="116">
        <v>2774</v>
      </c>
      <c r="Q1438" s="116">
        <v>2711.55</v>
      </c>
      <c r="R1438">
        <v>3331194</v>
      </c>
    </row>
    <row r="1439" spans="1:18" x14ac:dyDescent="0.25">
      <c r="A1439" s="170">
        <v>44124</v>
      </c>
      <c r="B1439" s="116">
        <v>2760</v>
      </c>
      <c r="C1439" s="116">
        <v>2738.4</v>
      </c>
      <c r="D1439" s="116">
        <v>2720</v>
      </c>
      <c r="E1439" s="116">
        <v>2722</v>
      </c>
      <c r="F1439" s="116">
        <v>2738.4</v>
      </c>
      <c r="G1439">
        <v>56441</v>
      </c>
      <c r="H1439" s="116"/>
      <c r="I1439" s="116"/>
      <c r="L1439" s="170">
        <v>44124</v>
      </c>
      <c r="M1439" s="116">
        <v>2739</v>
      </c>
      <c r="N1439" s="116">
        <v>2759.9</v>
      </c>
      <c r="O1439" s="116">
        <v>2717.95</v>
      </c>
      <c r="P1439" s="116">
        <v>2725</v>
      </c>
      <c r="Q1439" s="116">
        <v>2739</v>
      </c>
      <c r="R1439">
        <v>3406298</v>
      </c>
    </row>
    <row r="1440" spans="1:18" x14ac:dyDescent="0.25">
      <c r="A1440" s="170">
        <v>44125</v>
      </c>
      <c r="B1440" s="116">
        <v>2749.6</v>
      </c>
      <c r="C1440" s="116">
        <v>2675.45</v>
      </c>
      <c r="D1440" s="116">
        <v>2663.1</v>
      </c>
      <c r="E1440" s="116">
        <v>2739</v>
      </c>
      <c r="F1440" s="116">
        <v>2675.45</v>
      </c>
      <c r="G1440">
        <v>109319</v>
      </c>
      <c r="H1440" s="116"/>
      <c r="I1440" s="116"/>
      <c r="L1440" s="170">
        <v>44125</v>
      </c>
      <c r="M1440" s="116">
        <v>2675.4</v>
      </c>
      <c r="N1440" s="116">
        <v>2749</v>
      </c>
      <c r="O1440" s="116">
        <v>2663.05</v>
      </c>
      <c r="P1440" s="116">
        <v>2739</v>
      </c>
      <c r="Q1440" s="116">
        <v>2675.4</v>
      </c>
      <c r="R1440">
        <v>4570175</v>
      </c>
    </row>
    <row r="1441" spans="1:18" x14ac:dyDescent="0.25">
      <c r="A1441" s="170">
        <v>44126</v>
      </c>
      <c r="B1441" s="116">
        <v>2687.25</v>
      </c>
      <c r="C1441" s="116">
        <v>2670.8</v>
      </c>
      <c r="D1441" s="116">
        <v>2638.55</v>
      </c>
      <c r="E1441" s="116">
        <v>2666.8</v>
      </c>
      <c r="F1441" s="116">
        <v>2670.8</v>
      </c>
      <c r="G1441">
        <v>151372</v>
      </c>
      <c r="H1441" s="116"/>
      <c r="I1441" s="116"/>
      <c r="L1441" s="170">
        <v>44126</v>
      </c>
      <c r="M1441" s="116">
        <v>2671.15</v>
      </c>
      <c r="N1441" s="116">
        <v>2686.65</v>
      </c>
      <c r="O1441" s="116">
        <v>2638.1</v>
      </c>
      <c r="P1441" s="116">
        <v>2661</v>
      </c>
      <c r="Q1441" s="116">
        <v>2671.15</v>
      </c>
      <c r="R1441">
        <v>5262311</v>
      </c>
    </row>
    <row r="1442" spans="1:18" x14ac:dyDescent="0.25">
      <c r="A1442" s="170">
        <v>44127</v>
      </c>
      <c r="B1442" s="116">
        <v>2706.05</v>
      </c>
      <c r="C1442" s="116">
        <v>2686.45</v>
      </c>
      <c r="D1442" s="116">
        <v>2670.55</v>
      </c>
      <c r="E1442" s="116">
        <v>2684</v>
      </c>
      <c r="F1442" s="116">
        <v>2686.45</v>
      </c>
      <c r="G1442">
        <v>69850</v>
      </c>
      <c r="H1442" s="116"/>
      <c r="I1442" s="116"/>
      <c r="L1442" s="170">
        <v>44127</v>
      </c>
      <c r="M1442" s="116">
        <v>2686.8</v>
      </c>
      <c r="N1442" s="116">
        <v>2702</v>
      </c>
      <c r="O1442" s="116">
        <v>2670.1</v>
      </c>
      <c r="P1442" s="116">
        <v>2687.8</v>
      </c>
      <c r="Q1442" s="116">
        <v>2686.8</v>
      </c>
      <c r="R1442">
        <v>3499372</v>
      </c>
    </row>
    <row r="1443" spans="1:18" x14ac:dyDescent="0.25">
      <c r="A1443" s="170">
        <v>44130</v>
      </c>
      <c r="B1443" s="116">
        <v>2709.8</v>
      </c>
      <c r="C1443" s="116">
        <v>2687.65</v>
      </c>
      <c r="D1443" s="116">
        <v>2671.7</v>
      </c>
      <c r="E1443" s="116">
        <v>2695</v>
      </c>
      <c r="F1443" s="116">
        <v>2687.65</v>
      </c>
      <c r="G1443">
        <v>72725</v>
      </c>
      <c r="H1443" s="116"/>
      <c r="I1443" s="116"/>
      <c r="L1443" s="170">
        <v>44130</v>
      </c>
      <c r="M1443" s="116">
        <v>2688.2</v>
      </c>
      <c r="N1443" s="116">
        <v>2709.95</v>
      </c>
      <c r="O1443" s="116">
        <v>2670.5</v>
      </c>
      <c r="P1443" s="116">
        <v>2689.95</v>
      </c>
      <c r="Q1443" s="116">
        <v>2688.2</v>
      </c>
      <c r="R1443">
        <v>2672766</v>
      </c>
    </row>
    <row r="1444" spans="1:18" x14ac:dyDescent="0.25">
      <c r="A1444" s="170">
        <v>44131</v>
      </c>
      <c r="B1444" s="116">
        <v>2717</v>
      </c>
      <c r="C1444" s="116">
        <v>2631.45</v>
      </c>
      <c r="D1444" s="116">
        <v>2625</v>
      </c>
      <c r="E1444" s="116">
        <v>2696.85</v>
      </c>
      <c r="F1444" s="116">
        <v>2631.45</v>
      </c>
      <c r="G1444">
        <v>86794</v>
      </c>
      <c r="H1444" s="116"/>
      <c r="I1444" s="116"/>
      <c r="L1444" s="170">
        <v>44131</v>
      </c>
      <c r="M1444" s="116">
        <v>2630.15</v>
      </c>
      <c r="N1444" s="116">
        <v>2718.15</v>
      </c>
      <c r="O1444" s="116">
        <v>2624.1</v>
      </c>
      <c r="P1444" s="116">
        <v>2699.75</v>
      </c>
      <c r="Q1444" s="116">
        <v>2630.15</v>
      </c>
      <c r="R1444">
        <v>3537594</v>
      </c>
    </row>
    <row r="1445" spans="1:18" x14ac:dyDescent="0.25">
      <c r="A1445" s="170">
        <v>44132</v>
      </c>
      <c r="B1445" s="116">
        <v>2656.35</v>
      </c>
      <c r="C1445" s="116">
        <v>2621.75</v>
      </c>
      <c r="D1445" s="116">
        <v>2607.1999999999998</v>
      </c>
      <c r="E1445" s="116">
        <v>2653</v>
      </c>
      <c r="F1445" s="116">
        <v>2621.75</v>
      </c>
      <c r="G1445">
        <v>471923</v>
      </c>
      <c r="H1445" s="116"/>
      <c r="I1445" s="116"/>
      <c r="L1445" s="170">
        <v>44132</v>
      </c>
      <c r="M1445" s="116">
        <v>2622.2</v>
      </c>
      <c r="N1445" s="116">
        <v>2655.95</v>
      </c>
      <c r="O1445" s="116">
        <v>2606</v>
      </c>
      <c r="P1445" s="116">
        <v>2650</v>
      </c>
      <c r="Q1445" s="116">
        <v>2622.2</v>
      </c>
      <c r="R1445">
        <v>3569515</v>
      </c>
    </row>
    <row r="1446" spans="1:18" x14ac:dyDescent="0.25">
      <c r="A1446" s="170">
        <v>44133</v>
      </c>
      <c r="B1446" s="116">
        <v>2654.45</v>
      </c>
      <c r="C1446" s="116">
        <v>2633.7</v>
      </c>
      <c r="D1446" s="116">
        <v>2601</v>
      </c>
      <c r="E1446" s="116">
        <v>2605</v>
      </c>
      <c r="F1446" s="116">
        <v>2633.7</v>
      </c>
      <c r="G1446">
        <v>86748</v>
      </c>
      <c r="H1446" s="116"/>
      <c r="I1446" s="116"/>
      <c r="L1446" s="170">
        <v>44133</v>
      </c>
      <c r="M1446" s="116">
        <v>2632.65</v>
      </c>
      <c r="N1446" s="116">
        <v>2655</v>
      </c>
      <c r="O1446" s="116">
        <v>2600.25</v>
      </c>
      <c r="P1446" s="116">
        <v>2608</v>
      </c>
      <c r="Q1446" s="116">
        <v>2632.65</v>
      </c>
      <c r="R1446">
        <v>3105970</v>
      </c>
    </row>
    <row r="1447" spans="1:18" x14ac:dyDescent="0.25">
      <c r="A1447" s="170">
        <v>44134</v>
      </c>
      <c r="B1447" s="116">
        <v>2673.95</v>
      </c>
      <c r="C1447" s="116">
        <v>2664.85</v>
      </c>
      <c r="D1447" s="116">
        <v>2621.65</v>
      </c>
      <c r="E1447" s="116">
        <v>2639</v>
      </c>
      <c r="F1447" s="116">
        <v>2664.85</v>
      </c>
      <c r="G1447">
        <v>77960</v>
      </c>
      <c r="H1447" s="116"/>
      <c r="I1447" s="116"/>
      <c r="L1447" s="170">
        <v>44134</v>
      </c>
      <c r="M1447" s="116">
        <v>2664.85</v>
      </c>
      <c r="N1447" s="116">
        <v>2674.35</v>
      </c>
      <c r="O1447" s="116">
        <v>2621.6</v>
      </c>
      <c r="P1447" s="116">
        <v>2636.1</v>
      </c>
      <c r="Q1447" s="116">
        <v>2664.85</v>
      </c>
      <c r="R1447">
        <v>3427003</v>
      </c>
    </row>
    <row r="1448" spans="1:18" x14ac:dyDescent="0.25">
      <c r="A1448" s="170">
        <v>44137</v>
      </c>
      <c r="B1448" s="116">
        <v>2665</v>
      </c>
      <c r="C1448" s="116">
        <v>2603.85</v>
      </c>
      <c r="D1448" s="116">
        <v>2600</v>
      </c>
      <c r="E1448" s="116">
        <v>2665</v>
      </c>
      <c r="F1448" s="116">
        <v>2603.85</v>
      </c>
      <c r="G1448">
        <v>106105</v>
      </c>
      <c r="H1448" s="116"/>
      <c r="I1448" s="116"/>
      <c r="L1448" s="170">
        <v>44137</v>
      </c>
      <c r="M1448" s="116">
        <v>2604.6</v>
      </c>
      <c r="N1448" s="116">
        <v>2664.85</v>
      </c>
      <c r="O1448" s="116">
        <v>2600.0500000000002</v>
      </c>
      <c r="P1448" s="116">
        <v>2660</v>
      </c>
      <c r="Q1448" s="116">
        <v>2604.6</v>
      </c>
      <c r="R1448">
        <v>2571196</v>
      </c>
    </row>
    <row r="1449" spans="1:18" x14ac:dyDescent="0.25">
      <c r="A1449" s="170">
        <v>44138</v>
      </c>
      <c r="B1449" s="116">
        <v>2664.75</v>
      </c>
      <c r="C1449" s="116">
        <v>2632.65</v>
      </c>
      <c r="D1449" s="116">
        <v>2602</v>
      </c>
      <c r="E1449" s="116">
        <v>2604.6999999999998</v>
      </c>
      <c r="F1449" s="116">
        <v>2632.65</v>
      </c>
      <c r="G1449">
        <v>66138</v>
      </c>
      <c r="H1449" s="116"/>
      <c r="I1449" s="116"/>
      <c r="L1449" s="170">
        <v>44138</v>
      </c>
      <c r="M1449" s="116">
        <v>2633.6</v>
      </c>
      <c r="N1449" s="116">
        <v>2665</v>
      </c>
      <c r="O1449" s="116">
        <v>2601.0500000000002</v>
      </c>
      <c r="P1449" s="116">
        <v>2604</v>
      </c>
      <c r="Q1449" s="116">
        <v>2633.6</v>
      </c>
      <c r="R1449">
        <v>2879269</v>
      </c>
    </row>
    <row r="1450" spans="1:18" x14ac:dyDescent="0.25">
      <c r="A1450" s="170">
        <v>44139</v>
      </c>
      <c r="B1450" s="116">
        <v>2720.45</v>
      </c>
      <c r="C1450" s="116">
        <v>2653.25</v>
      </c>
      <c r="D1450" s="116">
        <v>2615</v>
      </c>
      <c r="E1450" s="116">
        <v>2625</v>
      </c>
      <c r="F1450" s="116">
        <v>2653.25</v>
      </c>
      <c r="G1450">
        <v>129239</v>
      </c>
      <c r="H1450" s="116"/>
      <c r="I1450" s="116"/>
      <c r="L1450" s="170">
        <v>44139</v>
      </c>
      <c r="M1450" s="116">
        <v>2653.15</v>
      </c>
      <c r="N1450" s="116">
        <v>2721.85</v>
      </c>
      <c r="O1450" s="116">
        <v>2610</v>
      </c>
      <c r="P1450" s="116">
        <v>2610</v>
      </c>
      <c r="Q1450" s="116">
        <v>2653.15</v>
      </c>
      <c r="R1450">
        <v>4893928</v>
      </c>
    </row>
    <row r="1451" spans="1:18" x14ac:dyDescent="0.25">
      <c r="A1451" s="170">
        <v>44140</v>
      </c>
      <c r="B1451" s="116">
        <v>2709.75</v>
      </c>
      <c r="C1451" s="116">
        <v>2687.25</v>
      </c>
      <c r="D1451" s="116">
        <v>2667.4</v>
      </c>
      <c r="E1451" s="116">
        <v>2681</v>
      </c>
      <c r="F1451" s="116">
        <v>2687.25</v>
      </c>
      <c r="G1451">
        <v>114531</v>
      </c>
      <c r="H1451" s="116"/>
      <c r="I1451" s="116"/>
      <c r="L1451" s="170">
        <v>44140</v>
      </c>
      <c r="M1451" s="116">
        <v>2685.7</v>
      </c>
      <c r="N1451" s="116">
        <v>2710</v>
      </c>
      <c r="O1451" s="116">
        <v>2667</v>
      </c>
      <c r="P1451" s="116">
        <v>2685</v>
      </c>
      <c r="Q1451" s="116">
        <v>2685.7</v>
      </c>
      <c r="R1451">
        <v>2816502</v>
      </c>
    </row>
    <row r="1452" spans="1:18" x14ac:dyDescent="0.25">
      <c r="A1452" s="170">
        <v>44141</v>
      </c>
      <c r="B1452" s="116">
        <v>2713.35</v>
      </c>
      <c r="C1452" s="116">
        <v>2708.25</v>
      </c>
      <c r="D1452" s="116">
        <v>2681.7</v>
      </c>
      <c r="E1452" s="116">
        <v>2695</v>
      </c>
      <c r="F1452" s="116">
        <v>2708.25</v>
      </c>
      <c r="G1452">
        <v>86947</v>
      </c>
      <c r="H1452" s="116"/>
      <c r="I1452" s="116"/>
      <c r="L1452" s="170">
        <v>44141</v>
      </c>
      <c r="M1452" s="116">
        <v>2707.45</v>
      </c>
      <c r="N1452" s="116">
        <v>2713.25</v>
      </c>
      <c r="O1452" s="116">
        <v>2681.3</v>
      </c>
      <c r="P1452" s="116">
        <v>2699</v>
      </c>
      <c r="Q1452" s="116">
        <v>2707.45</v>
      </c>
      <c r="R1452">
        <v>3884421</v>
      </c>
    </row>
    <row r="1453" spans="1:18" x14ac:dyDescent="0.25">
      <c r="A1453" s="170">
        <v>44144</v>
      </c>
      <c r="B1453" s="116">
        <v>2743.8</v>
      </c>
      <c r="C1453" s="116">
        <v>2725.9</v>
      </c>
      <c r="D1453" s="116">
        <v>2695.05</v>
      </c>
      <c r="E1453" s="116">
        <v>2738.25</v>
      </c>
      <c r="F1453" s="116">
        <v>2725.9</v>
      </c>
      <c r="G1453">
        <v>124207</v>
      </c>
      <c r="H1453" s="116"/>
      <c r="I1453" s="116"/>
      <c r="L1453" s="170">
        <v>44144</v>
      </c>
      <c r="M1453" s="116">
        <v>2726.6</v>
      </c>
      <c r="N1453" s="116">
        <v>2744</v>
      </c>
      <c r="O1453" s="116">
        <v>2695.1</v>
      </c>
      <c r="P1453" s="116">
        <v>2731.1</v>
      </c>
      <c r="Q1453" s="116">
        <v>2726.6</v>
      </c>
      <c r="R1453">
        <v>3646592</v>
      </c>
    </row>
    <row r="1454" spans="1:18" x14ac:dyDescent="0.25">
      <c r="A1454" s="170">
        <v>44145</v>
      </c>
      <c r="B1454" s="116">
        <v>2725</v>
      </c>
      <c r="C1454" s="116">
        <v>2649.95</v>
      </c>
      <c r="D1454" s="116">
        <v>2640</v>
      </c>
      <c r="E1454" s="116">
        <v>2725</v>
      </c>
      <c r="F1454" s="116">
        <v>2649.95</v>
      </c>
      <c r="G1454">
        <v>182867</v>
      </c>
      <c r="H1454" s="116"/>
      <c r="I1454" s="116"/>
      <c r="L1454" s="170">
        <v>44145</v>
      </c>
      <c r="M1454" s="116">
        <v>2649.6</v>
      </c>
      <c r="N1454" s="116">
        <v>2713.15</v>
      </c>
      <c r="O1454" s="116">
        <v>2638.35</v>
      </c>
      <c r="P1454" s="116">
        <v>2697.2</v>
      </c>
      <c r="Q1454" s="116">
        <v>2649.6</v>
      </c>
      <c r="R1454">
        <v>4760020</v>
      </c>
    </row>
    <row r="1455" spans="1:18" x14ac:dyDescent="0.25">
      <c r="A1455" s="170">
        <v>44146</v>
      </c>
      <c r="B1455" s="116">
        <v>2691.85</v>
      </c>
      <c r="C1455" s="116">
        <v>2688.55</v>
      </c>
      <c r="D1455" s="116">
        <v>2644.25</v>
      </c>
      <c r="E1455" s="116">
        <v>2645.3</v>
      </c>
      <c r="F1455" s="116">
        <v>2688.55</v>
      </c>
      <c r="G1455">
        <v>179045</v>
      </c>
      <c r="H1455" s="116"/>
      <c r="I1455" s="116"/>
      <c r="L1455" s="170">
        <v>44146</v>
      </c>
      <c r="M1455" s="116">
        <v>2687.8</v>
      </c>
      <c r="N1455" s="116">
        <v>2692.8</v>
      </c>
      <c r="O1455" s="116">
        <v>2643.4</v>
      </c>
      <c r="P1455" s="116">
        <v>2667.95</v>
      </c>
      <c r="Q1455" s="116">
        <v>2687.8</v>
      </c>
      <c r="R1455">
        <v>3242441</v>
      </c>
    </row>
    <row r="1456" spans="1:18" x14ac:dyDescent="0.25">
      <c r="A1456" s="170">
        <v>44147</v>
      </c>
      <c r="B1456" s="116">
        <v>2711.65</v>
      </c>
      <c r="C1456" s="116">
        <v>2670.7</v>
      </c>
      <c r="D1456" s="116">
        <v>2662.55</v>
      </c>
      <c r="E1456" s="116">
        <v>2687</v>
      </c>
      <c r="F1456" s="116">
        <v>2670.7</v>
      </c>
      <c r="G1456">
        <v>75051</v>
      </c>
      <c r="H1456" s="116"/>
      <c r="I1456" s="116"/>
      <c r="L1456" s="170">
        <v>44147</v>
      </c>
      <c r="M1456" s="116">
        <v>2671.05</v>
      </c>
      <c r="N1456" s="116">
        <v>2713</v>
      </c>
      <c r="O1456" s="116">
        <v>2661.75</v>
      </c>
      <c r="P1456" s="116">
        <v>2686</v>
      </c>
      <c r="Q1456" s="116">
        <v>2671.05</v>
      </c>
      <c r="R1456">
        <v>2437505</v>
      </c>
    </row>
    <row r="1457" spans="1:18" x14ac:dyDescent="0.25">
      <c r="A1457" s="170">
        <v>44148</v>
      </c>
      <c r="B1457" s="116">
        <v>2663.95</v>
      </c>
      <c r="C1457" s="116">
        <v>2657.3</v>
      </c>
      <c r="D1457" s="116">
        <v>2636.45</v>
      </c>
      <c r="E1457" s="116">
        <v>2656</v>
      </c>
      <c r="F1457" s="116">
        <v>2657.3</v>
      </c>
      <c r="G1457">
        <v>436036</v>
      </c>
      <c r="H1457" s="116"/>
      <c r="I1457" s="116"/>
      <c r="L1457" s="170">
        <v>44148</v>
      </c>
      <c r="M1457" s="116">
        <v>2656.85</v>
      </c>
      <c r="N1457" s="116">
        <v>2664.9</v>
      </c>
      <c r="O1457" s="116">
        <v>2636</v>
      </c>
      <c r="P1457" s="116">
        <v>2655.75</v>
      </c>
      <c r="Q1457" s="116">
        <v>2656.85</v>
      </c>
      <c r="R1457">
        <v>2548093</v>
      </c>
    </row>
    <row r="1458" spans="1:18" x14ac:dyDescent="0.25">
      <c r="A1458" s="170">
        <v>44149</v>
      </c>
      <c r="B1458" s="116">
        <v>2680</v>
      </c>
      <c r="C1458" s="116">
        <v>2670.7</v>
      </c>
      <c r="D1458" s="116">
        <v>2660.05</v>
      </c>
      <c r="E1458" s="116">
        <v>2680</v>
      </c>
      <c r="F1458" s="116">
        <v>2670.7</v>
      </c>
      <c r="G1458">
        <v>23425</v>
      </c>
      <c r="H1458" s="116"/>
      <c r="I1458" s="116"/>
      <c r="L1458" s="170">
        <v>44149</v>
      </c>
      <c r="M1458" s="116">
        <v>2670.35</v>
      </c>
      <c r="N1458" s="116">
        <v>2689</v>
      </c>
      <c r="O1458" s="116">
        <v>2660.05</v>
      </c>
      <c r="P1458" s="116">
        <v>2677.95</v>
      </c>
      <c r="Q1458" s="116">
        <v>2670.35</v>
      </c>
      <c r="R1458">
        <v>298819</v>
      </c>
    </row>
    <row r="1459" spans="1:18" x14ac:dyDescent="0.25">
      <c r="A1459" s="170">
        <v>44152</v>
      </c>
      <c r="B1459" s="116">
        <v>2690</v>
      </c>
      <c r="C1459" s="116">
        <v>2666.2</v>
      </c>
      <c r="D1459" s="116">
        <v>2650.35</v>
      </c>
      <c r="E1459" s="116">
        <v>2685</v>
      </c>
      <c r="F1459" s="116">
        <v>2666.2</v>
      </c>
      <c r="G1459">
        <v>87495</v>
      </c>
      <c r="H1459" s="116"/>
      <c r="I1459" s="116"/>
      <c r="L1459" s="170">
        <v>44152</v>
      </c>
      <c r="M1459" s="116">
        <v>2666.05</v>
      </c>
      <c r="N1459" s="116">
        <v>2695</v>
      </c>
      <c r="O1459" s="116">
        <v>2650.05</v>
      </c>
      <c r="P1459" s="116">
        <v>2695</v>
      </c>
      <c r="Q1459" s="116">
        <v>2666.05</v>
      </c>
      <c r="R1459">
        <v>2827273</v>
      </c>
    </row>
    <row r="1460" spans="1:18" x14ac:dyDescent="0.25">
      <c r="A1460" s="170">
        <v>44153</v>
      </c>
      <c r="B1460" s="116">
        <v>2665</v>
      </c>
      <c r="C1460" s="116">
        <v>2625.9</v>
      </c>
      <c r="D1460" s="116">
        <v>2608.0500000000002</v>
      </c>
      <c r="E1460" s="116">
        <v>2665</v>
      </c>
      <c r="F1460" s="116">
        <v>2625.9</v>
      </c>
      <c r="G1460">
        <v>139122</v>
      </c>
      <c r="H1460" s="116"/>
      <c r="I1460" s="116"/>
      <c r="L1460" s="170">
        <v>44153</v>
      </c>
      <c r="M1460" s="116">
        <v>2626.65</v>
      </c>
      <c r="N1460" s="116">
        <v>2664.2</v>
      </c>
      <c r="O1460" s="116">
        <v>2607.0500000000002</v>
      </c>
      <c r="P1460" s="116">
        <v>2661</v>
      </c>
      <c r="Q1460" s="116">
        <v>2626.65</v>
      </c>
      <c r="R1460">
        <v>2893762</v>
      </c>
    </row>
    <row r="1461" spans="1:18" x14ac:dyDescent="0.25">
      <c r="A1461" s="170">
        <v>44154</v>
      </c>
      <c r="B1461" s="116">
        <v>2678.6</v>
      </c>
      <c r="C1461" s="116">
        <v>2637.05</v>
      </c>
      <c r="D1461" s="116">
        <v>2630</v>
      </c>
      <c r="E1461" s="116">
        <v>2630</v>
      </c>
      <c r="F1461" s="116">
        <v>2637.05</v>
      </c>
      <c r="G1461">
        <v>114908</v>
      </c>
      <c r="H1461" s="116"/>
      <c r="I1461" s="116"/>
      <c r="L1461" s="170">
        <v>44154</v>
      </c>
      <c r="M1461" s="116">
        <v>2636.9</v>
      </c>
      <c r="N1461" s="116">
        <v>2676.15</v>
      </c>
      <c r="O1461" s="116">
        <v>2630.85</v>
      </c>
      <c r="P1461" s="116">
        <v>2637</v>
      </c>
      <c r="Q1461" s="116">
        <v>2636.9</v>
      </c>
      <c r="R1461">
        <v>4167501</v>
      </c>
    </row>
    <row r="1462" spans="1:18" x14ac:dyDescent="0.25">
      <c r="A1462" s="170">
        <v>44155</v>
      </c>
      <c r="B1462" s="116">
        <v>2675</v>
      </c>
      <c r="C1462" s="116">
        <v>2659.6</v>
      </c>
      <c r="D1462" s="116">
        <v>2628.25</v>
      </c>
      <c r="E1462" s="116">
        <v>2655</v>
      </c>
      <c r="F1462" s="116">
        <v>2659.6</v>
      </c>
      <c r="G1462">
        <v>146090</v>
      </c>
      <c r="H1462" s="116"/>
      <c r="I1462" s="116"/>
      <c r="L1462" s="170">
        <v>44155</v>
      </c>
      <c r="M1462" s="116">
        <v>2660.25</v>
      </c>
      <c r="N1462" s="116">
        <v>2676</v>
      </c>
      <c r="O1462" s="116">
        <v>2627.55</v>
      </c>
      <c r="P1462" s="116">
        <v>2655</v>
      </c>
      <c r="Q1462" s="116">
        <v>2660.25</v>
      </c>
      <c r="R1462">
        <v>2711471</v>
      </c>
    </row>
    <row r="1463" spans="1:18" x14ac:dyDescent="0.25">
      <c r="A1463" s="170">
        <v>44158</v>
      </c>
      <c r="B1463" s="116">
        <v>2730</v>
      </c>
      <c r="C1463" s="116">
        <v>2724</v>
      </c>
      <c r="D1463" s="116">
        <v>2666</v>
      </c>
      <c r="E1463" s="116">
        <v>2685</v>
      </c>
      <c r="F1463" s="116">
        <v>2724</v>
      </c>
      <c r="G1463">
        <v>129100</v>
      </c>
      <c r="H1463" s="116"/>
      <c r="I1463" s="116"/>
      <c r="L1463" s="170">
        <v>44158</v>
      </c>
      <c r="M1463" s="116">
        <v>2724.25</v>
      </c>
      <c r="N1463" s="116">
        <v>2730</v>
      </c>
      <c r="O1463" s="116">
        <v>2665</v>
      </c>
      <c r="P1463" s="116">
        <v>2690</v>
      </c>
      <c r="Q1463" s="116">
        <v>2724.25</v>
      </c>
      <c r="R1463">
        <v>3706418</v>
      </c>
    </row>
    <row r="1464" spans="1:18" x14ac:dyDescent="0.25">
      <c r="A1464" s="170">
        <v>44159</v>
      </c>
      <c r="B1464" s="116">
        <v>2743</v>
      </c>
      <c r="C1464" s="116">
        <v>2722.1</v>
      </c>
      <c r="D1464" s="116">
        <v>2705</v>
      </c>
      <c r="E1464" s="116">
        <v>2738</v>
      </c>
      <c r="F1464" s="116">
        <v>2722.1</v>
      </c>
      <c r="G1464">
        <v>103065</v>
      </c>
      <c r="H1464" s="116"/>
      <c r="I1464" s="116"/>
      <c r="L1464" s="170">
        <v>44159</v>
      </c>
      <c r="M1464" s="116">
        <v>2722.05</v>
      </c>
      <c r="N1464" s="116">
        <v>2743</v>
      </c>
      <c r="O1464" s="116">
        <v>2705</v>
      </c>
      <c r="P1464" s="116">
        <v>2734.4</v>
      </c>
      <c r="Q1464" s="116">
        <v>2722.05</v>
      </c>
      <c r="R1464">
        <v>3120516</v>
      </c>
    </row>
    <row r="1465" spans="1:18" x14ac:dyDescent="0.25">
      <c r="A1465" s="170">
        <v>44160</v>
      </c>
      <c r="B1465" s="116">
        <v>2730</v>
      </c>
      <c r="C1465" s="116">
        <v>2700.7</v>
      </c>
      <c r="D1465" s="116">
        <v>2688.4</v>
      </c>
      <c r="E1465" s="116">
        <v>2727</v>
      </c>
      <c r="F1465" s="116">
        <v>2700.7</v>
      </c>
      <c r="G1465">
        <v>198420</v>
      </c>
      <c r="H1465" s="116"/>
      <c r="I1465" s="116"/>
      <c r="L1465" s="170">
        <v>44160</v>
      </c>
      <c r="M1465" s="116">
        <v>2701.3</v>
      </c>
      <c r="N1465" s="116">
        <v>2732.95</v>
      </c>
      <c r="O1465" s="116">
        <v>2688.2</v>
      </c>
      <c r="P1465" s="116">
        <v>2729</v>
      </c>
      <c r="Q1465" s="116">
        <v>2701.3</v>
      </c>
      <c r="R1465">
        <v>3302249</v>
      </c>
    </row>
    <row r="1466" spans="1:18" x14ac:dyDescent="0.25">
      <c r="A1466" s="170">
        <v>44161</v>
      </c>
      <c r="B1466" s="116">
        <v>2729.95</v>
      </c>
      <c r="C1466" s="116">
        <v>2720.85</v>
      </c>
      <c r="D1466" s="116">
        <v>2681</v>
      </c>
      <c r="E1466" s="116">
        <v>2686.65</v>
      </c>
      <c r="F1466" s="116">
        <v>2720.85</v>
      </c>
      <c r="G1466">
        <v>60434</v>
      </c>
      <c r="H1466" s="116"/>
      <c r="I1466" s="116"/>
      <c r="L1466" s="170">
        <v>44161</v>
      </c>
      <c r="M1466" s="116">
        <v>2720.6</v>
      </c>
      <c r="N1466" s="116">
        <v>2730.95</v>
      </c>
      <c r="O1466" s="116">
        <v>2680</v>
      </c>
      <c r="P1466" s="116">
        <v>2686</v>
      </c>
      <c r="Q1466" s="116">
        <v>2720.6</v>
      </c>
      <c r="R1466">
        <v>2341099</v>
      </c>
    </row>
    <row r="1467" spans="1:18" x14ac:dyDescent="0.25">
      <c r="A1467" s="170">
        <v>44162</v>
      </c>
      <c r="B1467" s="116">
        <v>2717.95</v>
      </c>
      <c r="C1467" s="116">
        <v>2679.15</v>
      </c>
      <c r="D1467" s="116">
        <v>2670</v>
      </c>
      <c r="E1467" s="116">
        <v>2700</v>
      </c>
      <c r="F1467" s="116">
        <v>2679.15</v>
      </c>
      <c r="G1467">
        <v>110671</v>
      </c>
      <c r="H1467" s="116"/>
      <c r="I1467" s="116"/>
      <c r="L1467" s="170">
        <v>44162</v>
      </c>
      <c r="M1467" s="116">
        <v>2679.65</v>
      </c>
      <c r="N1467" s="116">
        <v>2717.7</v>
      </c>
      <c r="O1467" s="116">
        <v>2669.05</v>
      </c>
      <c r="P1467" s="116">
        <v>2705</v>
      </c>
      <c r="Q1467" s="116">
        <v>2679.65</v>
      </c>
      <c r="R1467">
        <v>6086808</v>
      </c>
    </row>
    <row r="1468" spans="1:18" x14ac:dyDescent="0.25">
      <c r="A1468" s="170">
        <v>44166</v>
      </c>
      <c r="B1468" s="116">
        <v>2735</v>
      </c>
      <c r="C1468" s="116">
        <v>2726.95</v>
      </c>
      <c r="D1468" s="116">
        <v>2625.1</v>
      </c>
      <c r="E1468" s="116">
        <v>2680</v>
      </c>
      <c r="F1468" s="116">
        <v>2726.95</v>
      </c>
      <c r="G1468">
        <v>90136</v>
      </c>
      <c r="H1468" s="116"/>
      <c r="I1468" s="116"/>
      <c r="L1468" s="170">
        <v>44166</v>
      </c>
      <c r="M1468" s="116">
        <v>2726.8</v>
      </c>
      <c r="N1468" s="116">
        <v>2735.9</v>
      </c>
      <c r="O1468" s="116">
        <v>2624.45</v>
      </c>
      <c r="P1468" s="116">
        <v>2679</v>
      </c>
      <c r="Q1468" s="116">
        <v>2726.8</v>
      </c>
      <c r="R1468">
        <v>3605017</v>
      </c>
    </row>
    <row r="1469" spans="1:18" x14ac:dyDescent="0.25">
      <c r="A1469" s="170">
        <v>44167</v>
      </c>
      <c r="B1469" s="116">
        <v>2753.7</v>
      </c>
      <c r="C1469" s="116">
        <v>2749.15</v>
      </c>
      <c r="D1469" s="116">
        <v>2702.25</v>
      </c>
      <c r="E1469" s="116">
        <v>2720</v>
      </c>
      <c r="F1469" s="116">
        <v>2749.15</v>
      </c>
      <c r="G1469">
        <v>103473</v>
      </c>
      <c r="H1469" s="116"/>
      <c r="I1469" s="116"/>
      <c r="L1469" s="170">
        <v>44167</v>
      </c>
      <c r="M1469" s="116">
        <v>2749.55</v>
      </c>
      <c r="N1469" s="116">
        <v>2754.7</v>
      </c>
      <c r="O1469" s="116">
        <v>2702.45</v>
      </c>
      <c r="P1469" s="116">
        <v>2719</v>
      </c>
      <c r="Q1469" s="116">
        <v>2749.55</v>
      </c>
      <c r="R1469">
        <v>2509032</v>
      </c>
    </row>
    <row r="1470" spans="1:18" x14ac:dyDescent="0.25">
      <c r="A1470" s="170">
        <v>44168</v>
      </c>
      <c r="B1470" s="116">
        <v>2768.8</v>
      </c>
      <c r="C1470" s="116">
        <v>2708.45</v>
      </c>
      <c r="D1470" s="116">
        <v>2702.3</v>
      </c>
      <c r="E1470" s="116">
        <v>2768.55</v>
      </c>
      <c r="F1470" s="116">
        <v>2708.45</v>
      </c>
      <c r="G1470">
        <v>392788</v>
      </c>
      <c r="H1470" s="116"/>
      <c r="I1470" s="116"/>
      <c r="L1470" s="170">
        <v>44168</v>
      </c>
      <c r="M1470" s="116">
        <v>2709.45</v>
      </c>
      <c r="N1470" s="116">
        <v>2773.9</v>
      </c>
      <c r="O1470" s="116">
        <v>2700.8</v>
      </c>
      <c r="P1470" s="116">
        <v>2773.9</v>
      </c>
      <c r="Q1470" s="116">
        <v>2709.45</v>
      </c>
      <c r="R1470">
        <v>2852548</v>
      </c>
    </row>
    <row r="1471" spans="1:18" x14ac:dyDescent="0.25">
      <c r="A1471" s="170">
        <v>44169</v>
      </c>
      <c r="B1471" s="116">
        <v>2738.05</v>
      </c>
      <c r="C1471" s="116">
        <v>2726</v>
      </c>
      <c r="D1471" s="116">
        <v>2700</v>
      </c>
      <c r="E1471" s="116">
        <v>2706</v>
      </c>
      <c r="F1471" s="116">
        <v>2726</v>
      </c>
      <c r="G1471">
        <v>67094</v>
      </c>
      <c r="H1471" s="116"/>
      <c r="I1471" s="116"/>
      <c r="L1471" s="170">
        <v>44169</v>
      </c>
      <c r="M1471" s="116">
        <v>2727.55</v>
      </c>
      <c r="N1471" s="116">
        <v>2738.85</v>
      </c>
      <c r="O1471" s="116">
        <v>2699</v>
      </c>
      <c r="P1471" s="116">
        <v>2710.8</v>
      </c>
      <c r="Q1471" s="116">
        <v>2727.55</v>
      </c>
      <c r="R1471">
        <v>2686527</v>
      </c>
    </row>
    <row r="1472" spans="1:18" x14ac:dyDescent="0.25">
      <c r="A1472" s="170">
        <v>44172</v>
      </c>
      <c r="B1472" s="116">
        <v>2743</v>
      </c>
      <c r="C1472" s="116">
        <v>2736</v>
      </c>
      <c r="D1472" s="116">
        <v>2706.3</v>
      </c>
      <c r="E1472" s="116">
        <v>2719</v>
      </c>
      <c r="F1472" s="116">
        <v>2736</v>
      </c>
      <c r="G1472">
        <v>44595</v>
      </c>
      <c r="H1472" s="116"/>
      <c r="I1472" s="116"/>
      <c r="L1472" s="170">
        <v>44172</v>
      </c>
      <c r="M1472" s="116">
        <v>2737.7</v>
      </c>
      <c r="N1472" s="116">
        <v>2744</v>
      </c>
      <c r="O1472" s="116">
        <v>2706.15</v>
      </c>
      <c r="P1472" s="116">
        <v>2715</v>
      </c>
      <c r="Q1472" s="116">
        <v>2737.7</v>
      </c>
      <c r="R1472">
        <v>1996400</v>
      </c>
    </row>
    <row r="1473" spans="1:18" x14ac:dyDescent="0.25">
      <c r="A1473" s="170">
        <v>44173</v>
      </c>
      <c r="B1473" s="116">
        <v>2804.85</v>
      </c>
      <c r="C1473" s="116">
        <v>2796.4</v>
      </c>
      <c r="D1473" s="116">
        <v>2733</v>
      </c>
      <c r="E1473" s="116">
        <v>2745</v>
      </c>
      <c r="F1473" s="116">
        <v>2796.4</v>
      </c>
      <c r="G1473">
        <v>97986</v>
      </c>
      <c r="H1473" s="116"/>
      <c r="I1473" s="116"/>
      <c r="L1473" s="170">
        <v>44173</v>
      </c>
      <c r="M1473" s="116">
        <v>2797.3</v>
      </c>
      <c r="N1473" s="116">
        <v>2805.55</v>
      </c>
      <c r="O1473" s="116">
        <v>2732.45</v>
      </c>
      <c r="P1473" s="116">
        <v>2740</v>
      </c>
      <c r="Q1473" s="116">
        <v>2797.3</v>
      </c>
      <c r="R1473">
        <v>4277818</v>
      </c>
    </row>
    <row r="1474" spans="1:18" x14ac:dyDescent="0.25">
      <c r="A1474" s="170">
        <v>44174</v>
      </c>
      <c r="B1474" s="116">
        <v>2840</v>
      </c>
      <c r="C1474" s="116">
        <v>2809.8</v>
      </c>
      <c r="D1474" s="116">
        <v>2793.85</v>
      </c>
      <c r="E1474" s="116">
        <v>2818</v>
      </c>
      <c r="F1474" s="116">
        <v>2809.8</v>
      </c>
      <c r="G1474">
        <v>108846</v>
      </c>
      <c r="H1474" s="116"/>
      <c r="I1474" s="116"/>
      <c r="L1474" s="170">
        <v>44174</v>
      </c>
      <c r="M1474" s="116">
        <v>2810.8</v>
      </c>
      <c r="N1474" s="116">
        <v>2840</v>
      </c>
      <c r="O1474" s="116">
        <v>2793.15</v>
      </c>
      <c r="P1474" s="116">
        <v>2815</v>
      </c>
      <c r="Q1474" s="116">
        <v>2810.8</v>
      </c>
      <c r="R1474">
        <v>3659996</v>
      </c>
    </row>
    <row r="1475" spans="1:18" x14ac:dyDescent="0.25">
      <c r="A1475" s="170">
        <v>44175</v>
      </c>
      <c r="B1475" s="116">
        <v>2824.65</v>
      </c>
      <c r="C1475" s="116">
        <v>2784.15</v>
      </c>
      <c r="D1475" s="116">
        <v>2780.15</v>
      </c>
      <c r="E1475" s="116">
        <v>2820</v>
      </c>
      <c r="F1475" s="116">
        <v>2784.15</v>
      </c>
      <c r="G1475">
        <v>50596</v>
      </c>
      <c r="H1475" s="116"/>
      <c r="I1475" s="116"/>
      <c r="L1475" s="170">
        <v>44175</v>
      </c>
      <c r="M1475" s="116">
        <v>2784.3</v>
      </c>
      <c r="N1475" s="116">
        <v>2827.3</v>
      </c>
      <c r="O1475" s="116">
        <v>2780.25</v>
      </c>
      <c r="P1475" s="116">
        <v>2818</v>
      </c>
      <c r="Q1475" s="116">
        <v>2784.3</v>
      </c>
      <c r="R1475">
        <v>2127801</v>
      </c>
    </row>
    <row r="1476" spans="1:18" x14ac:dyDescent="0.25">
      <c r="A1476" s="170">
        <v>44176</v>
      </c>
      <c r="B1476" s="116">
        <v>2807</v>
      </c>
      <c r="C1476" s="116">
        <v>2783.45</v>
      </c>
      <c r="D1476" s="116">
        <v>2765</v>
      </c>
      <c r="E1476" s="116">
        <v>2795</v>
      </c>
      <c r="F1476" s="116">
        <v>2783.45</v>
      </c>
      <c r="G1476">
        <v>55137</v>
      </c>
      <c r="H1476" s="116"/>
      <c r="I1476" s="116"/>
      <c r="L1476" s="170">
        <v>44176</v>
      </c>
      <c r="M1476" s="116">
        <v>2783.6</v>
      </c>
      <c r="N1476" s="116">
        <v>2807.7</v>
      </c>
      <c r="O1476" s="116">
        <v>2764.55</v>
      </c>
      <c r="P1476" s="116">
        <v>2792.7</v>
      </c>
      <c r="Q1476" s="116">
        <v>2783.6</v>
      </c>
      <c r="R1476">
        <v>1795408</v>
      </c>
    </row>
    <row r="1477" spans="1:18" x14ac:dyDescent="0.25">
      <c r="A1477" s="170">
        <v>44179</v>
      </c>
      <c r="B1477" s="116">
        <v>2806.2</v>
      </c>
      <c r="C1477" s="116">
        <v>2796.5</v>
      </c>
      <c r="D1477" s="116">
        <v>2757</v>
      </c>
      <c r="E1477" s="116">
        <v>2800.1</v>
      </c>
      <c r="F1477" s="116">
        <v>2796.5</v>
      </c>
      <c r="G1477">
        <v>57915</v>
      </c>
      <c r="H1477" s="116"/>
      <c r="I1477" s="116"/>
      <c r="L1477" s="170">
        <v>44179</v>
      </c>
      <c r="M1477" s="116">
        <v>2797.7</v>
      </c>
      <c r="N1477" s="116">
        <v>2804</v>
      </c>
      <c r="O1477" s="116">
        <v>2756.25</v>
      </c>
      <c r="P1477" s="116">
        <v>2802</v>
      </c>
      <c r="Q1477" s="116">
        <v>2797.7</v>
      </c>
      <c r="R1477">
        <v>2483658</v>
      </c>
    </row>
    <row r="1478" spans="1:18" x14ac:dyDescent="0.25">
      <c r="A1478" s="170">
        <v>44180</v>
      </c>
      <c r="B1478" s="116">
        <v>2795</v>
      </c>
      <c r="C1478" s="116">
        <v>2761.2</v>
      </c>
      <c r="D1478" s="116">
        <v>2756</v>
      </c>
      <c r="E1478" s="116">
        <v>2790</v>
      </c>
      <c r="F1478" s="116">
        <v>2761.2</v>
      </c>
      <c r="G1478">
        <v>108436</v>
      </c>
      <c r="H1478" s="116"/>
      <c r="I1478" s="116"/>
      <c r="L1478" s="170">
        <v>44180</v>
      </c>
      <c r="M1478" s="116">
        <v>2761.55</v>
      </c>
      <c r="N1478" s="116">
        <v>2794.7</v>
      </c>
      <c r="O1478" s="116">
        <v>2755</v>
      </c>
      <c r="P1478" s="116">
        <v>2786</v>
      </c>
      <c r="Q1478" s="116">
        <v>2761.55</v>
      </c>
      <c r="R1478">
        <v>2365509</v>
      </c>
    </row>
    <row r="1479" spans="1:18" x14ac:dyDescent="0.25">
      <c r="A1479" s="170">
        <v>44181</v>
      </c>
      <c r="B1479" s="116">
        <v>2819.75</v>
      </c>
      <c r="C1479" s="116">
        <v>2813.25</v>
      </c>
      <c r="D1479" s="116">
        <v>2761.2</v>
      </c>
      <c r="E1479" s="116">
        <v>2775</v>
      </c>
      <c r="F1479" s="116">
        <v>2813.25</v>
      </c>
      <c r="G1479">
        <v>71532</v>
      </c>
      <c r="H1479" s="116"/>
      <c r="I1479" s="116"/>
      <c r="L1479" s="170">
        <v>44181</v>
      </c>
      <c r="M1479" s="116">
        <v>2814.2</v>
      </c>
      <c r="N1479" s="116">
        <v>2819.8</v>
      </c>
      <c r="O1479" s="116">
        <v>2760.45</v>
      </c>
      <c r="P1479" s="116">
        <v>2779</v>
      </c>
      <c r="Q1479" s="116">
        <v>2814.2</v>
      </c>
      <c r="R1479">
        <v>2565149</v>
      </c>
    </row>
    <row r="1480" spans="1:18" x14ac:dyDescent="0.25">
      <c r="A1480" s="170">
        <v>44182</v>
      </c>
      <c r="B1480" s="116">
        <v>2849</v>
      </c>
      <c r="C1480" s="116">
        <v>2837.9</v>
      </c>
      <c r="D1480" s="116">
        <v>2805.55</v>
      </c>
      <c r="E1480" s="116">
        <v>2813.95</v>
      </c>
      <c r="F1480" s="116">
        <v>2837.9</v>
      </c>
      <c r="G1480">
        <v>74645</v>
      </c>
      <c r="H1480" s="116"/>
      <c r="I1480" s="116"/>
      <c r="L1480" s="170">
        <v>44182</v>
      </c>
      <c r="M1480" s="116">
        <v>2838.2</v>
      </c>
      <c r="N1480" s="116">
        <v>2853.7</v>
      </c>
      <c r="O1480" s="116">
        <v>2805</v>
      </c>
      <c r="P1480" s="116">
        <v>2811</v>
      </c>
      <c r="Q1480" s="116">
        <v>2838.2</v>
      </c>
      <c r="R1480">
        <v>2863460</v>
      </c>
    </row>
    <row r="1481" spans="1:18" x14ac:dyDescent="0.25">
      <c r="A1481" s="170">
        <v>44183</v>
      </c>
      <c r="B1481" s="116">
        <v>2898</v>
      </c>
      <c r="C1481" s="116">
        <v>2862.6</v>
      </c>
      <c r="D1481" s="116">
        <v>2847</v>
      </c>
      <c r="E1481" s="116">
        <v>2861</v>
      </c>
      <c r="F1481" s="116">
        <v>2862.6</v>
      </c>
      <c r="G1481">
        <v>155614</v>
      </c>
      <c r="H1481" s="116"/>
      <c r="I1481" s="116"/>
      <c r="L1481" s="170">
        <v>44183</v>
      </c>
      <c r="M1481" s="116">
        <v>2861</v>
      </c>
      <c r="N1481" s="116">
        <v>2898</v>
      </c>
      <c r="O1481" s="116">
        <v>2846.2</v>
      </c>
      <c r="P1481" s="116">
        <v>2868</v>
      </c>
      <c r="Q1481" s="116">
        <v>2861</v>
      </c>
      <c r="R1481">
        <v>6076692</v>
      </c>
    </row>
    <row r="1482" spans="1:18" x14ac:dyDescent="0.25">
      <c r="A1482" s="170">
        <v>44186</v>
      </c>
      <c r="B1482" s="116">
        <v>2888.55</v>
      </c>
      <c r="C1482" s="116">
        <v>2818.75</v>
      </c>
      <c r="D1482" s="116">
        <v>2782.9</v>
      </c>
      <c r="E1482" s="116">
        <v>2865</v>
      </c>
      <c r="F1482" s="116">
        <v>2818.75</v>
      </c>
      <c r="G1482">
        <v>181011</v>
      </c>
      <c r="H1482" s="116"/>
      <c r="I1482" s="116"/>
      <c r="L1482" s="170">
        <v>44186</v>
      </c>
      <c r="M1482" s="116">
        <v>2820.15</v>
      </c>
      <c r="N1482" s="116">
        <v>2886.5</v>
      </c>
      <c r="O1482" s="116">
        <v>2785</v>
      </c>
      <c r="P1482" s="116">
        <v>2861</v>
      </c>
      <c r="Q1482" s="116">
        <v>2820.15</v>
      </c>
      <c r="R1482">
        <v>2705195</v>
      </c>
    </row>
    <row r="1483" spans="1:18" x14ac:dyDescent="0.25">
      <c r="A1483" s="170">
        <v>44187</v>
      </c>
      <c r="B1483" s="116">
        <v>2883.1</v>
      </c>
      <c r="C1483" s="116">
        <v>2870.8</v>
      </c>
      <c r="D1483" s="116">
        <v>2819</v>
      </c>
      <c r="E1483" s="116">
        <v>2830</v>
      </c>
      <c r="F1483" s="116">
        <v>2870.8</v>
      </c>
      <c r="G1483">
        <v>90096</v>
      </c>
      <c r="H1483" s="116"/>
      <c r="I1483" s="116"/>
      <c r="L1483" s="170">
        <v>44187</v>
      </c>
      <c r="M1483" s="116">
        <v>2872.5</v>
      </c>
      <c r="N1483" s="116">
        <v>2883.65</v>
      </c>
      <c r="O1483" s="116">
        <v>2818.65</v>
      </c>
      <c r="P1483" s="116">
        <v>2834</v>
      </c>
      <c r="Q1483" s="116">
        <v>2872.5</v>
      </c>
      <c r="R1483">
        <v>2881737</v>
      </c>
    </row>
    <row r="1484" spans="1:18" x14ac:dyDescent="0.25">
      <c r="A1484" s="170">
        <v>44188</v>
      </c>
      <c r="B1484" s="116">
        <v>2918</v>
      </c>
      <c r="C1484" s="116">
        <v>2907.2</v>
      </c>
      <c r="D1484" s="116">
        <v>2866.05</v>
      </c>
      <c r="E1484" s="116">
        <v>2889</v>
      </c>
      <c r="F1484" s="116">
        <v>2907.2</v>
      </c>
      <c r="G1484">
        <v>84950</v>
      </c>
      <c r="H1484" s="116"/>
      <c r="I1484" s="116"/>
      <c r="L1484" s="170">
        <v>44188</v>
      </c>
      <c r="M1484" s="116">
        <v>2908.75</v>
      </c>
      <c r="N1484" s="116">
        <v>2919</v>
      </c>
      <c r="O1484" s="116">
        <v>2865.45</v>
      </c>
      <c r="P1484" s="116">
        <v>2876.05</v>
      </c>
      <c r="Q1484" s="116">
        <v>2908.75</v>
      </c>
      <c r="R1484">
        <v>2790988</v>
      </c>
    </row>
    <row r="1485" spans="1:18" x14ac:dyDescent="0.25">
      <c r="A1485" s="170">
        <v>44189</v>
      </c>
      <c r="B1485" s="116">
        <v>2921.95</v>
      </c>
      <c r="C1485" s="116">
        <v>2908.45</v>
      </c>
      <c r="D1485" s="116">
        <v>2884</v>
      </c>
      <c r="E1485" s="116">
        <v>2914.85</v>
      </c>
      <c r="F1485" s="116">
        <v>2908.45</v>
      </c>
      <c r="G1485">
        <v>63577</v>
      </c>
      <c r="H1485" s="116"/>
      <c r="I1485" s="116"/>
      <c r="L1485" s="170">
        <v>44189</v>
      </c>
      <c r="M1485" s="116">
        <v>2909.35</v>
      </c>
      <c r="N1485" s="116">
        <v>2921.35</v>
      </c>
      <c r="O1485" s="116">
        <v>2883.2</v>
      </c>
      <c r="P1485" s="116">
        <v>2909</v>
      </c>
      <c r="Q1485" s="116">
        <v>2909.35</v>
      </c>
      <c r="R1485">
        <v>1807144</v>
      </c>
    </row>
    <row r="1486" spans="1:18" x14ac:dyDescent="0.25">
      <c r="A1486" s="170">
        <v>44193</v>
      </c>
      <c r="B1486" s="116">
        <v>2949.9</v>
      </c>
      <c r="C1486" s="116">
        <v>2928.25</v>
      </c>
      <c r="D1486" s="116">
        <v>2902.3</v>
      </c>
      <c r="E1486" s="116">
        <v>2912.85</v>
      </c>
      <c r="F1486" s="116">
        <v>2928.25</v>
      </c>
      <c r="G1486">
        <v>80008</v>
      </c>
      <c r="H1486" s="116"/>
      <c r="I1486" s="116"/>
      <c r="L1486" s="170">
        <v>44193</v>
      </c>
      <c r="M1486" s="116">
        <v>2929.4</v>
      </c>
      <c r="N1486" s="116">
        <v>2949.7</v>
      </c>
      <c r="O1486" s="116">
        <v>2902</v>
      </c>
      <c r="P1486" s="116">
        <v>2910</v>
      </c>
      <c r="Q1486" s="116">
        <v>2929.4</v>
      </c>
      <c r="R1486">
        <v>2108994</v>
      </c>
    </row>
    <row r="1487" spans="1:18" x14ac:dyDescent="0.25">
      <c r="A1487" s="170">
        <v>44194</v>
      </c>
      <c r="B1487" s="116">
        <v>2951.9</v>
      </c>
      <c r="C1487" s="116">
        <v>2930.65</v>
      </c>
      <c r="D1487" s="116">
        <v>2924.2</v>
      </c>
      <c r="E1487" s="116">
        <v>2928.25</v>
      </c>
      <c r="F1487" s="116">
        <v>2930.65</v>
      </c>
      <c r="G1487">
        <v>47486</v>
      </c>
      <c r="H1487" s="116"/>
      <c r="I1487" s="116"/>
      <c r="L1487" s="170">
        <v>44194</v>
      </c>
      <c r="M1487" s="116">
        <v>2930.5</v>
      </c>
      <c r="N1487" s="116">
        <v>2952</v>
      </c>
      <c r="O1487" s="116">
        <v>2920</v>
      </c>
      <c r="P1487" s="116">
        <v>2920</v>
      </c>
      <c r="Q1487" s="116">
        <v>2930.5</v>
      </c>
      <c r="R1487">
        <v>1994151</v>
      </c>
    </row>
    <row r="1488" spans="1:18" x14ac:dyDescent="0.25">
      <c r="A1488" s="170">
        <v>44195</v>
      </c>
      <c r="B1488" s="116">
        <v>2947</v>
      </c>
      <c r="C1488" s="116">
        <v>2908.85</v>
      </c>
      <c r="D1488" s="116">
        <v>2904</v>
      </c>
      <c r="E1488" s="116">
        <v>2937</v>
      </c>
      <c r="F1488" s="116">
        <v>2908.85</v>
      </c>
      <c r="G1488">
        <v>175469</v>
      </c>
      <c r="H1488" s="116"/>
      <c r="I1488" s="116"/>
      <c r="L1488" s="170">
        <v>44195</v>
      </c>
      <c r="M1488" s="116">
        <v>2909.3</v>
      </c>
      <c r="N1488" s="116">
        <v>2947.7</v>
      </c>
      <c r="O1488" s="116">
        <v>2902</v>
      </c>
      <c r="P1488" s="116">
        <v>2934.4</v>
      </c>
      <c r="Q1488" s="116">
        <v>2909.3</v>
      </c>
      <c r="R1488">
        <v>2637968</v>
      </c>
    </row>
    <row r="1489" spans="1:18" x14ac:dyDescent="0.25">
      <c r="A1489" s="170">
        <v>44196</v>
      </c>
      <c r="B1489" s="116">
        <v>2906.05</v>
      </c>
      <c r="C1489" s="116">
        <v>2870.2</v>
      </c>
      <c r="D1489" s="116">
        <v>2845</v>
      </c>
      <c r="E1489" s="116">
        <v>2902</v>
      </c>
      <c r="F1489" s="116">
        <v>2870.2</v>
      </c>
      <c r="G1489">
        <v>834286</v>
      </c>
      <c r="H1489" s="116"/>
      <c r="I1489" s="116"/>
      <c r="L1489" s="170">
        <v>44196</v>
      </c>
      <c r="M1489" s="116">
        <v>2862.75</v>
      </c>
      <c r="N1489" s="116">
        <v>2905</v>
      </c>
      <c r="O1489" s="116">
        <v>2845</v>
      </c>
      <c r="P1489" s="116">
        <v>2900</v>
      </c>
      <c r="Q1489" s="116">
        <v>2862.75</v>
      </c>
      <c r="R1489">
        <v>4040956</v>
      </c>
    </row>
    <row r="1490" spans="1:18" x14ac:dyDescent="0.25">
      <c r="A1490" s="170">
        <v>44197</v>
      </c>
      <c r="B1490" s="116">
        <v>2939.9</v>
      </c>
      <c r="C1490" s="116">
        <v>2928.2</v>
      </c>
      <c r="D1490" s="116">
        <v>2877.3</v>
      </c>
      <c r="E1490" s="116">
        <v>2879</v>
      </c>
      <c r="F1490" s="116">
        <v>2928.2</v>
      </c>
      <c r="G1490">
        <v>152353</v>
      </c>
      <c r="H1490" s="116"/>
      <c r="I1490" s="116"/>
      <c r="L1490" s="170">
        <v>44197</v>
      </c>
      <c r="M1490" s="116">
        <v>2928.25</v>
      </c>
      <c r="N1490" s="116">
        <v>2940</v>
      </c>
      <c r="O1490" s="116">
        <v>2879</v>
      </c>
      <c r="P1490" s="116">
        <v>2880</v>
      </c>
      <c r="Q1490" s="116">
        <v>2928.25</v>
      </c>
      <c r="R1490">
        <v>2681440</v>
      </c>
    </row>
    <row r="1491" spans="1:18" x14ac:dyDescent="0.25">
      <c r="A1491" s="170">
        <v>44200</v>
      </c>
      <c r="B1491" s="116">
        <v>3050</v>
      </c>
      <c r="C1491" s="116">
        <v>3039.25</v>
      </c>
      <c r="D1491" s="116">
        <v>2942</v>
      </c>
      <c r="E1491" s="116">
        <v>2950</v>
      </c>
      <c r="F1491" s="116">
        <v>3039.25</v>
      </c>
      <c r="G1491">
        <v>208783</v>
      </c>
      <c r="H1491" s="116"/>
      <c r="I1491" s="116"/>
      <c r="L1491" s="170">
        <v>44200</v>
      </c>
      <c r="M1491" s="116">
        <v>3039.45</v>
      </c>
      <c r="N1491" s="116">
        <v>3050.75</v>
      </c>
      <c r="O1491" s="116">
        <v>2940.95</v>
      </c>
      <c r="P1491" s="116">
        <v>2950</v>
      </c>
      <c r="Q1491" s="116">
        <v>3039.45</v>
      </c>
      <c r="R1491">
        <v>5113293</v>
      </c>
    </row>
    <row r="1492" spans="1:18" x14ac:dyDescent="0.25">
      <c r="A1492" s="170">
        <v>44201</v>
      </c>
      <c r="B1492" s="116">
        <v>3112.75</v>
      </c>
      <c r="C1492" s="116">
        <v>3092.3</v>
      </c>
      <c r="D1492" s="116">
        <v>3040</v>
      </c>
      <c r="E1492" s="116">
        <v>3044.1</v>
      </c>
      <c r="F1492" s="116">
        <v>3092.3</v>
      </c>
      <c r="G1492">
        <v>188379</v>
      </c>
      <c r="H1492" s="116"/>
      <c r="I1492" s="116"/>
      <c r="L1492" s="170">
        <v>44201</v>
      </c>
      <c r="M1492" s="116">
        <v>3093</v>
      </c>
      <c r="N1492" s="116">
        <v>3114.25</v>
      </c>
      <c r="O1492" s="116">
        <v>3039.6</v>
      </c>
      <c r="P1492" s="116">
        <v>3039.6</v>
      </c>
      <c r="Q1492" s="116">
        <v>3093</v>
      </c>
      <c r="R1492">
        <v>5801309</v>
      </c>
    </row>
    <row r="1493" spans="1:18" x14ac:dyDescent="0.25">
      <c r="A1493" s="170">
        <v>44202</v>
      </c>
      <c r="B1493" s="116">
        <v>3114.45</v>
      </c>
      <c r="C1493" s="116">
        <v>3052.95</v>
      </c>
      <c r="D1493" s="116">
        <v>3037.8</v>
      </c>
      <c r="E1493" s="116">
        <v>3102.15</v>
      </c>
      <c r="F1493" s="116">
        <v>3052.95</v>
      </c>
      <c r="G1493">
        <v>118089</v>
      </c>
      <c r="H1493" s="116"/>
      <c r="I1493" s="116"/>
      <c r="L1493" s="170">
        <v>44202</v>
      </c>
      <c r="M1493" s="116">
        <v>3051.5</v>
      </c>
      <c r="N1493" s="116">
        <v>3113.5</v>
      </c>
      <c r="O1493" s="116">
        <v>3037.2</v>
      </c>
      <c r="P1493" s="116">
        <v>3100</v>
      </c>
      <c r="Q1493" s="116">
        <v>3051.5</v>
      </c>
      <c r="R1493">
        <v>3726716</v>
      </c>
    </row>
    <row r="1494" spans="1:18" x14ac:dyDescent="0.25">
      <c r="A1494" s="170">
        <v>44203</v>
      </c>
      <c r="B1494" s="116">
        <v>3079.8</v>
      </c>
      <c r="C1494" s="116">
        <v>3032.7</v>
      </c>
      <c r="D1494" s="116">
        <v>3001</v>
      </c>
      <c r="E1494" s="116">
        <v>3075</v>
      </c>
      <c r="F1494" s="116">
        <v>3032.7</v>
      </c>
      <c r="G1494">
        <v>160557</v>
      </c>
      <c r="H1494" s="116"/>
      <c r="I1494" s="116"/>
      <c r="L1494" s="170">
        <v>44203</v>
      </c>
      <c r="M1494" s="116">
        <v>3032.8</v>
      </c>
      <c r="N1494" s="116">
        <v>3080.85</v>
      </c>
      <c r="O1494" s="116">
        <v>3000.25</v>
      </c>
      <c r="P1494" s="116">
        <v>3075</v>
      </c>
      <c r="Q1494" s="116">
        <v>3032.8</v>
      </c>
      <c r="R1494">
        <v>3717827</v>
      </c>
    </row>
    <row r="1495" spans="1:18" x14ac:dyDescent="0.25">
      <c r="A1495" s="170">
        <v>44204</v>
      </c>
      <c r="B1495" s="116">
        <v>3127.55</v>
      </c>
      <c r="C1495" s="116">
        <v>3120.35</v>
      </c>
      <c r="D1495" s="116">
        <v>3061.8</v>
      </c>
      <c r="E1495" s="116">
        <v>3085.2</v>
      </c>
      <c r="F1495" s="116">
        <v>3120.35</v>
      </c>
      <c r="G1495">
        <v>210057</v>
      </c>
      <c r="H1495" s="116"/>
      <c r="I1495" s="116"/>
      <c r="L1495" s="170">
        <v>44204</v>
      </c>
      <c r="M1495" s="116">
        <v>3120.9</v>
      </c>
      <c r="N1495" s="116">
        <v>3128</v>
      </c>
      <c r="O1495" s="116">
        <v>3060</v>
      </c>
      <c r="P1495" s="116">
        <v>3090</v>
      </c>
      <c r="Q1495" s="116">
        <v>3120.9</v>
      </c>
      <c r="R1495">
        <v>5879039</v>
      </c>
    </row>
    <row r="1496" spans="1:18" x14ac:dyDescent="0.25">
      <c r="A1496" s="170">
        <v>44207</v>
      </c>
      <c r="B1496" s="116">
        <v>3224</v>
      </c>
      <c r="C1496" s="116">
        <v>3175.05</v>
      </c>
      <c r="D1496" s="116">
        <v>3147.45</v>
      </c>
      <c r="E1496" s="116">
        <v>3215</v>
      </c>
      <c r="F1496" s="116">
        <v>3175.05</v>
      </c>
      <c r="G1496">
        <v>253600</v>
      </c>
      <c r="H1496" s="116"/>
      <c r="I1496" s="116"/>
      <c r="L1496" s="170">
        <v>44207</v>
      </c>
      <c r="M1496" s="116">
        <v>3176.45</v>
      </c>
      <c r="N1496" s="116">
        <v>3230</v>
      </c>
      <c r="O1496" s="116">
        <v>3146.55</v>
      </c>
      <c r="P1496" s="116">
        <v>3230</v>
      </c>
      <c r="Q1496" s="116">
        <v>3176.45</v>
      </c>
      <c r="R1496">
        <v>9508039</v>
      </c>
    </row>
    <row r="1497" spans="1:18" x14ac:dyDescent="0.25">
      <c r="A1497" s="170">
        <v>44208</v>
      </c>
      <c r="B1497" s="116">
        <v>3208.1</v>
      </c>
      <c r="C1497" s="116">
        <v>3172.85</v>
      </c>
      <c r="D1497" s="116">
        <v>3150.95</v>
      </c>
      <c r="E1497" s="116">
        <v>3179.95</v>
      </c>
      <c r="F1497" s="116">
        <v>3172.85</v>
      </c>
      <c r="G1497">
        <v>132445</v>
      </c>
      <c r="H1497" s="116"/>
      <c r="I1497" s="116"/>
      <c r="L1497" s="170">
        <v>44208</v>
      </c>
      <c r="M1497" s="116">
        <v>3174.85</v>
      </c>
      <c r="N1497" s="116">
        <v>3210</v>
      </c>
      <c r="O1497" s="116">
        <v>3150</v>
      </c>
      <c r="P1497" s="116">
        <v>3176.45</v>
      </c>
      <c r="Q1497" s="116">
        <v>3174.85</v>
      </c>
      <c r="R1497">
        <v>3611458</v>
      </c>
    </row>
    <row r="1498" spans="1:18" x14ac:dyDescent="0.25">
      <c r="A1498" s="170">
        <v>44209</v>
      </c>
      <c r="B1498" s="116">
        <v>3179.95</v>
      </c>
      <c r="C1498" s="116">
        <v>3158.8</v>
      </c>
      <c r="D1498" s="116">
        <v>3127.1</v>
      </c>
      <c r="E1498" s="116">
        <v>3179.95</v>
      </c>
      <c r="F1498" s="116">
        <v>3158.8</v>
      </c>
      <c r="G1498">
        <v>653157</v>
      </c>
      <c r="H1498" s="116"/>
      <c r="I1498" s="116"/>
      <c r="L1498" s="170">
        <v>44209</v>
      </c>
      <c r="M1498" s="116">
        <v>3158.95</v>
      </c>
      <c r="N1498" s="116">
        <v>3177</v>
      </c>
      <c r="O1498" s="116">
        <v>3126.25</v>
      </c>
      <c r="P1498" s="116">
        <v>3175</v>
      </c>
      <c r="Q1498" s="116">
        <v>3158.95</v>
      </c>
      <c r="R1498">
        <v>3572801</v>
      </c>
    </row>
    <row r="1499" spans="1:18" x14ac:dyDescent="0.25">
      <c r="A1499" s="170">
        <v>44210</v>
      </c>
      <c r="B1499" s="116">
        <v>3267</v>
      </c>
      <c r="C1499" s="116">
        <v>3250.15</v>
      </c>
      <c r="D1499" s="116">
        <v>3120</v>
      </c>
      <c r="E1499" s="116">
        <v>3164</v>
      </c>
      <c r="F1499" s="116">
        <v>3250.15</v>
      </c>
      <c r="G1499">
        <v>531550</v>
      </c>
      <c r="H1499" s="116"/>
      <c r="I1499" s="116"/>
      <c r="L1499" s="170">
        <v>44210</v>
      </c>
      <c r="M1499" s="116">
        <v>3250.7</v>
      </c>
      <c r="N1499" s="116">
        <v>3266.5</v>
      </c>
      <c r="O1499" s="116">
        <v>3120.4</v>
      </c>
      <c r="P1499" s="116">
        <v>3155</v>
      </c>
      <c r="Q1499" s="116">
        <v>3250.7</v>
      </c>
      <c r="R1499">
        <v>6931542</v>
      </c>
    </row>
    <row r="1500" spans="1:18" x14ac:dyDescent="0.25">
      <c r="A1500" s="170">
        <v>44211</v>
      </c>
      <c r="B1500" s="116">
        <v>3273.85</v>
      </c>
      <c r="C1500" s="116">
        <v>3233.6</v>
      </c>
      <c r="D1500" s="116">
        <v>3210.1</v>
      </c>
      <c r="E1500" s="116">
        <v>3244.35</v>
      </c>
      <c r="F1500" s="116">
        <v>3233.6</v>
      </c>
      <c r="G1500">
        <v>162323</v>
      </c>
      <c r="H1500" s="116"/>
      <c r="I1500" s="116"/>
      <c r="L1500" s="170">
        <v>44211</v>
      </c>
      <c r="M1500" s="116">
        <v>3233.35</v>
      </c>
      <c r="N1500" s="116">
        <v>3274</v>
      </c>
      <c r="O1500" s="116">
        <v>3210</v>
      </c>
      <c r="P1500" s="116">
        <v>3235</v>
      </c>
      <c r="Q1500" s="116">
        <v>3233.35</v>
      </c>
      <c r="R1500">
        <v>4131692</v>
      </c>
    </row>
    <row r="1501" spans="1:18" x14ac:dyDescent="0.25">
      <c r="A1501" s="170">
        <v>44214</v>
      </c>
      <c r="B1501" s="116">
        <v>3255.5</v>
      </c>
      <c r="C1501" s="116">
        <v>3220.8</v>
      </c>
      <c r="D1501" s="116">
        <v>3186.6</v>
      </c>
      <c r="E1501" s="116">
        <v>3249</v>
      </c>
      <c r="F1501" s="116">
        <v>3220.8</v>
      </c>
      <c r="G1501">
        <v>167704</v>
      </c>
      <c r="H1501" s="116"/>
      <c r="I1501" s="116"/>
      <c r="L1501" s="170">
        <v>44214</v>
      </c>
      <c r="M1501" s="116">
        <v>3221.75</v>
      </c>
      <c r="N1501" s="116">
        <v>3256.75</v>
      </c>
      <c r="O1501" s="116">
        <v>3187.4</v>
      </c>
      <c r="P1501" s="116">
        <v>3250</v>
      </c>
      <c r="Q1501" s="116">
        <v>3221.75</v>
      </c>
      <c r="R1501">
        <v>4160906</v>
      </c>
    </row>
    <row r="1502" spans="1:18" x14ac:dyDescent="0.25">
      <c r="A1502" s="170">
        <v>44215</v>
      </c>
      <c r="B1502" s="116">
        <v>3279</v>
      </c>
      <c r="C1502" s="116">
        <v>3265.15</v>
      </c>
      <c r="D1502" s="116">
        <v>3229</v>
      </c>
      <c r="E1502" s="116">
        <v>3229</v>
      </c>
      <c r="F1502" s="116">
        <v>3265.15</v>
      </c>
      <c r="G1502">
        <v>94206</v>
      </c>
      <c r="H1502" s="116"/>
      <c r="I1502" s="116"/>
      <c r="L1502" s="170">
        <v>44215</v>
      </c>
      <c r="M1502" s="116">
        <v>3260.7</v>
      </c>
      <c r="N1502" s="116">
        <v>3279</v>
      </c>
      <c r="O1502" s="116">
        <v>3232</v>
      </c>
      <c r="P1502" s="116">
        <v>3233</v>
      </c>
      <c r="Q1502" s="116">
        <v>3260.7</v>
      </c>
      <c r="R1502">
        <v>2975735</v>
      </c>
    </row>
    <row r="1503" spans="1:18" x14ac:dyDescent="0.25">
      <c r="A1503" s="170">
        <v>44216</v>
      </c>
      <c r="B1503" s="116">
        <v>3327</v>
      </c>
      <c r="C1503" s="116">
        <v>3308.2</v>
      </c>
      <c r="D1503" s="116">
        <v>3265</v>
      </c>
      <c r="E1503" s="116">
        <v>3265</v>
      </c>
      <c r="F1503" s="116">
        <v>3308.2</v>
      </c>
      <c r="G1503">
        <v>1574806</v>
      </c>
      <c r="H1503" s="116"/>
      <c r="I1503" s="116"/>
      <c r="L1503" s="170">
        <v>44216</v>
      </c>
      <c r="M1503" s="116">
        <v>3308.8</v>
      </c>
      <c r="N1503" s="116">
        <v>3327.95</v>
      </c>
      <c r="O1503" s="116">
        <v>3267.1</v>
      </c>
      <c r="P1503" s="116">
        <v>3270</v>
      </c>
      <c r="Q1503" s="116">
        <v>3308.8</v>
      </c>
      <c r="R1503">
        <v>3453446</v>
      </c>
    </row>
    <row r="1504" spans="1:18" x14ac:dyDescent="0.25">
      <c r="A1504" s="170">
        <v>44217</v>
      </c>
      <c r="B1504" s="116">
        <v>3310</v>
      </c>
      <c r="C1504" s="116">
        <v>3274.8</v>
      </c>
      <c r="D1504" s="116">
        <v>3262</v>
      </c>
      <c r="E1504" s="116">
        <v>3308</v>
      </c>
      <c r="F1504" s="116">
        <v>3274.8</v>
      </c>
      <c r="G1504">
        <v>85349</v>
      </c>
      <c r="H1504" s="116"/>
      <c r="I1504" s="116"/>
      <c r="L1504" s="170">
        <v>44217</v>
      </c>
      <c r="M1504" s="116">
        <v>3273.85</v>
      </c>
      <c r="N1504" s="116">
        <v>3309.15</v>
      </c>
      <c r="O1504" s="116">
        <v>3262.1</v>
      </c>
      <c r="P1504" s="116">
        <v>3305</v>
      </c>
      <c r="Q1504" s="116">
        <v>3273.85</v>
      </c>
      <c r="R1504">
        <v>2778546</v>
      </c>
    </row>
    <row r="1505" spans="1:18" x14ac:dyDescent="0.25">
      <c r="A1505" s="170">
        <v>44218</v>
      </c>
      <c r="B1505" s="116">
        <v>3323.9</v>
      </c>
      <c r="C1505" s="116">
        <v>3303.4</v>
      </c>
      <c r="D1505" s="116">
        <v>3249.05</v>
      </c>
      <c r="E1505" s="116">
        <v>3249.1</v>
      </c>
      <c r="F1505" s="116">
        <v>3303.4</v>
      </c>
      <c r="G1505">
        <v>316515</v>
      </c>
      <c r="H1505" s="116"/>
      <c r="I1505" s="116"/>
      <c r="L1505" s="170">
        <v>44218</v>
      </c>
      <c r="M1505" s="116">
        <v>3303.1</v>
      </c>
      <c r="N1505" s="116">
        <v>3325</v>
      </c>
      <c r="O1505" s="116">
        <v>3241.9</v>
      </c>
      <c r="P1505" s="116">
        <v>3241.9</v>
      </c>
      <c r="Q1505" s="116">
        <v>3303.1</v>
      </c>
      <c r="R1505">
        <v>3052459</v>
      </c>
    </row>
    <row r="1506" spans="1:18" x14ac:dyDescent="0.25">
      <c r="A1506" s="170">
        <v>44221</v>
      </c>
      <c r="B1506" s="116">
        <v>3345.25</v>
      </c>
      <c r="C1506" s="116">
        <v>3290.2</v>
      </c>
      <c r="D1506" s="116">
        <v>3277.7</v>
      </c>
      <c r="E1506" s="116">
        <v>3295</v>
      </c>
      <c r="F1506" s="116">
        <v>3290.2</v>
      </c>
      <c r="G1506">
        <v>107916</v>
      </c>
      <c r="H1506" s="116"/>
      <c r="I1506" s="116"/>
      <c r="L1506" s="170">
        <v>44221</v>
      </c>
      <c r="M1506" s="116">
        <v>3291.3</v>
      </c>
      <c r="N1506" s="116">
        <v>3339.8</v>
      </c>
      <c r="O1506" s="116">
        <v>3278.65</v>
      </c>
      <c r="P1506" s="116">
        <v>3308.95</v>
      </c>
      <c r="Q1506" s="116">
        <v>3291.3</v>
      </c>
      <c r="R1506">
        <v>2272887</v>
      </c>
    </row>
    <row r="1507" spans="1:18" x14ac:dyDescent="0.25">
      <c r="A1507" s="170">
        <v>44223</v>
      </c>
      <c r="B1507" s="116">
        <v>3305.3</v>
      </c>
      <c r="C1507" s="116">
        <v>3261.05</v>
      </c>
      <c r="D1507" s="116">
        <v>3227.15</v>
      </c>
      <c r="E1507" s="116">
        <v>3300</v>
      </c>
      <c r="F1507" s="116">
        <v>3261.05</v>
      </c>
      <c r="G1507">
        <v>586936</v>
      </c>
      <c r="H1507" s="116"/>
      <c r="I1507" s="116"/>
      <c r="L1507" s="170">
        <v>44223</v>
      </c>
      <c r="M1507" s="116">
        <v>3261.05</v>
      </c>
      <c r="N1507" s="116">
        <v>3306.45</v>
      </c>
      <c r="O1507" s="116">
        <v>3227</v>
      </c>
      <c r="P1507" s="116">
        <v>3300</v>
      </c>
      <c r="Q1507" s="116">
        <v>3261.05</v>
      </c>
      <c r="R1507">
        <v>2786662</v>
      </c>
    </row>
    <row r="1508" spans="1:18" x14ac:dyDescent="0.25">
      <c r="A1508" s="170">
        <v>44224</v>
      </c>
      <c r="B1508" s="116">
        <v>3272.7</v>
      </c>
      <c r="C1508" s="116">
        <v>3199.45</v>
      </c>
      <c r="D1508" s="116">
        <v>3183.95</v>
      </c>
      <c r="E1508" s="116">
        <v>3240</v>
      </c>
      <c r="F1508" s="116">
        <v>3199.45</v>
      </c>
      <c r="G1508">
        <v>555279</v>
      </c>
      <c r="H1508" s="116"/>
      <c r="I1508" s="116"/>
      <c r="L1508" s="170">
        <v>44224</v>
      </c>
      <c r="M1508" s="116">
        <v>3196.55</v>
      </c>
      <c r="N1508" s="116">
        <v>3275</v>
      </c>
      <c r="O1508" s="116">
        <v>3183.8</v>
      </c>
      <c r="P1508" s="116">
        <v>3230</v>
      </c>
      <c r="Q1508" s="116">
        <v>3196.55</v>
      </c>
      <c r="R1508">
        <v>3083938</v>
      </c>
    </row>
    <row r="1509" spans="1:18" x14ac:dyDescent="0.25">
      <c r="A1509" s="170">
        <v>44225</v>
      </c>
      <c r="B1509" s="116">
        <v>3215</v>
      </c>
      <c r="C1509" s="116">
        <v>3112.9</v>
      </c>
      <c r="D1509" s="116">
        <v>3100.5</v>
      </c>
      <c r="E1509" s="116">
        <v>3206</v>
      </c>
      <c r="F1509" s="116">
        <v>3112.9</v>
      </c>
      <c r="G1509">
        <v>96018</v>
      </c>
      <c r="H1509" s="116"/>
      <c r="I1509" s="116"/>
      <c r="L1509" s="170">
        <v>44225</v>
      </c>
      <c r="M1509" s="116">
        <v>3111.35</v>
      </c>
      <c r="N1509" s="116">
        <v>3216.85</v>
      </c>
      <c r="O1509" s="116">
        <v>3100</v>
      </c>
      <c r="P1509" s="116">
        <v>3210.05</v>
      </c>
      <c r="Q1509" s="116">
        <v>3111.35</v>
      </c>
      <c r="R1509">
        <v>5445659</v>
      </c>
    </row>
    <row r="1510" spans="1:18" x14ac:dyDescent="0.25">
      <c r="A1510" s="170">
        <v>44228</v>
      </c>
      <c r="B1510" s="116">
        <v>3165</v>
      </c>
      <c r="C1510" s="116">
        <v>3140.7</v>
      </c>
      <c r="D1510" s="116">
        <v>3045.1</v>
      </c>
      <c r="E1510" s="116">
        <v>3104</v>
      </c>
      <c r="F1510" s="116">
        <v>3140.7</v>
      </c>
      <c r="G1510">
        <v>158508</v>
      </c>
      <c r="H1510" s="116"/>
      <c r="I1510" s="116"/>
      <c r="L1510" s="170">
        <v>44228</v>
      </c>
      <c r="M1510" s="116">
        <v>3139.35</v>
      </c>
      <c r="N1510" s="116">
        <v>3165</v>
      </c>
      <c r="O1510" s="116">
        <v>3044.1</v>
      </c>
      <c r="P1510" s="116">
        <v>3100</v>
      </c>
      <c r="Q1510" s="116">
        <v>3139.35</v>
      </c>
      <c r="R1510">
        <v>3985846</v>
      </c>
    </row>
    <row r="1511" spans="1:18" x14ac:dyDescent="0.25">
      <c r="A1511" s="170">
        <v>44229</v>
      </c>
      <c r="B1511" s="116">
        <v>3224.55</v>
      </c>
      <c r="C1511" s="116">
        <v>3203</v>
      </c>
      <c r="D1511" s="116">
        <v>3154.5</v>
      </c>
      <c r="E1511" s="116">
        <v>3161</v>
      </c>
      <c r="F1511" s="116">
        <v>3203</v>
      </c>
      <c r="G1511">
        <v>115905</v>
      </c>
      <c r="H1511" s="116"/>
      <c r="I1511" s="116"/>
      <c r="L1511" s="170">
        <v>44229</v>
      </c>
      <c r="M1511" s="116">
        <v>3203.45</v>
      </c>
      <c r="N1511" s="116">
        <v>3224</v>
      </c>
      <c r="O1511" s="116">
        <v>3150</v>
      </c>
      <c r="P1511" s="116">
        <v>3174</v>
      </c>
      <c r="Q1511" s="116">
        <v>3203.45</v>
      </c>
      <c r="R1511">
        <v>2881837</v>
      </c>
    </row>
    <row r="1512" spans="1:18" x14ac:dyDescent="0.25">
      <c r="A1512" s="170">
        <v>44230</v>
      </c>
      <c r="B1512" s="116">
        <v>3235.15</v>
      </c>
      <c r="C1512" s="116">
        <v>3199.1</v>
      </c>
      <c r="D1512" s="116">
        <v>3164.6</v>
      </c>
      <c r="E1512" s="116">
        <v>3207</v>
      </c>
      <c r="F1512" s="116">
        <v>3199.1</v>
      </c>
      <c r="G1512">
        <v>101798</v>
      </c>
      <c r="H1512" s="116"/>
      <c r="I1512" s="116"/>
      <c r="L1512" s="170">
        <v>44230</v>
      </c>
      <c r="M1512" s="116">
        <v>3200.05</v>
      </c>
      <c r="N1512" s="116">
        <v>3236</v>
      </c>
      <c r="O1512" s="116">
        <v>3162.65</v>
      </c>
      <c r="P1512" s="116">
        <v>3213</v>
      </c>
      <c r="Q1512" s="116">
        <v>3200.05</v>
      </c>
      <c r="R1512">
        <v>2505866</v>
      </c>
    </row>
    <row r="1513" spans="1:18" x14ac:dyDescent="0.25">
      <c r="A1513" s="170">
        <v>44231</v>
      </c>
      <c r="B1513" s="116">
        <v>3233.95</v>
      </c>
      <c r="C1513" s="116">
        <v>3187.3</v>
      </c>
      <c r="D1513" s="116">
        <v>3177</v>
      </c>
      <c r="E1513" s="116">
        <v>3206</v>
      </c>
      <c r="F1513" s="116">
        <v>3187.3</v>
      </c>
      <c r="G1513">
        <v>434127</v>
      </c>
      <c r="H1513" s="116"/>
      <c r="I1513" s="116"/>
      <c r="L1513" s="170">
        <v>44231</v>
      </c>
      <c r="M1513" s="116">
        <v>3188.45</v>
      </c>
      <c r="N1513" s="116">
        <v>3237.85</v>
      </c>
      <c r="O1513" s="116">
        <v>3176</v>
      </c>
      <c r="P1513" s="116">
        <v>3216.05</v>
      </c>
      <c r="Q1513" s="116">
        <v>3188.45</v>
      </c>
      <c r="R1513">
        <v>2057261</v>
      </c>
    </row>
    <row r="1514" spans="1:18" x14ac:dyDescent="0.25">
      <c r="A1514" s="170">
        <v>44232</v>
      </c>
      <c r="B1514" s="116">
        <v>3200</v>
      </c>
      <c r="C1514" s="116">
        <v>3158.05</v>
      </c>
      <c r="D1514" s="116">
        <v>3129.5</v>
      </c>
      <c r="E1514" s="116">
        <v>3191.1</v>
      </c>
      <c r="F1514" s="116">
        <v>3158.05</v>
      </c>
      <c r="G1514">
        <v>69573</v>
      </c>
      <c r="H1514" s="116"/>
      <c r="I1514" s="116"/>
      <c r="L1514" s="170">
        <v>44232</v>
      </c>
      <c r="M1514" s="116">
        <v>3157.95</v>
      </c>
      <c r="N1514" s="116">
        <v>3205.85</v>
      </c>
      <c r="O1514" s="116">
        <v>3129</v>
      </c>
      <c r="P1514" s="116">
        <v>3198.95</v>
      </c>
      <c r="Q1514" s="116">
        <v>3157.95</v>
      </c>
      <c r="R1514">
        <v>2366135</v>
      </c>
    </row>
    <row r="1515" spans="1:18" x14ac:dyDescent="0.25">
      <c r="A1515" s="170">
        <v>44235</v>
      </c>
      <c r="B1515" s="116">
        <v>3224.95</v>
      </c>
      <c r="C1515" s="116">
        <v>3215.15</v>
      </c>
      <c r="D1515" s="116">
        <v>3155.5</v>
      </c>
      <c r="E1515" s="116">
        <v>3185.2</v>
      </c>
      <c r="F1515" s="116">
        <v>3215.15</v>
      </c>
      <c r="G1515">
        <v>132081</v>
      </c>
      <c r="H1515" s="116"/>
      <c r="I1515" s="116"/>
      <c r="L1515" s="170">
        <v>44235</v>
      </c>
      <c r="M1515" s="116">
        <v>3214.1</v>
      </c>
      <c r="N1515" s="116">
        <v>3226</v>
      </c>
      <c r="O1515" s="116">
        <v>3155.15</v>
      </c>
      <c r="P1515" s="116">
        <v>3189.5</v>
      </c>
      <c r="Q1515" s="116">
        <v>3214.1</v>
      </c>
      <c r="R1515">
        <v>2526592</v>
      </c>
    </row>
    <row r="1516" spans="1:18" x14ac:dyDescent="0.25">
      <c r="A1516" s="170">
        <v>44236</v>
      </c>
      <c r="B1516" s="116">
        <v>3245.15</v>
      </c>
      <c r="C1516" s="116">
        <v>3175.8</v>
      </c>
      <c r="D1516" s="116">
        <v>3165.05</v>
      </c>
      <c r="E1516" s="116">
        <v>3200</v>
      </c>
      <c r="F1516" s="116">
        <v>3175.8</v>
      </c>
      <c r="G1516">
        <v>123700</v>
      </c>
      <c r="H1516" s="116"/>
      <c r="I1516" s="116"/>
      <c r="L1516" s="170">
        <v>44236</v>
      </c>
      <c r="M1516" s="116">
        <v>3176.9</v>
      </c>
      <c r="N1516" s="116">
        <v>3245.8</v>
      </c>
      <c r="O1516" s="116">
        <v>3164</v>
      </c>
      <c r="P1516" s="116">
        <v>3195</v>
      </c>
      <c r="Q1516" s="116">
        <v>3176.9</v>
      </c>
      <c r="R1516">
        <v>2658751</v>
      </c>
    </row>
    <row r="1517" spans="1:18" x14ac:dyDescent="0.25">
      <c r="A1517" s="170">
        <v>44237</v>
      </c>
      <c r="B1517" s="116">
        <v>3219.3</v>
      </c>
      <c r="C1517" s="116">
        <v>3210.95</v>
      </c>
      <c r="D1517" s="116">
        <v>3158.95</v>
      </c>
      <c r="E1517" s="116">
        <v>3177</v>
      </c>
      <c r="F1517" s="116">
        <v>3210.95</v>
      </c>
      <c r="G1517">
        <v>61444</v>
      </c>
      <c r="H1517" s="116"/>
      <c r="I1517" s="116"/>
      <c r="L1517" s="170">
        <v>44237</v>
      </c>
      <c r="M1517" s="116">
        <v>3213.3</v>
      </c>
      <c r="N1517" s="116">
        <v>3219.4</v>
      </c>
      <c r="O1517" s="116">
        <v>3157.3</v>
      </c>
      <c r="P1517" s="116">
        <v>3185</v>
      </c>
      <c r="Q1517" s="116">
        <v>3213.3</v>
      </c>
      <c r="R1517">
        <v>2127983</v>
      </c>
    </row>
    <row r="1518" spans="1:18" x14ac:dyDescent="0.25">
      <c r="A1518" s="170">
        <v>44238</v>
      </c>
      <c r="B1518" s="116">
        <v>3223</v>
      </c>
      <c r="C1518" s="116">
        <v>3205.85</v>
      </c>
      <c r="D1518" s="116">
        <v>3186</v>
      </c>
      <c r="E1518" s="116">
        <v>3223</v>
      </c>
      <c r="F1518" s="116">
        <v>3205.85</v>
      </c>
      <c r="G1518">
        <v>38475</v>
      </c>
      <c r="H1518" s="116"/>
      <c r="I1518" s="116"/>
      <c r="L1518" s="170">
        <v>44238</v>
      </c>
      <c r="M1518" s="116">
        <v>3206</v>
      </c>
      <c r="N1518" s="116">
        <v>3219.3</v>
      </c>
      <c r="O1518" s="116">
        <v>3185.05</v>
      </c>
      <c r="P1518" s="116">
        <v>3215</v>
      </c>
      <c r="Q1518" s="116">
        <v>3206</v>
      </c>
      <c r="R1518">
        <v>1165882</v>
      </c>
    </row>
    <row r="1519" spans="1:18" x14ac:dyDescent="0.25">
      <c r="A1519" s="170">
        <v>44239</v>
      </c>
      <c r="B1519" s="116">
        <v>3245.8</v>
      </c>
      <c r="C1519" s="116">
        <v>3191.15</v>
      </c>
      <c r="D1519" s="116">
        <v>3183.4</v>
      </c>
      <c r="E1519" s="116">
        <v>3197</v>
      </c>
      <c r="F1519" s="116">
        <v>3191.15</v>
      </c>
      <c r="G1519">
        <v>64320</v>
      </c>
      <c r="H1519" s="116"/>
      <c r="I1519" s="116"/>
      <c r="L1519" s="170">
        <v>44239</v>
      </c>
      <c r="M1519" s="116">
        <v>3190.8</v>
      </c>
      <c r="N1519" s="116">
        <v>3245.5</v>
      </c>
      <c r="O1519" s="116">
        <v>3182</v>
      </c>
      <c r="P1519" s="116">
        <v>3184.2</v>
      </c>
      <c r="Q1519" s="116">
        <v>3190.8</v>
      </c>
      <c r="R1519">
        <v>2777404</v>
      </c>
    </row>
    <row r="1520" spans="1:18" x14ac:dyDescent="0.25">
      <c r="A1520" s="170">
        <v>44242</v>
      </c>
      <c r="B1520" s="116">
        <v>3206</v>
      </c>
      <c r="C1520" s="116">
        <v>3139.95</v>
      </c>
      <c r="D1520" s="116">
        <v>3131</v>
      </c>
      <c r="E1520" s="116">
        <v>3206</v>
      </c>
      <c r="F1520" s="116">
        <v>3139.95</v>
      </c>
      <c r="G1520">
        <v>104489</v>
      </c>
      <c r="H1520" s="116"/>
      <c r="I1520" s="116"/>
      <c r="L1520" s="170">
        <v>44242</v>
      </c>
      <c r="M1520" s="116">
        <v>3139.85</v>
      </c>
      <c r="N1520" s="116">
        <v>3209</v>
      </c>
      <c r="O1520" s="116">
        <v>3131.55</v>
      </c>
      <c r="P1520" s="116">
        <v>3209</v>
      </c>
      <c r="Q1520" s="116">
        <v>3139.85</v>
      </c>
      <c r="R1520">
        <v>2630853</v>
      </c>
    </row>
    <row r="1521" spans="1:18" x14ac:dyDescent="0.25">
      <c r="A1521" s="170">
        <v>44243</v>
      </c>
      <c r="B1521" s="116">
        <v>3166.25</v>
      </c>
      <c r="C1521" s="116">
        <v>3109.3</v>
      </c>
      <c r="D1521" s="116">
        <v>3100.25</v>
      </c>
      <c r="E1521" s="116">
        <v>3158.9</v>
      </c>
      <c r="F1521" s="116">
        <v>3109.3</v>
      </c>
      <c r="G1521">
        <v>136791</v>
      </c>
      <c r="H1521" s="116"/>
      <c r="I1521" s="116"/>
      <c r="L1521" s="170">
        <v>44243</v>
      </c>
      <c r="M1521" s="116">
        <v>3108.8</v>
      </c>
      <c r="N1521" s="116">
        <v>3167.65</v>
      </c>
      <c r="O1521" s="116">
        <v>3100</v>
      </c>
      <c r="P1521" s="116">
        <v>3150</v>
      </c>
      <c r="Q1521" s="116">
        <v>3108.8</v>
      </c>
      <c r="R1521">
        <v>3435770</v>
      </c>
    </row>
    <row r="1522" spans="1:18" x14ac:dyDescent="0.25">
      <c r="A1522" s="170">
        <v>44244</v>
      </c>
      <c r="B1522" s="116">
        <v>3131.95</v>
      </c>
      <c r="C1522" s="116">
        <v>3073.5</v>
      </c>
      <c r="D1522" s="116">
        <v>3047</v>
      </c>
      <c r="E1522" s="116">
        <v>3109</v>
      </c>
      <c r="F1522" s="116">
        <v>3073.5</v>
      </c>
      <c r="G1522">
        <v>140215</v>
      </c>
      <c r="H1522" s="116"/>
      <c r="I1522" s="116"/>
      <c r="L1522" s="170">
        <v>44244</v>
      </c>
      <c r="M1522" s="116">
        <v>3073.1</v>
      </c>
      <c r="N1522" s="116">
        <v>3132.85</v>
      </c>
      <c r="O1522" s="116">
        <v>3045.55</v>
      </c>
      <c r="P1522" s="116">
        <v>3105.1</v>
      </c>
      <c r="Q1522" s="116">
        <v>3073.1</v>
      </c>
      <c r="R1522">
        <v>3678426</v>
      </c>
    </row>
    <row r="1523" spans="1:18" x14ac:dyDescent="0.25">
      <c r="A1523" s="170">
        <v>44245</v>
      </c>
      <c r="B1523" s="116">
        <v>3098.75</v>
      </c>
      <c r="C1523" s="116">
        <v>3057.55</v>
      </c>
      <c r="D1523" s="116">
        <v>3032</v>
      </c>
      <c r="E1523" s="116">
        <v>3073</v>
      </c>
      <c r="F1523" s="116">
        <v>3057.55</v>
      </c>
      <c r="G1523">
        <v>175502</v>
      </c>
      <c r="H1523" s="116"/>
      <c r="I1523" s="116"/>
      <c r="L1523" s="170">
        <v>44245</v>
      </c>
      <c r="M1523" s="116">
        <v>3057.35</v>
      </c>
      <c r="N1523" s="116">
        <v>3097.9</v>
      </c>
      <c r="O1523" s="116">
        <v>3031</v>
      </c>
      <c r="P1523" s="116">
        <v>3065</v>
      </c>
      <c r="Q1523" s="116">
        <v>3057.35</v>
      </c>
      <c r="R1523">
        <v>4189909</v>
      </c>
    </row>
    <row r="1524" spans="1:18" x14ac:dyDescent="0.25">
      <c r="A1524" s="170">
        <v>44246</v>
      </c>
      <c r="B1524" s="116">
        <v>3085.85</v>
      </c>
      <c r="C1524" s="116">
        <v>3072.1</v>
      </c>
      <c r="D1524" s="116">
        <v>3017.55</v>
      </c>
      <c r="E1524" s="116">
        <v>3057.55</v>
      </c>
      <c r="F1524" s="116">
        <v>3072.1</v>
      </c>
      <c r="G1524">
        <v>129152</v>
      </c>
      <c r="H1524" s="116"/>
      <c r="I1524" s="116"/>
      <c r="L1524" s="170">
        <v>44246</v>
      </c>
      <c r="M1524" s="116">
        <v>3071.85</v>
      </c>
      <c r="N1524" s="116">
        <v>3087.15</v>
      </c>
      <c r="O1524" s="116">
        <v>3016.15</v>
      </c>
      <c r="P1524" s="116">
        <v>3058</v>
      </c>
      <c r="Q1524" s="116">
        <v>3071.85</v>
      </c>
      <c r="R1524">
        <v>3725028</v>
      </c>
    </row>
    <row r="1525" spans="1:18" x14ac:dyDescent="0.25">
      <c r="A1525" s="170">
        <v>44249</v>
      </c>
      <c r="B1525" s="116">
        <v>3090</v>
      </c>
      <c r="C1525" s="116">
        <v>2958.75</v>
      </c>
      <c r="D1525" s="116">
        <v>2945.5</v>
      </c>
      <c r="E1525" s="116">
        <v>3090</v>
      </c>
      <c r="F1525" s="116">
        <v>2958.75</v>
      </c>
      <c r="G1525">
        <v>233886</v>
      </c>
      <c r="H1525" s="116"/>
      <c r="I1525" s="116"/>
      <c r="L1525" s="170">
        <v>44249</v>
      </c>
      <c r="M1525" s="116">
        <v>2958.45</v>
      </c>
      <c r="N1525" s="116">
        <v>3096</v>
      </c>
      <c r="O1525" s="116">
        <v>2943.15</v>
      </c>
      <c r="P1525" s="116">
        <v>3096</v>
      </c>
      <c r="Q1525" s="116">
        <v>2958.45</v>
      </c>
      <c r="R1525">
        <v>5366696</v>
      </c>
    </row>
    <row r="1526" spans="1:18" x14ac:dyDescent="0.25">
      <c r="A1526" s="170">
        <v>44250</v>
      </c>
      <c r="B1526" s="116">
        <v>3027.9</v>
      </c>
      <c r="C1526" s="116">
        <v>2980</v>
      </c>
      <c r="D1526" s="116">
        <v>2970</v>
      </c>
      <c r="E1526" s="116">
        <v>2971.6</v>
      </c>
      <c r="F1526" s="116">
        <v>2980</v>
      </c>
      <c r="G1526">
        <v>140264</v>
      </c>
      <c r="H1526" s="116"/>
      <c r="I1526" s="116"/>
      <c r="L1526" s="170">
        <v>44250</v>
      </c>
      <c r="M1526" s="116">
        <v>2980.2</v>
      </c>
      <c r="N1526" s="116">
        <v>3028</v>
      </c>
      <c r="O1526" s="116">
        <v>2968</v>
      </c>
      <c r="P1526" s="116">
        <v>2970</v>
      </c>
      <c r="Q1526" s="116">
        <v>2980.2</v>
      </c>
      <c r="R1526">
        <v>3832829</v>
      </c>
    </row>
    <row r="1527" spans="1:18" x14ac:dyDescent="0.25">
      <c r="A1527" s="170">
        <v>44251</v>
      </c>
      <c r="B1527" s="116">
        <v>3002.25</v>
      </c>
      <c r="C1527" s="116">
        <v>2951.4</v>
      </c>
      <c r="D1527" s="116">
        <v>2701</v>
      </c>
      <c r="E1527" s="116">
        <v>2980.2</v>
      </c>
      <c r="F1527" s="116">
        <v>2951.4</v>
      </c>
      <c r="G1527">
        <v>720041</v>
      </c>
      <c r="H1527" s="116"/>
      <c r="I1527" s="116"/>
      <c r="L1527" s="170">
        <v>44251</v>
      </c>
      <c r="M1527" s="116">
        <v>2948.1</v>
      </c>
      <c r="N1527" s="116">
        <v>3003.35</v>
      </c>
      <c r="O1527" s="116">
        <v>2921.15</v>
      </c>
      <c r="P1527" s="116">
        <v>2972</v>
      </c>
      <c r="Q1527" s="116">
        <v>2948.1</v>
      </c>
      <c r="R1527">
        <v>3774549</v>
      </c>
    </row>
    <row r="1528" spans="1:18" x14ac:dyDescent="0.25">
      <c r="A1528" s="170">
        <v>44252</v>
      </c>
      <c r="B1528" s="116">
        <v>3029.45</v>
      </c>
      <c r="C1528" s="116">
        <v>2992.9</v>
      </c>
      <c r="D1528" s="116">
        <v>2969.1</v>
      </c>
      <c r="E1528" s="116">
        <v>2980</v>
      </c>
      <c r="F1528" s="116">
        <v>2992.9</v>
      </c>
      <c r="G1528">
        <v>497914</v>
      </c>
      <c r="H1528" s="116"/>
      <c r="I1528" s="116"/>
      <c r="L1528" s="170">
        <v>44252</v>
      </c>
      <c r="M1528" s="116">
        <v>2995.3</v>
      </c>
      <c r="N1528" s="116">
        <v>3029.9</v>
      </c>
      <c r="O1528" s="116">
        <v>2968.45</v>
      </c>
      <c r="P1528" s="116">
        <v>2974</v>
      </c>
      <c r="Q1528" s="116">
        <v>2995.3</v>
      </c>
      <c r="R1528">
        <v>4224073</v>
      </c>
    </row>
    <row r="1529" spans="1:18" x14ac:dyDescent="0.25">
      <c r="A1529" s="170">
        <v>44253</v>
      </c>
      <c r="B1529" s="116">
        <v>2971.9</v>
      </c>
      <c r="C1529" s="116">
        <v>2896.05</v>
      </c>
      <c r="D1529" s="116">
        <v>2881.35</v>
      </c>
      <c r="E1529" s="116">
        <v>2968.5</v>
      </c>
      <c r="F1529" s="116">
        <v>2896.05</v>
      </c>
      <c r="G1529">
        <v>202274</v>
      </c>
      <c r="H1529" s="116"/>
      <c r="I1529" s="116"/>
      <c r="L1529" s="170">
        <v>44253</v>
      </c>
      <c r="M1529" s="116">
        <v>2894.3</v>
      </c>
      <c r="N1529" s="116">
        <v>2972.35</v>
      </c>
      <c r="O1529" s="116">
        <v>2880</v>
      </c>
      <c r="P1529" s="116">
        <v>2960</v>
      </c>
      <c r="Q1529" s="116">
        <v>2894.3</v>
      </c>
      <c r="R1529">
        <v>5553153</v>
      </c>
    </row>
    <row r="1530" spans="1:18" x14ac:dyDescent="0.25">
      <c r="A1530" s="170">
        <v>44256</v>
      </c>
      <c r="B1530" s="116">
        <v>2964.95</v>
      </c>
      <c r="C1530" s="116">
        <v>2926.2</v>
      </c>
      <c r="D1530" s="116">
        <v>2900</v>
      </c>
      <c r="E1530" s="116">
        <v>2930</v>
      </c>
      <c r="F1530" s="116">
        <v>2926.2</v>
      </c>
      <c r="G1530">
        <v>210795</v>
      </c>
      <c r="H1530" s="116"/>
      <c r="I1530" s="116"/>
      <c r="L1530" s="170">
        <v>44256</v>
      </c>
      <c r="M1530" s="116">
        <v>2924.2</v>
      </c>
      <c r="N1530" s="116">
        <v>2965</v>
      </c>
      <c r="O1530" s="116">
        <v>2901.8</v>
      </c>
      <c r="P1530" s="116">
        <v>2926</v>
      </c>
      <c r="Q1530" s="116">
        <v>2924.2</v>
      </c>
      <c r="R1530">
        <v>3265871</v>
      </c>
    </row>
    <row r="1531" spans="1:18" x14ac:dyDescent="0.25">
      <c r="A1531" s="170">
        <v>44257</v>
      </c>
      <c r="B1531" s="116">
        <v>3025.4</v>
      </c>
      <c r="C1531" s="116">
        <v>3010.55</v>
      </c>
      <c r="D1531" s="116">
        <v>2946.15</v>
      </c>
      <c r="E1531" s="116">
        <v>2970</v>
      </c>
      <c r="F1531" s="116">
        <v>3010.55</v>
      </c>
      <c r="G1531">
        <v>168724</v>
      </c>
      <c r="H1531" s="116"/>
      <c r="I1531" s="116"/>
      <c r="L1531" s="170">
        <v>44257</v>
      </c>
      <c r="M1531" s="116">
        <v>3006.35</v>
      </c>
      <c r="N1531" s="116">
        <v>3025</v>
      </c>
      <c r="O1531" s="116">
        <v>2948</v>
      </c>
      <c r="P1531" s="116">
        <v>2960</v>
      </c>
      <c r="Q1531" s="116">
        <v>3006.35</v>
      </c>
      <c r="R1531">
        <v>3306469</v>
      </c>
    </row>
    <row r="1532" spans="1:18" x14ac:dyDescent="0.25">
      <c r="A1532" s="170">
        <v>44258</v>
      </c>
      <c r="B1532" s="116">
        <v>3063.45</v>
      </c>
      <c r="C1532" s="116">
        <v>3058.65</v>
      </c>
      <c r="D1532" s="116">
        <v>2996.5</v>
      </c>
      <c r="E1532" s="116">
        <v>3030</v>
      </c>
      <c r="F1532" s="116">
        <v>3058.65</v>
      </c>
      <c r="G1532">
        <v>206125</v>
      </c>
      <c r="H1532" s="116"/>
      <c r="I1532" s="116"/>
      <c r="L1532" s="170">
        <v>44258</v>
      </c>
      <c r="M1532" s="116">
        <v>3059.1</v>
      </c>
      <c r="N1532" s="116">
        <v>3064</v>
      </c>
      <c r="O1532" s="116">
        <v>2996.9</v>
      </c>
      <c r="P1532" s="116">
        <v>3035</v>
      </c>
      <c r="Q1532" s="116">
        <v>3059.1</v>
      </c>
      <c r="R1532">
        <v>3509857</v>
      </c>
    </row>
    <row r="1533" spans="1:18" x14ac:dyDescent="0.25">
      <c r="A1533" s="170">
        <v>44259</v>
      </c>
      <c r="B1533" s="116">
        <v>3081.55</v>
      </c>
      <c r="C1533" s="116">
        <v>3047.7</v>
      </c>
      <c r="D1533" s="116">
        <v>3019.9</v>
      </c>
      <c r="E1533" s="116">
        <v>3030</v>
      </c>
      <c r="F1533" s="116">
        <v>3047.7</v>
      </c>
      <c r="G1533">
        <v>371283</v>
      </c>
      <c r="H1533" s="116"/>
      <c r="I1533" s="116"/>
      <c r="L1533" s="170">
        <v>44259</v>
      </c>
      <c r="M1533" s="116">
        <v>3049.7</v>
      </c>
      <c r="N1533" s="116">
        <v>3081.45</v>
      </c>
      <c r="O1533" s="116">
        <v>3016.05</v>
      </c>
      <c r="P1533" s="116">
        <v>3023</v>
      </c>
      <c r="Q1533" s="116">
        <v>3049.7</v>
      </c>
      <c r="R1533">
        <v>3916760</v>
      </c>
    </row>
    <row r="1534" spans="1:18" x14ac:dyDescent="0.25">
      <c r="A1534" s="170">
        <v>44260</v>
      </c>
      <c r="B1534" s="116">
        <v>3063.45</v>
      </c>
      <c r="C1534" s="116">
        <v>3007</v>
      </c>
      <c r="D1534" s="116">
        <v>2997.35</v>
      </c>
      <c r="E1534" s="116">
        <v>3020</v>
      </c>
      <c r="F1534" s="116">
        <v>3007</v>
      </c>
      <c r="G1534">
        <v>63785</v>
      </c>
      <c r="H1534" s="116"/>
      <c r="I1534" s="116"/>
      <c r="L1534" s="170">
        <v>44260</v>
      </c>
      <c r="M1534" s="116">
        <v>3008.05</v>
      </c>
      <c r="N1534" s="116">
        <v>3063.2</v>
      </c>
      <c r="O1534" s="116">
        <v>2996.6</v>
      </c>
      <c r="P1534" s="116">
        <v>3016.1</v>
      </c>
      <c r="Q1534" s="116">
        <v>3008.05</v>
      </c>
      <c r="R1534">
        <v>3203686</v>
      </c>
    </row>
    <row r="1535" spans="1:18" x14ac:dyDescent="0.25">
      <c r="A1535" s="170">
        <v>44263</v>
      </c>
      <c r="B1535" s="116">
        <v>3039</v>
      </c>
      <c r="C1535" s="116">
        <v>3007.2</v>
      </c>
      <c r="D1535" s="116">
        <v>2996</v>
      </c>
      <c r="E1535" s="116">
        <v>3039</v>
      </c>
      <c r="F1535" s="116">
        <v>3007.2</v>
      </c>
      <c r="G1535">
        <v>39194</v>
      </c>
      <c r="H1535" s="116"/>
      <c r="I1535" s="116"/>
      <c r="L1535" s="170">
        <v>44263</v>
      </c>
      <c r="M1535" s="116">
        <v>3006.95</v>
      </c>
      <c r="N1535" s="116">
        <v>3033</v>
      </c>
      <c r="O1535" s="116">
        <v>2996</v>
      </c>
      <c r="P1535" s="116">
        <v>3016</v>
      </c>
      <c r="Q1535" s="116">
        <v>3006.95</v>
      </c>
      <c r="R1535">
        <v>2003125</v>
      </c>
    </row>
    <row r="1536" spans="1:18" x14ac:dyDescent="0.25">
      <c r="A1536" s="170">
        <v>44264</v>
      </c>
      <c r="B1536" s="116">
        <v>3066.9</v>
      </c>
      <c r="C1536" s="116">
        <v>3049.95</v>
      </c>
      <c r="D1536" s="116">
        <v>2993</v>
      </c>
      <c r="E1536" s="116">
        <v>3008.05</v>
      </c>
      <c r="F1536" s="116">
        <v>3049.95</v>
      </c>
      <c r="G1536">
        <v>85833</v>
      </c>
      <c r="H1536" s="116"/>
      <c r="I1536" s="116"/>
      <c r="L1536" s="170">
        <v>44264</v>
      </c>
      <c r="M1536" s="116">
        <v>3050.95</v>
      </c>
      <c r="N1536" s="116">
        <v>3066.9</v>
      </c>
      <c r="O1536" s="116">
        <v>2992.1</v>
      </c>
      <c r="P1536" s="116">
        <v>3006.95</v>
      </c>
      <c r="Q1536" s="116">
        <v>3050.95</v>
      </c>
      <c r="R1536">
        <v>1942397</v>
      </c>
    </row>
    <row r="1537" spans="1:18" x14ac:dyDescent="0.25">
      <c r="A1537" s="170">
        <v>44265</v>
      </c>
      <c r="B1537" s="116">
        <v>3092</v>
      </c>
      <c r="C1537" s="116">
        <v>3071.95</v>
      </c>
      <c r="D1537" s="116">
        <v>3060.1</v>
      </c>
      <c r="E1537" s="116">
        <v>3080.2</v>
      </c>
      <c r="F1537" s="116">
        <v>3071.95</v>
      </c>
      <c r="G1537">
        <v>83120</v>
      </c>
      <c r="H1537" s="116"/>
      <c r="I1537" s="116"/>
      <c r="L1537" s="170">
        <v>44265</v>
      </c>
      <c r="M1537" s="116">
        <v>3070.95</v>
      </c>
      <c r="N1537" s="116">
        <v>3093.2</v>
      </c>
      <c r="O1537" s="116">
        <v>3060</v>
      </c>
      <c r="P1537" s="116">
        <v>3075</v>
      </c>
      <c r="Q1537" s="116">
        <v>3070.95</v>
      </c>
      <c r="R1537">
        <v>3053778</v>
      </c>
    </row>
    <row r="1538" spans="1:18" x14ac:dyDescent="0.25">
      <c r="A1538" s="170">
        <v>44267</v>
      </c>
      <c r="B1538" s="116">
        <v>3115.65</v>
      </c>
      <c r="C1538" s="116">
        <v>3056.9</v>
      </c>
      <c r="D1538" s="116">
        <v>3042.05</v>
      </c>
      <c r="E1538" s="116">
        <v>3075</v>
      </c>
      <c r="F1538" s="116">
        <v>3056.9</v>
      </c>
      <c r="G1538">
        <v>133299</v>
      </c>
      <c r="H1538" s="116"/>
      <c r="I1538" s="116"/>
      <c r="L1538" s="170">
        <v>44267</v>
      </c>
      <c r="M1538" s="116">
        <v>3057.95</v>
      </c>
      <c r="N1538" s="116">
        <v>3117</v>
      </c>
      <c r="O1538" s="116">
        <v>3041.35</v>
      </c>
      <c r="P1538" s="116">
        <v>3075</v>
      </c>
      <c r="Q1538" s="116">
        <v>3057.95</v>
      </c>
      <c r="R1538">
        <v>2938317</v>
      </c>
    </row>
    <row r="1539" spans="1:18" x14ac:dyDescent="0.25">
      <c r="A1539" s="170">
        <v>44270</v>
      </c>
      <c r="B1539" s="116">
        <v>3098.9</v>
      </c>
      <c r="C1539" s="116">
        <v>3066.35</v>
      </c>
      <c r="D1539" s="116">
        <v>3043</v>
      </c>
      <c r="E1539" s="116">
        <v>3054</v>
      </c>
      <c r="F1539" s="116">
        <v>3066.35</v>
      </c>
      <c r="G1539">
        <v>53492</v>
      </c>
      <c r="H1539" s="116"/>
      <c r="I1539" s="116"/>
      <c r="L1539" s="170">
        <v>44270</v>
      </c>
      <c r="M1539" s="116">
        <v>3066.15</v>
      </c>
      <c r="N1539" s="116">
        <v>3099</v>
      </c>
      <c r="O1539" s="116">
        <v>3041</v>
      </c>
      <c r="P1539" s="116">
        <v>3041</v>
      </c>
      <c r="Q1539" s="116">
        <v>3066.15</v>
      </c>
      <c r="R1539">
        <v>3097140</v>
      </c>
    </row>
    <row r="1540" spans="1:18" x14ac:dyDescent="0.25">
      <c r="A1540" s="170">
        <v>44271</v>
      </c>
      <c r="B1540" s="116">
        <v>3139.9</v>
      </c>
      <c r="C1540" s="116">
        <v>3108.7</v>
      </c>
      <c r="D1540" s="116">
        <v>3063</v>
      </c>
      <c r="E1540" s="116">
        <v>3064.85</v>
      </c>
      <c r="F1540" s="116">
        <v>3108.7</v>
      </c>
      <c r="G1540">
        <v>294600</v>
      </c>
      <c r="H1540" s="116"/>
      <c r="I1540" s="116"/>
      <c r="L1540" s="170">
        <v>44271</v>
      </c>
      <c r="M1540" s="116">
        <v>3110.05</v>
      </c>
      <c r="N1540" s="116">
        <v>3141</v>
      </c>
      <c r="O1540" s="116">
        <v>3060</v>
      </c>
      <c r="P1540" s="116">
        <v>3060</v>
      </c>
      <c r="Q1540" s="116">
        <v>3110.05</v>
      </c>
      <c r="R1540">
        <v>4894756</v>
      </c>
    </row>
    <row r="1541" spans="1:18" x14ac:dyDescent="0.25">
      <c r="A1541" s="170">
        <v>44272</v>
      </c>
      <c r="B1541" s="116">
        <v>3156.75</v>
      </c>
      <c r="C1541" s="116">
        <v>3112.7</v>
      </c>
      <c r="D1541" s="116">
        <v>3086</v>
      </c>
      <c r="E1541" s="116">
        <v>3108</v>
      </c>
      <c r="F1541" s="116">
        <v>3112.7</v>
      </c>
      <c r="G1541">
        <v>263394</v>
      </c>
      <c r="H1541" s="116"/>
      <c r="I1541" s="116"/>
      <c r="L1541" s="170">
        <v>44272</v>
      </c>
      <c r="M1541" s="116">
        <v>3112.95</v>
      </c>
      <c r="N1541" s="116">
        <v>3155</v>
      </c>
      <c r="O1541" s="116">
        <v>3085.3</v>
      </c>
      <c r="P1541" s="116">
        <v>3105</v>
      </c>
      <c r="Q1541" s="116">
        <v>3112.95</v>
      </c>
      <c r="R1541">
        <v>3838390</v>
      </c>
    </row>
    <row r="1542" spans="1:18" x14ac:dyDescent="0.25">
      <c r="A1542" s="170">
        <v>44273</v>
      </c>
      <c r="B1542" s="116">
        <v>3145</v>
      </c>
      <c r="C1542" s="116">
        <v>3036.8</v>
      </c>
      <c r="D1542" s="116">
        <v>2986.3</v>
      </c>
      <c r="E1542" s="116">
        <v>3122</v>
      </c>
      <c r="F1542" s="116">
        <v>3036.8</v>
      </c>
      <c r="G1542">
        <v>94103</v>
      </c>
      <c r="H1542" s="116"/>
      <c r="I1542" s="116"/>
      <c r="L1542" s="170">
        <v>44273</v>
      </c>
      <c r="M1542" s="116">
        <v>3036.5</v>
      </c>
      <c r="N1542" s="116">
        <v>3146.45</v>
      </c>
      <c r="O1542" s="116">
        <v>2987.05</v>
      </c>
      <c r="P1542" s="116">
        <v>3125.95</v>
      </c>
      <c r="Q1542" s="116">
        <v>3036.5</v>
      </c>
      <c r="R1542">
        <v>3656306</v>
      </c>
    </row>
    <row r="1543" spans="1:18" x14ac:dyDescent="0.25">
      <c r="A1543" s="170">
        <v>44274</v>
      </c>
      <c r="B1543" s="116">
        <v>3098</v>
      </c>
      <c r="C1543" s="116">
        <v>3063.25</v>
      </c>
      <c r="D1543" s="116">
        <v>3004.45</v>
      </c>
      <c r="E1543" s="116">
        <v>3032</v>
      </c>
      <c r="F1543" s="116">
        <v>3063.25</v>
      </c>
      <c r="G1543">
        <v>202074</v>
      </c>
      <c r="H1543" s="116"/>
      <c r="I1543" s="116"/>
      <c r="L1543" s="170">
        <v>44274</v>
      </c>
      <c r="M1543" s="116">
        <v>3050.2</v>
      </c>
      <c r="N1543" s="116">
        <v>3099</v>
      </c>
      <c r="O1543" s="116">
        <v>3005</v>
      </c>
      <c r="P1543" s="116">
        <v>3030</v>
      </c>
      <c r="Q1543" s="116">
        <v>3050.2</v>
      </c>
      <c r="R1543">
        <v>5776626</v>
      </c>
    </row>
    <row r="1544" spans="1:18" x14ac:dyDescent="0.25">
      <c r="A1544" s="170">
        <v>44277</v>
      </c>
      <c r="B1544" s="116">
        <v>3139</v>
      </c>
      <c r="C1544" s="116">
        <v>3129.6</v>
      </c>
      <c r="D1544" s="116">
        <v>3018.05</v>
      </c>
      <c r="E1544" s="116">
        <v>3060</v>
      </c>
      <c r="F1544" s="116">
        <v>3129.6</v>
      </c>
      <c r="G1544">
        <v>136270</v>
      </c>
      <c r="H1544" s="116"/>
      <c r="I1544" s="116"/>
      <c r="L1544" s="170">
        <v>44277</v>
      </c>
      <c r="M1544" s="116">
        <v>3129.65</v>
      </c>
      <c r="N1544" s="116">
        <v>3139.45</v>
      </c>
      <c r="O1544" s="116">
        <v>3018.65</v>
      </c>
      <c r="P1544" s="116">
        <v>3048.7</v>
      </c>
      <c r="Q1544" s="116">
        <v>3129.65</v>
      </c>
      <c r="R1544">
        <v>2821646</v>
      </c>
    </row>
    <row r="1545" spans="1:18" x14ac:dyDescent="0.25">
      <c r="A1545" s="170">
        <v>44278</v>
      </c>
      <c r="B1545" s="116">
        <v>3168.5</v>
      </c>
      <c r="C1545" s="116">
        <v>3142.05</v>
      </c>
      <c r="D1545" s="116">
        <v>3124</v>
      </c>
      <c r="E1545" s="116">
        <v>3139.75</v>
      </c>
      <c r="F1545" s="116">
        <v>3142.05</v>
      </c>
      <c r="G1545">
        <v>64888</v>
      </c>
      <c r="H1545" s="116"/>
      <c r="I1545" s="116"/>
      <c r="L1545" s="170">
        <v>44278</v>
      </c>
      <c r="M1545" s="116">
        <v>3142.6</v>
      </c>
      <c r="N1545" s="116">
        <v>3169</v>
      </c>
      <c r="O1545" s="116">
        <v>3122.85</v>
      </c>
      <c r="P1545" s="116">
        <v>3140</v>
      </c>
      <c r="Q1545" s="116">
        <v>3142.6</v>
      </c>
      <c r="R1545">
        <v>3305973</v>
      </c>
    </row>
    <row r="1546" spans="1:18" x14ac:dyDescent="0.25">
      <c r="A1546" s="170">
        <v>44279</v>
      </c>
      <c r="B1546" s="116">
        <v>3151.7</v>
      </c>
      <c r="C1546" s="116">
        <v>3120.95</v>
      </c>
      <c r="D1546" s="116">
        <v>3111.5</v>
      </c>
      <c r="E1546" s="116">
        <v>3125</v>
      </c>
      <c r="F1546" s="116">
        <v>3120.95</v>
      </c>
      <c r="G1546">
        <v>49838</v>
      </c>
      <c r="H1546" s="116"/>
      <c r="I1546" s="116"/>
      <c r="L1546" s="170">
        <v>44279</v>
      </c>
      <c r="M1546" s="116">
        <v>3121.1</v>
      </c>
      <c r="N1546" s="116">
        <v>3152.3</v>
      </c>
      <c r="O1546" s="116">
        <v>3111.15</v>
      </c>
      <c r="P1546" s="116">
        <v>3111.2</v>
      </c>
      <c r="Q1546" s="116">
        <v>3121.1</v>
      </c>
      <c r="R1546">
        <v>2207104</v>
      </c>
    </row>
    <row r="1547" spans="1:18" x14ac:dyDescent="0.25">
      <c r="A1547" s="170">
        <v>44280</v>
      </c>
      <c r="B1547" s="116">
        <v>3129.7</v>
      </c>
      <c r="C1547" s="116">
        <v>3068.05</v>
      </c>
      <c r="D1547" s="116">
        <v>3051</v>
      </c>
      <c r="E1547" s="116">
        <v>3120.95</v>
      </c>
      <c r="F1547" s="116">
        <v>3068.05</v>
      </c>
      <c r="G1547">
        <v>50991</v>
      </c>
      <c r="H1547" s="116"/>
      <c r="I1547" s="116"/>
      <c r="L1547" s="170">
        <v>44280</v>
      </c>
      <c r="M1547" s="116">
        <v>3064.85</v>
      </c>
      <c r="N1547" s="116">
        <v>3130.85</v>
      </c>
      <c r="O1547" s="116">
        <v>3050</v>
      </c>
      <c r="P1547" s="116">
        <v>3112.2</v>
      </c>
      <c r="Q1547" s="116">
        <v>3064.85</v>
      </c>
      <c r="R1547">
        <v>3179786</v>
      </c>
    </row>
    <row r="1548" spans="1:18" x14ac:dyDescent="0.25">
      <c r="A1548" s="170">
        <v>44281</v>
      </c>
      <c r="B1548" s="116">
        <v>3118</v>
      </c>
      <c r="C1548" s="116">
        <v>3068.15</v>
      </c>
      <c r="D1548" s="116">
        <v>3044</v>
      </c>
      <c r="E1548" s="116">
        <v>3083</v>
      </c>
      <c r="F1548" s="116">
        <v>3068.15</v>
      </c>
      <c r="G1548">
        <v>112808</v>
      </c>
      <c r="H1548" s="116"/>
      <c r="I1548" s="116"/>
      <c r="L1548" s="170">
        <v>44281</v>
      </c>
      <c r="M1548" s="116">
        <v>3066.8</v>
      </c>
      <c r="N1548" s="116">
        <v>3118</v>
      </c>
      <c r="O1548" s="116">
        <v>3043.05</v>
      </c>
      <c r="P1548" s="116">
        <v>3090.65</v>
      </c>
      <c r="Q1548" s="116">
        <v>3066.8</v>
      </c>
      <c r="R1548">
        <v>3697370</v>
      </c>
    </row>
    <row r="1549" spans="1:18" x14ac:dyDescent="0.25">
      <c r="A1549" s="170">
        <v>44285</v>
      </c>
      <c r="B1549" s="116">
        <v>3188</v>
      </c>
      <c r="C1549" s="116">
        <v>3159.95</v>
      </c>
      <c r="D1549" s="116">
        <v>3059.85</v>
      </c>
      <c r="E1549" s="116">
        <v>3080</v>
      </c>
      <c r="F1549" s="116">
        <v>3159.95</v>
      </c>
      <c r="G1549">
        <v>216943</v>
      </c>
      <c r="H1549" s="116"/>
      <c r="I1549" s="116"/>
      <c r="L1549" s="170">
        <v>44285</v>
      </c>
      <c r="M1549" s="116">
        <v>3158.55</v>
      </c>
      <c r="N1549" s="116">
        <v>3188.45</v>
      </c>
      <c r="O1549" s="116">
        <v>3060.9</v>
      </c>
      <c r="P1549" s="116">
        <v>3083</v>
      </c>
      <c r="Q1549" s="116">
        <v>3158.55</v>
      </c>
      <c r="R1549">
        <v>4694261</v>
      </c>
    </row>
    <row r="1550" spans="1:18" x14ac:dyDescent="0.25">
      <c r="A1550" s="170">
        <v>44286</v>
      </c>
      <c r="B1550" s="116">
        <v>3205</v>
      </c>
      <c r="C1550" s="116">
        <v>3177.6</v>
      </c>
      <c r="D1550" s="116">
        <v>3131.65</v>
      </c>
      <c r="E1550" s="116">
        <v>3155</v>
      </c>
      <c r="F1550" s="116">
        <v>3177.6</v>
      </c>
      <c r="G1550">
        <v>192113</v>
      </c>
      <c r="H1550" s="116"/>
      <c r="I1550" s="116"/>
      <c r="L1550" s="170">
        <v>44286</v>
      </c>
      <c r="M1550" s="116">
        <v>3177.85</v>
      </c>
      <c r="N1550" s="116">
        <v>3205</v>
      </c>
      <c r="O1550" s="116">
        <v>3132</v>
      </c>
      <c r="P1550" s="116">
        <v>3155</v>
      </c>
      <c r="Q1550" s="116">
        <v>3177.85</v>
      </c>
      <c r="R1550">
        <v>3530069</v>
      </c>
    </row>
    <row r="1551" spans="1:18" x14ac:dyDescent="0.25">
      <c r="A1551" s="170">
        <v>44287</v>
      </c>
      <c r="B1551" s="116">
        <v>3215.7</v>
      </c>
      <c r="C1551" s="116">
        <v>3165.9</v>
      </c>
      <c r="D1551" s="116">
        <v>3146</v>
      </c>
      <c r="E1551" s="116">
        <v>3190</v>
      </c>
      <c r="F1551" s="116">
        <v>3165.9</v>
      </c>
      <c r="G1551">
        <v>105274</v>
      </c>
      <c r="H1551" s="116"/>
      <c r="I1551" s="116"/>
      <c r="L1551" s="170">
        <v>44287</v>
      </c>
      <c r="M1551" s="116">
        <v>3165</v>
      </c>
      <c r="N1551" s="116">
        <v>3215</v>
      </c>
      <c r="O1551" s="116">
        <v>3145</v>
      </c>
      <c r="P1551" s="116">
        <v>3191.1</v>
      </c>
      <c r="Q1551" s="116">
        <v>3165</v>
      </c>
      <c r="R1551">
        <v>4285076</v>
      </c>
    </row>
    <row r="1552" spans="1:18" x14ac:dyDescent="0.25">
      <c r="A1552" s="170">
        <v>44291</v>
      </c>
      <c r="B1552" s="116">
        <v>3262.55</v>
      </c>
      <c r="C1552" s="116">
        <v>3239.3</v>
      </c>
      <c r="D1552" s="116">
        <v>3151.25</v>
      </c>
      <c r="E1552" s="116">
        <v>3171</v>
      </c>
      <c r="F1552" s="116">
        <v>3239.3</v>
      </c>
      <c r="G1552">
        <v>1005721</v>
      </c>
      <c r="H1552" s="116"/>
      <c r="I1552" s="116"/>
      <c r="L1552" s="170">
        <v>44291</v>
      </c>
      <c r="M1552" s="116">
        <v>3238.9</v>
      </c>
      <c r="N1552" s="116">
        <v>3263</v>
      </c>
      <c r="O1552" s="116">
        <v>3151</v>
      </c>
      <c r="P1552" s="116">
        <v>3171</v>
      </c>
      <c r="Q1552" s="116">
        <v>3238.9</v>
      </c>
      <c r="R1552">
        <v>5317862</v>
      </c>
    </row>
    <row r="1553" spans="1:18" x14ac:dyDescent="0.25">
      <c r="A1553" s="170">
        <v>44292</v>
      </c>
      <c r="B1553" s="116">
        <v>3278</v>
      </c>
      <c r="C1553" s="116">
        <v>3263.85</v>
      </c>
      <c r="D1553" s="116">
        <v>3229.9</v>
      </c>
      <c r="E1553" s="116">
        <v>3278</v>
      </c>
      <c r="F1553" s="116">
        <v>3263.85</v>
      </c>
      <c r="G1553">
        <v>105514</v>
      </c>
      <c r="H1553" s="116"/>
      <c r="I1553" s="116"/>
      <c r="L1553" s="170">
        <v>44292</v>
      </c>
      <c r="M1553" s="116">
        <v>3264.7</v>
      </c>
      <c r="N1553" s="116">
        <v>3275</v>
      </c>
      <c r="O1553" s="116">
        <v>3230</v>
      </c>
      <c r="P1553" s="116">
        <v>3275</v>
      </c>
      <c r="Q1553" s="116">
        <v>3264.7</v>
      </c>
      <c r="R1553">
        <v>2291562</v>
      </c>
    </row>
    <row r="1554" spans="1:18" x14ac:dyDescent="0.25">
      <c r="A1554" s="170">
        <v>44293</v>
      </c>
      <c r="B1554" s="116">
        <v>3277.95</v>
      </c>
      <c r="C1554" s="116">
        <v>3270.75</v>
      </c>
      <c r="D1554" s="116">
        <v>3235.1</v>
      </c>
      <c r="E1554" s="116">
        <v>3262</v>
      </c>
      <c r="F1554" s="116">
        <v>3270.75</v>
      </c>
      <c r="G1554">
        <v>68444</v>
      </c>
      <c r="H1554" s="116"/>
      <c r="I1554" s="116"/>
      <c r="L1554" s="170">
        <v>44293</v>
      </c>
      <c r="M1554" s="116">
        <v>3271.4</v>
      </c>
      <c r="N1554" s="116">
        <v>3277.55</v>
      </c>
      <c r="O1554" s="116">
        <v>3234.8</v>
      </c>
      <c r="P1554" s="116">
        <v>3259</v>
      </c>
      <c r="Q1554" s="116">
        <v>3271.4</v>
      </c>
      <c r="R1554">
        <v>2491268</v>
      </c>
    </row>
    <row r="1555" spans="1:18" x14ac:dyDescent="0.25">
      <c r="A1555" s="170">
        <v>44294</v>
      </c>
      <c r="B1555" s="116">
        <v>3334.85</v>
      </c>
      <c r="C1555" s="116">
        <v>3316.5</v>
      </c>
      <c r="D1555" s="116">
        <v>3267.35</v>
      </c>
      <c r="E1555" s="116">
        <v>3267.35</v>
      </c>
      <c r="F1555" s="116">
        <v>3316.5</v>
      </c>
      <c r="G1555">
        <v>73583</v>
      </c>
      <c r="H1555" s="116"/>
      <c r="I1555" s="116"/>
      <c r="L1555" s="170">
        <v>44294</v>
      </c>
      <c r="M1555" s="116">
        <v>3317.35</v>
      </c>
      <c r="N1555" s="116">
        <v>3335</v>
      </c>
      <c r="O1555" s="116">
        <v>3266.05</v>
      </c>
      <c r="P1555" s="116">
        <v>3270</v>
      </c>
      <c r="Q1555" s="116">
        <v>3317.35</v>
      </c>
      <c r="R1555">
        <v>2578118</v>
      </c>
    </row>
    <row r="1556" spans="1:18" x14ac:dyDescent="0.25">
      <c r="A1556" s="170">
        <v>44295</v>
      </c>
      <c r="B1556" s="116">
        <v>3358.8</v>
      </c>
      <c r="C1556" s="116">
        <v>3322.2</v>
      </c>
      <c r="D1556" s="116">
        <v>3308.75</v>
      </c>
      <c r="E1556" s="116">
        <v>3350</v>
      </c>
      <c r="F1556" s="116">
        <v>3322.2</v>
      </c>
      <c r="G1556">
        <v>98999</v>
      </c>
      <c r="H1556" s="116"/>
      <c r="I1556" s="116"/>
      <c r="L1556" s="170">
        <v>44295</v>
      </c>
      <c r="M1556" s="116">
        <v>3322.25</v>
      </c>
      <c r="N1556" s="116">
        <v>3354.35</v>
      </c>
      <c r="O1556" s="116">
        <v>3308</v>
      </c>
      <c r="P1556" s="116">
        <v>3354</v>
      </c>
      <c r="Q1556" s="116">
        <v>3322.25</v>
      </c>
      <c r="R1556">
        <v>2911129</v>
      </c>
    </row>
    <row r="1557" spans="1:18" x14ac:dyDescent="0.25">
      <c r="A1557" s="170">
        <v>44298</v>
      </c>
      <c r="B1557" s="116">
        <v>3343.9</v>
      </c>
      <c r="C1557" s="116">
        <v>3241.45</v>
      </c>
      <c r="D1557" s="116">
        <v>3217.75</v>
      </c>
      <c r="E1557" s="116">
        <v>3330</v>
      </c>
      <c r="F1557" s="116">
        <v>3241.45</v>
      </c>
      <c r="G1557">
        <v>149202</v>
      </c>
      <c r="H1557" s="116"/>
      <c r="I1557" s="116"/>
      <c r="L1557" s="170">
        <v>44298</v>
      </c>
      <c r="M1557" s="116">
        <v>3246.55</v>
      </c>
      <c r="N1557" s="116">
        <v>3338.1</v>
      </c>
      <c r="O1557" s="116">
        <v>3213.2</v>
      </c>
      <c r="P1557" s="116">
        <v>3322.25</v>
      </c>
      <c r="Q1557" s="116">
        <v>3246.55</v>
      </c>
      <c r="R1557">
        <v>3791828</v>
      </c>
    </row>
    <row r="1558" spans="1:18" x14ac:dyDescent="0.25">
      <c r="A1558" s="170">
        <v>44299</v>
      </c>
      <c r="B1558" s="116">
        <v>3230</v>
      </c>
      <c r="C1558" s="116">
        <v>3105</v>
      </c>
      <c r="D1558" s="116">
        <v>3074.55</v>
      </c>
      <c r="E1558" s="116">
        <v>3230</v>
      </c>
      <c r="F1558" s="116">
        <v>3105</v>
      </c>
      <c r="G1558">
        <v>247729</v>
      </c>
      <c r="H1558" s="116"/>
      <c r="I1558" s="116"/>
      <c r="L1558" s="170">
        <v>44299</v>
      </c>
      <c r="M1558" s="116">
        <v>3104.05</v>
      </c>
      <c r="N1558" s="116">
        <v>3214</v>
      </c>
      <c r="O1558" s="116">
        <v>3073.05</v>
      </c>
      <c r="P1558" s="116">
        <v>3214</v>
      </c>
      <c r="Q1558" s="116">
        <v>3104.05</v>
      </c>
      <c r="R1558">
        <v>8654596</v>
      </c>
    </row>
    <row r="1559" spans="1:18" x14ac:dyDescent="0.25">
      <c r="A1559" s="170">
        <v>44301</v>
      </c>
      <c r="B1559" s="116">
        <v>3240.55</v>
      </c>
      <c r="C1559" s="116">
        <v>3218.95</v>
      </c>
      <c r="D1559" s="116">
        <v>3086.2</v>
      </c>
      <c r="E1559" s="116">
        <v>3145</v>
      </c>
      <c r="F1559" s="116">
        <v>3218.95</v>
      </c>
      <c r="G1559">
        <v>673685</v>
      </c>
      <c r="H1559" s="116"/>
      <c r="I1559" s="116"/>
      <c r="L1559" s="170">
        <v>44301</v>
      </c>
      <c r="M1559" s="116">
        <v>3218.95</v>
      </c>
      <c r="N1559" s="116">
        <v>3237.25</v>
      </c>
      <c r="O1559" s="116">
        <v>3087.45</v>
      </c>
      <c r="P1559" s="116">
        <v>3160.3</v>
      </c>
      <c r="Q1559" s="116">
        <v>3218.95</v>
      </c>
      <c r="R1559">
        <v>6062760</v>
      </c>
    </row>
    <row r="1560" spans="1:18" x14ac:dyDescent="0.25">
      <c r="A1560" s="170">
        <v>44302</v>
      </c>
      <c r="B1560" s="116">
        <v>3246.25</v>
      </c>
      <c r="C1560" s="116">
        <v>3193.3</v>
      </c>
      <c r="D1560" s="116">
        <v>3182</v>
      </c>
      <c r="E1560" s="116">
        <v>3228.95</v>
      </c>
      <c r="F1560" s="116">
        <v>3193.3</v>
      </c>
      <c r="G1560">
        <v>106603</v>
      </c>
      <c r="H1560" s="116"/>
      <c r="I1560" s="116"/>
      <c r="L1560" s="170">
        <v>44302</v>
      </c>
      <c r="M1560" s="116">
        <v>3195.15</v>
      </c>
      <c r="N1560" s="116">
        <v>3247</v>
      </c>
      <c r="O1560" s="116">
        <v>3182.6</v>
      </c>
      <c r="P1560" s="116">
        <v>3229</v>
      </c>
      <c r="Q1560" s="116">
        <v>3195.15</v>
      </c>
      <c r="R1560">
        <v>3224657</v>
      </c>
    </row>
    <row r="1561" spans="1:18" x14ac:dyDescent="0.25">
      <c r="A1561" s="170">
        <v>44305</v>
      </c>
      <c r="B1561" s="116">
        <v>3193.3</v>
      </c>
      <c r="C1561" s="116">
        <v>3163.1</v>
      </c>
      <c r="D1561" s="116">
        <v>3135.2</v>
      </c>
      <c r="E1561" s="116">
        <v>3193.3</v>
      </c>
      <c r="F1561" s="116">
        <v>3163.1</v>
      </c>
      <c r="G1561">
        <v>56293</v>
      </c>
      <c r="H1561" s="116"/>
      <c r="I1561" s="116"/>
      <c r="L1561" s="170">
        <v>44305</v>
      </c>
      <c r="M1561" s="116">
        <v>3161.8</v>
      </c>
      <c r="N1561" s="116">
        <v>3189</v>
      </c>
      <c r="O1561" s="116">
        <v>3135.1</v>
      </c>
      <c r="P1561" s="116">
        <v>3169</v>
      </c>
      <c r="Q1561" s="116">
        <v>3161.8</v>
      </c>
      <c r="R1561">
        <v>2679106</v>
      </c>
    </row>
    <row r="1562" spans="1:18" x14ac:dyDescent="0.25">
      <c r="A1562" s="170">
        <v>44306</v>
      </c>
      <c r="B1562" s="116">
        <v>3220</v>
      </c>
      <c r="C1562" s="116">
        <v>3144.1</v>
      </c>
      <c r="D1562" s="116">
        <v>3127</v>
      </c>
      <c r="E1562" s="116">
        <v>3215</v>
      </c>
      <c r="F1562" s="116">
        <v>3144.1</v>
      </c>
      <c r="G1562">
        <v>108317</v>
      </c>
      <c r="H1562" s="116"/>
      <c r="I1562" s="116"/>
      <c r="L1562" s="170">
        <v>44306</v>
      </c>
      <c r="M1562" s="116">
        <v>3144.55</v>
      </c>
      <c r="N1562" s="116">
        <v>3225.35</v>
      </c>
      <c r="O1562" s="116">
        <v>3126.35</v>
      </c>
      <c r="P1562" s="116">
        <v>3225</v>
      </c>
      <c r="Q1562" s="116">
        <v>3144.55</v>
      </c>
      <c r="R1562">
        <v>3141893</v>
      </c>
    </row>
    <row r="1563" spans="1:18" x14ac:dyDescent="0.25">
      <c r="A1563" s="170">
        <v>44308</v>
      </c>
      <c r="B1563" s="116">
        <v>3149.7</v>
      </c>
      <c r="C1563" s="116">
        <v>3119.1</v>
      </c>
      <c r="D1563" s="116">
        <v>3105.5</v>
      </c>
      <c r="E1563" s="116">
        <v>3146.15</v>
      </c>
      <c r="F1563" s="116">
        <v>3119.1</v>
      </c>
      <c r="G1563">
        <v>199595</v>
      </c>
      <c r="H1563" s="116"/>
      <c r="I1563" s="116"/>
      <c r="L1563" s="170">
        <v>44308</v>
      </c>
      <c r="M1563" s="116">
        <v>3118.8</v>
      </c>
      <c r="N1563" s="116">
        <v>3148</v>
      </c>
      <c r="O1563" s="116">
        <v>3105.25</v>
      </c>
      <c r="P1563" s="116">
        <v>3148</v>
      </c>
      <c r="Q1563" s="116">
        <v>3118.8</v>
      </c>
      <c r="R1563">
        <v>1988980</v>
      </c>
    </row>
    <row r="1564" spans="1:18" x14ac:dyDescent="0.25">
      <c r="A1564" s="170">
        <v>44309</v>
      </c>
      <c r="B1564" s="116">
        <v>3119.75</v>
      </c>
      <c r="C1564" s="116">
        <v>3109.8</v>
      </c>
      <c r="D1564" s="116">
        <v>3092</v>
      </c>
      <c r="E1564" s="116">
        <v>3105</v>
      </c>
      <c r="F1564" s="116">
        <v>3109.8</v>
      </c>
      <c r="G1564">
        <v>67236</v>
      </c>
      <c r="H1564" s="116"/>
      <c r="I1564" s="116"/>
      <c r="L1564" s="170">
        <v>44309</v>
      </c>
      <c r="M1564" s="116">
        <v>3109.5</v>
      </c>
      <c r="N1564" s="116">
        <v>3119</v>
      </c>
      <c r="O1564" s="116">
        <v>3091.05</v>
      </c>
      <c r="P1564" s="116">
        <v>3105</v>
      </c>
      <c r="Q1564" s="116">
        <v>3109.5</v>
      </c>
      <c r="R1564">
        <v>1615309</v>
      </c>
    </row>
    <row r="1565" spans="1:18" x14ac:dyDescent="0.25">
      <c r="A1565" s="170">
        <v>44312</v>
      </c>
      <c r="B1565" s="116">
        <v>3151.95</v>
      </c>
      <c r="C1565" s="116">
        <v>3101.1</v>
      </c>
      <c r="D1565" s="116">
        <v>3088.1</v>
      </c>
      <c r="E1565" s="116">
        <v>3109.8</v>
      </c>
      <c r="F1565" s="116">
        <v>3101.1</v>
      </c>
      <c r="G1565">
        <v>96633</v>
      </c>
      <c r="H1565" s="116"/>
      <c r="I1565" s="116"/>
      <c r="L1565" s="170">
        <v>44312</v>
      </c>
      <c r="M1565" s="116">
        <v>3100.8</v>
      </c>
      <c r="N1565" s="116">
        <v>3153</v>
      </c>
      <c r="O1565" s="116">
        <v>3088.05</v>
      </c>
      <c r="P1565" s="116">
        <v>3102.05</v>
      </c>
      <c r="Q1565" s="116">
        <v>3100.8</v>
      </c>
      <c r="R1565">
        <v>2490260</v>
      </c>
    </row>
    <row r="1566" spans="1:18" x14ac:dyDescent="0.25">
      <c r="A1566" s="170">
        <v>44313</v>
      </c>
      <c r="B1566" s="116">
        <v>3135.1</v>
      </c>
      <c r="C1566" s="116">
        <v>3131.6</v>
      </c>
      <c r="D1566" s="116">
        <v>3103</v>
      </c>
      <c r="E1566" s="116">
        <v>3103</v>
      </c>
      <c r="F1566" s="116">
        <v>3131.6</v>
      </c>
      <c r="G1566">
        <v>43362</v>
      </c>
      <c r="H1566" s="116"/>
      <c r="I1566" s="116"/>
      <c r="L1566" s="170">
        <v>44313</v>
      </c>
      <c r="M1566" s="116">
        <v>3132</v>
      </c>
      <c r="N1566" s="116">
        <v>3136.1</v>
      </c>
      <c r="O1566" s="116">
        <v>3103</v>
      </c>
      <c r="P1566" s="116">
        <v>3106</v>
      </c>
      <c r="Q1566" s="116">
        <v>3132</v>
      </c>
      <c r="R1566">
        <v>1471417</v>
      </c>
    </row>
    <row r="1567" spans="1:18" x14ac:dyDescent="0.25">
      <c r="A1567" s="170">
        <v>44314</v>
      </c>
      <c r="B1567" s="116">
        <v>3150.5</v>
      </c>
      <c r="C1567" s="116">
        <v>3123.8</v>
      </c>
      <c r="D1567" s="116">
        <v>3112</v>
      </c>
      <c r="E1567" s="116">
        <v>3143</v>
      </c>
      <c r="F1567" s="116">
        <v>3123.8</v>
      </c>
      <c r="G1567">
        <v>39238</v>
      </c>
      <c r="H1567" s="116"/>
      <c r="I1567" s="116"/>
      <c r="L1567" s="170">
        <v>44314</v>
      </c>
      <c r="M1567" s="116">
        <v>3124.1</v>
      </c>
      <c r="N1567" s="116">
        <v>3151</v>
      </c>
      <c r="O1567" s="116">
        <v>3112</v>
      </c>
      <c r="P1567" s="116">
        <v>3149.95</v>
      </c>
      <c r="Q1567" s="116">
        <v>3124.1</v>
      </c>
      <c r="R1567">
        <v>1639037</v>
      </c>
    </row>
    <row r="1568" spans="1:18" x14ac:dyDescent="0.25">
      <c r="A1568" s="170">
        <v>44315</v>
      </c>
      <c r="B1568" s="116">
        <v>3156.3</v>
      </c>
      <c r="C1568" s="116">
        <v>3113.2</v>
      </c>
      <c r="D1568" s="116">
        <v>3105.4</v>
      </c>
      <c r="E1568" s="116">
        <v>3142</v>
      </c>
      <c r="F1568" s="116">
        <v>3113.2</v>
      </c>
      <c r="G1568">
        <v>62825</v>
      </c>
      <c r="H1568" s="116"/>
      <c r="I1568" s="116"/>
      <c r="L1568" s="170">
        <v>44315</v>
      </c>
      <c r="M1568" s="116">
        <v>3115.25</v>
      </c>
      <c r="N1568" s="116">
        <v>3157.35</v>
      </c>
      <c r="O1568" s="116">
        <v>3105.5</v>
      </c>
      <c r="P1568" s="116">
        <v>3145.6</v>
      </c>
      <c r="Q1568" s="116">
        <v>3115.25</v>
      </c>
      <c r="R1568">
        <v>1621395</v>
      </c>
    </row>
    <row r="1569" spans="1:18" x14ac:dyDescent="0.25">
      <c r="A1569" s="170">
        <v>44316</v>
      </c>
      <c r="B1569" s="116">
        <v>3132.7</v>
      </c>
      <c r="C1569" s="116">
        <v>3038.4</v>
      </c>
      <c r="D1569" s="116">
        <v>3021</v>
      </c>
      <c r="E1569" s="116">
        <v>3111</v>
      </c>
      <c r="F1569" s="116">
        <v>3038.4</v>
      </c>
      <c r="G1569">
        <v>69616</v>
      </c>
      <c r="H1569" s="116"/>
      <c r="I1569" s="116"/>
      <c r="L1569" s="170">
        <v>44316</v>
      </c>
      <c r="M1569" s="116">
        <v>3035.65</v>
      </c>
      <c r="N1569" s="116">
        <v>3132.05</v>
      </c>
      <c r="O1569" s="116">
        <v>3020</v>
      </c>
      <c r="P1569" s="116">
        <v>3099</v>
      </c>
      <c r="Q1569" s="116">
        <v>3035.65</v>
      </c>
      <c r="R1569">
        <v>3072305</v>
      </c>
    </row>
    <row r="1570" spans="1:18" x14ac:dyDescent="0.25">
      <c r="A1570" s="170">
        <v>44319</v>
      </c>
      <c r="B1570" s="116">
        <v>3057</v>
      </c>
      <c r="C1570" s="116">
        <v>3037</v>
      </c>
      <c r="D1570" s="116">
        <v>3004.8</v>
      </c>
      <c r="E1570" s="116">
        <v>3034.7</v>
      </c>
      <c r="F1570" s="116">
        <v>3037</v>
      </c>
      <c r="G1570">
        <v>110455</v>
      </c>
      <c r="H1570" s="116"/>
      <c r="I1570" s="116"/>
      <c r="L1570" s="170">
        <v>44319</v>
      </c>
      <c r="M1570" s="116">
        <v>3037</v>
      </c>
      <c r="N1570" s="116">
        <v>3055</v>
      </c>
      <c r="O1570" s="116">
        <v>3004</v>
      </c>
      <c r="P1570" s="116">
        <v>3024.9</v>
      </c>
      <c r="Q1570" s="116">
        <v>3037</v>
      </c>
      <c r="R1570">
        <v>1545831</v>
      </c>
    </row>
    <row r="1571" spans="1:18" x14ac:dyDescent="0.25">
      <c r="A1571" s="170">
        <v>44320</v>
      </c>
      <c r="B1571" s="116">
        <v>3090</v>
      </c>
      <c r="C1571" s="116">
        <v>3048.95</v>
      </c>
      <c r="D1571" s="116">
        <v>3035.2</v>
      </c>
      <c r="E1571" s="116">
        <v>3060</v>
      </c>
      <c r="F1571" s="116">
        <v>3048.95</v>
      </c>
      <c r="G1571">
        <v>71115</v>
      </c>
      <c r="H1571" s="116"/>
      <c r="I1571" s="116"/>
      <c r="L1571" s="170">
        <v>44320</v>
      </c>
      <c r="M1571" s="116">
        <v>3049.75</v>
      </c>
      <c r="N1571" s="116">
        <v>3090</v>
      </c>
      <c r="O1571" s="116">
        <v>3035</v>
      </c>
      <c r="P1571" s="116">
        <v>3062.8</v>
      </c>
      <c r="Q1571" s="116">
        <v>3049.75</v>
      </c>
      <c r="R1571">
        <v>1990777</v>
      </c>
    </row>
    <row r="1572" spans="1:18" x14ac:dyDescent="0.25">
      <c r="A1572" s="170">
        <v>44321</v>
      </c>
      <c r="B1572" s="116">
        <v>3100</v>
      </c>
      <c r="C1572" s="116">
        <v>3096.35</v>
      </c>
      <c r="D1572" s="116">
        <v>3053.7</v>
      </c>
      <c r="E1572" s="116">
        <v>3077.8</v>
      </c>
      <c r="F1572" s="116">
        <v>3096.35</v>
      </c>
      <c r="G1572">
        <v>40810</v>
      </c>
      <c r="H1572" s="116"/>
      <c r="I1572" s="116"/>
      <c r="L1572" s="170">
        <v>44321</v>
      </c>
      <c r="M1572" s="116">
        <v>3095.7</v>
      </c>
      <c r="N1572" s="116">
        <v>3099.4</v>
      </c>
      <c r="O1572" s="116">
        <v>3052.4</v>
      </c>
      <c r="P1572" s="116">
        <v>3070</v>
      </c>
      <c r="Q1572" s="116">
        <v>3095.7</v>
      </c>
      <c r="R1572">
        <v>1939289</v>
      </c>
    </row>
    <row r="1573" spans="1:18" x14ac:dyDescent="0.25">
      <c r="A1573" s="170">
        <v>44322</v>
      </c>
      <c r="B1573" s="116">
        <v>3134.25</v>
      </c>
      <c r="C1573" s="116">
        <v>3111.3</v>
      </c>
      <c r="D1573" s="116">
        <v>3074</v>
      </c>
      <c r="E1573" s="116">
        <v>3108</v>
      </c>
      <c r="F1573" s="116">
        <v>3111.3</v>
      </c>
      <c r="G1573">
        <v>197177</v>
      </c>
      <c r="H1573" s="116"/>
      <c r="I1573" s="116"/>
      <c r="L1573" s="170">
        <v>44322</v>
      </c>
      <c r="M1573" s="116">
        <v>3111.45</v>
      </c>
      <c r="N1573" s="116">
        <v>3134</v>
      </c>
      <c r="O1573" s="116">
        <v>3074</v>
      </c>
      <c r="P1573" s="116">
        <v>3105.5</v>
      </c>
      <c r="Q1573" s="116">
        <v>3111.45</v>
      </c>
      <c r="R1573">
        <v>1791671</v>
      </c>
    </row>
    <row r="1574" spans="1:18" x14ac:dyDescent="0.25">
      <c r="A1574" s="170">
        <v>44323</v>
      </c>
      <c r="B1574" s="116">
        <v>3160</v>
      </c>
      <c r="C1574" s="116">
        <v>3132</v>
      </c>
      <c r="D1574" s="116">
        <v>3112.15</v>
      </c>
      <c r="E1574" s="116">
        <v>3130</v>
      </c>
      <c r="F1574" s="116">
        <v>3132</v>
      </c>
      <c r="G1574">
        <v>90326</v>
      </c>
      <c r="H1574" s="116"/>
      <c r="I1574" s="116"/>
      <c r="L1574" s="170">
        <v>44323</v>
      </c>
      <c r="M1574" s="116">
        <v>3132.9</v>
      </c>
      <c r="N1574" s="116">
        <v>3159.85</v>
      </c>
      <c r="O1574" s="116">
        <v>3111.8</v>
      </c>
      <c r="P1574" s="116">
        <v>3133</v>
      </c>
      <c r="Q1574" s="116">
        <v>3132.9</v>
      </c>
      <c r="R1574">
        <v>1912540</v>
      </c>
    </row>
    <row r="1575" spans="1:18" x14ac:dyDescent="0.25">
      <c r="A1575" s="170">
        <v>44326</v>
      </c>
      <c r="B1575" s="116">
        <v>3164</v>
      </c>
      <c r="C1575" s="116">
        <v>3145.15</v>
      </c>
      <c r="D1575" s="116">
        <v>3126</v>
      </c>
      <c r="E1575" s="116">
        <v>3140</v>
      </c>
      <c r="F1575" s="116">
        <v>3145.15</v>
      </c>
      <c r="G1575">
        <v>36150</v>
      </c>
      <c r="H1575" s="116"/>
      <c r="I1575" s="116"/>
      <c r="L1575" s="170">
        <v>44326</v>
      </c>
      <c r="M1575" s="116">
        <v>3145.5</v>
      </c>
      <c r="N1575" s="116">
        <v>3164.2</v>
      </c>
      <c r="O1575" s="116">
        <v>3125</v>
      </c>
      <c r="P1575" s="116">
        <v>3145.95</v>
      </c>
      <c r="Q1575" s="116">
        <v>3145.5</v>
      </c>
      <c r="R1575">
        <v>2137153</v>
      </c>
    </row>
    <row r="1576" spans="1:18" x14ac:dyDescent="0.25">
      <c r="A1576" s="170">
        <v>44327</v>
      </c>
      <c r="B1576" s="116">
        <v>3130</v>
      </c>
      <c r="C1576" s="116">
        <v>3123.2</v>
      </c>
      <c r="D1576" s="116">
        <v>3092.2</v>
      </c>
      <c r="E1576" s="116">
        <v>3130</v>
      </c>
      <c r="F1576" s="116">
        <v>3123.2</v>
      </c>
      <c r="G1576">
        <v>42943</v>
      </c>
      <c r="H1576" s="116"/>
      <c r="I1576" s="116"/>
      <c r="L1576" s="170">
        <v>44327</v>
      </c>
      <c r="M1576" s="116">
        <v>3122.6</v>
      </c>
      <c r="N1576" s="116">
        <v>3128.1</v>
      </c>
      <c r="O1576" s="116">
        <v>3091.15</v>
      </c>
      <c r="P1576" s="116">
        <v>3125</v>
      </c>
      <c r="Q1576" s="116">
        <v>3122.6</v>
      </c>
      <c r="R1576">
        <v>2415625</v>
      </c>
    </row>
    <row r="1577" spans="1:18" x14ac:dyDescent="0.25">
      <c r="A1577" s="170">
        <v>44328</v>
      </c>
      <c r="B1577" s="116">
        <v>3139</v>
      </c>
      <c r="C1577" s="116">
        <v>3088.5</v>
      </c>
      <c r="D1577" s="116">
        <v>3070.5</v>
      </c>
      <c r="E1577" s="116">
        <v>3139</v>
      </c>
      <c r="F1577" s="116">
        <v>3088.5</v>
      </c>
      <c r="G1577">
        <v>65098</v>
      </c>
      <c r="H1577" s="116"/>
      <c r="I1577" s="116"/>
      <c r="L1577" s="170">
        <v>44328</v>
      </c>
      <c r="M1577" s="116">
        <v>3087.6</v>
      </c>
      <c r="N1577" s="116">
        <v>3120</v>
      </c>
      <c r="O1577" s="116">
        <v>3070.6</v>
      </c>
      <c r="P1577" s="116">
        <v>3120</v>
      </c>
      <c r="Q1577" s="116">
        <v>3087.6</v>
      </c>
      <c r="R1577">
        <v>1978558</v>
      </c>
    </row>
    <row r="1578" spans="1:18" x14ac:dyDescent="0.25">
      <c r="A1578" s="170">
        <v>44330</v>
      </c>
      <c r="B1578" s="116">
        <v>3100</v>
      </c>
      <c r="C1578" s="116">
        <v>3050.75</v>
      </c>
      <c r="D1578" s="116">
        <v>3040.55</v>
      </c>
      <c r="E1578" s="116">
        <v>3100</v>
      </c>
      <c r="F1578" s="116">
        <v>3050.75</v>
      </c>
      <c r="G1578">
        <v>78135</v>
      </c>
      <c r="H1578" s="116"/>
      <c r="I1578" s="116"/>
      <c r="L1578" s="170">
        <v>44330</v>
      </c>
      <c r="M1578" s="116">
        <v>3051.5</v>
      </c>
      <c r="N1578" s="116">
        <v>3098.5</v>
      </c>
      <c r="O1578" s="116">
        <v>3040</v>
      </c>
      <c r="P1578" s="116">
        <v>3098.5</v>
      </c>
      <c r="Q1578" s="116">
        <v>3051.5</v>
      </c>
      <c r="R1578">
        <v>2043935</v>
      </c>
    </row>
    <row r="1579" spans="1:18" x14ac:dyDescent="0.25">
      <c r="A1579" s="170">
        <v>44333</v>
      </c>
      <c r="B1579" s="116">
        <v>3077</v>
      </c>
      <c r="C1579" s="116">
        <v>3069.8</v>
      </c>
      <c r="D1579" s="116">
        <v>3035.65</v>
      </c>
      <c r="E1579" s="116">
        <v>3060</v>
      </c>
      <c r="F1579" s="116">
        <v>3069.8</v>
      </c>
      <c r="G1579">
        <v>101499</v>
      </c>
      <c r="H1579" s="116"/>
      <c r="I1579" s="116"/>
      <c r="L1579" s="170">
        <v>44333</v>
      </c>
      <c r="M1579" s="116">
        <v>3069.75</v>
      </c>
      <c r="N1579" s="116">
        <v>3075.2</v>
      </c>
      <c r="O1579" s="116">
        <v>3036</v>
      </c>
      <c r="P1579" s="116">
        <v>3055</v>
      </c>
      <c r="Q1579" s="116">
        <v>3069.75</v>
      </c>
      <c r="R1579">
        <v>2890462</v>
      </c>
    </row>
    <row r="1580" spans="1:18" x14ac:dyDescent="0.25">
      <c r="A1580" s="170">
        <v>44334</v>
      </c>
      <c r="B1580" s="116">
        <v>3123</v>
      </c>
      <c r="C1580" s="116">
        <v>3089.35</v>
      </c>
      <c r="D1580" s="116">
        <v>3078.7</v>
      </c>
      <c r="E1580" s="116">
        <v>3095</v>
      </c>
      <c r="F1580" s="116">
        <v>3089.35</v>
      </c>
      <c r="G1580">
        <v>71234</v>
      </c>
      <c r="H1580" s="116"/>
      <c r="I1580" s="116"/>
      <c r="L1580" s="170">
        <v>44334</v>
      </c>
      <c r="M1580" s="116">
        <v>3088.8</v>
      </c>
      <c r="N1580" s="116">
        <v>3124</v>
      </c>
      <c r="O1580" s="116">
        <v>3078</v>
      </c>
      <c r="P1580" s="116">
        <v>3100</v>
      </c>
      <c r="Q1580" s="116">
        <v>3088.8</v>
      </c>
      <c r="R1580">
        <v>2098538</v>
      </c>
    </row>
    <row r="1581" spans="1:18" x14ac:dyDescent="0.25">
      <c r="A1581" s="170">
        <v>44335</v>
      </c>
      <c r="B1581" s="116">
        <v>3118</v>
      </c>
      <c r="C1581" s="116">
        <v>3081.95</v>
      </c>
      <c r="D1581" s="116">
        <v>3066.05</v>
      </c>
      <c r="E1581" s="116">
        <v>3080</v>
      </c>
      <c r="F1581" s="116">
        <v>3081.95</v>
      </c>
      <c r="G1581">
        <v>63943</v>
      </c>
      <c r="H1581" s="116"/>
      <c r="I1581" s="116"/>
      <c r="L1581" s="170">
        <v>44335</v>
      </c>
      <c r="M1581" s="116">
        <v>3082</v>
      </c>
      <c r="N1581" s="116">
        <v>3118</v>
      </c>
      <c r="O1581" s="116">
        <v>3067.1</v>
      </c>
      <c r="P1581" s="116">
        <v>3084</v>
      </c>
      <c r="Q1581" s="116">
        <v>3082</v>
      </c>
      <c r="R1581">
        <v>1986041</v>
      </c>
    </row>
    <row r="1582" spans="1:18" x14ac:dyDescent="0.25">
      <c r="A1582" s="170">
        <v>44336</v>
      </c>
      <c r="B1582" s="116">
        <v>3087.55</v>
      </c>
      <c r="C1582" s="116">
        <v>3060</v>
      </c>
      <c r="D1582" s="116">
        <v>3053</v>
      </c>
      <c r="E1582" s="116">
        <v>3074</v>
      </c>
      <c r="F1582" s="116">
        <v>3060</v>
      </c>
      <c r="G1582">
        <v>44081</v>
      </c>
      <c r="H1582" s="116"/>
      <c r="I1582" s="116"/>
      <c r="L1582" s="170">
        <v>44336</v>
      </c>
      <c r="M1582" s="116">
        <v>3060</v>
      </c>
      <c r="N1582" s="116">
        <v>3088.8</v>
      </c>
      <c r="O1582" s="116">
        <v>3052.1</v>
      </c>
      <c r="P1582" s="116">
        <v>3067.1</v>
      </c>
      <c r="Q1582" s="116">
        <v>3060</v>
      </c>
      <c r="R1582">
        <v>2329027</v>
      </c>
    </row>
    <row r="1583" spans="1:18" x14ac:dyDescent="0.25">
      <c r="A1583" s="170">
        <v>44337</v>
      </c>
      <c r="B1583" s="116">
        <v>3087.9</v>
      </c>
      <c r="C1583" s="116">
        <v>3080.4</v>
      </c>
      <c r="D1583" s="116">
        <v>3055.35</v>
      </c>
      <c r="E1583" s="116">
        <v>3065</v>
      </c>
      <c r="F1583" s="116">
        <v>3080.4</v>
      </c>
      <c r="G1583">
        <v>25700</v>
      </c>
      <c r="H1583" s="116"/>
      <c r="I1583" s="116"/>
      <c r="L1583" s="170">
        <v>44337</v>
      </c>
      <c r="M1583" s="116">
        <v>3080.5</v>
      </c>
      <c r="N1583" s="116">
        <v>3088.2</v>
      </c>
      <c r="O1583" s="116">
        <v>3055.1</v>
      </c>
      <c r="P1583" s="116">
        <v>3061</v>
      </c>
      <c r="Q1583" s="116">
        <v>3080.5</v>
      </c>
      <c r="R1583">
        <v>1685566</v>
      </c>
    </row>
    <row r="1584" spans="1:18" x14ac:dyDescent="0.25">
      <c r="A1584" s="170">
        <v>44340</v>
      </c>
      <c r="B1584" s="116">
        <v>3105</v>
      </c>
      <c r="C1584" s="116">
        <v>3081.85</v>
      </c>
      <c r="D1584" s="116">
        <v>3075</v>
      </c>
      <c r="E1584" s="116">
        <v>3080.55</v>
      </c>
      <c r="F1584" s="116">
        <v>3081.85</v>
      </c>
      <c r="G1584">
        <v>34002</v>
      </c>
      <c r="H1584" s="116"/>
      <c r="I1584" s="116"/>
      <c r="L1584" s="170">
        <v>44340</v>
      </c>
      <c r="M1584" s="116">
        <v>3081.5</v>
      </c>
      <c r="N1584" s="116">
        <v>3105</v>
      </c>
      <c r="O1584" s="116">
        <v>3072</v>
      </c>
      <c r="P1584" s="116">
        <v>3081.5</v>
      </c>
      <c r="Q1584" s="116">
        <v>3081.5</v>
      </c>
      <c r="R1584">
        <v>1652260</v>
      </c>
    </row>
    <row r="1585" spans="1:18" x14ac:dyDescent="0.25">
      <c r="A1585" s="170">
        <v>44341</v>
      </c>
      <c r="B1585" s="116">
        <v>3127</v>
      </c>
      <c r="C1585" s="116">
        <v>3113.95</v>
      </c>
      <c r="D1585" s="116">
        <v>3082.85</v>
      </c>
      <c r="E1585" s="116">
        <v>3094</v>
      </c>
      <c r="F1585" s="116">
        <v>3113.95</v>
      </c>
      <c r="G1585">
        <v>89880</v>
      </c>
      <c r="H1585" s="116"/>
      <c r="I1585" s="116"/>
      <c r="L1585" s="170">
        <v>44341</v>
      </c>
      <c r="M1585" s="116">
        <v>3114</v>
      </c>
      <c r="N1585" s="116">
        <v>3128.25</v>
      </c>
      <c r="O1585" s="116">
        <v>3082.1</v>
      </c>
      <c r="P1585" s="116">
        <v>3092</v>
      </c>
      <c r="Q1585" s="116">
        <v>3114</v>
      </c>
      <c r="R1585">
        <v>1841613</v>
      </c>
    </row>
    <row r="1586" spans="1:18" x14ac:dyDescent="0.25">
      <c r="A1586" s="170">
        <v>44342</v>
      </c>
      <c r="B1586" s="116">
        <v>3165</v>
      </c>
      <c r="C1586" s="116">
        <v>3158.2</v>
      </c>
      <c r="D1586" s="116">
        <v>3104.75</v>
      </c>
      <c r="E1586" s="116">
        <v>3123</v>
      </c>
      <c r="F1586" s="116">
        <v>3158.2</v>
      </c>
      <c r="G1586">
        <v>63167</v>
      </c>
      <c r="H1586" s="116"/>
      <c r="I1586" s="116"/>
      <c r="L1586" s="170">
        <v>44342</v>
      </c>
      <c r="M1586" s="116">
        <v>3158.5</v>
      </c>
      <c r="N1586" s="116">
        <v>3165</v>
      </c>
      <c r="O1586" s="116">
        <v>3103.8</v>
      </c>
      <c r="P1586" s="116">
        <v>3120</v>
      </c>
      <c r="Q1586" s="116">
        <v>3158.5</v>
      </c>
      <c r="R1586">
        <v>1923753</v>
      </c>
    </row>
    <row r="1587" spans="1:18" x14ac:dyDescent="0.25">
      <c r="A1587" s="170">
        <v>44343</v>
      </c>
      <c r="B1587" s="116">
        <v>3218</v>
      </c>
      <c r="C1587" s="116">
        <v>3180.2</v>
      </c>
      <c r="D1587" s="116">
        <v>3162.95</v>
      </c>
      <c r="E1587" s="116">
        <v>3165.4</v>
      </c>
      <c r="F1587" s="116">
        <v>3180.2</v>
      </c>
      <c r="G1587">
        <v>89498</v>
      </c>
      <c r="H1587" s="116"/>
      <c r="I1587" s="116"/>
      <c r="L1587" s="170">
        <v>44343</v>
      </c>
      <c r="M1587" s="116">
        <v>3180</v>
      </c>
      <c r="N1587" s="116">
        <v>3217.75</v>
      </c>
      <c r="O1587" s="116">
        <v>3161.8</v>
      </c>
      <c r="P1587" s="116">
        <v>3161.95</v>
      </c>
      <c r="Q1587" s="116">
        <v>3180</v>
      </c>
      <c r="R1587">
        <v>5959785</v>
      </c>
    </row>
    <row r="1588" spans="1:18" x14ac:dyDescent="0.25">
      <c r="A1588" s="170">
        <v>44344</v>
      </c>
      <c r="B1588" s="116">
        <v>3197.65</v>
      </c>
      <c r="C1588" s="116">
        <v>3144.1</v>
      </c>
      <c r="D1588" s="116">
        <v>3137</v>
      </c>
      <c r="E1588" s="116">
        <v>3190</v>
      </c>
      <c r="F1588" s="116">
        <v>3144.1</v>
      </c>
      <c r="G1588">
        <v>90237</v>
      </c>
      <c r="H1588" s="116"/>
      <c r="I1588" s="116"/>
      <c r="L1588" s="170">
        <v>44344</v>
      </c>
      <c r="M1588" s="116">
        <v>3143.6</v>
      </c>
      <c r="N1588" s="116">
        <v>3198</v>
      </c>
      <c r="O1588" s="116">
        <v>3135.65</v>
      </c>
      <c r="P1588" s="116">
        <v>3189.5</v>
      </c>
      <c r="Q1588" s="116">
        <v>3143.6</v>
      </c>
      <c r="R1588">
        <v>1763701</v>
      </c>
    </row>
    <row r="1589" spans="1:18" x14ac:dyDescent="0.25">
      <c r="A1589" s="170">
        <v>44347</v>
      </c>
      <c r="B1589" s="116">
        <v>3170</v>
      </c>
      <c r="C1589" s="116">
        <v>3158.95</v>
      </c>
      <c r="D1589" s="116">
        <v>3129</v>
      </c>
      <c r="E1589" s="116">
        <v>3150</v>
      </c>
      <c r="F1589" s="116">
        <v>3158.95</v>
      </c>
      <c r="G1589">
        <v>81654</v>
      </c>
      <c r="H1589" s="116"/>
      <c r="I1589" s="116"/>
      <c r="L1589" s="170">
        <v>44347</v>
      </c>
      <c r="M1589" s="116">
        <v>3159.15</v>
      </c>
      <c r="N1589" s="116">
        <v>3170.35</v>
      </c>
      <c r="O1589" s="116">
        <v>3128.6</v>
      </c>
      <c r="P1589" s="116">
        <v>3150</v>
      </c>
      <c r="Q1589" s="116">
        <v>3159.15</v>
      </c>
      <c r="R1589">
        <v>1652799</v>
      </c>
    </row>
    <row r="1590" spans="1:18" x14ac:dyDescent="0.25">
      <c r="A1590" s="170">
        <v>44348</v>
      </c>
      <c r="B1590" s="116">
        <v>3170</v>
      </c>
      <c r="C1590" s="116">
        <v>3153.4</v>
      </c>
      <c r="D1590" s="116">
        <v>3132</v>
      </c>
      <c r="E1590" s="116">
        <v>3170</v>
      </c>
      <c r="F1590" s="116">
        <v>3153.4</v>
      </c>
      <c r="G1590">
        <v>39525</v>
      </c>
      <c r="H1590" s="116"/>
      <c r="I1590" s="116"/>
      <c r="L1590" s="170">
        <v>44348</v>
      </c>
      <c r="M1590" s="116">
        <v>3153</v>
      </c>
      <c r="N1590" s="116">
        <v>3169.95</v>
      </c>
      <c r="O1590" s="116">
        <v>3132</v>
      </c>
      <c r="P1590" s="116">
        <v>3168.6</v>
      </c>
      <c r="Q1590" s="116">
        <v>3153</v>
      </c>
      <c r="R1590">
        <v>1377441</v>
      </c>
    </row>
    <row r="1591" spans="1:18" x14ac:dyDescent="0.25">
      <c r="A1591" s="170">
        <v>44349</v>
      </c>
      <c r="B1591" s="116">
        <v>3155.7</v>
      </c>
      <c r="C1591" s="116">
        <v>3129.3</v>
      </c>
      <c r="D1591" s="116">
        <v>3116.15</v>
      </c>
      <c r="E1591" s="116">
        <v>3154</v>
      </c>
      <c r="F1591" s="116">
        <v>3129.3</v>
      </c>
      <c r="G1591">
        <v>69364</v>
      </c>
      <c r="H1591" s="116"/>
      <c r="I1591" s="116"/>
      <c r="L1591" s="170">
        <v>44349</v>
      </c>
      <c r="M1591" s="116">
        <v>3129.45</v>
      </c>
      <c r="N1591" s="116">
        <v>3159.45</v>
      </c>
      <c r="O1591" s="116">
        <v>3115</v>
      </c>
      <c r="P1591" s="116">
        <v>3150.85</v>
      </c>
      <c r="Q1591" s="116">
        <v>3129.45</v>
      </c>
      <c r="R1591">
        <v>2240078</v>
      </c>
    </row>
    <row r="1592" spans="1:18" x14ac:dyDescent="0.25">
      <c r="A1592" s="170">
        <v>44350</v>
      </c>
      <c r="B1592" s="116">
        <v>3154.95</v>
      </c>
      <c r="C1592" s="116">
        <v>3141.45</v>
      </c>
      <c r="D1592" s="116">
        <v>3122.4</v>
      </c>
      <c r="E1592" s="116">
        <v>3150</v>
      </c>
      <c r="F1592" s="116">
        <v>3141.45</v>
      </c>
      <c r="G1592">
        <v>42074</v>
      </c>
      <c r="H1592" s="116"/>
      <c r="I1592" s="116"/>
      <c r="L1592" s="170">
        <v>44350</v>
      </c>
      <c r="M1592" s="116">
        <v>3141.25</v>
      </c>
      <c r="N1592" s="116">
        <v>3154.55</v>
      </c>
      <c r="O1592" s="116">
        <v>3122.65</v>
      </c>
      <c r="P1592" s="116">
        <v>3154.55</v>
      </c>
      <c r="Q1592" s="116">
        <v>3141.25</v>
      </c>
      <c r="R1592">
        <v>1281706</v>
      </c>
    </row>
    <row r="1593" spans="1:18" x14ac:dyDescent="0.25">
      <c r="A1593" s="170">
        <v>44351</v>
      </c>
      <c r="B1593" s="116">
        <v>3156.95</v>
      </c>
      <c r="C1593" s="116">
        <v>3143.15</v>
      </c>
      <c r="D1593" s="116">
        <v>3125.1</v>
      </c>
      <c r="E1593" s="116">
        <v>3130</v>
      </c>
      <c r="F1593" s="116">
        <v>3143.15</v>
      </c>
      <c r="G1593">
        <v>60938</v>
      </c>
      <c r="H1593" s="116"/>
      <c r="I1593" s="116"/>
      <c r="L1593" s="170">
        <v>44351</v>
      </c>
      <c r="M1593" s="116">
        <v>3143.75</v>
      </c>
      <c r="N1593" s="116">
        <v>3156.85</v>
      </c>
      <c r="O1593" s="116">
        <v>3125</v>
      </c>
      <c r="P1593" s="116">
        <v>3128</v>
      </c>
      <c r="Q1593" s="116">
        <v>3143.75</v>
      </c>
      <c r="R1593">
        <v>1836060</v>
      </c>
    </row>
    <row r="1594" spans="1:18" x14ac:dyDescent="0.25">
      <c r="A1594" s="170">
        <v>44354</v>
      </c>
      <c r="B1594" s="116">
        <v>3189.95</v>
      </c>
      <c r="C1594" s="116">
        <v>3181.8</v>
      </c>
      <c r="D1594" s="116">
        <v>3134</v>
      </c>
      <c r="E1594" s="116">
        <v>3155</v>
      </c>
      <c r="F1594" s="116">
        <v>3181.8</v>
      </c>
      <c r="G1594">
        <v>38418</v>
      </c>
      <c r="H1594" s="116"/>
      <c r="I1594" s="116"/>
      <c r="L1594" s="170">
        <v>44354</v>
      </c>
      <c r="M1594" s="116">
        <v>3183.2</v>
      </c>
      <c r="N1594" s="116">
        <v>3190.45</v>
      </c>
      <c r="O1594" s="116">
        <v>3133.6</v>
      </c>
      <c r="P1594" s="116">
        <v>3145</v>
      </c>
      <c r="Q1594" s="116">
        <v>3183.2</v>
      </c>
      <c r="R1594">
        <v>2559821</v>
      </c>
    </row>
    <row r="1595" spans="1:18" x14ac:dyDescent="0.25">
      <c r="A1595" s="170">
        <v>44355</v>
      </c>
      <c r="B1595" s="116">
        <v>3231.55</v>
      </c>
      <c r="C1595" s="116">
        <v>3200.5</v>
      </c>
      <c r="D1595" s="116">
        <v>3190.2</v>
      </c>
      <c r="E1595" s="116">
        <v>3200</v>
      </c>
      <c r="F1595" s="116">
        <v>3200.5</v>
      </c>
      <c r="G1595">
        <v>65874</v>
      </c>
      <c r="H1595" s="116"/>
      <c r="I1595" s="116"/>
      <c r="L1595" s="170">
        <v>44355</v>
      </c>
      <c r="M1595" s="116">
        <v>3200.15</v>
      </c>
      <c r="N1595" s="116">
        <v>3231</v>
      </c>
      <c r="O1595" s="116">
        <v>3187.2</v>
      </c>
      <c r="P1595" s="116">
        <v>3198</v>
      </c>
      <c r="Q1595" s="116">
        <v>3200.15</v>
      </c>
      <c r="R1595">
        <v>2574057</v>
      </c>
    </row>
    <row r="1596" spans="1:18" x14ac:dyDescent="0.25">
      <c r="A1596" s="170">
        <v>44356</v>
      </c>
      <c r="B1596" s="116">
        <v>3220.8</v>
      </c>
      <c r="C1596" s="116">
        <v>3199.5</v>
      </c>
      <c r="D1596" s="116">
        <v>3187.8</v>
      </c>
      <c r="E1596" s="116">
        <v>3202</v>
      </c>
      <c r="F1596" s="116">
        <v>3199.5</v>
      </c>
      <c r="G1596">
        <v>88982</v>
      </c>
      <c r="H1596" s="116"/>
      <c r="I1596" s="116"/>
      <c r="L1596" s="170">
        <v>44356</v>
      </c>
      <c r="M1596" s="116">
        <v>3200.25</v>
      </c>
      <c r="N1596" s="116">
        <v>3220</v>
      </c>
      <c r="O1596" s="116">
        <v>3186.2</v>
      </c>
      <c r="P1596" s="116">
        <v>3202</v>
      </c>
      <c r="Q1596" s="116">
        <v>3200.25</v>
      </c>
      <c r="R1596">
        <v>1710925</v>
      </c>
    </row>
    <row r="1597" spans="1:18" x14ac:dyDescent="0.25">
      <c r="A1597" s="170">
        <v>44357</v>
      </c>
      <c r="B1597" s="116">
        <v>3225</v>
      </c>
      <c r="C1597" s="116">
        <v>3216.05</v>
      </c>
      <c r="D1597" s="116">
        <v>3192.6</v>
      </c>
      <c r="E1597" s="116">
        <v>3210</v>
      </c>
      <c r="F1597" s="116">
        <v>3216.05</v>
      </c>
      <c r="G1597">
        <v>40366</v>
      </c>
      <c r="H1597" s="116"/>
      <c r="I1597" s="116"/>
      <c r="L1597" s="170">
        <v>44357</v>
      </c>
      <c r="M1597" s="116">
        <v>3216.8</v>
      </c>
      <c r="N1597" s="116">
        <v>3224</v>
      </c>
      <c r="O1597" s="116">
        <v>3193</v>
      </c>
      <c r="P1597" s="116">
        <v>3210</v>
      </c>
      <c r="Q1597" s="116">
        <v>3216.8</v>
      </c>
      <c r="R1597">
        <v>1874324</v>
      </c>
    </row>
    <row r="1598" spans="1:18" x14ac:dyDescent="0.25">
      <c r="A1598" s="170">
        <v>44358</v>
      </c>
      <c r="B1598" s="116">
        <v>3309</v>
      </c>
      <c r="C1598" s="116">
        <v>3271.7</v>
      </c>
      <c r="D1598" s="116">
        <v>3213</v>
      </c>
      <c r="E1598" s="116">
        <v>3215</v>
      </c>
      <c r="F1598" s="116">
        <v>3271.7</v>
      </c>
      <c r="G1598">
        <v>110175</v>
      </c>
      <c r="H1598" s="116"/>
      <c r="I1598" s="116"/>
      <c r="L1598" s="170">
        <v>44358</v>
      </c>
      <c r="M1598" s="116">
        <v>3273.8</v>
      </c>
      <c r="N1598" s="116">
        <v>3309</v>
      </c>
      <c r="O1598" s="116">
        <v>3211</v>
      </c>
      <c r="P1598" s="116">
        <v>3211.55</v>
      </c>
      <c r="Q1598" s="116">
        <v>3273.8</v>
      </c>
      <c r="R1598">
        <v>3452954</v>
      </c>
    </row>
    <row r="1599" spans="1:18" x14ac:dyDescent="0.25">
      <c r="A1599" s="170">
        <v>44361</v>
      </c>
      <c r="B1599" s="116">
        <v>3307.6</v>
      </c>
      <c r="C1599" s="116">
        <v>3276.35</v>
      </c>
      <c r="D1599" s="116">
        <v>3270.05</v>
      </c>
      <c r="E1599" s="116">
        <v>3290</v>
      </c>
      <c r="F1599" s="116">
        <v>3276.35</v>
      </c>
      <c r="G1599">
        <v>61546</v>
      </c>
      <c r="H1599" s="116"/>
      <c r="I1599" s="116"/>
      <c r="L1599" s="170">
        <v>44361</v>
      </c>
      <c r="M1599" s="116">
        <v>3276.35</v>
      </c>
      <c r="N1599" s="116">
        <v>3308.7</v>
      </c>
      <c r="O1599" s="116">
        <v>3270.35</v>
      </c>
      <c r="P1599" s="116">
        <v>3279</v>
      </c>
      <c r="Q1599" s="116">
        <v>3276.35</v>
      </c>
      <c r="R1599">
        <v>1847360</v>
      </c>
    </row>
    <row r="1600" spans="1:18" x14ac:dyDescent="0.25">
      <c r="A1600" s="170">
        <v>44362</v>
      </c>
      <c r="B1600" s="116">
        <v>3300</v>
      </c>
      <c r="C1600" s="116">
        <v>3262.45</v>
      </c>
      <c r="D1600" s="116">
        <v>3251.55</v>
      </c>
      <c r="E1600" s="116">
        <v>3300</v>
      </c>
      <c r="F1600" s="116">
        <v>3262.45</v>
      </c>
      <c r="G1600">
        <v>567462</v>
      </c>
      <c r="H1600" s="116"/>
      <c r="I1600" s="116"/>
      <c r="L1600" s="170">
        <v>44362</v>
      </c>
      <c r="M1600" s="116">
        <v>3262.75</v>
      </c>
      <c r="N1600" s="116">
        <v>3298</v>
      </c>
      <c r="O1600" s="116">
        <v>3251.55</v>
      </c>
      <c r="P1600" s="116">
        <v>3298</v>
      </c>
      <c r="Q1600" s="116">
        <v>3262.75</v>
      </c>
      <c r="R1600">
        <v>1304985</v>
      </c>
    </row>
    <row r="1601" spans="1:18" x14ac:dyDescent="0.25">
      <c r="A1601" s="170">
        <v>44363</v>
      </c>
      <c r="B1601" s="116">
        <v>3294.3</v>
      </c>
      <c r="C1601" s="116">
        <v>3276.35</v>
      </c>
      <c r="D1601" s="116">
        <v>3253.15</v>
      </c>
      <c r="E1601" s="116">
        <v>3265</v>
      </c>
      <c r="F1601" s="116">
        <v>3276.35</v>
      </c>
      <c r="G1601">
        <v>166257</v>
      </c>
      <c r="H1601" s="116"/>
      <c r="I1601" s="116"/>
      <c r="L1601" s="170">
        <v>44363</v>
      </c>
      <c r="M1601" s="116">
        <v>3274.35</v>
      </c>
      <c r="N1601" s="116">
        <v>3294.7</v>
      </c>
      <c r="O1601" s="116">
        <v>3253</v>
      </c>
      <c r="P1601" s="116">
        <v>3262.1</v>
      </c>
      <c r="Q1601" s="116">
        <v>3274.35</v>
      </c>
      <c r="R1601">
        <v>1635552</v>
      </c>
    </row>
    <row r="1602" spans="1:18" x14ac:dyDescent="0.25">
      <c r="A1602" s="170">
        <v>44364</v>
      </c>
      <c r="B1602" s="116">
        <v>3335.05</v>
      </c>
      <c r="C1602" s="116">
        <v>3320.1</v>
      </c>
      <c r="D1602" s="116">
        <v>3260</v>
      </c>
      <c r="E1602" s="116">
        <v>3260</v>
      </c>
      <c r="F1602" s="116">
        <v>3320.1</v>
      </c>
      <c r="G1602">
        <v>106664</v>
      </c>
      <c r="H1602" s="116"/>
      <c r="I1602" s="116"/>
      <c r="L1602" s="170">
        <v>44364</v>
      </c>
      <c r="M1602" s="116">
        <v>3317.75</v>
      </c>
      <c r="N1602" s="116">
        <v>3336.05</v>
      </c>
      <c r="O1602" s="116">
        <v>3260</v>
      </c>
      <c r="P1602" s="116">
        <v>3265.5</v>
      </c>
      <c r="Q1602" s="116">
        <v>3317.75</v>
      </c>
      <c r="R1602">
        <v>2273413</v>
      </c>
    </row>
    <row r="1603" spans="1:18" x14ac:dyDescent="0.25">
      <c r="A1603" s="170">
        <v>44365</v>
      </c>
      <c r="B1603" s="116">
        <v>3357.85</v>
      </c>
      <c r="C1603" s="116">
        <v>3297</v>
      </c>
      <c r="D1603" s="116">
        <v>3275</v>
      </c>
      <c r="E1603" s="116">
        <v>3350</v>
      </c>
      <c r="F1603" s="116">
        <v>3297</v>
      </c>
      <c r="G1603">
        <v>132596</v>
      </c>
      <c r="H1603" s="116"/>
      <c r="I1603" s="116"/>
      <c r="L1603" s="170">
        <v>44365</v>
      </c>
      <c r="M1603" s="116">
        <v>3297.3</v>
      </c>
      <c r="N1603" s="116">
        <v>3358</v>
      </c>
      <c r="O1603" s="116">
        <v>3275</v>
      </c>
      <c r="P1603" s="116">
        <v>3350.9</v>
      </c>
      <c r="Q1603" s="116">
        <v>3297.3</v>
      </c>
      <c r="R1603">
        <v>3380431</v>
      </c>
    </row>
    <row r="1604" spans="1:18" x14ac:dyDescent="0.25">
      <c r="A1604" s="170">
        <v>44368</v>
      </c>
      <c r="B1604" s="116">
        <v>3285.95</v>
      </c>
      <c r="C1604" s="116">
        <v>3272.45</v>
      </c>
      <c r="D1604" s="116">
        <v>3253</v>
      </c>
      <c r="E1604" s="116">
        <v>3278</v>
      </c>
      <c r="F1604" s="116">
        <v>3272.45</v>
      </c>
      <c r="G1604">
        <v>1452171</v>
      </c>
      <c r="H1604" s="116"/>
      <c r="I1604" s="116"/>
      <c r="L1604" s="170">
        <v>44368</v>
      </c>
      <c r="M1604" s="116">
        <v>3273.1</v>
      </c>
      <c r="N1604" s="116">
        <v>3286</v>
      </c>
      <c r="O1604" s="116">
        <v>3251.7</v>
      </c>
      <c r="P1604" s="116">
        <v>3265</v>
      </c>
      <c r="Q1604" s="116">
        <v>3273.1</v>
      </c>
      <c r="R1604">
        <v>1130569</v>
      </c>
    </row>
    <row r="1605" spans="1:18" x14ac:dyDescent="0.25">
      <c r="A1605" s="170">
        <v>44369</v>
      </c>
      <c r="B1605" s="116">
        <v>3327</v>
      </c>
      <c r="C1605" s="116">
        <v>3300.65</v>
      </c>
      <c r="D1605" s="116">
        <v>3287.45</v>
      </c>
      <c r="E1605" s="116">
        <v>3319</v>
      </c>
      <c r="F1605" s="116">
        <v>3300.65</v>
      </c>
      <c r="G1605">
        <v>47420</v>
      </c>
      <c r="H1605" s="116"/>
      <c r="I1605" s="116"/>
      <c r="L1605" s="170">
        <v>44369</v>
      </c>
      <c r="M1605" s="116">
        <v>3301.2</v>
      </c>
      <c r="N1605" s="116">
        <v>3327.05</v>
      </c>
      <c r="O1605" s="116">
        <v>3285</v>
      </c>
      <c r="P1605" s="116">
        <v>3304</v>
      </c>
      <c r="Q1605" s="116">
        <v>3301.2</v>
      </c>
      <c r="R1605">
        <v>1708688</v>
      </c>
    </row>
    <row r="1606" spans="1:18" x14ac:dyDescent="0.25">
      <c r="A1606" s="170">
        <v>44370</v>
      </c>
      <c r="B1606" s="116">
        <v>3325</v>
      </c>
      <c r="C1606" s="116">
        <v>3262.1</v>
      </c>
      <c r="D1606" s="116">
        <v>3256.6</v>
      </c>
      <c r="E1606" s="116">
        <v>3325</v>
      </c>
      <c r="F1606" s="116">
        <v>3262.1</v>
      </c>
      <c r="G1606">
        <v>506938</v>
      </c>
      <c r="H1606" s="116"/>
      <c r="I1606" s="116"/>
      <c r="L1606" s="170">
        <v>44370</v>
      </c>
      <c r="M1606" s="116">
        <v>3261.4</v>
      </c>
      <c r="N1606" s="116">
        <v>3329</v>
      </c>
      <c r="O1606" s="116">
        <v>3256.4</v>
      </c>
      <c r="P1606" s="116">
        <v>3329</v>
      </c>
      <c r="Q1606" s="116">
        <v>3261.4</v>
      </c>
      <c r="R1606">
        <v>1467104</v>
      </c>
    </row>
    <row r="1607" spans="1:18" x14ac:dyDescent="0.25">
      <c r="A1607" s="170">
        <v>44371</v>
      </c>
      <c r="B1607" s="116">
        <v>3382</v>
      </c>
      <c r="C1607" s="116">
        <v>3373.6</v>
      </c>
      <c r="D1607" s="116">
        <v>3272.6</v>
      </c>
      <c r="E1607" s="116">
        <v>3282</v>
      </c>
      <c r="F1607" s="116">
        <v>3373.6</v>
      </c>
      <c r="G1607">
        <v>214740</v>
      </c>
      <c r="H1607" s="116"/>
      <c r="I1607" s="116"/>
      <c r="L1607" s="170">
        <v>44371</v>
      </c>
      <c r="M1607" s="116">
        <v>3373.6</v>
      </c>
      <c r="N1607" s="116">
        <v>3383</v>
      </c>
      <c r="O1607" s="116">
        <v>3278.5</v>
      </c>
      <c r="P1607" s="116">
        <v>3284</v>
      </c>
      <c r="Q1607" s="116">
        <v>3373.6</v>
      </c>
      <c r="R1607">
        <v>4155204</v>
      </c>
    </row>
    <row r="1608" spans="1:18" x14ac:dyDescent="0.25">
      <c r="A1608" s="170">
        <v>44372</v>
      </c>
      <c r="B1608" s="116">
        <v>3399</v>
      </c>
      <c r="C1608" s="116">
        <v>3380.7</v>
      </c>
      <c r="D1608" s="116">
        <v>3351</v>
      </c>
      <c r="E1608" s="116">
        <v>3390</v>
      </c>
      <c r="F1608" s="116">
        <v>3380.7</v>
      </c>
      <c r="G1608">
        <v>206177</v>
      </c>
      <c r="H1608" s="116"/>
      <c r="I1608" s="116"/>
      <c r="L1608" s="170">
        <v>44372</v>
      </c>
      <c r="M1608" s="116">
        <v>3380.8</v>
      </c>
      <c r="N1608" s="116">
        <v>3399.65</v>
      </c>
      <c r="O1608" s="116">
        <v>3350</v>
      </c>
      <c r="P1608" s="116">
        <v>3375.25</v>
      </c>
      <c r="Q1608" s="116">
        <v>3380.8</v>
      </c>
      <c r="R1608">
        <v>2722861</v>
      </c>
    </row>
    <row r="1609" spans="1:18" x14ac:dyDescent="0.25">
      <c r="A1609" s="170">
        <v>44375</v>
      </c>
      <c r="B1609" s="116">
        <v>3396</v>
      </c>
      <c r="C1609" s="116">
        <v>3335.6</v>
      </c>
      <c r="D1609" s="116">
        <v>3332.45</v>
      </c>
      <c r="E1609" s="116">
        <v>3396</v>
      </c>
      <c r="F1609" s="116">
        <v>3335.6</v>
      </c>
      <c r="G1609">
        <v>43234</v>
      </c>
      <c r="H1609" s="116"/>
      <c r="I1609" s="116"/>
      <c r="L1609" s="170">
        <v>44375</v>
      </c>
      <c r="M1609" s="116">
        <v>3336.75</v>
      </c>
      <c r="N1609" s="116">
        <v>3391.5</v>
      </c>
      <c r="O1609" s="116">
        <v>3333</v>
      </c>
      <c r="P1609" s="116">
        <v>3391.5</v>
      </c>
      <c r="Q1609" s="116">
        <v>3336.75</v>
      </c>
      <c r="R1609">
        <v>1355238</v>
      </c>
    </row>
    <row r="1610" spans="1:18" x14ac:dyDescent="0.25">
      <c r="A1610" s="170">
        <v>44376</v>
      </c>
      <c r="B1610" s="116">
        <v>3366</v>
      </c>
      <c r="C1610" s="116">
        <v>3339.6</v>
      </c>
      <c r="D1610" s="116">
        <v>3327</v>
      </c>
      <c r="E1610" s="116">
        <v>3348.7</v>
      </c>
      <c r="F1610" s="116">
        <v>3339.6</v>
      </c>
      <c r="G1610">
        <v>52691</v>
      </c>
      <c r="H1610" s="116"/>
      <c r="I1610" s="116"/>
      <c r="L1610" s="170">
        <v>44376</v>
      </c>
      <c r="M1610" s="116">
        <v>3340.85</v>
      </c>
      <c r="N1610" s="116">
        <v>3366.3</v>
      </c>
      <c r="O1610" s="116">
        <v>3326.5</v>
      </c>
      <c r="P1610" s="116">
        <v>3342</v>
      </c>
      <c r="Q1610" s="116">
        <v>3340.85</v>
      </c>
      <c r="R1610">
        <v>1497322</v>
      </c>
    </row>
    <row r="1611" spans="1:18" x14ac:dyDescent="0.25">
      <c r="A1611" s="170">
        <v>44377</v>
      </c>
      <c r="B1611" s="116">
        <v>3382</v>
      </c>
      <c r="C1611" s="116">
        <v>3345.25</v>
      </c>
      <c r="D1611" s="116">
        <v>3338.95</v>
      </c>
      <c r="E1611" s="116">
        <v>3338.95</v>
      </c>
      <c r="F1611" s="116">
        <v>3345.25</v>
      </c>
      <c r="G1611">
        <v>34105</v>
      </c>
      <c r="H1611" s="116"/>
      <c r="I1611" s="116"/>
      <c r="L1611" s="170">
        <v>44377</v>
      </c>
      <c r="M1611" s="116">
        <v>3345.75</v>
      </c>
      <c r="N1611" s="116">
        <v>3382</v>
      </c>
      <c r="O1611" s="116">
        <v>3338.5</v>
      </c>
      <c r="P1611" s="116">
        <v>3346</v>
      </c>
      <c r="Q1611" s="116">
        <v>3345.75</v>
      </c>
      <c r="R1611">
        <v>1693146</v>
      </c>
    </row>
    <row r="1612" spans="1:18" x14ac:dyDescent="0.25">
      <c r="A1612" s="170">
        <v>44378</v>
      </c>
      <c r="B1612" s="116">
        <v>3362.95</v>
      </c>
      <c r="C1612" s="116">
        <v>3341</v>
      </c>
      <c r="D1612" s="116">
        <v>3333</v>
      </c>
      <c r="E1612" s="116">
        <v>3359</v>
      </c>
      <c r="F1612" s="116">
        <v>3341</v>
      </c>
      <c r="G1612">
        <v>25777</v>
      </c>
      <c r="H1612" s="116"/>
      <c r="I1612" s="116"/>
      <c r="L1612" s="170">
        <v>44378</v>
      </c>
      <c r="M1612" s="116">
        <v>3341.5</v>
      </c>
      <c r="N1612" s="116">
        <v>3362</v>
      </c>
      <c r="O1612" s="116">
        <v>3332.35</v>
      </c>
      <c r="P1612" s="116">
        <v>3358</v>
      </c>
      <c r="Q1612" s="116">
        <v>3341.5</v>
      </c>
      <c r="R1612">
        <v>990310</v>
      </c>
    </row>
    <row r="1613" spans="1:18" x14ac:dyDescent="0.25">
      <c r="A1613" s="170">
        <v>44379</v>
      </c>
      <c r="B1613" s="116">
        <v>3338</v>
      </c>
      <c r="C1613" s="116">
        <v>3325.55</v>
      </c>
      <c r="D1613" s="116">
        <v>3296.05</v>
      </c>
      <c r="E1613" s="116">
        <v>3338</v>
      </c>
      <c r="F1613" s="116">
        <v>3325.55</v>
      </c>
      <c r="G1613">
        <v>51771</v>
      </c>
      <c r="H1613" s="116"/>
      <c r="I1613" s="116"/>
      <c r="L1613" s="170">
        <v>44379</v>
      </c>
      <c r="M1613" s="116">
        <v>3325.45</v>
      </c>
      <c r="N1613" s="116">
        <v>3339.7</v>
      </c>
      <c r="O1613" s="116">
        <v>3295.2</v>
      </c>
      <c r="P1613" s="116">
        <v>3331</v>
      </c>
      <c r="Q1613" s="116">
        <v>3325.45</v>
      </c>
      <c r="R1613">
        <v>1682274</v>
      </c>
    </row>
    <row r="1614" spans="1:18" x14ac:dyDescent="0.25">
      <c r="A1614" s="170">
        <v>44382</v>
      </c>
      <c r="B1614" s="116">
        <v>3373.9</v>
      </c>
      <c r="C1614" s="116">
        <v>3321.55</v>
      </c>
      <c r="D1614" s="116">
        <v>3303.45</v>
      </c>
      <c r="E1614" s="116">
        <v>3337</v>
      </c>
      <c r="F1614" s="116">
        <v>3321.55</v>
      </c>
      <c r="G1614">
        <v>75811</v>
      </c>
      <c r="H1614" s="116"/>
      <c r="I1614" s="116"/>
      <c r="L1614" s="170">
        <v>44382</v>
      </c>
      <c r="M1614" s="116">
        <v>3321</v>
      </c>
      <c r="N1614" s="116">
        <v>3374</v>
      </c>
      <c r="O1614" s="116">
        <v>3302</v>
      </c>
      <c r="P1614" s="116">
        <v>3342</v>
      </c>
      <c r="Q1614" s="116">
        <v>3321</v>
      </c>
      <c r="R1614">
        <v>1972858</v>
      </c>
    </row>
    <row r="1615" spans="1:18" x14ac:dyDescent="0.25">
      <c r="A1615" s="170">
        <v>44383</v>
      </c>
      <c r="B1615" s="116">
        <v>3329.1</v>
      </c>
      <c r="C1615" s="116">
        <v>3262.35</v>
      </c>
      <c r="D1615" s="116">
        <v>3256.1</v>
      </c>
      <c r="E1615" s="116">
        <v>3315</v>
      </c>
      <c r="F1615" s="116">
        <v>3262.35</v>
      </c>
      <c r="G1615">
        <v>177251</v>
      </c>
      <c r="H1615" s="116"/>
      <c r="I1615" s="116"/>
      <c r="L1615" s="170">
        <v>44383</v>
      </c>
      <c r="M1615" s="116">
        <v>3262.3</v>
      </c>
      <c r="N1615" s="116">
        <v>3328</v>
      </c>
      <c r="O1615" s="116">
        <v>3256.1</v>
      </c>
      <c r="P1615" s="116">
        <v>3313</v>
      </c>
      <c r="Q1615" s="116">
        <v>3262.3</v>
      </c>
      <c r="R1615">
        <v>2159420</v>
      </c>
    </row>
    <row r="1616" spans="1:18" x14ac:dyDescent="0.25">
      <c r="A1616" s="170">
        <v>44384</v>
      </c>
      <c r="B1616" s="116">
        <v>3283.45</v>
      </c>
      <c r="C1616" s="116">
        <v>3275.3</v>
      </c>
      <c r="D1616" s="116">
        <v>3242</v>
      </c>
      <c r="E1616" s="116">
        <v>3283</v>
      </c>
      <c r="F1616" s="116">
        <v>3275.3</v>
      </c>
      <c r="G1616">
        <v>106869</v>
      </c>
      <c r="H1616" s="116"/>
      <c r="I1616" s="116"/>
      <c r="L1616" s="170">
        <v>44384</v>
      </c>
      <c r="M1616" s="116">
        <v>3274.95</v>
      </c>
      <c r="N1616" s="116">
        <v>3282.7</v>
      </c>
      <c r="O1616" s="116">
        <v>3241.6</v>
      </c>
      <c r="P1616" s="116">
        <v>3275</v>
      </c>
      <c r="Q1616" s="116">
        <v>3274.95</v>
      </c>
      <c r="R1616">
        <v>2640710</v>
      </c>
    </row>
    <row r="1617" spans="1:18" x14ac:dyDescent="0.25">
      <c r="A1617" s="170">
        <v>44385</v>
      </c>
      <c r="B1617" s="116">
        <v>3296.95</v>
      </c>
      <c r="C1617" s="116">
        <v>3257.1</v>
      </c>
      <c r="D1617" s="116">
        <v>3232.3</v>
      </c>
      <c r="E1617" s="116">
        <v>3295</v>
      </c>
      <c r="F1617" s="116">
        <v>3257.1</v>
      </c>
      <c r="G1617">
        <v>98504</v>
      </c>
      <c r="H1617" s="116"/>
      <c r="I1617" s="116"/>
      <c r="L1617" s="170">
        <v>44385</v>
      </c>
      <c r="M1617" s="116">
        <v>3258.5</v>
      </c>
      <c r="N1617" s="116">
        <v>3298</v>
      </c>
      <c r="O1617" s="116">
        <v>3231.9</v>
      </c>
      <c r="P1617" s="116">
        <v>3298</v>
      </c>
      <c r="Q1617" s="116">
        <v>3258.5</v>
      </c>
      <c r="R1617">
        <v>2485811</v>
      </c>
    </row>
    <row r="1618" spans="1:18" x14ac:dyDescent="0.25">
      <c r="A1618" s="170">
        <v>44386</v>
      </c>
      <c r="B1618" s="116">
        <v>3281</v>
      </c>
      <c r="C1618" s="116">
        <v>3207.75</v>
      </c>
      <c r="D1618" s="116">
        <v>3200</v>
      </c>
      <c r="E1618" s="116">
        <v>3260</v>
      </c>
      <c r="F1618" s="116">
        <v>3207.75</v>
      </c>
      <c r="G1618">
        <v>232383</v>
      </c>
      <c r="H1618" s="116"/>
      <c r="I1618" s="116"/>
      <c r="L1618" s="170">
        <v>44386</v>
      </c>
      <c r="M1618" s="116">
        <v>3208.15</v>
      </c>
      <c r="N1618" s="116">
        <v>3282</v>
      </c>
      <c r="O1618" s="116">
        <v>3201</v>
      </c>
      <c r="P1618" s="116">
        <v>3250</v>
      </c>
      <c r="Q1618" s="116">
        <v>3208.15</v>
      </c>
      <c r="R1618">
        <v>6365067</v>
      </c>
    </row>
    <row r="1619" spans="1:18" x14ac:dyDescent="0.25">
      <c r="A1619" s="170">
        <v>44389</v>
      </c>
      <c r="B1619" s="116">
        <v>3238.9</v>
      </c>
      <c r="C1619" s="116">
        <v>3192.95</v>
      </c>
      <c r="D1619" s="116">
        <v>3188.95</v>
      </c>
      <c r="E1619" s="116">
        <v>3235</v>
      </c>
      <c r="F1619" s="116">
        <v>3192.95</v>
      </c>
      <c r="G1619">
        <v>496574</v>
      </c>
      <c r="H1619" s="116"/>
      <c r="I1619" s="116"/>
      <c r="L1619" s="170">
        <v>44389</v>
      </c>
      <c r="M1619" s="116">
        <v>3193.1</v>
      </c>
      <c r="N1619" s="116">
        <v>3236</v>
      </c>
      <c r="O1619" s="116">
        <v>3188.35</v>
      </c>
      <c r="P1619" s="116">
        <v>3235</v>
      </c>
      <c r="Q1619" s="116">
        <v>3193.1</v>
      </c>
      <c r="R1619">
        <v>1892226</v>
      </c>
    </row>
    <row r="1620" spans="1:18" x14ac:dyDescent="0.25">
      <c r="A1620" s="170">
        <v>44390</v>
      </c>
      <c r="B1620" s="116">
        <v>3215.6</v>
      </c>
      <c r="C1620" s="116">
        <v>3187.9</v>
      </c>
      <c r="D1620" s="116">
        <v>3175.45</v>
      </c>
      <c r="E1620" s="116">
        <v>3215</v>
      </c>
      <c r="F1620" s="116">
        <v>3187.9</v>
      </c>
      <c r="G1620">
        <v>51763</v>
      </c>
      <c r="H1620" s="116"/>
      <c r="I1620" s="116"/>
      <c r="L1620" s="170">
        <v>44390</v>
      </c>
      <c r="M1620" s="116">
        <v>3187.55</v>
      </c>
      <c r="N1620" s="116">
        <v>3214</v>
      </c>
      <c r="O1620" s="116">
        <v>3175</v>
      </c>
      <c r="P1620" s="116">
        <v>3214</v>
      </c>
      <c r="Q1620" s="116">
        <v>3187.55</v>
      </c>
      <c r="R1620">
        <v>1809339</v>
      </c>
    </row>
    <row r="1621" spans="1:18" x14ac:dyDescent="0.25">
      <c r="A1621" s="170">
        <v>44391</v>
      </c>
      <c r="B1621" s="116">
        <v>3220.95</v>
      </c>
      <c r="C1621" s="116">
        <v>3213.85</v>
      </c>
      <c r="D1621" s="116">
        <v>3181</v>
      </c>
      <c r="E1621" s="116">
        <v>3181</v>
      </c>
      <c r="F1621" s="116">
        <v>3213.85</v>
      </c>
      <c r="G1621">
        <v>372510</v>
      </c>
      <c r="H1621" s="116"/>
      <c r="I1621" s="116"/>
      <c r="L1621" s="170">
        <v>44391</v>
      </c>
      <c r="M1621" s="116">
        <v>3214.55</v>
      </c>
      <c r="N1621" s="116">
        <v>3222</v>
      </c>
      <c r="O1621" s="116">
        <v>3185</v>
      </c>
      <c r="P1621" s="116">
        <v>3187</v>
      </c>
      <c r="Q1621" s="116">
        <v>3214.55</v>
      </c>
      <c r="R1621">
        <v>2044279</v>
      </c>
    </row>
    <row r="1622" spans="1:18" x14ac:dyDescent="0.25">
      <c r="A1622" s="170">
        <v>44392</v>
      </c>
      <c r="B1622" s="116">
        <v>3233</v>
      </c>
      <c r="C1622" s="116">
        <v>3201.5</v>
      </c>
      <c r="D1622" s="116">
        <v>3194.9</v>
      </c>
      <c r="E1622" s="116">
        <v>3233</v>
      </c>
      <c r="F1622" s="116">
        <v>3201.5</v>
      </c>
      <c r="G1622">
        <v>87671</v>
      </c>
      <c r="H1622" s="116"/>
      <c r="I1622" s="116"/>
      <c r="L1622" s="170">
        <v>44392</v>
      </c>
      <c r="M1622" s="116">
        <v>3202.95</v>
      </c>
      <c r="N1622" s="116">
        <v>3231.85</v>
      </c>
      <c r="O1622" s="116">
        <v>3194</v>
      </c>
      <c r="P1622" s="116">
        <v>3227.6</v>
      </c>
      <c r="Q1622" s="116">
        <v>3202.95</v>
      </c>
      <c r="R1622">
        <v>2232968</v>
      </c>
    </row>
    <row r="1623" spans="1:18" x14ac:dyDescent="0.25">
      <c r="A1623" s="170">
        <v>44393</v>
      </c>
      <c r="B1623" s="116">
        <v>3219</v>
      </c>
      <c r="C1623" s="116">
        <v>3194.65</v>
      </c>
      <c r="D1623" s="116">
        <v>3190</v>
      </c>
      <c r="E1623" s="116">
        <v>3217.5</v>
      </c>
      <c r="F1623" s="116">
        <v>3194.65</v>
      </c>
      <c r="G1623">
        <v>71188</v>
      </c>
      <c r="H1623" s="116"/>
      <c r="I1623" s="116"/>
      <c r="L1623" s="170">
        <v>44393</v>
      </c>
      <c r="M1623" s="116">
        <v>3194.8</v>
      </c>
      <c r="N1623" s="116">
        <v>3219.85</v>
      </c>
      <c r="O1623" s="116">
        <v>3192</v>
      </c>
      <c r="P1623" s="116">
        <v>3213</v>
      </c>
      <c r="Q1623" s="116">
        <v>3194.8</v>
      </c>
      <c r="R1623">
        <v>1256526</v>
      </c>
    </row>
    <row r="1624" spans="1:18" x14ac:dyDescent="0.25">
      <c r="A1624" s="170">
        <v>44396</v>
      </c>
      <c r="B1624" s="116">
        <v>3200</v>
      </c>
      <c r="C1624" s="116">
        <v>3184.4</v>
      </c>
      <c r="D1624" s="116">
        <v>3175</v>
      </c>
      <c r="E1624" s="116">
        <v>3188</v>
      </c>
      <c r="F1624" s="116">
        <v>3184.4</v>
      </c>
      <c r="G1624">
        <v>433962</v>
      </c>
      <c r="H1624" s="116"/>
      <c r="I1624" s="116"/>
      <c r="L1624" s="170">
        <v>44396</v>
      </c>
      <c r="M1624" s="116">
        <v>3184.6</v>
      </c>
      <c r="N1624" s="116">
        <v>3199.8</v>
      </c>
      <c r="O1624" s="116">
        <v>3176</v>
      </c>
      <c r="P1624" s="116">
        <v>3180</v>
      </c>
      <c r="Q1624" s="116">
        <v>3184.6</v>
      </c>
      <c r="R1624">
        <v>1597058</v>
      </c>
    </row>
    <row r="1625" spans="1:18" x14ac:dyDescent="0.25">
      <c r="A1625" s="170">
        <v>44397</v>
      </c>
      <c r="B1625" s="116">
        <v>3214.85</v>
      </c>
      <c r="C1625" s="116">
        <v>3205.3</v>
      </c>
      <c r="D1625" s="116">
        <v>3156</v>
      </c>
      <c r="E1625" s="116">
        <v>3184</v>
      </c>
      <c r="F1625" s="116">
        <v>3205.3</v>
      </c>
      <c r="G1625">
        <v>114292</v>
      </c>
      <c r="H1625" s="116"/>
      <c r="I1625" s="116"/>
      <c r="L1625" s="170">
        <v>44397</v>
      </c>
      <c r="M1625" s="116">
        <v>3205.8</v>
      </c>
      <c r="N1625" s="116">
        <v>3215</v>
      </c>
      <c r="O1625" s="116">
        <v>3156.15</v>
      </c>
      <c r="P1625" s="116">
        <v>3184.6</v>
      </c>
      <c r="Q1625" s="116">
        <v>3205.8</v>
      </c>
      <c r="R1625">
        <v>1811945</v>
      </c>
    </row>
    <row r="1626" spans="1:18" x14ac:dyDescent="0.25">
      <c r="A1626" s="170">
        <v>44399</v>
      </c>
      <c r="B1626" s="116">
        <v>3224.85</v>
      </c>
      <c r="C1626" s="116">
        <v>3216.55</v>
      </c>
      <c r="D1626" s="116">
        <v>3189</v>
      </c>
      <c r="E1626" s="116">
        <v>3189</v>
      </c>
      <c r="F1626" s="116">
        <v>3216.55</v>
      </c>
      <c r="G1626">
        <v>85259</v>
      </c>
      <c r="H1626" s="116"/>
      <c r="I1626" s="116"/>
      <c r="L1626" s="170">
        <v>44399</v>
      </c>
      <c r="M1626" s="116">
        <v>3216.35</v>
      </c>
      <c r="N1626" s="116">
        <v>3224.95</v>
      </c>
      <c r="O1626" s="116">
        <v>3190</v>
      </c>
      <c r="P1626" s="116">
        <v>3190</v>
      </c>
      <c r="Q1626" s="116">
        <v>3216.35</v>
      </c>
      <c r="R1626">
        <v>2859334</v>
      </c>
    </row>
    <row r="1627" spans="1:18" x14ac:dyDescent="0.25">
      <c r="A1627" s="170">
        <v>44400</v>
      </c>
      <c r="B1627" s="116">
        <v>3240.9</v>
      </c>
      <c r="C1627" s="116">
        <v>3212.05</v>
      </c>
      <c r="D1627" s="116">
        <v>3206.3</v>
      </c>
      <c r="E1627" s="116">
        <v>3225</v>
      </c>
      <c r="F1627" s="116">
        <v>3212.05</v>
      </c>
      <c r="G1627">
        <v>103816</v>
      </c>
      <c r="H1627" s="116"/>
      <c r="I1627" s="116"/>
      <c r="L1627" s="170">
        <v>44400</v>
      </c>
      <c r="M1627" s="116">
        <v>3212.85</v>
      </c>
      <c r="N1627" s="116">
        <v>3241.55</v>
      </c>
      <c r="O1627" s="116">
        <v>3206.65</v>
      </c>
      <c r="P1627" s="116">
        <v>3230</v>
      </c>
      <c r="Q1627" s="116">
        <v>3212.85</v>
      </c>
      <c r="R1627">
        <v>1776193</v>
      </c>
    </row>
    <row r="1628" spans="1:18" x14ac:dyDescent="0.25">
      <c r="A1628" s="170">
        <v>44403</v>
      </c>
      <c r="B1628" s="116">
        <v>3224</v>
      </c>
      <c r="C1628" s="116">
        <v>3199.35</v>
      </c>
      <c r="D1628" s="116">
        <v>3191</v>
      </c>
      <c r="E1628" s="116">
        <v>3210</v>
      </c>
      <c r="F1628" s="116">
        <v>3199.35</v>
      </c>
      <c r="G1628">
        <v>49985</v>
      </c>
      <c r="H1628" s="116"/>
      <c r="I1628" s="116"/>
      <c r="L1628" s="170">
        <v>44403</v>
      </c>
      <c r="M1628" s="116">
        <v>3197.55</v>
      </c>
      <c r="N1628" s="116">
        <v>3224.25</v>
      </c>
      <c r="O1628" s="116">
        <v>3190.85</v>
      </c>
      <c r="P1628" s="116">
        <v>3200</v>
      </c>
      <c r="Q1628" s="116">
        <v>3197.55</v>
      </c>
      <c r="R1628">
        <v>1259611</v>
      </c>
    </row>
    <row r="1629" spans="1:18" x14ac:dyDescent="0.25">
      <c r="A1629" s="170">
        <v>44404</v>
      </c>
      <c r="B1629" s="116">
        <v>3209.5</v>
      </c>
      <c r="C1629" s="116">
        <v>3183.05</v>
      </c>
      <c r="D1629" s="116">
        <v>3161</v>
      </c>
      <c r="E1629" s="116">
        <v>3204</v>
      </c>
      <c r="F1629" s="116">
        <v>3183.05</v>
      </c>
      <c r="G1629">
        <v>63248</v>
      </c>
      <c r="H1629" s="116"/>
      <c r="I1629" s="116"/>
      <c r="L1629" s="170">
        <v>44404</v>
      </c>
      <c r="M1629" s="116">
        <v>3182.95</v>
      </c>
      <c r="N1629" s="116">
        <v>3210</v>
      </c>
      <c r="O1629" s="116">
        <v>3161.15</v>
      </c>
      <c r="P1629" s="116">
        <v>3200</v>
      </c>
      <c r="Q1629" s="116">
        <v>3182.95</v>
      </c>
      <c r="R1629">
        <v>1121367</v>
      </c>
    </row>
    <row r="1630" spans="1:18" x14ac:dyDescent="0.25">
      <c r="A1630" s="170">
        <v>44405</v>
      </c>
      <c r="B1630" s="116">
        <v>3203.3</v>
      </c>
      <c r="C1630" s="116">
        <v>3197.5</v>
      </c>
      <c r="D1630" s="116">
        <v>3133.2</v>
      </c>
      <c r="E1630" s="116">
        <v>3196</v>
      </c>
      <c r="F1630" s="116">
        <v>3197.5</v>
      </c>
      <c r="G1630">
        <v>97773</v>
      </c>
      <c r="H1630" s="116"/>
      <c r="I1630" s="116"/>
      <c r="L1630" s="170">
        <v>44405</v>
      </c>
      <c r="M1630" s="116">
        <v>3197.8</v>
      </c>
      <c r="N1630" s="116">
        <v>3204.45</v>
      </c>
      <c r="O1630" s="116">
        <v>3132.4</v>
      </c>
      <c r="P1630" s="116">
        <v>3188</v>
      </c>
      <c r="Q1630" s="116">
        <v>3197.8</v>
      </c>
      <c r="R1630">
        <v>1660654</v>
      </c>
    </row>
    <row r="1631" spans="1:18" x14ac:dyDescent="0.25">
      <c r="A1631" s="170">
        <v>44406</v>
      </c>
      <c r="B1631" s="116">
        <v>3226</v>
      </c>
      <c r="C1631" s="116">
        <v>3196.6</v>
      </c>
      <c r="D1631" s="116">
        <v>3191</v>
      </c>
      <c r="E1631" s="116">
        <v>3208.8</v>
      </c>
      <c r="F1631" s="116">
        <v>3196.6</v>
      </c>
      <c r="G1631">
        <v>44904</v>
      </c>
      <c r="H1631" s="116"/>
      <c r="I1631" s="116"/>
      <c r="L1631" s="170">
        <v>44406</v>
      </c>
      <c r="M1631" s="116">
        <v>3195.8</v>
      </c>
      <c r="N1631" s="116">
        <v>3225.45</v>
      </c>
      <c r="O1631" s="116">
        <v>3190.3</v>
      </c>
      <c r="P1631" s="116">
        <v>3200.25</v>
      </c>
      <c r="Q1631" s="116">
        <v>3195.8</v>
      </c>
      <c r="R1631">
        <v>1731997</v>
      </c>
    </row>
    <row r="1632" spans="1:18" x14ac:dyDescent="0.25">
      <c r="A1632" s="170">
        <v>44407</v>
      </c>
      <c r="B1632" s="116">
        <v>3221.65</v>
      </c>
      <c r="C1632" s="116">
        <v>3167.5</v>
      </c>
      <c r="D1632" s="116">
        <v>3162</v>
      </c>
      <c r="E1632" s="116">
        <v>3209</v>
      </c>
      <c r="F1632" s="116">
        <v>3167.5</v>
      </c>
      <c r="G1632">
        <v>52954</v>
      </c>
      <c r="H1632" s="116"/>
      <c r="I1632" s="116"/>
      <c r="L1632" s="170">
        <v>44407</v>
      </c>
      <c r="M1632" s="116">
        <v>3167.45</v>
      </c>
      <c r="N1632" s="116">
        <v>3223.5</v>
      </c>
      <c r="O1632" s="116">
        <v>3162.35</v>
      </c>
      <c r="P1632" s="116">
        <v>3219</v>
      </c>
      <c r="Q1632" s="116">
        <v>3167.45</v>
      </c>
      <c r="R1632">
        <v>2999943</v>
      </c>
    </row>
    <row r="1633" spans="1:18" x14ac:dyDescent="0.25">
      <c r="A1633" s="170">
        <v>44410</v>
      </c>
      <c r="B1633" s="116">
        <v>3224.65</v>
      </c>
      <c r="C1633" s="116">
        <v>3217.9</v>
      </c>
      <c r="D1633" s="116">
        <v>3166.05</v>
      </c>
      <c r="E1633" s="116">
        <v>3173.55</v>
      </c>
      <c r="F1633" s="116">
        <v>3217.9</v>
      </c>
      <c r="G1633">
        <v>134570</v>
      </c>
      <c r="H1633" s="116"/>
      <c r="I1633" s="116"/>
      <c r="L1633" s="170">
        <v>44410</v>
      </c>
      <c r="M1633" s="116">
        <v>3219.4</v>
      </c>
      <c r="N1633" s="116">
        <v>3224.9</v>
      </c>
      <c r="O1633" s="116">
        <v>3167</v>
      </c>
      <c r="P1633" s="116">
        <v>3180</v>
      </c>
      <c r="Q1633" s="116">
        <v>3219.4</v>
      </c>
      <c r="R1633">
        <v>2608669</v>
      </c>
    </row>
    <row r="1634" spans="1:18" x14ac:dyDescent="0.25">
      <c r="A1634" s="170">
        <v>44411</v>
      </c>
      <c r="B1634" s="116">
        <v>3289.95</v>
      </c>
      <c r="C1634" s="116">
        <v>3284.15</v>
      </c>
      <c r="D1634" s="116">
        <v>3220</v>
      </c>
      <c r="E1634" s="116">
        <v>3220</v>
      </c>
      <c r="F1634" s="116">
        <v>3284.15</v>
      </c>
      <c r="G1634">
        <v>166466</v>
      </c>
      <c r="H1634" s="116"/>
      <c r="I1634" s="116"/>
      <c r="L1634" s="170">
        <v>44411</v>
      </c>
      <c r="M1634" s="116">
        <v>3284.9</v>
      </c>
      <c r="N1634" s="116">
        <v>3290</v>
      </c>
      <c r="O1634" s="116">
        <v>3218.95</v>
      </c>
      <c r="P1634" s="116">
        <v>3229</v>
      </c>
      <c r="Q1634" s="116">
        <v>3284.9</v>
      </c>
      <c r="R1634">
        <v>3804735</v>
      </c>
    </row>
    <row r="1635" spans="1:18" x14ac:dyDescent="0.25">
      <c r="A1635" s="170">
        <v>44412</v>
      </c>
      <c r="B1635" s="116">
        <v>3305</v>
      </c>
      <c r="C1635" s="116">
        <v>3273.45</v>
      </c>
      <c r="D1635" s="116">
        <v>3261.65</v>
      </c>
      <c r="E1635" s="116">
        <v>3302.5</v>
      </c>
      <c r="F1635" s="116">
        <v>3273.45</v>
      </c>
      <c r="G1635">
        <v>126809</v>
      </c>
      <c r="H1635" s="116"/>
      <c r="I1635" s="116"/>
      <c r="L1635" s="170">
        <v>44412</v>
      </c>
      <c r="M1635" s="116">
        <v>3273.95</v>
      </c>
      <c r="N1635" s="116">
        <v>3305.2</v>
      </c>
      <c r="O1635" s="116">
        <v>3261.2</v>
      </c>
      <c r="P1635" s="116">
        <v>3300</v>
      </c>
      <c r="Q1635" s="116">
        <v>3273.95</v>
      </c>
      <c r="R1635">
        <v>2929598</v>
      </c>
    </row>
    <row r="1636" spans="1:18" x14ac:dyDescent="0.25">
      <c r="A1636" s="170">
        <v>44413</v>
      </c>
      <c r="B1636" s="116">
        <v>3315</v>
      </c>
      <c r="C1636" s="116">
        <v>3285.15</v>
      </c>
      <c r="D1636" s="116">
        <v>3264.95</v>
      </c>
      <c r="E1636" s="116">
        <v>3274</v>
      </c>
      <c r="F1636" s="116">
        <v>3285.15</v>
      </c>
      <c r="G1636">
        <v>63832</v>
      </c>
      <c r="H1636" s="116"/>
      <c r="I1636" s="116"/>
      <c r="L1636" s="170">
        <v>44413</v>
      </c>
      <c r="M1636" s="116">
        <v>3283.95</v>
      </c>
      <c r="N1636" s="116">
        <v>3315</v>
      </c>
      <c r="O1636" s="116">
        <v>3262.5</v>
      </c>
      <c r="P1636" s="116">
        <v>3275</v>
      </c>
      <c r="Q1636" s="116">
        <v>3283.95</v>
      </c>
      <c r="R1636">
        <v>2534521</v>
      </c>
    </row>
    <row r="1637" spans="1:18" x14ac:dyDescent="0.25">
      <c r="A1637" s="170">
        <v>44414</v>
      </c>
      <c r="B1637" s="116">
        <v>3323.8</v>
      </c>
      <c r="C1637" s="116">
        <v>3310.15</v>
      </c>
      <c r="D1637" s="116">
        <v>3265</v>
      </c>
      <c r="E1637" s="116">
        <v>3275</v>
      </c>
      <c r="F1637" s="116">
        <v>3310.15</v>
      </c>
      <c r="G1637">
        <v>167196</v>
      </c>
      <c r="H1637" s="116"/>
      <c r="I1637" s="116"/>
      <c r="L1637" s="170">
        <v>44414</v>
      </c>
      <c r="M1637" s="116">
        <v>3309.8</v>
      </c>
      <c r="N1637" s="116">
        <v>3324</v>
      </c>
      <c r="O1637" s="116">
        <v>3265</v>
      </c>
      <c r="P1637" s="116">
        <v>3272.55</v>
      </c>
      <c r="Q1637" s="116">
        <v>3309.8</v>
      </c>
      <c r="R1637">
        <v>2292362</v>
      </c>
    </row>
    <row r="1638" spans="1:18" x14ac:dyDescent="0.25">
      <c r="A1638" s="170">
        <v>44417</v>
      </c>
      <c r="B1638" s="116">
        <v>3336.55</v>
      </c>
      <c r="C1638" s="116">
        <v>3322.4</v>
      </c>
      <c r="D1638" s="116">
        <v>3310</v>
      </c>
      <c r="E1638" s="116">
        <v>3315.85</v>
      </c>
      <c r="F1638" s="116">
        <v>3322.4</v>
      </c>
      <c r="G1638">
        <v>86883</v>
      </c>
      <c r="H1638" s="116"/>
      <c r="I1638" s="116"/>
      <c r="L1638" s="170">
        <v>44417</v>
      </c>
      <c r="M1638" s="116">
        <v>3322.7</v>
      </c>
      <c r="N1638" s="116">
        <v>3337</v>
      </c>
      <c r="O1638" s="116">
        <v>3310</v>
      </c>
      <c r="P1638" s="116">
        <v>3323.9</v>
      </c>
      <c r="Q1638" s="116">
        <v>3322.7</v>
      </c>
      <c r="R1638">
        <v>1510489</v>
      </c>
    </row>
    <row r="1639" spans="1:18" x14ac:dyDescent="0.25">
      <c r="A1639" s="170">
        <v>44418</v>
      </c>
      <c r="B1639" s="116">
        <v>3349.2</v>
      </c>
      <c r="C1639" s="116">
        <v>3333.25</v>
      </c>
      <c r="D1639" s="116">
        <v>3315</v>
      </c>
      <c r="E1639" s="116">
        <v>3322.4</v>
      </c>
      <c r="F1639" s="116">
        <v>3333.25</v>
      </c>
      <c r="G1639">
        <v>90574</v>
      </c>
      <c r="H1639" s="116"/>
      <c r="I1639" s="116"/>
      <c r="L1639" s="170">
        <v>44418</v>
      </c>
      <c r="M1639" s="116">
        <v>3333.9</v>
      </c>
      <c r="N1639" s="116">
        <v>3349.9</v>
      </c>
      <c r="O1639" s="116">
        <v>3315.6</v>
      </c>
      <c r="P1639" s="116">
        <v>3315.6</v>
      </c>
      <c r="Q1639" s="116">
        <v>3333.9</v>
      </c>
      <c r="R1639">
        <v>2040777</v>
      </c>
    </row>
    <row r="1640" spans="1:18" x14ac:dyDescent="0.25">
      <c r="A1640" s="170">
        <v>44419</v>
      </c>
      <c r="B1640" s="116">
        <v>3359.85</v>
      </c>
      <c r="C1640" s="116">
        <v>3340.55</v>
      </c>
      <c r="D1640" s="116">
        <v>3327.3</v>
      </c>
      <c r="E1640" s="116">
        <v>3350</v>
      </c>
      <c r="F1640" s="116">
        <v>3340.55</v>
      </c>
      <c r="G1640">
        <v>67042</v>
      </c>
      <c r="H1640" s="116"/>
      <c r="I1640" s="116"/>
      <c r="L1640" s="170">
        <v>44419</v>
      </c>
      <c r="M1640" s="116">
        <v>3344.2</v>
      </c>
      <c r="N1640" s="116">
        <v>3360</v>
      </c>
      <c r="O1640" s="116">
        <v>3327.1</v>
      </c>
      <c r="P1640" s="116">
        <v>3350</v>
      </c>
      <c r="Q1640" s="116">
        <v>3344.2</v>
      </c>
      <c r="R1640">
        <v>1929707</v>
      </c>
    </row>
    <row r="1641" spans="1:18" x14ac:dyDescent="0.25">
      <c r="A1641" s="170">
        <v>44420</v>
      </c>
      <c r="B1641" s="116">
        <v>3367.55</v>
      </c>
      <c r="C1641" s="116">
        <v>3353.95</v>
      </c>
      <c r="D1641" s="116">
        <v>3332.15</v>
      </c>
      <c r="E1641" s="116">
        <v>3346</v>
      </c>
      <c r="F1641" s="116">
        <v>3353.95</v>
      </c>
      <c r="G1641">
        <v>73888</v>
      </c>
      <c r="H1641" s="116"/>
      <c r="I1641" s="116"/>
      <c r="L1641" s="170">
        <v>44420</v>
      </c>
      <c r="M1641" s="116">
        <v>3351.75</v>
      </c>
      <c r="N1641" s="116">
        <v>3368</v>
      </c>
      <c r="O1641" s="116">
        <v>3326</v>
      </c>
      <c r="P1641" s="116">
        <v>3326</v>
      </c>
      <c r="Q1641" s="116">
        <v>3351.75</v>
      </c>
      <c r="R1641">
        <v>1310205</v>
      </c>
    </row>
    <row r="1642" spans="1:18" x14ac:dyDescent="0.25">
      <c r="A1642" s="170">
        <v>44421</v>
      </c>
      <c r="B1642" s="116">
        <v>3479.35</v>
      </c>
      <c r="C1642" s="116">
        <v>3461.9</v>
      </c>
      <c r="D1642" s="116">
        <v>3353</v>
      </c>
      <c r="E1642" s="116">
        <v>3353</v>
      </c>
      <c r="F1642" s="116">
        <v>3461.9</v>
      </c>
      <c r="G1642">
        <v>301314</v>
      </c>
      <c r="H1642" s="116"/>
      <c r="I1642" s="116"/>
      <c r="L1642" s="170">
        <v>44421</v>
      </c>
      <c r="M1642" s="116">
        <v>3463.4</v>
      </c>
      <c r="N1642" s="116">
        <v>3480</v>
      </c>
      <c r="O1642" s="116">
        <v>3357.5</v>
      </c>
      <c r="P1642" s="116">
        <v>3360.75</v>
      </c>
      <c r="Q1642" s="116">
        <v>3463.4</v>
      </c>
      <c r="R1642">
        <v>4363584</v>
      </c>
    </row>
    <row r="1643" spans="1:18" x14ac:dyDescent="0.25">
      <c r="A1643" s="170">
        <v>44424</v>
      </c>
      <c r="B1643" s="116">
        <v>3492.5</v>
      </c>
      <c r="C1643" s="116">
        <v>3471.75</v>
      </c>
      <c r="D1643" s="116">
        <v>3437</v>
      </c>
      <c r="E1643" s="116">
        <v>3461.9</v>
      </c>
      <c r="F1643" s="116">
        <v>3471.75</v>
      </c>
      <c r="G1643">
        <v>62836</v>
      </c>
      <c r="H1643" s="116"/>
      <c r="I1643" s="116"/>
      <c r="L1643" s="170">
        <v>44424</v>
      </c>
      <c r="M1643" s="116">
        <v>3472.95</v>
      </c>
      <c r="N1643" s="116">
        <v>3494.35</v>
      </c>
      <c r="O1643" s="116">
        <v>3436.5</v>
      </c>
      <c r="P1643" s="116">
        <v>3460</v>
      </c>
      <c r="Q1643" s="116">
        <v>3472.95</v>
      </c>
      <c r="R1643">
        <v>2083489</v>
      </c>
    </row>
    <row r="1644" spans="1:18" x14ac:dyDescent="0.25">
      <c r="A1644" s="170">
        <v>44425</v>
      </c>
      <c r="B1644" s="116">
        <v>3560.25</v>
      </c>
      <c r="C1644" s="116">
        <v>3552.4</v>
      </c>
      <c r="D1644" s="116">
        <v>3464</v>
      </c>
      <c r="E1644" s="116">
        <v>3484.45</v>
      </c>
      <c r="F1644" s="116">
        <v>3552.4</v>
      </c>
      <c r="G1644">
        <v>160065</v>
      </c>
      <c r="H1644" s="116"/>
      <c r="I1644" s="116"/>
      <c r="L1644" s="170">
        <v>44425</v>
      </c>
      <c r="M1644" s="116">
        <v>3553.05</v>
      </c>
      <c r="N1644" s="116">
        <v>3560.8</v>
      </c>
      <c r="O1644" s="116">
        <v>3463</v>
      </c>
      <c r="P1644" s="116">
        <v>3482.1</v>
      </c>
      <c r="Q1644" s="116">
        <v>3553.05</v>
      </c>
      <c r="R1644">
        <v>4336019</v>
      </c>
    </row>
    <row r="1645" spans="1:18" x14ac:dyDescent="0.25">
      <c r="A1645" s="170">
        <v>44426</v>
      </c>
      <c r="B1645" s="116">
        <v>3594.6</v>
      </c>
      <c r="C1645" s="116">
        <v>3558.5</v>
      </c>
      <c r="D1645" s="116">
        <v>3537</v>
      </c>
      <c r="E1645" s="116">
        <v>3555</v>
      </c>
      <c r="F1645" s="116">
        <v>3558.5</v>
      </c>
      <c r="G1645">
        <v>69366</v>
      </c>
      <c r="H1645" s="116"/>
      <c r="I1645" s="116"/>
      <c r="L1645" s="170">
        <v>44426</v>
      </c>
      <c r="M1645" s="116">
        <v>3560.55</v>
      </c>
      <c r="N1645" s="116">
        <v>3595</v>
      </c>
      <c r="O1645" s="116">
        <v>3536.6</v>
      </c>
      <c r="P1645" s="116">
        <v>3573.85</v>
      </c>
      <c r="Q1645" s="116">
        <v>3560.55</v>
      </c>
      <c r="R1645">
        <v>2631309</v>
      </c>
    </row>
    <row r="1646" spans="1:18" x14ac:dyDescent="0.25">
      <c r="A1646" s="170">
        <v>44428</v>
      </c>
      <c r="B1646" s="116">
        <v>3573.1</v>
      </c>
      <c r="C1646" s="116">
        <v>3557.45</v>
      </c>
      <c r="D1646" s="116">
        <v>3503.6</v>
      </c>
      <c r="E1646" s="116">
        <v>3524</v>
      </c>
      <c r="F1646" s="116">
        <v>3557.45</v>
      </c>
      <c r="G1646">
        <v>55131</v>
      </c>
      <c r="H1646" s="116"/>
      <c r="I1646" s="116"/>
      <c r="L1646" s="170">
        <v>44428</v>
      </c>
      <c r="M1646" s="116">
        <v>3559.5</v>
      </c>
      <c r="N1646" s="116">
        <v>3575</v>
      </c>
      <c r="O1646" s="116">
        <v>3500</v>
      </c>
      <c r="P1646" s="116">
        <v>3506</v>
      </c>
      <c r="Q1646" s="116">
        <v>3559.5</v>
      </c>
      <c r="R1646">
        <v>2836148</v>
      </c>
    </row>
    <row r="1647" spans="1:18" x14ac:dyDescent="0.25">
      <c r="A1647" s="170">
        <v>44431</v>
      </c>
      <c r="B1647" s="116">
        <v>3672.5</v>
      </c>
      <c r="C1647" s="116">
        <v>3635.85</v>
      </c>
      <c r="D1647" s="116">
        <v>3562.95</v>
      </c>
      <c r="E1647" s="116">
        <v>3570</v>
      </c>
      <c r="F1647" s="116">
        <v>3635.85</v>
      </c>
      <c r="G1647">
        <v>127876</v>
      </c>
      <c r="H1647" s="116"/>
      <c r="I1647" s="116"/>
      <c r="L1647" s="170">
        <v>44431</v>
      </c>
      <c r="M1647" s="116">
        <v>3637.4</v>
      </c>
      <c r="N1647" s="116">
        <v>3673</v>
      </c>
      <c r="O1647" s="116">
        <v>3561.9</v>
      </c>
      <c r="P1647" s="116">
        <v>3580</v>
      </c>
      <c r="Q1647" s="116">
        <v>3637.4</v>
      </c>
      <c r="R1647">
        <v>3744176</v>
      </c>
    </row>
    <row r="1648" spans="1:18" x14ac:dyDescent="0.25">
      <c r="A1648" s="170">
        <v>44432</v>
      </c>
      <c r="B1648" s="116">
        <v>3668.75</v>
      </c>
      <c r="C1648" s="116">
        <v>3612.2</v>
      </c>
      <c r="D1648" s="116">
        <v>3595.85</v>
      </c>
      <c r="E1648" s="116">
        <v>3653</v>
      </c>
      <c r="F1648" s="116">
        <v>3612.2</v>
      </c>
      <c r="G1648">
        <v>59758</v>
      </c>
      <c r="H1648" s="116"/>
      <c r="I1648" s="116"/>
      <c r="L1648" s="170">
        <v>44432</v>
      </c>
      <c r="M1648" s="116">
        <v>3613.2</v>
      </c>
      <c r="N1648" s="116">
        <v>3667.35</v>
      </c>
      <c r="O1648" s="116">
        <v>3594.4</v>
      </c>
      <c r="P1648" s="116">
        <v>3657</v>
      </c>
      <c r="Q1648" s="116">
        <v>3613.2</v>
      </c>
      <c r="R1648">
        <v>2511141</v>
      </c>
    </row>
    <row r="1649" spans="1:18" x14ac:dyDescent="0.25">
      <c r="A1649" s="170">
        <v>44433</v>
      </c>
      <c r="B1649" s="116">
        <v>3697</v>
      </c>
      <c r="C1649" s="116">
        <v>3659.5</v>
      </c>
      <c r="D1649" s="116">
        <v>3608.95</v>
      </c>
      <c r="E1649" s="116">
        <v>3612.8</v>
      </c>
      <c r="F1649" s="116">
        <v>3659.5</v>
      </c>
      <c r="G1649">
        <v>70032</v>
      </c>
      <c r="H1649" s="116"/>
      <c r="I1649" s="116"/>
      <c r="L1649" s="170">
        <v>44433</v>
      </c>
      <c r="M1649" s="116">
        <v>3659</v>
      </c>
      <c r="N1649" s="116">
        <v>3697.75</v>
      </c>
      <c r="O1649" s="116">
        <v>3607.05</v>
      </c>
      <c r="P1649" s="116">
        <v>3610</v>
      </c>
      <c r="Q1649" s="116">
        <v>3659</v>
      </c>
      <c r="R1649">
        <v>2123263</v>
      </c>
    </row>
    <row r="1650" spans="1:18" x14ac:dyDescent="0.25">
      <c r="A1650" s="170">
        <v>44434</v>
      </c>
      <c r="B1650" s="116">
        <v>3687.1</v>
      </c>
      <c r="C1650" s="116">
        <v>3671.05</v>
      </c>
      <c r="D1650" s="116">
        <v>3649</v>
      </c>
      <c r="E1650" s="116">
        <v>3668.9</v>
      </c>
      <c r="F1650" s="116">
        <v>3671.05</v>
      </c>
      <c r="G1650">
        <v>94445</v>
      </c>
      <c r="H1650" s="116"/>
      <c r="I1650" s="116"/>
      <c r="L1650" s="170">
        <v>44434</v>
      </c>
      <c r="M1650" s="116">
        <v>3671.85</v>
      </c>
      <c r="N1650" s="116">
        <v>3687.6</v>
      </c>
      <c r="O1650" s="116">
        <v>3647.9</v>
      </c>
      <c r="P1650" s="116">
        <v>3660</v>
      </c>
      <c r="Q1650" s="116">
        <v>3671.85</v>
      </c>
      <c r="R1650">
        <v>1902533</v>
      </c>
    </row>
    <row r="1651" spans="1:18" x14ac:dyDescent="0.25">
      <c r="A1651" s="170">
        <v>44435</v>
      </c>
      <c r="B1651" s="116">
        <v>3729</v>
      </c>
      <c r="C1651" s="116">
        <v>3720.15</v>
      </c>
      <c r="D1651" s="116">
        <v>3651.1</v>
      </c>
      <c r="E1651" s="116">
        <v>3657.95</v>
      </c>
      <c r="F1651" s="116">
        <v>3720.15</v>
      </c>
      <c r="G1651">
        <v>80952</v>
      </c>
      <c r="H1651" s="116"/>
      <c r="I1651" s="116"/>
      <c r="L1651" s="170">
        <v>44435</v>
      </c>
      <c r="M1651" s="116">
        <v>3720.15</v>
      </c>
      <c r="N1651" s="116">
        <v>3729.5</v>
      </c>
      <c r="O1651" s="116">
        <v>3651.1</v>
      </c>
      <c r="P1651" s="116">
        <v>3666</v>
      </c>
      <c r="Q1651" s="116">
        <v>3720.15</v>
      </c>
      <c r="R1651">
        <v>3944728</v>
      </c>
    </row>
    <row r="1652" spans="1:18" x14ac:dyDescent="0.25">
      <c r="A1652" s="170">
        <v>44438</v>
      </c>
      <c r="B1652" s="116">
        <v>3740</v>
      </c>
      <c r="C1652" s="116">
        <v>3701.4</v>
      </c>
      <c r="D1652" s="116">
        <v>3687.6</v>
      </c>
      <c r="E1652" s="116">
        <v>3718</v>
      </c>
      <c r="F1652" s="116">
        <v>3701.4</v>
      </c>
      <c r="G1652">
        <v>69850</v>
      </c>
      <c r="H1652" s="116"/>
      <c r="I1652" s="116"/>
      <c r="L1652" s="170">
        <v>44438</v>
      </c>
      <c r="M1652" s="116">
        <v>3701.3</v>
      </c>
      <c r="N1652" s="116">
        <v>3740.35</v>
      </c>
      <c r="O1652" s="116">
        <v>3687.6</v>
      </c>
      <c r="P1652" s="116">
        <v>3715</v>
      </c>
      <c r="Q1652" s="116">
        <v>3701.3</v>
      </c>
      <c r="R1652">
        <v>2033114</v>
      </c>
    </row>
    <row r="1653" spans="1:18" x14ac:dyDescent="0.25">
      <c r="A1653" s="170">
        <v>44439</v>
      </c>
      <c r="B1653" s="116">
        <v>3802.95</v>
      </c>
      <c r="C1653" s="116">
        <v>3786.55</v>
      </c>
      <c r="D1653" s="116">
        <v>3703</v>
      </c>
      <c r="E1653" s="116">
        <v>3703</v>
      </c>
      <c r="F1653" s="116">
        <v>3786.55</v>
      </c>
      <c r="G1653">
        <v>248659</v>
      </c>
      <c r="H1653" s="116"/>
      <c r="I1653" s="116"/>
      <c r="L1653" s="170">
        <v>44439</v>
      </c>
      <c r="M1653" s="116">
        <v>3786.45</v>
      </c>
      <c r="N1653" s="116">
        <v>3804.1</v>
      </c>
      <c r="O1653" s="116">
        <v>3703.45</v>
      </c>
      <c r="P1653" s="116">
        <v>3709.4</v>
      </c>
      <c r="Q1653" s="116">
        <v>3786.45</v>
      </c>
      <c r="R1653">
        <v>3207480</v>
      </c>
    </row>
    <row r="1654" spans="1:18" x14ac:dyDescent="0.25">
      <c r="A1654" s="170">
        <v>44440</v>
      </c>
      <c r="B1654" s="116">
        <v>3815.75</v>
      </c>
      <c r="C1654" s="116">
        <v>3714.05</v>
      </c>
      <c r="D1654" s="116">
        <v>3706</v>
      </c>
      <c r="E1654" s="116">
        <v>3790</v>
      </c>
      <c r="F1654" s="116">
        <v>3714.05</v>
      </c>
      <c r="G1654">
        <v>290870</v>
      </c>
      <c r="H1654" s="116"/>
      <c r="I1654" s="116"/>
      <c r="L1654" s="170">
        <v>44440</v>
      </c>
      <c r="M1654" s="116">
        <v>3714.95</v>
      </c>
      <c r="N1654" s="116">
        <v>3816.7</v>
      </c>
      <c r="O1654" s="116">
        <v>3707</v>
      </c>
      <c r="P1654" s="116">
        <v>3796</v>
      </c>
      <c r="Q1654" s="116">
        <v>3714.95</v>
      </c>
      <c r="R1654">
        <v>2643336</v>
      </c>
    </row>
    <row r="1655" spans="1:18" x14ac:dyDescent="0.25">
      <c r="A1655" s="170">
        <v>44441</v>
      </c>
      <c r="B1655" s="116">
        <v>3858</v>
      </c>
      <c r="C1655" s="116">
        <v>3837.95</v>
      </c>
      <c r="D1655" s="116">
        <v>3724.6</v>
      </c>
      <c r="E1655" s="116">
        <v>3736</v>
      </c>
      <c r="F1655" s="116">
        <v>3837.95</v>
      </c>
      <c r="G1655">
        <v>68034</v>
      </c>
      <c r="H1655" s="116"/>
      <c r="I1655" s="116"/>
      <c r="L1655" s="170">
        <v>44441</v>
      </c>
      <c r="M1655" s="116">
        <v>3836.75</v>
      </c>
      <c r="N1655" s="116">
        <v>3859.15</v>
      </c>
      <c r="O1655" s="116">
        <v>3722</v>
      </c>
      <c r="P1655" s="116">
        <v>3734</v>
      </c>
      <c r="Q1655" s="116">
        <v>3836.75</v>
      </c>
      <c r="R1655">
        <v>3403717</v>
      </c>
    </row>
    <row r="1656" spans="1:18" x14ac:dyDescent="0.25">
      <c r="A1656" s="170">
        <v>44442</v>
      </c>
      <c r="B1656" s="116">
        <v>3857.4</v>
      </c>
      <c r="C1656" s="116">
        <v>3841.35</v>
      </c>
      <c r="D1656" s="116">
        <v>3804</v>
      </c>
      <c r="E1656" s="116">
        <v>3836</v>
      </c>
      <c r="F1656" s="116">
        <v>3841.35</v>
      </c>
      <c r="G1656">
        <v>73148</v>
      </c>
      <c r="H1656" s="116"/>
      <c r="I1656" s="116"/>
      <c r="L1656" s="170">
        <v>44442</v>
      </c>
      <c r="M1656" s="116">
        <v>3842.05</v>
      </c>
      <c r="N1656" s="116">
        <v>3856.9</v>
      </c>
      <c r="O1656" s="116">
        <v>3804.55</v>
      </c>
      <c r="P1656" s="116">
        <v>3825</v>
      </c>
      <c r="Q1656" s="116">
        <v>3842.05</v>
      </c>
      <c r="R1656">
        <v>1746812</v>
      </c>
    </row>
    <row r="1657" spans="1:18" x14ac:dyDescent="0.25">
      <c r="A1657" s="170">
        <v>44445</v>
      </c>
      <c r="B1657" s="116">
        <v>3876</v>
      </c>
      <c r="C1657" s="116">
        <v>3851.05</v>
      </c>
      <c r="D1657" s="116">
        <v>3815</v>
      </c>
      <c r="E1657" s="116">
        <v>3847</v>
      </c>
      <c r="F1657" s="116">
        <v>3851.05</v>
      </c>
      <c r="G1657">
        <v>42444</v>
      </c>
      <c r="H1657" s="116"/>
      <c r="I1657" s="116"/>
      <c r="L1657" s="170">
        <v>44445</v>
      </c>
      <c r="M1657" s="116">
        <v>3852</v>
      </c>
      <c r="N1657" s="116">
        <v>3877.6</v>
      </c>
      <c r="O1657" s="116">
        <v>3814</v>
      </c>
      <c r="P1657" s="116">
        <v>3849.7</v>
      </c>
      <c r="Q1657" s="116">
        <v>3852</v>
      </c>
      <c r="R1657">
        <v>1723693</v>
      </c>
    </row>
    <row r="1658" spans="1:18" x14ac:dyDescent="0.25">
      <c r="A1658" s="170">
        <v>44446</v>
      </c>
      <c r="B1658" s="116">
        <v>3871</v>
      </c>
      <c r="C1658" s="116">
        <v>3814.75</v>
      </c>
      <c r="D1658" s="116">
        <v>3809.05</v>
      </c>
      <c r="E1658" s="116">
        <v>3858</v>
      </c>
      <c r="F1658" s="116">
        <v>3814.75</v>
      </c>
      <c r="G1658">
        <v>33828</v>
      </c>
      <c r="H1658" s="116"/>
      <c r="I1658" s="116"/>
      <c r="L1658" s="170">
        <v>44446</v>
      </c>
      <c r="M1658" s="116">
        <v>3815.9</v>
      </c>
      <c r="N1658" s="116">
        <v>3869.95</v>
      </c>
      <c r="O1658" s="116">
        <v>3808.25</v>
      </c>
      <c r="P1658" s="116">
        <v>3864</v>
      </c>
      <c r="Q1658" s="116">
        <v>3815.9</v>
      </c>
      <c r="R1658">
        <v>1585039</v>
      </c>
    </row>
    <row r="1659" spans="1:18" x14ac:dyDescent="0.25">
      <c r="A1659" s="170">
        <v>44447</v>
      </c>
      <c r="B1659" s="116">
        <v>3815</v>
      </c>
      <c r="C1659" s="116">
        <v>3774.1</v>
      </c>
      <c r="D1659" s="116">
        <v>3756</v>
      </c>
      <c r="E1659" s="116">
        <v>3815</v>
      </c>
      <c r="F1659" s="116">
        <v>3774.1</v>
      </c>
      <c r="G1659">
        <v>53706</v>
      </c>
      <c r="H1659" s="116"/>
      <c r="I1659" s="116"/>
      <c r="L1659" s="170">
        <v>44447</v>
      </c>
      <c r="M1659" s="116">
        <v>3774.15</v>
      </c>
      <c r="N1659" s="116">
        <v>3815</v>
      </c>
      <c r="O1659" s="116">
        <v>3756</v>
      </c>
      <c r="P1659" s="116">
        <v>3810</v>
      </c>
      <c r="Q1659" s="116">
        <v>3774.15</v>
      </c>
      <c r="R1659">
        <v>4147175</v>
      </c>
    </row>
    <row r="1660" spans="1:18" x14ac:dyDescent="0.25">
      <c r="A1660" s="170">
        <v>44448</v>
      </c>
      <c r="B1660" s="116">
        <v>3809.7</v>
      </c>
      <c r="C1660" s="116">
        <v>3791.75</v>
      </c>
      <c r="D1660" s="116">
        <v>3765.15</v>
      </c>
      <c r="E1660" s="116">
        <v>3799</v>
      </c>
      <c r="F1660" s="116">
        <v>3791.75</v>
      </c>
      <c r="G1660">
        <v>38234</v>
      </c>
      <c r="H1660" s="116"/>
      <c r="I1660" s="116"/>
      <c r="L1660" s="170">
        <v>44448</v>
      </c>
      <c r="M1660" s="116">
        <v>3791.4</v>
      </c>
      <c r="N1660" s="116">
        <v>3808.7</v>
      </c>
      <c r="O1660" s="116">
        <v>3765</v>
      </c>
      <c r="P1660" s="116">
        <v>3789.7</v>
      </c>
      <c r="Q1660" s="116">
        <v>3791.4</v>
      </c>
      <c r="R1660">
        <v>1441148</v>
      </c>
    </row>
    <row r="1661" spans="1:18" x14ac:dyDescent="0.25">
      <c r="A1661" s="170">
        <v>44452</v>
      </c>
      <c r="B1661" s="116">
        <v>3851.9</v>
      </c>
      <c r="C1661" s="116">
        <v>3843.9</v>
      </c>
      <c r="D1661" s="116">
        <v>3761</v>
      </c>
      <c r="E1661" s="116">
        <v>3761</v>
      </c>
      <c r="F1661" s="116">
        <v>3843.9</v>
      </c>
      <c r="G1661">
        <v>82516</v>
      </c>
      <c r="H1661" s="116"/>
      <c r="I1661" s="116"/>
      <c r="L1661" s="170">
        <v>44452</v>
      </c>
      <c r="M1661" s="116">
        <v>3845.35</v>
      </c>
      <c r="N1661" s="116">
        <v>3852.4</v>
      </c>
      <c r="O1661" s="116">
        <v>3767</v>
      </c>
      <c r="P1661" s="116">
        <v>3767</v>
      </c>
      <c r="Q1661" s="116">
        <v>3845.35</v>
      </c>
      <c r="R1661">
        <v>1691473</v>
      </c>
    </row>
    <row r="1662" spans="1:18" x14ac:dyDescent="0.25">
      <c r="A1662" s="170">
        <v>44453</v>
      </c>
      <c r="B1662" s="116">
        <v>3895.6</v>
      </c>
      <c r="C1662" s="116">
        <v>3885.15</v>
      </c>
      <c r="D1662" s="116">
        <v>3828.65</v>
      </c>
      <c r="E1662" s="116">
        <v>3849.5</v>
      </c>
      <c r="F1662" s="116">
        <v>3885.15</v>
      </c>
      <c r="G1662">
        <v>31541</v>
      </c>
      <c r="H1662" s="116"/>
      <c r="I1662" s="116"/>
      <c r="L1662" s="170">
        <v>44453</v>
      </c>
      <c r="M1662" s="116">
        <v>3885.9</v>
      </c>
      <c r="N1662" s="116">
        <v>3896.5</v>
      </c>
      <c r="O1662" s="116">
        <v>3825</v>
      </c>
      <c r="P1662" s="116">
        <v>3849.95</v>
      </c>
      <c r="Q1662" s="116">
        <v>3885.9</v>
      </c>
      <c r="R1662">
        <v>1991188</v>
      </c>
    </row>
    <row r="1663" spans="1:18" x14ac:dyDescent="0.25">
      <c r="A1663" s="170">
        <v>44454</v>
      </c>
      <c r="B1663" s="116">
        <v>3980</v>
      </c>
      <c r="C1663" s="116">
        <v>3954.8</v>
      </c>
      <c r="D1663" s="116">
        <v>3866.45</v>
      </c>
      <c r="E1663" s="116">
        <v>3889.95</v>
      </c>
      <c r="F1663" s="116">
        <v>3954.8</v>
      </c>
      <c r="G1663">
        <v>130664</v>
      </c>
      <c r="H1663" s="116"/>
      <c r="I1663" s="116"/>
      <c r="L1663" s="170">
        <v>44454</v>
      </c>
      <c r="M1663" s="116">
        <v>3954.55</v>
      </c>
      <c r="N1663" s="116">
        <v>3980</v>
      </c>
      <c r="O1663" s="116">
        <v>3866</v>
      </c>
      <c r="P1663" s="116">
        <v>3882.1</v>
      </c>
      <c r="Q1663" s="116">
        <v>3954.55</v>
      </c>
      <c r="R1663">
        <v>2461369</v>
      </c>
    </row>
    <row r="1664" spans="1:18" x14ac:dyDescent="0.25">
      <c r="A1664" s="170">
        <v>44455</v>
      </c>
      <c r="B1664" s="116">
        <v>3981.55</v>
      </c>
      <c r="C1664" s="116">
        <v>3902.5</v>
      </c>
      <c r="D1664" s="116">
        <v>3891.95</v>
      </c>
      <c r="E1664" s="116">
        <v>3938</v>
      </c>
      <c r="F1664" s="116">
        <v>3902.5</v>
      </c>
      <c r="G1664">
        <v>117036</v>
      </c>
      <c r="H1664" s="116"/>
      <c r="I1664" s="116"/>
      <c r="L1664" s="170">
        <v>44455</v>
      </c>
      <c r="M1664" s="116">
        <v>3903.3</v>
      </c>
      <c r="N1664" s="116">
        <v>3981.75</v>
      </c>
      <c r="O1664" s="116">
        <v>3892.1</v>
      </c>
      <c r="P1664" s="116">
        <v>3930</v>
      </c>
      <c r="Q1664" s="116">
        <v>3903.3</v>
      </c>
      <c r="R1664">
        <v>2946666</v>
      </c>
    </row>
    <row r="1665" spans="1:18" x14ac:dyDescent="0.25">
      <c r="A1665" s="170">
        <v>44456</v>
      </c>
      <c r="B1665" s="116">
        <v>3944.4</v>
      </c>
      <c r="C1665" s="116">
        <v>3830.45</v>
      </c>
      <c r="D1665" s="116">
        <v>3806.9</v>
      </c>
      <c r="E1665" s="116">
        <v>3930</v>
      </c>
      <c r="F1665" s="116">
        <v>3830.45</v>
      </c>
      <c r="G1665">
        <v>109563</v>
      </c>
      <c r="H1665" s="116"/>
      <c r="I1665" s="116"/>
      <c r="L1665" s="170">
        <v>44456</v>
      </c>
      <c r="M1665" s="116">
        <v>3827.85</v>
      </c>
      <c r="N1665" s="116">
        <v>3945</v>
      </c>
      <c r="O1665" s="116">
        <v>3805</v>
      </c>
      <c r="P1665" s="116">
        <v>3920</v>
      </c>
      <c r="Q1665" s="116">
        <v>3827.85</v>
      </c>
      <c r="R1665">
        <v>6477148</v>
      </c>
    </row>
    <row r="1666" spans="1:18" x14ac:dyDescent="0.25">
      <c r="A1666" s="170">
        <v>44459</v>
      </c>
      <c r="B1666" s="116">
        <v>3871.5</v>
      </c>
      <c r="C1666" s="116">
        <v>3823.35</v>
      </c>
      <c r="D1666" s="116">
        <v>3811</v>
      </c>
      <c r="E1666" s="116">
        <v>3819</v>
      </c>
      <c r="F1666" s="116">
        <v>3823.35</v>
      </c>
      <c r="G1666">
        <v>65057</v>
      </c>
      <c r="H1666" s="116"/>
      <c r="I1666" s="116"/>
      <c r="L1666" s="170">
        <v>44459</v>
      </c>
      <c r="M1666" s="116">
        <v>3823.5</v>
      </c>
      <c r="N1666" s="116">
        <v>3871</v>
      </c>
      <c r="O1666" s="116">
        <v>3807.85</v>
      </c>
      <c r="P1666" s="116">
        <v>3809</v>
      </c>
      <c r="Q1666" s="116">
        <v>3823.5</v>
      </c>
      <c r="R1666">
        <v>2002008</v>
      </c>
    </row>
    <row r="1667" spans="1:18" x14ac:dyDescent="0.25">
      <c r="A1667" s="170">
        <v>44460</v>
      </c>
      <c r="B1667" s="116">
        <v>3870.3</v>
      </c>
      <c r="C1667" s="116">
        <v>3864.95</v>
      </c>
      <c r="D1667" s="116">
        <v>3823</v>
      </c>
      <c r="E1667" s="116">
        <v>3845.5</v>
      </c>
      <c r="F1667" s="116">
        <v>3864.95</v>
      </c>
      <c r="G1667">
        <v>48497</v>
      </c>
      <c r="H1667" s="116"/>
      <c r="I1667" s="116"/>
      <c r="L1667" s="170">
        <v>44460</v>
      </c>
      <c r="M1667" s="116">
        <v>3862.95</v>
      </c>
      <c r="N1667" s="116">
        <v>3871.55</v>
      </c>
      <c r="O1667" s="116">
        <v>3821.65</v>
      </c>
      <c r="P1667" s="116">
        <v>3858</v>
      </c>
      <c r="Q1667" s="116">
        <v>3862.95</v>
      </c>
      <c r="R1667">
        <v>1568129</v>
      </c>
    </row>
    <row r="1668" spans="1:18" x14ac:dyDescent="0.25">
      <c r="A1668" s="170">
        <v>44461</v>
      </c>
      <c r="B1668" s="116">
        <v>3896.95</v>
      </c>
      <c r="C1668" s="116">
        <v>3862.5</v>
      </c>
      <c r="D1668" s="116">
        <v>3852.3</v>
      </c>
      <c r="E1668" s="116">
        <v>3861</v>
      </c>
      <c r="F1668" s="116">
        <v>3862.5</v>
      </c>
      <c r="G1668">
        <v>141321</v>
      </c>
      <c r="H1668" s="116"/>
      <c r="I1668" s="116"/>
      <c r="L1668" s="170">
        <v>44461</v>
      </c>
      <c r="M1668" s="116">
        <v>3862.15</v>
      </c>
      <c r="N1668" s="116">
        <v>3896.85</v>
      </c>
      <c r="O1668" s="116">
        <v>3852.45</v>
      </c>
      <c r="P1668" s="116">
        <v>3862.5</v>
      </c>
      <c r="Q1668" s="116">
        <v>3862.15</v>
      </c>
      <c r="R1668">
        <v>1744067</v>
      </c>
    </row>
    <row r="1669" spans="1:18" x14ac:dyDescent="0.25">
      <c r="A1669" s="170">
        <v>44462</v>
      </c>
      <c r="B1669" s="116">
        <v>3889</v>
      </c>
      <c r="C1669" s="116">
        <v>3868.7</v>
      </c>
      <c r="D1669" s="116">
        <v>3835.65</v>
      </c>
      <c r="E1669" s="116">
        <v>3889</v>
      </c>
      <c r="F1669" s="116">
        <v>3868.7</v>
      </c>
      <c r="G1669">
        <v>947615</v>
      </c>
      <c r="H1669" s="116"/>
      <c r="I1669" s="116"/>
      <c r="L1669" s="170">
        <v>44462</v>
      </c>
      <c r="M1669" s="116">
        <v>3869.25</v>
      </c>
      <c r="N1669" s="116">
        <v>3879</v>
      </c>
      <c r="O1669" s="116">
        <v>3835</v>
      </c>
      <c r="P1669" s="116">
        <v>3870</v>
      </c>
      <c r="Q1669" s="116">
        <v>3869.25</v>
      </c>
      <c r="R1669">
        <v>2003869</v>
      </c>
    </row>
    <row r="1670" spans="1:18" x14ac:dyDescent="0.25">
      <c r="A1670" s="170">
        <v>44463</v>
      </c>
      <c r="B1670" s="116">
        <v>3944.5</v>
      </c>
      <c r="C1670" s="116">
        <v>3871.3</v>
      </c>
      <c r="D1670" s="116">
        <v>3856</v>
      </c>
      <c r="E1670" s="116">
        <v>3889</v>
      </c>
      <c r="F1670" s="116">
        <v>3871.3</v>
      </c>
      <c r="G1670">
        <v>49192</v>
      </c>
      <c r="H1670" s="116"/>
      <c r="I1670" s="116"/>
      <c r="L1670" s="170">
        <v>44463</v>
      </c>
      <c r="M1670" s="116">
        <v>3871.3</v>
      </c>
      <c r="N1670" s="116">
        <v>3944.4</v>
      </c>
      <c r="O1670" s="116">
        <v>3855</v>
      </c>
      <c r="P1670" s="116">
        <v>3890</v>
      </c>
      <c r="Q1670" s="116">
        <v>3871.3</v>
      </c>
      <c r="R1670">
        <v>2320754</v>
      </c>
    </row>
    <row r="1671" spans="1:18" x14ac:dyDescent="0.25">
      <c r="A1671" s="170">
        <v>44466</v>
      </c>
      <c r="B1671" s="116">
        <v>3904</v>
      </c>
      <c r="C1671" s="116">
        <v>3836.95</v>
      </c>
      <c r="D1671" s="116">
        <v>3804</v>
      </c>
      <c r="E1671" s="116">
        <v>3891.15</v>
      </c>
      <c r="F1671" s="116">
        <v>3836.95</v>
      </c>
      <c r="G1671">
        <v>59914</v>
      </c>
      <c r="H1671" s="116"/>
      <c r="I1671" s="116"/>
      <c r="L1671" s="170">
        <v>44466</v>
      </c>
      <c r="M1671" s="116">
        <v>3836.95</v>
      </c>
      <c r="N1671" s="116">
        <v>3904</v>
      </c>
      <c r="O1671" s="116">
        <v>3802.9</v>
      </c>
      <c r="P1671" s="116">
        <v>3900</v>
      </c>
      <c r="Q1671" s="116">
        <v>3836.95</v>
      </c>
      <c r="R1671">
        <v>1673362</v>
      </c>
    </row>
    <row r="1672" spans="1:18" x14ac:dyDescent="0.25">
      <c r="A1672" s="170">
        <v>44467</v>
      </c>
      <c r="B1672" s="116">
        <v>3854</v>
      </c>
      <c r="C1672" s="116">
        <v>3779</v>
      </c>
      <c r="D1672" s="116">
        <v>3752.7</v>
      </c>
      <c r="E1672" s="116">
        <v>3854</v>
      </c>
      <c r="F1672" s="116">
        <v>3779</v>
      </c>
      <c r="G1672">
        <v>101477</v>
      </c>
      <c r="H1672" s="116"/>
      <c r="I1672" s="116"/>
      <c r="L1672" s="170">
        <v>44467</v>
      </c>
      <c r="M1672" s="116">
        <v>3779.15</v>
      </c>
      <c r="N1672" s="116">
        <v>3850</v>
      </c>
      <c r="O1672" s="116">
        <v>3751.25</v>
      </c>
      <c r="P1672" s="116">
        <v>3850</v>
      </c>
      <c r="Q1672" s="116">
        <v>3779.15</v>
      </c>
      <c r="R1672">
        <v>2253075</v>
      </c>
    </row>
    <row r="1673" spans="1:18" x14ac:dyDescent="0.25">
      <c r="A1673" s="170">
        <v>44468</v>
      </c>
      <c r="B1673" s="116">
        <v>3805.45</v>
      </c>
      <c r="C1673" s="116">
        <v>3791.6</v>
      </c>
      <c r="D1673" s="116">
        <v>3723.1</v>
      </c>
      <c r="E1673" s="116">
        <v>3750</v>
      </c>
      <c r="F1673" s="116">
        <v>3791.6</v>
      </c>
      <c r="G1673">
        <v>90622</v>
      </c>
      <c r="H1673" s="116"/>
      <c r="I1673" s="116"/>
      <c r="L1673" s="170">
        <v>44468</v>
      </c>
      <c r="M1673" s="116">
        <v>3791.9</v>
      </c>
      <c r="N1673" s="116">
        <v>3806</v>
      </c>
      <c r="O1673" s="116">
        <v>3722.15</v>
      </c>
      <c r="P1673" s="116">
        <v>3759.8</v>
      </c>
      <c r="Q1673" s="116">
        <v>3791.9</v>
      </c>
      <c r="R1673">
        <v>2489161</v>
      </c>
    </row>
    <row r="1674" spans="1:18" x14ac:dyDescent="0.25">
      <c r="A1674" s="170">
        <v>44469</v>
      </c>
      <c r="B1674" s="116">
        <v>3811</v>
      </c>
      <c r="C1674" s="116">
        <v>3774.5</v>
      </c>
      <c r="D1674" s="116">
        <v>3750.75</v>
      </c>
      <c r="E1674" s="116">
        <v>3811</v>
      </c>
      <c r="F1674" s="116">
        <v>3774.5</v>
      </c>
      <c r="G1674">
        <v>39114</v>
      </c>
      <c r="H1674" s="116"/>
      <c r="I1674" s="116"/>
      <c r="L1674" s="170">
        <v>44469</v>
      </c>
      <c r="M1674" s="116">
        <v>3775.55</v>
      </c>
      <c r="N1674" s="116">
        <v>3805</v>
      </c>
      <c r="O1674" s="116">
        <v>3750.1</v>
      </c>
      <c r="P1674" s="116">
        <v>3805</v>
      </c>
      <c r="Q1674" s="116">
        <v>3775.55</v>
      </c>
      <c r="R1674">
        <v>2252412</v>
      </c>
    </row>
    <row r="1675" spans="1:18" x14ac:dyDescent="0.25">
      <c r="A1675" s="170">
        <v>44470</v>
      </c>
      <c r="B1675" s="116">
        <v>3811</v>
      </c>
      <c r="C1675" s="116">
        <v>3729.3</v>
      </c>
      <c r="D1675" s="116">
        <v>3725</v>
      </c>
      <c r="E1675" s="116">
        <v>3779</v>
      </c>
      <c r="F1675" s="116">
        <v>3729.3</v>
      </c>
      <c r="G1675">
        <v>97631</v>
      </c>
      <c r="H1675" s="116"/>
      <c r="I1675" s="116"/>
      <c r="L1675" s="170">
        <v>44470</v>
      </c>
      <c r="M1675" s="116">
        <v>3730.2</v>
      </c>
      <c r="N1675" s="116">
        <v>3810</v>
      </c>
      <c r="O1675" s="116">
        <v>3725</v>
      </c>
      <c r="P1675" s="116">
        <v>3781.75</v>
      </c>
      <c r="Q1675" s="116">
        <v>3730.2</v>
      </c>
      <c r="R1675">
        <v>1578374</v>
      </c>
    </row>
    <row r="1676" spans="1:18" x14ac:dyDescent="0.25">
      <c r="A1676" s="170">
        <v>44473</v>
      </c>
      <c r="B1676" s="116">
        <v>3782.75</v>
      </c>
      <c r="C1676" s="116">
        <v>3771.1</v>
      </c>
      <c r="D1676" s="116">
        <v>3708.05</v>
      </c>
      <c r="E1676" s="116">
        <v>3728</v>
      </c>
      <c r="F1676" s="116">
        <v>3771.1</v>
      </c>
      <c r="G1676">
        <v>92760</v>
      </c>
      <c r="H1676" s="116"/>
      <c r="I1676" s="116"/>
      <c r="L1676" s="170">
        <v>44473</v>
      </c>
      <c r="M1676" s="116">
        <v>3773.3</v>
      </c>
      <c r="N1676" s="116">
        <v>3783.65</v>
      </c>
      <c r="O1676" s="116">
        <v>3707.45</v>
      </c>
      <c r="P1676" s="116">
        <v>3724.8</v>
      </c>
      <c r="Q1676" s="116">
        <v>3773.3</v>
      </c>
      <c r="R1676">
        <v>1356860</v>
      </c>
    </row>
    <row r="1677" spans="1:18" x14ac:dyDescent="0.25">
      <c r="A1677" s="170">
        <v>44474</v>
      </c>
      <c r="B1677" s="116">
        <v>3840</v>
      </c>
      <c r="C1677" s="116">
        <v>3833.7</v>
      </c>
      <c r="D1677" s="116">
        <v>3742.6</v>
      </c>
      <c r="E1677" s="116">
        <v>3765</v>
      </c>
      <c r="F1677" s="116">
        <v>3833.7</v>
      </c>
      <c r="G1677">
        <v>108583</v>
      </c>
      <c r="H1677" s="116"/>
      <c r="I1677" s="116"/>
      <c r="L1677" s="170">
        <v>44474</v>
      </c>
      <c r="M1677" s="116">
        <v>3833.3</v>
      </c>
      <c r="N1677" s="116">
        <v>3840</v>
      </c>
      <c r="O1677" s="116">
        <v>3741.6</v>
      </c>
      <c r="P1677" s="116">
        <v>3754</v>
      </c>
      <c r="Q1677" s="116">
        <v>3833.3</v>
      </c>
      <c r="R1677">
        <v>1877966</v>
      </c>
    </row>
    <row r="1678" spans="1:18" x14ac:dyDescent="0.25">
      <c r="A1678" s="170">
        <v>44475</v>
      </c>
      <c r="B1678" s="116">
        <v>3858</v>
      </c>
      <c r="C1678" s="116">
        <v>3809.9</v>
      </c>
      <c r="D1678" s="116">
        <v>3795</v>
      </c>
      <c r="E1678" s="116">
        <v>3844</v>
      </c>
      <c r="F1678" s="116">
        <v>3809.9</v>
      </c>
      <c r="G1678">
        <v>60822</v>
      </c>
      <c r="H1678" s="116"/>
      <c r="I1678" s="116"/>
      <c r="L1678" s="170">
        <v>44475</v>
      </c>
      <c r="M1678" s="116">
        <v>3810.9</v>
      </c>
      <c r="N1678" s="116">
        <v>3857.45</v>
      </c>
      <c r="O1678" s="116">
        <v>3795</v>
      </c>
      <c r="P1678" s="116">
        <v>3836</v>
      </c>
      <c r="Q1678" s="116">
        <v>3810.9</v>
      </c>
      <c r="R1678">
        <v>1678154</v>
      </c>
    </row>
    <row r="1679" spans="1:18" x14ac:dyDescent="0.25">
      <c r="A1679" s="170">
        <v>44476</v>
      </c>
      <c r="B1679" s="116">
        <v>3899.65</v>
      </c>
      <c r="C1679" s="116">
        <v>3892.6</v>
      </c>
      <c r="D1679" s="116">
        <v>3821.3</v>
      </c>
      <c r="E1679" s="116">
        <v>3822</v>
      </c>
      <c r="F1679" s="116">
        <v>3892.6</v>
      </c>
      <c r="G1679">
        <v>47233</v>
      </c>
      <c r="H1679" s="116"/>
      <c r="I1679" s="116"/>
      <c r="L1679" s="170">
        <v>44476</v>
      </c>
      <c r="M1679" s="116">
        <v>3892.9</v>
      </c>
      <c r="N1679" s="116">
        <v>3899</v>
      </c>
      <c r="O1679" s="116">
        <v>3820.05</v>
      </c>
      <c r="P1679" s="116">
        <v>3830</v>
      </c>
      <c r="Q1679" s="116">
        <v>3892.9</v>
      </c>
      <c r="R1679">
        <v>1647233</v>
      </c>
    </row>
    <row r="1680" spans="1:18" x14ac:dyDescent="0.25">
      <c r="A1680" s="170">
        <v>44477</v>
      </c>
      <c r="B1680" s="116">
        <v>3990</v>
      </c>
      <c r="C1680" s="116">
        <v>3935.3</v>
      </c>
      <c r="D1680" s="116">
        <v>3898.95</v>
      </c>
      <c r="E1680" s="116">
        <v>3935</v>
      </c>
      <c r="F1680" s="116">
        <v>3935.3</v>
      </c>
      <c r="G1680">
        <v>97634</v>
      </c>
      <c r="H1680" s="116"/>
      <c r="I1680" s="116"/>
      <c r="L1680" s="170">
        <v>44477</v>
      </c>
      <c r="M1680" s="116">
        <v>3935.65</v>
      </c>
      <c r="N1680" s="116">
        <v>3989.9</v>
      </c>
      <c r="O1680" s="116">
        <v>3900</v>
      </c>
      <c r="P1680" s="116">
        <v>3925</v>
      </c>
      <c r="Q1680" s="116">
        <v>3935.65</v>
      </c>
      <c r="R1680">
        <v>2934339</v>
      </c>
    </row>
    <row r="1681" spans="1:18" x14ac:dyDescent="0.25">
      <c r="A1681" s="170">
        <v>44480</v>
      </c>
      <c r="B1681" s="116">
        <v>3797</v>
      </c>
      <c r="C1681" s="116">
        <v>3686.5</v>
      </c>
      <c r="D1681" s="116">
        <v>3660</v>
      </c>
      <c r="E1681" s="116">
        <v>3797</v>
      </c>
      <c r="F1681" s="116">
        <v>3686.5</v>
      </c>
      <c r="G1681">
        <v>1280463</v>
      </c>
      <c r="H1681" s="116"/>
      <c r="I1681" s="116"/>
      <c r="L1681" s="170">
        <v>44480</v>
      </c>
      <c r="M1681" s="116">
        <v>3685.6</v>
      </c>
      <c r="N1681" s="116">
        <v>3757.5</v>
      </c>
      <c r="O1681" s="116">
        <v>3660</v>
      </c>
      <c r="P1681" s="116">
        <v>3755</v>
      </c>
      <c r="Q1681" s="116">
        <v>3685.6</v>
      </c>
      <c r="R1681">
        <v>11845402</v>
      </c>
    </row>
    <row r="1682" spans="1:18" x14ac:dyDescent="0.25">
      <c r="A1682" s="170">
        <v>44481</v>
      </c>
      <c r="B1682" s="116">
        <v>3709</v>
      </c>
      <c r="C1682" s="116">
        <v>3653.9</v>
      </c>
      <c r="D1682" s="116">
        <v>3631.35</v>
      </c>
      <c r="E1682" s="116">
        <v>3709</v>
      </c>
      <c r="F1682" s="116">
        <v>3653.9</v>
      </c>
      <c r="G1682">
        <v>266211</v>
      </c>
      <c r="H1682" s="116"/>
      <c r="I1682" s="116"/>
      <c r="L1682" s="170">
        <v>44481</v>
      </c>
      <c r="M1682" s="116">
        <v>3652.85</v>
      </c>
      <c r="N1682" s="116">
        <v>3707</v>
      </c>
      <c r="O1682" s="116">
        <v>3630.6</v>
      </c>
      <c r="P1682" s="116">
        <v>3706</v>
      </c>
      <c r="Q1682" s="116">
        <v>3652.85</v>
      </c>
      <c r="R1682">
        <v>5752877</v>
      </c>
    </row>
    <row r="1683" spans="1:18" x14ac:dyDescent="0.25">
      <c r="A1683" s="170">
        <v>44482</v>
      </c>
      <c r="B1683" s="116">
        <v>3675</v>
      </c>
      <c r="C1683" s="116">
        <v>3656.05</v>
      </c>
      <c r="D1683" s="116">
        <v>3645.05</v>
      </c>
      <c r="E1683" s="116">
        <v>3661.1</v>
      </c>
      <c r="F1683" s="116">
        <v>3656.05</v>
      </c>
      <c r="G1683">
        <v>184950</v>
      </c>
      <c r="H1683" s="116"/>
      <c r="I1683" s="116"/>
      <c r="L1683" s="170">
        <v>44482</v>
      </c>
      <c r="M1683" s="116">
        <v>3655.2</v>
      </c>
      <c r="N1683" s="116">
        <v>3675.45</v>
      </c>
      <c r="O1683" s="116">
        <v>3645</v>
      </c>
      <c r="P1683" s="116">
        <v>3650</v>
      </c>
      <c r="Q1683" s="116">
        <v>3655.2</v>
      </c>
      <c r="R1683">
        <v>3545655</v>
      </c>
    </row>
    <row r="1684" spans="1:18" x14ac:dyDescent="0.25">
      <c r="A1684" s="170">
        <v>44483</v>
      </c>
      <c r="B1684" s="116">
        <v>3671</v>
      </c>
      <c r="C1684" s="116">
        <v>3611.3</v>
      </c>
      <c r="D1684" s="116">
        <v>3608.4</v>
      </c>
      <c r="E1684" s="116">
        <v>3650</v>
      </c>
      <c r="F1684" s="116">
        <v>3611.3</v>
      </c>
      <c r="G1684">
        <v>330478</v>
      </c>
      <c r="H1684" s="116"/>
      <c r="I1684" s="116"/>
      <c r="L1684" s="170">
        <v>44483</v>
      </c>
      <c r="M1684" s="116">
        <v>3611.45</v>
      </c>
      <c r="N1684" s="116">
        <v>3670</v>
      </c>
      <c r="O1684" s="116">
        <v>3608.2</v>
      </c>
      <c r="P1684" s="116">
        <v>3625</v>
      </c>
      <c r="Q1684" s="116">
        <v>3611.45</v>
      </c>
      <c r="R1684">
        <v>6442299</v>
      </c>
    </row>
    <row r="1685" spans="1:18" x14ac:dyDescent="0.25">
      <c r="A1685" s="170">
        <v>44487</v>
      </c>
      <c r="B1685" s="116">
        <v>3653</v>
      </c>
      <c r="C1685" s="116">
        <v>3647.4</v>
      </c>
      <c r="D1685" s="116">
        <v>3607.05</v>
      </c>
      <c r="E1685" s="116">
        <v>3612</v>
      </c>
      <c r="F1685" s="116">
        <v>3647.4</v>
      </c>
      <c r="G1685">
        <v>123363</v>
      </c>
      <c r="H1685" s="116"/>
      <c r="I1685" s="116"/>
      <c r="L1685" s="170">
        <v>44487</v>
      </c>
      <c r="M1685" s="116">
        <v>3647.15</v>
      </c>
      <c r="N1685" s="116">
        <v>3652.7</v>
      </c>
      <c r="O1685" s="116">
        <v>3601.45</v>
      </c>
      <c r="P1685" s="116">
        <v>3603.45</v>
      </c>
      <c r="Q1685" s="116">
        <v>3647.15</v>
      </c>
      <c r="R1685">
        <v>3590107</v>
      </c>
    </row>
    <row r="1686" spans="1:18" x14ac:dyDescent="0.25">
      <c r="A1686" s="170">
        <v>44488</v>
      </c>
      <c r="B1686" s="116">
        <v>3690.3</v>
      </c>
      <c r="C1686" s="116">
        <v>3634.6</v>
      </c>
      <c r="D1686" s="116">
        <v>3625</v>
      </c>
      <c r="E1686" s="116">
        <v>3670</v>
      </c>
      <c r="F1686" s="116">
        <v>3634.6</v>
      </c>
      <c r="G1686">
        <v>212142</v>
      </c>
      <c r="H1686" s="116"/>
      <c r="I1686" s="116"/>
      <c r="L1686" s="170">
        <v>44488</v>
      </c>
      <c r="M1686" s="116">
        <v>3634.15</v>
      </c>
      <c r="N1686" s="116">
        <v>3690.1</v>
      </c>
      <c r="O1686" s="116">
        <v>3625.2</v>
      </c>
      <c r="P1686" s="116">
        <v>3669</v>
      </c>
      <c r="Q1686" s="116">
        <v>3634.15</v>
      </c>
      <c r="R1686">
        <v>3135441</v>
      </c>
    </row>
    <row r="1687" spans="1:18" x14ac:dyDescent="0.25">
      <c r="A1687" s="170">
        <v>44489</v>
      </c>
      <c r="B1687" s="116">
        <v>3629.5</v>
      </c>
      <c r="C1687" s="116">
        <v>3607.85</v>
      </c>
      <c r="D1687" s="116">
        <v>3578.2</v>
      </c>
      <c r="E1687" s="116">
        <v>3615.1</v>
      </c>
      <c r="F1687" s="116">
        <v>3607.85</v>
      </c>
      <c r="G1687">
        <v>1033300</v>
      </c>
      <c r="H1687" s="116"/>
      <c r="I1687" s="116"/>
      <c r="L1687" s="170">
        <v>44489</v>
      </c>
      <c r="M1687" s="116">
        <v>3608.85</v>
      </c>
      <c r="N1687" s="116">
        <v>3630</v>
      </c>
      <c r="O1687" s="116">
        <v>3578.3</v>
      </c>
      <c r="P1687" s="116">
        <v>3612</v>
      </c>
      <c r="Q1687" s="116">
        <v>3608.85</v>
      </c>
      <c r="R1687">
        <v>2933693</v>
      </c>
    </row>
    <row r="1688" spans="1:18" x14ac:dyDescent="0.25">
      <c r="A1688" s="170">
        <v>44490</v>
      </c>
      <c r="B1688" s="116">
        <v>3618</v>
      </c>
      <c r="C1688" s="116">
        <v>3533.4</v>
      </c>
      <c r="D1688" s="116">
        <v>3512.1</v>
      </c>
      <c r="E1688" s="116">
        <v>3618</v>
      </c>
      <c r="F1688" s="116">
        <v>3533.4</v>
      </c>
      <c r="G1688">
        <v>89945</v>
      </c>
      <c r="H1688" s="116"/>
      <c r="I1688" s="116"/>
      <c r="L1688" s="170">
        <v>44490</v>
      </c>
      <c r="M1688" s="116">
        <v>3532.5</v>
      </c>
      <c r="N1688" s="116">
        <v>3607.45</v>
      </c>
      <c r="O1688" s="116">
        <v>3511.25</v>
      </c>
      <c r="P1688" s="116">
        <v>3604.1</v>
      </c>
      <c r="Q1688" s="116">
        <v>3532.5</v>
      </c>
      <c r="R1688">
        <v>4871211</v>
      </c>
    </row>
    <row r="1689" spans="1:18" x14ac:dyDescent="0.25">
      <c r="A1689" s="170">
        <v>44491</v>
      </c>
      <c r="B1689" s="116">
        <v>3564</v>
      </c>
      <c r="C1689" s="116">
        <v>3500.05</v>
      </c>
      <c r="D1689" s="116">
        <v>3485</v>
      </c>
      <c r="E1689" s="116">
        <v>3564</v>
      </c>
      <c r="F1689" s="116">
        <v>3500.05</v>
      </c>
      <c r="G1689">
        <v>135071</v>
      </c>
      <c r="H1689" s="116"/>
      <c r="I1689" s="116"/>
      <c r="L1689" s="170">
        <v>44491</v>
      </c>
      <c r="M1689" s="116">
        <v>3498.85</v>
      </c>
      <c r="N1689" s="116">
        <v>3561.6</v>
      </c>
      <c r="O1689" s="116">
        <v>3485</v>
      </c>
      <c r="P1689" s="116">
        <v>3560</v>
      </c>
      <c r="Q1689" s="116">
        <v>3498.85</v>
      </c>
      <c r="R1689">
        <v>2691670</v>
      </c>
    </row>
    <row r="1690" spans="1:18" x14ac:dyDescent="0.25">
      <c r="A1690" s="170">
        <v>44494</v>
      </c>
      <c r="B1690" s="116">
        <v>3515</v>
      </c>
      <c r="C1690" s="116">
        <v>3492.5</v>
      </c>
      <c r="D1690" s="116">
        <v>3450</v>
      </c>
      <c r="E1690" s="116">
        <v>3500.05</v>
      </c>
      <c r="F1690" s="116">
        <v>3492.5</v>
      </c>
      <c r="G1690">
        <v>121831</v>
      </c>
      <c r="H1690" s="116"/>
      <c r="I1690" s="116"/>
      <c r="L1690" s="170">
        <v>44494</v>
      </c>
      <c r="M1690" s="116">
        <v>3492.95</v>
      </c>
      <c r="N1690" s="116">
        <v>3514.55</v>
      </c>
      <c r="O1690" s="116">
        <v>3450</v>
      </c>
      <c r="P1690" s="116">
        <v>3503</v>
      </c>
      <c r="Q1690" s="116">
        <v>3492.95</v>
      </c>
      <c r="R1690">
        <v>2595594</v>
      </c>
    </row>
    <row r="1691" spans="1:18" x14ac:dyDescent="0.25">
      <c r="A1691" s="170">
        <v>44495</v>
      </c>
      <c r="B1691" s="116">
        <v>3529.15</v>
      </c>
      <c r="C1691" s="116">
        <v>3483.05</v>
      </c>
      <c r="D1691" s="116">
        <v>3475</v>
      </c>
      <c r="E1691" s="116">
        <v>3499</v>
      </c>
      <c r="F1691" s="116">
        <v>3483.05</v>
      </c>
      <c r="G1691">
        <v>59363</v>
      </c>
      <c r="H1691" s="116"/>
      <c r="I1691" s="116"/>
      <c r="L1691" s="170">
        <v>44495</v>
      </c>
      <c r="M1691" s="116">
        <v>3482.6</v>
      </c>
      <c r="N1691" s="116">
        <v>3529</v>
      </c>
      <c r="O1691" s="116">
        <v>3475</v>
      </c>
      <c r="P1691" s="116">
        <v>3494.5</v>
      </c>
      <c r="Q1691" s="116">
        <v>3482.6</v>
      </c>
      <c r="R1691">
        <v>3878763</v>
      </c>
    </row>
    <row r="1692" spans="1:18" x14ac:dyDescent="0.25">
      <c r="A1692" s="170">
        <v>44496</v>
      </c>
      <c r="B1692" s="116">
        <v>3511.9</v>
      </c>
      <c r="C1692" s="116">
        <v>3488.95</v>
      </c>
      <c r="D1692" s="116">
        <v>3481.7</v>
      </c>
      <c r="E1692" s="116">
        <v>3497.7</v>
      </c>
      <c r="F1692" s="116">
        <v>3488.95</v>
      </c>
      <c r="G1692">
        <v>116096</v>
      </c>
      <c r="H1692" s="116"/>
      <c r="I1692" s="116"/>
      <c r="L1692" s="170">
        <v>44496</v>
      </c>
      <c r="M1692" s="116">
        <v>3489.75</v>
      </c>
      <c r="N1692" s="116">
        <v>3511.25</v>
      </c>
      <c r="O1692" s="116">
        <v>3483</v>
      </c>
      <c r="P1692" s="116">
        <v>3483</v>
      </c>
      <c r="Q1692" s="116">
        <v>3489.75</v>
      </c>
      <c r="R1692">
        <v>2510813</v>
      </c>
    </row>
    <row r="1693" spans="1:18" x14ac:dyDescent="0.25">
      <c r="A1693" s="170">
        <v>44497</v>
      </c>
      <c r="B1693" s="116">
        <v>3515.05</v>
      </c>
      <c r="C1693" s="116">
        <v>3424.35</v>
      </c>
      <c r="D1693" s="116">
        <v>3416</v>
      </c>
      <c r="E1693" s="116">
        <v>3515</v>
      </c>
      <c r="F1693" s="116">
        <v>3424.35</v>
      </c>
      <c r="G1693">
        <v>60853</v>
      </c>
      <c r="H1693" s="116"/>
      <c r="I1693" s="116"/>
      <c r="L1693" s="170">
        <v>44497</v>
      </c>
      <c r="M1693" s="116">
        <v>3421.65</v>
      </c>
      <c r="N1693" s="116">
        <v>3518</v>
      </c>
      <c r="O1693" s="116">
        <v>3415</v>
      </c>
      <c r="P1693" s="116">
        <v>3518</v>
      </c>
      <c r="Q1693" s="116">
        <v>3421.65</v>
      </c>
      <c r="R1693">
        <v>2424942</v>
      </c>
    </row>
    <row r="1694" spans="1:18" x14ac:dyDescent="0.25">
      <c r="A1694" s="170">
        <v>44498</v>
      </c>
      <c r="B1694" s="116">
        <v>3459.8</v>
      </c>
      <c r="C1694" s="116">
        <v>3398.8</v>
      </c>
      <c r="D1694" s="116">
        <v>3386</v>
      </c>
      <c r="E1694" s="116">
        <v>3410</v>
      </c>
      <c r="F1694" s="116">
        <v>3398.8</v>
      </c>
      <c r="G1694">
        <v>178291</v>
      </c>
      <c r="H1694" s="116"/>
      <c r="I1694" s="116"/>
      <c r="L1694" s="170">
        <v>44498</v>
      </c>
      <c r="M1694" s="116">
        <v>3397.75</v>
      </c>
      <c r="N1694" s="116">
        <v>3461</v>
      </c>
      <c r="O1694" s="116">
        <v>3385.95</v>
      </c>
      <c r="P1694" s="116">
        <v>3400.05</v>
      </c>
      <c r="Q1694" s="116">
        <v>3397.75</v>
      </c>
      <c r="R1694">
        <v>3960501</v>
      </c>
    </row>
    <row r="1695" spans="1:18" x14ac:dyDescent="0.25">
      <c r="A1695" s="170">
        <v>44501</v>
      </c>
      <c r="B1695" s="116">
        <v>3489</v>
      </c>
      <c r="C1695" s="116">
        <v>3477.3</v>
      </c>
      <c r="D1695" s="116">
        <v>3412.65</v>
      </c>
      <c r="E1695" s="116">
        <v>3438</v>
      </c>
      <c r="F1695" s="116">
        <v>3477.3</v>
      </c>
      <c r="G1695">
        <v>89540</v>
      </c>
      <c r="H1695" s="116"/>
      <c r="I1695" s="116"/>
      <c r="L1695" s="170">
        <v>44501</v>
      </c>
      <c r="M1695" s="116">
        <v>3476.4</v>
      </c>
      <c r="N1695" s="116">
        <v>3487</v>
      </c>
      <c r="O1695" s="116">
        <v>3412.95</v>
      </c>
      <c r="P1695" s="116">
        <v>3437.95</v>
      </c>
      <c r="Q1695" s="116">
        <v>3476.4</v>
      </c>
      <c r="R1695">
        <v>2020718</v>
      </c>
    </row>
    <row r="1696" spans="1:18" x14ac:dyDescent="0.25">
      <c r="A1696" s="170">
        <v>44502</v>
      </c>
      <c r="B1696" s="116">
        <v>3513.95</v>
      </c>
      <c r="C1696" s="116">
        <v>3483.75</v>
      </c>
      <c r="D1696" s="116">
        <v>3466.1</v>
      </c>
      <c r="E1696" s="116">
        <v>3495</v>
      </c>
      <c r="F1696" s="116">
        <v>3483.75</v>
      </c>
      <c r="G1696">
        <v>185781</v>
      </c>
      <c r="H1696" s="116"/>
      <c r="I1696" s="116"/>
      <c r="L1696" s="170">
        <v>44502</v>
      </c>
      <c r="M1696" s="116">
        <v>3484.2</v>
      </c>
      <c r="N1696" s="116">
        <v>3513.6</v>
      </c>
      <c r="O1696" s="116">
        <v>3469.75</v>
      </c>
      <c r="P1696" s="116">
        <v>3494</v>
      </c>
      <c r="Q1696" s="116">
        <v>3484.2</v>
      </c>
      <c r="R1696">
        <v>3087414</v>
      </c>
    </row>
    <row r="1697" spans="1:18" x14ac:dyDescent="0.25">
      <c r="A1697" s="170">
        <v>44503</v>
      </c>
      <c r="B1697" s="116">
        <v>3519.95</v>
      </c>
      <c r="C1697" s="116">
        <v>3492.55</v>
      </c>
      <c r="D1697" s="116">
        <v>3466.5</v>
      </c>
      <c r="E1697" s="116">
        <v>3508</v>
      </c>
      <c r="F1697" s="116">
        <v>3492.55</v>
      </c>
      <c r="G1697">
        <v>39055</v>
      </c>
      <c r="H1697" s="116"/>
      <c r="I1697" s="116"/>
      <c r="L1697" s="170">
        <v>44503</v>
      </c>
      <c r="M1697" s="116">
        <v>3492.25</v>
      </c>
      <c r="N1697" s="116">
        <v>3519.9</v>
      </c>
      <c r="O1697" s="116">
        <v>3466.05</v>
      </c>
      <c r="P1697" s="116">
        <v>3504.2</v>
      </c>
      <c r="Q1697" s="116">
        <v>3492.25</v>
      </c>
      <c r="R1697">
        <v>1537639</v>
      </c>
    </row>
    <row r="1698" spans="1:18" x14ac:dyDescent="0.25">
      <c r="A1698" s="170">
        <v>44504</v>
      </c>
      <c r="B1698" s="116">
        <v>3515.1</v>
      </c>
      <c r="C1698" s="116">
        <v>3509.05</v>
      </c>
      <c r="D1698" s="116">
        <v>3505.7</v>
      </c>
      <c r="E1698" s="116">
        <v>3515</v>
      </c>
      <c r="F1698" s="116">
        <v>3509.05</v>
      </c>
      <c r="G1698">
        <v>33702</v>
      </c>
      <c r="H1698" s="116"/>
      <c r="I1698" s="116"/>
      <c r="L1698" s="170">
        <v>44504</v>
      </c>
      <c r="M1698" s="116">
        <v>3508.65</v>
      </c>
      <c r="N1698" s="116">
        <v>3513.25</v>
      </c>
      <c r="O1698" s="116">
        <v>3505</v>
      </c>
      <c r="P1698" s="116">
        <v>3512.95</v>
      </c>
      <c r="Q1698" s="116">
        <v>3508.65</v>
      </c>
      <c r="R1698">
        <v>328991</v>
      </c>
    </row>
    <row r="1699" spans="1:18" x14ac:dyDescent="0.25">
      <c r="A1699" s="170">
        <v>44508</v>
      </c>
      <c r="B1699" s="116">
        <v>3539</v>
      </c>
      <c r="C1699" s="116">
        <v>3502.6</v>
      </c>
      <c r="D1699" s="116">
        <v>3481.25</v>
      </c>
      <c r="E1699" s="116">
        <v>3539</v>
      </c>
      <c r="F1699" s="116">
        <v>3502.6</v>
      </c>
      <c r="G1699">
        <v>129083</v>
      </c>
      <c r="H1699" s="116"/>
      <c r="I1699" s="116"/>
      <c r="L1699" s="170">
        <v>44508</v>
      </c>
      <c r="M1699" s="116">
        <v>3502.75</v>
      </c>
      <c r="N1699" s="116">
        <v>3548</v>
      </c>
      <c r="O1699" s="116">
        <v>3481.2</v>
      </c>
      <c r="P1699" s="116">
        <v>3548</v>
      </c>
      <c r="Q1699" s="116">
        <v>3502.75</v>
      </c>
      <c r="R1699">
        <v>2526082</v>
      </c>
    </row>
    <row r="1700" spans="1:18" x14ac:dyDescent="0.25">
      <c r="A1700" s="170">
        <v>44509</v>
      </c>
      <c r="B1700" s="116">
        <v>3534.9</v>
      </c>
      <c r="C1700" s="116">
        <v>3504.5</v>
      </c>
      <c r="D1700" s="116">
        <v>3497.6</v>
      </c>
      <c r="E1700" s="116">
        <v>3504</v>
      </c>
      <c r="F1700" s="116">
        <v>3504.5</v>
      </c>
      <c r="G1700">
        <v>83427</v>
      </c>
      <c r="H1700" s="116"/>
      <c r="I1700" s="116"/>
      <c r="L1700" s="170">
        <v>44509</v>
      </c>
      <c r="M1700" s="116">
        <v>3505.7</v>
      </c>
      <c r="N1700" s="116">
        <v>3535</v>
      </c>
      <c r="O1700" s="116">
        <v>3496</v>
      </c>
      <c r="P1700" s="116">
        <v>3508</v>
      </c>
      <c r="Q1700" s="116">
        <v>3505.7</v>
      </c>
      <c r="R1700">
        <v>1782692</v>
      </c>
    </row>
    <row r="1701" spans="1:18" x14ac:dyDescent="0.25">
      <c r="A1701" s="170">
        <v>44510</v>
      </c>
      <c r="B1701" s="116">
        <v>3519.4</v>
      </c>
      <c r="C1701" s="116">
        <v>3484.35</v>
      </c>
      <c r="D1701" s="116">
        <v>3481.35</v>
      </c>
      <c r="E1701" s="116">
        <v>3500</v>
      </c>
      <c r="F1701" s="116">
        <v>3484.35</v>
      </c>
      <c r="G1701">
        <v>53691</v>
      </c>
      <c r="H1701" s="116"/>
      <c r="I1701" s="116"/>
      <c r="L1701" s="170">
        <v>44510</v>
      </c>
      <c r="M1701" s="116">
        <v>3484.3</v>
      </c>
      <c r="N1701" s="116">
        <v>3519.7</v>
      </c>
      <c r="O1701" s="116">
        <v>3480.2</v>
      </c>
      <c r="P1701" s="116">
        <v>3498</v>
      </c>
      <c r="Q1701" s="116">
        <v>3484.3</v>
      </c>
      <c r="R1701">
        <v>1516489</v>
      </c>
    </row>
    <row r="1702" spans="1:18" x14ac:dyDescent="0.25">
      <c r="A1702" s="170">
        <v>44511</v>
      </c>
      <c r="B1702" s="116">
        <v>3508.75</v>
      </c>
      <c r="C1702" s="116">
        <v>3488.1</v>
      </c>
      <c r="D1702" s="116">
        <v>3436</v>
      </c>
      <c r="E1702" s="116">
        <v>3482</v>
      </c>
      <c r="F1702" s="116">
        <v>3488.1</v>
      </c>
      <c r="G1702">
        <v>95676</v>
      </c>
      <c r="H1702" s="116"/>
      <c r="I1702" s="116"/>
      <c r="L1702" s="170">
        <v>44511</v>
      </c>
      <c r="M1702" s="116">
        <v>3488.2</v>
      </c>
      <c r="N1702" s="116">
        <v>3510.05</v>
      </c>
      <c r="O1702" s="116">
        <v>3436</v>
      </c>
      <c r="P1702" s="116">
        <v>3480</v>
      </c>
      <c r="Q1702" s="116">
        <v>3488.2</v>
      </c>
      <c r="R1702">
        <v>1284514</v>
      </c>
    </row>
    <row r="1703" spans="1:18" x14ac:dyDescent="0.25">
      <c r="A1703" s="170">
        <v>44512</v>
      </c>
      <c r="B1703" s="116">
        <v>3535.1</v>
      </c>
      <c r="C1703" s="116">
        <v>3524.5</v>
      </c>
      <c r="D1703" s="116">
        <v>3486.05</v>
      </c>
      <c r="E1703" s="116">
        <v>3500</v>
      </c>
      <c r="F1703" s="116">
        <v>3524.5</v>
      </c>
      <c r="G1703">
        <v>144937</v>
      </c>
      <c r="H1703" s="116"/>
      <c r="I1703" s="116"/>
      <c r="L1703" s="170">
        <v>44512</v>
      </c>
      <c r="M1703" s="116">
        <v>3526.05</v>
      </c>
      <c r="N1703" s="116">
        <v>3534.15</v>
      </c>
      <c r="O1703" s="116">
        <v>3485.7</v>
      </c>
      <c r="P1703" s="116">
        <v>3506</v>
      </c>
      <c r="Q1703" s="116">
        <v>3526.05</v>
      </c>
      <c r="R1703">
        <v>1747259</v>
      </c>
    </row>
    <row r="1704" spans="1:18" x14ac:dyDescent="0.25">
      <c r="A1704" s="170">
        <v>44515</v>
      </c>
      <c r="B1704" s="116">
        <v>3569.5</v>
      </c>
      <c r="C1704" s="116">
        <v>3553.9</v>
      </c>
      <c r="D1704" s="116">
        <v>3531</v>
      </c>
      <c r="E1704" s="116">
        <v>3534.8</v>
      </c>
      <c r="F1704" s="116">
        <v>3553.9</v>
      </c>
      <c r="G1704">
        <v>56987</v>
      </c>
      <c r="H1704" s="116"/>
      <c r="I1704" s="116"/>
      <c r="L1704" s="170">
        <v>44515</v>
      </c>
      <c r="M1704" s="116">
        <v>3553.3</v>
      </c>
      <c r="N1704" s="116">
        <v>3569.6</v>
      </c>
      <c r="O1704" s="116">
        <v>3528</v>
      </c>
      <c r="P1704" s="116">
        <v>3528</v>
      </c>
      <c r="Q1704" s="116">
        <v>3553.3</v>
      </c>
      <c r="R1704">
        <v>1809157</v>
      </c>
    </row>
    <row r="1705" spans="1:18" x14ac:dyDescent="0.25">
      <c r="A1705" s="170">
        <v>44516</v>
      </c>
      <c r="B1705" s="116">
        <v>3575</v>
      </c>
      <c r="C1705" s="116">
        <v>3555.15</v>
      </c>
      <c r="D1705" s="116">
        <v>3541.25</v>
      </c>
      <c r="E1705" s="116">
        <v>3563</v>
      </c>
      <c r="F1705" s="116">
        <v>3555.15</v>
      </c>
      <c r="G1705">
        <v>93911</v>
      </c>
      <c r="H1705" s="116"/>
      <c r="I1705" s="116"/>
      <c r="L1705" s="170">
        <v>44516</v>
      </c>
      <c r="M1705" s="116">
        <v>3556.4</v>
      </c>
      <c r="N1705" s="116">
        <v>3575.55</v>
      </c>
      <c r="O1705" s="116">
        <v>3542</v>
      </c>
      <c r="P1705" s="116">
        <v>3569</v>
      </c>
      <c r="Q1705" s="116">
        <v>3556.4</v>
      </c>
      <c r="R1705">
        <v>2013204</v>
      </c>
    </row>
    <row r="1706" spans="1:18" x14ac:dyDescent="0.25">
      <c r="A1706" s="170">
        <v>44517</v>
      </c>
      <c r="B1706" s="116">
        <v>3562.35</v>
      </c>
      <c r="C1706" s="116">
        <v>3523.95</v>
      </c>
      <c r="D1706" s="116">
        <v>3513.8</v>
      </c>
      <c r="E1706" s="116">
        <v>3559</v>
      </c>
      <c r="F1706" s="116">
        <v>3523.95</v>
      </c>
      <c r="G1706">
        <v>46814</v>
      </c>
      <c r="H1706" s="116"/>
      <c r="I1706" s="116"/>
      <c r="L1706" s="170">
        <v>44517</v>
      </c>
      <c r="M1706" s="116">
        <v>3521.9</v>
      </c>
      <c r="N1706" s="116">
        <v>3562.85</v>
      </c>
      <c r="O1706" s="116">
        <v>3506.4</v>
      </c>
      <c r="P1706" s="116">
        <v>3550.6</v>
      </c>
      <c r="Q1706" s="116">
        <v>3521.9</v>
      </c>
      <c r="R1706">
        <v>1632914</v>
      </c>
    </row>
    <row r="1707" spans="1:18" x14ac:dyDescent="0.25">
      <c r="A1707" s="170">
        <v>44518</v>
      </c>
      <c r="B1707" s="116">
        <v>3521.4</v>
      </c>
      <c r="C1707" s="116">
        <v>3475.65</v>
      </c>
      <c r="D1707" s="116">
        <v>3452</v>
      </c>
      <c r="E1707" s="116">
        <v>3512.05</v>
      </c>
      <c r="F1707" s="116">
        <v>3475.65</v>
      </c>
      <c r="G1707">
        <v>134098</v>
      </c>
      <c r="H1707" s="116"/>
      <c r="I1707" s="116"/>
      <c r="L1707" s="170">
        <v>44518</v>
      </c>
      <c r="M1707" s="116">
        <v>3475.7</v>
      </c>
      <c r="N1707" s="116">
        <v>3520.85</v>
      </c>
      <c r="O1707" s="116">
        <v>3451.6</v>
      </c>
      <c r="P1707" s="116">
        <v>3515.15</v>
      </c>
      <c r="Q1707" s="116">
        <v>3475.7</v>
      </c>
      <c r="R1707">
        <v>2136598</v>
      </c>
    </row>
    <row r="1708" spans="1:18" x14ac:dyDescent="0.25">
      <c r="A1708" s="170">
        <v>44522</v>
      </c>
      <c r="B1708" s="116">
        <v>3516</v>
      </c>
      <c r="C1708" s="116">
        <v>3461.25</v>
      </c>
      <c r="D1708" s="116">
        <v>3441</v>
      </c>
      <c r="E1708" s="116">
        <v>3480</v>
      </c>
      <c r="F1708" s="116">
        <v>3461.25</v>
      </c>
      <c r="G1708">
        <v>53969</v>
      </c>
      <c r="H1708" s="116"/>
      <c r="I1708" s="116"/>
      <c r="L1708" s="170">
        <v>44522</v>
      </c>
      <c r="M1708" s="116">
        <v>3458.4</v>
      </c>
      <c r="N1708" s="116">
        <v>3515.95</v>
      </c>
      <c r="O1708" s="116">
        <v>3440.3</v>
      </c>
      <c r="P1708" s="116">
        <v>3478.4</v>
      </c>
      <c r="Q1708" s="116">
        <v>3458.4</v>
      </c>
      <c r="R1708">
        <v>3167936</v>
      </c>
    </row>
    <row r="1709" spans="1:18" x14ac:dyDescent="0.25">
      <c r="A1709" s="170">
        <v>44523</v>
      </c>
      <c r="B1709" s="116">
        <v>3483.4</v>
      </c>
      <c r="C1709" s="116">
        <v>3463.7</v>
      </c>
      <c r="D1709" s="116">
        <v>3408.05</v>
      </c>
      <c r="E1709" s="116">
        <v>3445</v>
      </c>
      <c r="F1709" s="116">
        <v>3463.7</v>
      </c>
      <c r="G1709">
        <v>91067</v>
      </c>
      <c r="H1709" s="116"/>
      <c r="I1709" s="116"/>
      <c r="L1709" s="170">
        <v>44523</v>
      </c>
      <c r="M1709" s="116">
        <v>3464.25</v>
      </c>
      <c r="N1709" s="116">
        <v>3480.95</v>
      </c>
      <c r="O1709" s="116">
        <v>3407.8</v>
      </c>
      <c r="P1709" s="116">
        <v>3445</v>
      </c>
      <c r="Q1709" s="116">
        <v>3464.25</v>
      </c>
      <c r="R1709">
        <v>2153461</v>
      </c>
    </row>
    <row r="1710" spans="1:18" x14ac:dyDescent="0.25">
      <c r="A1710" s="170">
        <v>44524</v>
      </c>
      <c r="B1710" s="116">
        <v>3493.55</v>
      </c>
      <c r="C1710" s="116">
        <v>3443.55</v>
      </c>
      <c r="D1710" s="116">
        <v>3431</v>
      </c>
      <c r="E1710" s="116">
        <v>3478</v>
      </c>
      <c r="F1710" s="116">
        <v>3443.55</v>
      </c>
      <c r="G1710">
        <v>47809</v>
      </c>
      <c r="H1710" s="116"/>
      <c r="I1710" s="116"/>
      <c r="L1710" s="170">
        <v>44524</v>
      </c>
      <c r="M1710" s="116">
        <v>3443.3</v>
      </c>
      <c r="N1710" s="116">
        <v>3493.05</v>
      </c>
      <c r="O1710" s="116">
        <v>3424</v>
      </c>
      <c r="P1710" s="116">
        <v>3472.2</v>
      </c>
      <c r="Q1710" s="116">
        <v>3443.3</v>
      </c>
      <c r="R1710">
        <v>2161746</v>
      </c>
    </row>
    <row r="1711" spans="1:18" x14ac:dyDescent="0.25">
      <c r="A1711" s="170">
        <v>44525</v>
      </c>
      <c r="B1711" s="116">
        <v>3462</v>
      </c>
      <c r="C1711" s="116">
        <v>3445.5</v>
      </c>
      <c r="D1711" s="116">
        <v>3434</v>
      </c>
      <c r="E1711" s="116">
        <v>3462</v>
      </c>
      <c r="F1711" s="116">
        <v>3445.5</v>
      </c>
      <c r="G1711">
        <v>56004</v>
      </c>
      <c r="H1711" s="116"/>
      <c r="I1711" s="116"/>
      <c r="L1711" s="170">
        <v>44525</v>
      </c>
      <c r="M1711" s="116">
        <v>3445.9</v>
      </c>
      <c r="N1711" s="116">
        <v>3463</v>
      </c>
      <c r="O1711" s="116">
        <v>3434.05</v>
      </c>
      <c r="P1711" s="116">
        <v>3443.9</v>
      </c>
      <c r="Q1711" s="116">
        <v>3445.9</v>
      </c>
      <c r="R1711">
        <v>1849619</v>
      </c>
    </row>
    <row r="1712" spans="1:18" x14ac:dyDescent="0.25">
      <c r="A1712" s="170">
        <v>44526</v>
      </c>
      <c r="B1712" s="116">
        <v>3486</v>
      </c>
      <c r="C1712" s="116">
        <v>3445.65</v>
      </c>
      <c r="D1712" s="116">
        <v>3414.65</v>
      </c>
      <c r="E1712" s="116">
        <v>3440</v>
      </c>
      <c r="F1712" s="116">
        <v>3445.65</v>
      </c>
      <c r="G1712">
        <v>80166</v>
      </c>
      <c r="H1712" s="116"/>
      <c r="I1712" s="116"/>
      <c r="L1712" s="170">
        <v>44526</v>
      </c>
      <c r="M1712" s="116">
        <v>3446.85</v>
      </c>
      <c r="N1712" s="116">
        <v>3490</v>
      </c>
      <c r="O1712" s="116">
        <v>3411.9</v>
      </c>
      <c r="P1712" s="116">
        <v>3425</v>
      </c>
      <c r="Q1712" s="116">
        <v>3446.85</v>
      </c>
      <c r="R1712">
        <v>1941251</v>
      </c>
    </row>
    <row r="1713" spans="1:18" x14ac:dyDescent="0.25">
      <c r="A1713" s="170">
        <v>44529</v>
      </c>
      <c r="B1713" s="116">
        <v>3530</v>
      </c>
      <c r="C1713" s="116">
        <v>3500.7</v>
      </c>
      <c r="D1713" s="116">
        <v>3407.55</v>
      </c>
      <c r="E1713" s="116">
        <v>3445.65</v>
      </c>
      <c r="F1713" s="116">
        <v>3500.7</v>
      </c>
      <c r="G1713">
        <v>85268</v>
      </c>
      <c r="H1713" s="116"/>
      <c r="I1713" s="116"/>
      <c r="L1713" s="170">
        <v>44529</v>
      </c>
      <c r="M1713" s="116">
        <v>3502</v>
      </c>
      <c r="N1713" s="116">
        <v>3529.35</v>
      </c>
      <c r="O1713" s="116">
        <v>3406.45</v>
      </c>
      <c r="P1713" s="116">
        <v>3447.15</v>
      </c>
      <c r="Q1713" s="116">
        <v>3502</v>
      </c>
      <c r="R1713">
        <v>2981745</v>
      </c>
    </row>
    <row r="1714" spans="1:18" x14ac:dyDescent="0.25">
      <c r="A1714" s="170">
        <v>44530</v>
      </c>
      <c r="B1714" s="116">
        <v>3563</v>
      </c>
      <c r="C1714" s="116">
        <v>3532</v>
      </c>
      <c r="D1714" s="116">
        <v>3494.85</v>
      </c>
      <c r="E1714" s="116">
        <v>3500</v>
      </c>
      <c r="F1714" s="116">
        <v>3532</v>
      </c>
      <c r="G1714">
        <v>131810</v>
      </c>
      <c r="H1714" s="116"/>
      <c r="I1714" s="116"/>
      <c r="L1714" s="170">
        <v>44530</v>
      </c>
      <c r="M1714" s="116">
        <v>3529.15</v>
      </c>
      <c r="N1714" s="116">
        <v>3563.75</v>
      </c>
      <c r="O1714" s="116">
        <v>3491</v>
      </c>
      <c r="P1714" s="116">
        <v>3491</v>
      </c>
      <c r="Q1714" s="116">
        <v>3529.15</v>
      </c>
      <c r="R1714">
        <v>5588446</v>
      </c>
    </row>
    <row r="1715" spans="1:18" x14ac:dyDescent="0.25">
      <c r="A1715" s="170">
        <v>44531</v>
      </c>
      <c r="B1715" s="116">
        <v>3589.35</v>
      </c>
      <c r="C1715" s="116">
        <v>3578.15</v>
      </c>
      <c r="D1715" s="116">
        <v>3535.15</v>
      </c>
      <c r="E1715" s="116">
        <v>3535.15</v>
      </c>
      <c r="F1715" s="116">
        <v>3578.15</v>
      </c>
      <c r="G1715">
        <v>159108</v>
      </c>
      <c r="H1715" s="116"/>
      <c r="I1715" s="116"/>
      <c r="L1715" s="170">
        <v>44531</v>
      </c>
      <c r="M1715" s="116">
        <v>3577.8</v>
      </c>
      <c r="N1715" s="116">
        <v>3590</v>
      </c>
      <c r="O1715" s="116">
        <v>3535</v>
      </c>
      <c r="P1715" s="116">
        <v>3535</v>
      </c>
      <c r="Q1715" s="116">
        <v>3577.8</v>
      </c>
      <c r="R1715">
        <v>2102118</v>
      </c>
    </row>
    <row r="1716" spans="1:18" x14ac:dyDescent="0.25">
      <c r="A1716" s="170">
        <v>44532</v>
      </c>
      <c r="B1716" s="116">
        <v>3648</v>
      </c>
      <c r="C1716" s="116">
        <v>3641.15</v>
      </c>
      <c r="D1716" s="116">
        <v>3573.2</v>
      </c>
      <c r="E1716" s="116">
        <v>3585</v>
      </c>
      <c r="F1716" s="116">
        <v>3641.15</v>
      </c>
      <c r="G1716">
        <v>188193</v>
      </c>
      <c r="H1716" s="116"/>
      <c r="I1716" s="116"/>
      <c r="L1716" s="170">
        <v>44532</v>
      </c>
      <c r="M1716" s="116">
        <v>3642.9</v>
      </c>
      <c r="N1716" s="116">
        <v>3648</v>
      </c>
      <c r="O1716" s="116">
        <v>3574.1</v>
      </c>
      <c r="P1716" s="116">
        <v>3589.2</v>
      </c>
      <c r="Q1716" s="116">
        <v>3642.9</v>
      </c>
      <c r="R1716">
        <v>3152938</v>
      </c>
    </row>
    <row r="1717" spans="1:18" x14ac:dyDescent="0.25">
      <c r="A1717" s="170">
        <v>44533</v>
      </c>
      <c r="B1717" s="116">
        <v>3665.95</v>
      </c>
      <c r="C1717" s="116">
        <v>3639.65</v>
      </c>
      <c r="D1717" s="116">
        <v>3630.75</v>
      </c>
      <c r="E1717" s="116">
        <v>3643</v>
      </c>
      <c r="F1717" s="116">
        <v>3639.65</v>
      </c>
      <c r="G1717">
        <v>76061</v>
      </c>
      <c r="H1717" s="116"/>
      <c r="I1717" s="116"/>
      <c r="L1717" s="170">
        <v>44533</v>
      </c>
      <c r="M1717" s="116">
        <v>3640.45</v>
      </c>
      <c r="N1717" s="116">
        <v>3665.95</v>
      </c>
      <c r="O1717" s="116">
        <v>3630.85</v>
      </c>
      <c r="P1717" s="116">
        <v>3646.45</v>
      </c>
      <c r="Q1717" s="116">
        <v>3640.45</v>
      </c>
      <c r="R1717">
        <v>2486263</v>
      </c>
    </row>
    <row r="1718" spans="1:18" x14ac:dyDescent="0.25">
      <c r="A1718" s="170">
        <v>44536</v>
      </c>
      <c r="B1718" s="116">
        <v>3656.85</v>
      </c>
      <c r="C1718" s="116">
        <v>3534.35</v>
      </c>
      <c r="D1718" s="116">
        <v>3521.5</v>
      </c>
      <c r="E1718" s="116">
        <v>3642</v>
      </c>
      <c r="F1718" s="116">
        <v>3534.35</v>
      </c>
      <c r="G1718">
        <v>51174</v>
      </c>
      <c r="H1718" s="116"/>
      <c r="I1718" s="116"/>
      <c r="L1718" s="170">
        <v>44536</v>
      </c>
      <c r="M1718" s="116">
        <v>3536.4</v>
      </c>
      <c r="N1718" s="116">
        <v>3658</v>
      </c>
      <c r="O1718" s="116">
        <v>3522</v>
      </c>
      <c r="P1718" s="116">
        <v>3640.45</v>
      </c>
      <c r="Q1718" s="116">
        <v>3536.4</v>
      </c>
      <c r="R1718">
        <v>1849642</v>
      </c>
    </row>
    <row r="1719" spans="1:18" x14ac:dyDescent="0.25">
      <c r="A1719" s="170">
        <v>44537</v>
      </c>
      <c r="B1719" s="116">
        <v>3597.15</v>
      </c>
      <c r="C1719" s="116">
        <v>3584.7</v>
      </c>
      <c r="D1719" s="116">
        <v>3525.6</v>
      </c>
      <c r="E1719" s="116">
        <v>3567.9</v>
      </c>
      <c r="F1719" s="116">
        <v>3584.7</v>
      </c>
      <c r="G1719">
        <v>24002</v>
      </c>
      <c r="H1719" s="116"/>
      <c r="I1719" s="116"/>
      <c r="L1719" s="170">
        <v>44537</v>
      </c>
      <c r="M1719" s="116">
        <v>3584.5</v>
      </c>
      <c r="N1719" s="116">
        <v>3598</v>
      </c>
      <c r="O1719" s="116">
        <v>3524.3</v>
      </c>
      <c r="P1719" s="116">
        <v>3562.5</v>
      </c>
      <c r="Q1719" s="116">
        <v>3584.5</v>
      </c>
      <c r="R1719">
        <v>1484458</v>
      </c>
    </row>
    <row r="1720" spans="1:18" x14ac:dyDescent="0.25">
      <c r="A1720" s="170">
        <v>44538</v>
      </c>
      <c r="B1720" s="116">
        <v>3645</v>
      </c>
      <c r="C1720" s="116">
        <v>3626.5</v>
      </c>
      <c r="D1720" s="116">
        <v>3602.6</v>
      </c>
      <c r="E1720" s="116">
        <v>3625</v>
      </c>
      <c r="F1720" s="116">
        <v>3626.5</v>
      </c>
      <c r="G1720">
        <v>263196</v>
      </c>
      <c r="H1720" s="116"/>
      <c r="I1720" s="116"/>
      <c r="L1720" s="170">
        <v>44538</v>
      </c>
      <c r="M1720" s="116">
        <v>3626.9</v>
      </c>
      <c r="N1720" s="116">
        <v>3646.45</v>
      </c>
      <c r="O1720" s="116">
        <v>3601</v>
      </c>
      <c r="P1720" s="116">
        <v>3601</v>
      </c>
      <c r="Q1720" s="116">
        <v>3626.9</v>
      </c>
      <c r="R1720">
        <v>1428660</v>
      </c>
    </row>
    <row r="1721" spans="1:18" x14ac:dyDescent="0.25">
      <c r="A1721" s="170">
        <v>44539</v>
      </c>
      <c r="B1721" s="116">
        <v>3632.4</v>
      </c>
      <c r="C1721" s="116">
        <v>3603.6</v>
      </c>
      <c r="D1721" s="116">
        <v>3567</v>
      </c>
      <c r="E1721" s="116">
        <v>3613</v>
      </c>
      <c r="F1721" s="116">
        <v>3603.6</v>
      </c>
      <c r="G1721">
        <v>77990</v>
      </c>
      <c r="H1721" s="116"/>
      <c r="I1721" s="116"/>
      <c r="L1721" s="170">
        <v>44539</v>
      </c>
      <c r="M1721" s="116">
        <v>3601.75</v>
      </c>
      <c r="N1721" s="116">
        <v>3634.75</v>
      </c>
      <c r="O1721" s="116">
        <v>3566</v>
      </c>
      <c r="P1721" s="116">
        <v>3610</v>
      </c>
      <c r="Q1721" s="116">
        <v>3601.75</v>
      </c>
      <c r="R1721">
        <v>1567957</v>
      </c>
    </row>
    <row r="1722" spans="1:18" x14ac:dyDescent="0.25">
      <c r="A1722" s="170">
        <v>44540</v>
      </c>
      <c r="B1722" s="116">
        <v>3640.85</v>
      </c>
      <c r="C1722" s="116">
        <v>3636.55</v>
      </c>
      <c r="D1722" s="116">
        <v>3575.1</v>
      </c>
      <c r="E1722" s="116">
        <v>3585</v>
      </c>
      <c r="F1722" s="116">
        <v>3636.55</v>
      </c>
      <c r="G1722">
        <v>78298</v>
      </c>
      <c r="H1722" s="116"/>
      <c r="I1722" s="116"/>
      <c r="L1722" s="170">
        <v>44540</v>
      </c>
      <c r="M1722" s="116">
        <v>3636.8</v>
      </c>
      <c r="N1722" s="116">
        <v>3642</v>
      </c>
      <c r="O1722" s="116">
        <v>3575.1</v>
      </c>
      <c r="P1722" s="116">
        <v>3585</v>
      </c>
      <c r="Q1722" s="116">
        <v>3636.8</v>
      </c>
      <c r="R1722">
        <v>1510718</v>
      </c>
    </row>
    <row r="1723" spans="1:18" x14ac:dyDescent="0.25">
      <c r="A1723" s="170">
        <v>44543</v>
      </c>
      <c r="B1723" s="116">
        <v>3660</v>
      </c>
      <c r="C1723" s="116">
        <v>3610.1</v>
      </c>
      <c r="D1723" s="116">
        <v>3603</v>
      </c>
      <c r="E1723" s="116">
        <v>3647</v>
      </c>
      <c r="F1723" s="116">
        <v>3610.1</v>
      </c>
      <c r="G1723">
        <v>52114</v>
      </c>
      <c r="H1723" s="116"/>
      <c r="I1723" s="116"/>
      <c r="L1723" s="170">
        <v>44543</v>
      </c>
      <c r="M1723" s="116">
        <v>3609.65</v>
      </c>
      <c r="N1723" s="116">
        <v>3662</v>
      </c>
      <c r="O1723" s="116">
        <v>3601.7</v>
      </c>
      <c r="P1723" s="116">
        <v>3650</v>
      </c>
      <c r="Q1723" s="116">
        <v>3609.65</v>
      </c>
      <c r="R1723">
        <v>1883864</v>
      </c>
    </row>
    <row r="1724" spans="1:18" x14ac:dyDescent="0.25">
      <c r="A1724" s="170">
        <v>44544</v>
      </c>
      <c r="B1724" s="116">
        <v>3634.4</v>
      </c>
      <c r="C1724" s="116">
        <v>3622.8</v>
      </c>
      <c r="D1724" s="116">
        <v>3576.15</v>
      </c>
      <c r="E1724" s="116">
        <v>3601</v>
      </c>
      <c r="F1724" s="116">
        <v>3622.8</v>
      </c>
      <c r="G1724">
        <v>87750</v>
      </c>
      <c r="H1724" s="116"/>
      <c r="I1724" s="116"/>
      <c r="L1724" s="170">
        <v>44544</v>
      </c>
      <c r="M1724" s="116">
        <v>3623.8</v>
      </c>
      <c r="N1724" s="116">
        <v>3635</v>
      </c>
      <c r="O1724" s="116">
        <v>3576.7</v>
      </c>
      <c r="P1724" s="116">
        <v>3605</v>
      </c>
      <c r="Q1724" s="116">
        <v>3623.8</v>
      </c>
      <c r="R1724">
        <v>1747007</v>
      </c>
    </row>
    <row r="1725" spans="1:18" x14ac:dyDescent="0.25">
      <c r="A1725" s="170">
        <v>44545</v>
      </c>
      <c r="B1725" s="116">
        <v>3622.7</v>
      </c>
      <c r="C1725" s="116">
        <v>3569.6</v>
      </c>
      <c r="D1725" s="116">
        <v>3558.6</v>
      </c>
      <c r="E1725" s="116">
        <v>3610</v>
      </c>
      <c r="F1725" s="116">
        <v>3569.6</v>
      </c>
      <c r="G1725">
        <v>70817</v>
      </c>
      <c r="H1725" s="116"/>
      <c r="I1725" s="116"/>
      <c r="L1725" s="170">
        <v>44545</v>
      </c>
      <c r="M1725" s="116">
        <v>3570.35</v>
      </c>
      <c r="N1725" s="116">
        <v>3623</v>
      </c>
      <c r="O1725" s="116">
        <v>3558.15</v>
      </c>
      <c r="P1725" s="116">
        <v>3620</v>
      </c>
      <c r="Q1725" s="116">
        <v>3570.35</v>
      </c>
      <c r="R1725">
        <v>1603233</v>
      </c>
    </row>
    <row r="1726" spans="1:18" x14ac:dyDescent="0.25">
      <c r="A1726" s="170">
        <v>44546</v>
      </c>
      <c r="B1726" s="116">
        <v>3607.25</v>
      </c>
      <c r="C1726" s="116">
        <v>3581.35</v>
      </c>
      <c r="D1726" s="116">
        <v>3570.5</v>
      </c>
      <c r="E1726" s="116">
        <v>3580</v>
      </c>
      <c r="F1726" s="116">
        <v>3581.35</v>
      </c>
      <c r="G1726">
        <v>19480</v>
      </c>
      <c r="H1726" s="116"/>
      <c r="I1726" s="116"/>
      <c r="L1726" s="170">
        <v>44546</v>
      </c>
      <c r="M1726" s="116">
        <v>3581.6</v>
      </c>
      <c r="N1726" s="116">
        <v>3608.45</v>
      </c>
      <c r="O1726" s="116">
        <v>3570</v>
      </c>
      <c r="P1726" s="116">
        <v>3582</v>
      </c>
      <c r="Q1726" s="116">
        <v>3581.6</v>
      </c>
      <c r="R1726">
        <v>2072320</v>
      </c>
    </row>
    <row r="1727" spans="1:18" x14ac:dyDescent="0.25">
      <c r="A1727" s="170">
        <v>44547</v>
      </c>
      <c r="B1727" s="116">
        <v>3650</v>
      </c>
      <c r="C1727" s="116">
        <v>3587.2</v>
      </c>
      <c r="D1727" s="116">
        <v>3573.15</v>
      </c>
      <c r="E1727" s="116">
        <v>3601</v>
      </c>
      <c r="F1727" s="116">
        <v>3587.2</v>
      </c>
      <c r="G1727">
        <v>82484</v>
      </c>
      <c r="H1727" s="116"/>
      <c r="I1727" s="116"/>
      <c r="L1727" s="170">
        <v>44547</v>
      </c>
      <c r="M1727" s="116">
        <v>3584.35</v>
      </c>
      <c r="N1727" s="116">
        <v>3651.35</v>
      </c>
      <c r="O1727" s="116">
        <v>3573.7</v>
      </c>
      <c r="P1727" s="116">
        <v>3602.5</v>
      </c>
      <c r="Q1727" s="116">
        <v>3584.35</v>
      </c>
      <c r="R1727">
        <v>4333992</v>
      </c>
    </row>
    <row r="1728" spans="1:18" x14ac:dyDescent="0.25">
      <c r="A1728" s="170">
        <v>44550</v>
      </c>
      <c r="B1728" s="116">
        <v>3605</v>
      </c>
      <c r="C1728" s="116">
        <v>3557.1</v>
      </c>
      <c r="D1728" s="116">
        <v>3509.85</v>
      </c>
      <c r="E1728" s="116">
        <v>3570.1</v>
      </c>
      <c r="F1728" s="116">
        <v>3557.1</v>
      </c>
      <c r="G1728">
        <v>160727</v>
      </c>
      <c r="H1728" s="116"/>
      <c r="I1728" s="116"/>
      <c r="L1728" s="170">
        <v>44550</v>
      </c>
      <c r="M1728" s="116">
        <v>3556.9</v>
      </c>
      <c r="N1728" s="116">
        <v>3606</v>
      </c>
      <c r="O1728" s="116">
        <v>3510.15</v>
      </c>
      <c r="P1728" s="116">
        <v>3589</v>
      </c>
      <c r="Q1728" s="116">
        <v>3556.9</v>
      </c>
      <c r="R1728">
        <v>2312310</v>
      </c>
    </row>
    <row r="1729" spans="1:18" x14ac:dyDescent="0.25">
      <c r="A1729" s="170">
        <v>44551</v>
      </c>
      <c r="B1729" s="116">
        <v>3639.6</v>
      </c>
      <c r="C1729" s="116">
        <v>3608.45</v>
      </c>
      <c r="D1729" s="116">
        <v>3568.05</v>
      </c>
      <c r="E1729" s="116">
        <v>3585</v>
      </c>
      <c r="F1729" s="116">
        <v>3608.45</v>
      </c>
      <c r="G1729">
        <v>104021</v>
      </c>
      <c r="H1729" s="116"/>
      <c r="I1729" s="116"/>
      <c r="L1729" s="170">
        <v>44551</v>
      </c>
      <c r="M1729" s="116">
        <v>3608.3</v>
      </c>
      <c r="N1729" s="116">
        <v>3641.2</v>
      </c>
      <c r="O1729" s="116">
        <v>3566.4</v>
      </c>
      <c r="P1729" s="116">
        <v>3582.65</v>
      </c>
      <c r="Q1729" s="116">
        <v>3608.3</v>
      </c>
      <c r="R1729">
        <v>2340989</v>
      </c>
    </row>
    <row r="1730" spans="1:18" x14ac:dyDescent="0.25">
      <c r="A1730" s="170">
        <v>44552</v>
      </c>
      <c r="B1730" s="116">
        <v>3636</v>
      </c>
      <c r="C1730" s="116">
        <v>3630</v>
      </c>
      <c r="D1730" s="116">
        <v>3605.4</v>
      </c>
      <c r="E1730" s="116">
        <v>3612</v>
      </c>
      <c r="F1730" s="116">
        <v>3630</v>
      </c>
      <c r="G1730">
        <v>68470</v>
      </c>
      <c r="H1730" s="116"/>
      <c r="I1730" s="116"/>
      <c r="L1730" s="170">
        <v>44552</v>
      </c>
      <c r="M1730" s="116">
        <v>3630.75</v>
      </c>
      <c r="N1730" s="116">
        <v>3636.8</v>
      </c>
      <c r="O1730" s="116">
        <v>3606.25</v>
      </c>
      <c r="P1730" s="116">
        <v>3624</v>
      </c>
      <c r="Q1730" s="116">
        <v>3630.75</v>
      </c>
      <c r="R1730">
        <v>1224328</v>
      </c>
    </row>
    <row r="1731" spans="1:18" x14ac:dyDescent="0.25">
      <c r="A1731" s="170">
        <v>44553</v>
      </c>
      <c r="B1731" s="116">
        <v>3671</v>
      </c>
      <c r="C1731" s="116">
        <v>3662.8</v>
      </c>
      <c r="D1731" s="116">
        <v>3630.05</v>
      </c>
      <c r="E1731" s="116">
        <v>3640.5</v>
      </c>
      <c r="F1731" s="116">
        <v>3662.8</v>
      </c>
      <c r="G1731">
        <v>62978</v>
      </c>
      <c r="H1731" s="116"/>
      <c r="I1731" s="116"/>
      <c r="L1731" s="170">
        <v>44553</v>
      </c>
      <c r="M1731" s="116">
        <v>3662.7</v>
      </c>
      <c r="N1731" s="116">
        <v>3670.5</v>
      </c>
      <c r="O1731" s="116">
        <v>3630</v>
      </c>
      <c r="P1731" s="116">
        <v>3648</v>
      </c>
      <c r="Q1731" s="116">
        <v>3662.7</v>
      </c>
      <c r="R1731">
        <v>1792861</v>
      </c>
    </row>
    <row r="1732" spans="1:18" x14ac:dyDescent="0.25">
      <c r="A1732" s="170">
        <v>44554</v>
      </c>
      <c r="B1732" s="116">
        <v>3703.9</v>
      </c>
      <c r="C1732" s="116">
        <v>3670.25</v>
      </c>
      <c r="D1732" s="116">
        <v>3645.3</v>
      </c>
      <c r="E1732" s="116">
        <v>3676</v>
      </c>
      <c r="F1732" s="116">
        <v>3670.25</v>
      </c>
      <c r="G1732">
        <v>141802</v>
      </c>
      <c r="H1732" s="116"/>
      <c r="I1732" s="116"/>
      <c r="L1732" s="170">
        <v>44554</v>
      </c>
      <c r="M1732" s="116">
        <v>3670.9</v>
      </c>
      <c r="N1732" s="116">
        <v>3705</v>
      </c>
      <c r="O1732" s="116">
        <v>3644.8</v>
      </c>
      <c r="P1732" s="116">
        <v>3685</v>
      </c>
      <c r="Q1732" s="116">
        <v>3670.9</v>
      </c>
      <c r="R1732">
        <v>2209923</v>
      </c>
    </row>
    <row r="1733" spans="1:18" x14ac:dyDescent="0.25">
      <c r="A1733" s="170">
        <v>44557</v>
      </c>
      <c r="B1733" s="116">
        <v>3700</v>
      </c>
      <c r="C1733" s="116">
        <v>3695.55</v>
      </c>
      <c r="D1733" s="116">
        <v>3653.15</v>
      </c>
      <c r="E1733" s="116">
        <v>3670</v>
      </c>
      <c r="F1733" s="116">
        <v>3695.55</v>
      </c>
      <c r="G1733">
        <v>37807</v>
      </c>
      <c r="H1733" s="116"/>
      <c r="I1733" s="116"/>
      <c r="L1733" s="170">
        <v>44557</v>
      </c>
      <c r="M1733" s="116">
        <v>3696.1</v>
      </c>
      <c r="N1733" s="116">
        <v>3700</v>
      </c>
      <c r="O1733" s="116">
        <v>3653.1</v>
      </c>
      <c r="P1733" s="116">
        <v>3671</v>
      </c>
      <c r="Q1733" s="116">
        <v>3696.1</v>
      </c>
      <c r="R1733">
        <v>1534135</v>
      </c>
    </row>
    <row r="1734" spans="1:18" x14ac:dyDescent="0.25">
      <c r="A1734" s="170">
        <v>44558</v>
      </c>
      <c r="B1734" s="116">
        <v>3724.5</v>
      </c>
      <c r="C1734" s="116">
        <v>3707.3</v>
      </c>
      <c r="D1734" s="116">
        <v>3694.05</v>
      </c>
      <c r="E1734" s="116">
        <v>3715</v>
      </c>
      <c r="F1734" s="116">
        <v>3707.3</v>
      </c>
      <c r="G1734">
        <v>34438</v>
      </c>
      <c r="H1734" s="116"/>
      <c r="I1734" s="116"/>
      <c r="L1734" s="170">
        <v>44558</v>
      </c>
      <c r="M1734" s="116">
        <v>3706.55</v>
      </c>
      <c r="N1734" s="116">
        <v>3725</v>
      </c>
      <c r="O1734" s="116">
        <v>3693.85</v>
      </c>
      <c r="P1734" s="116">
        <v>3710</v>
      </c>
      <c r="Q1734" s="116">
        <v>3706.55</v>
      </c>
      <c r="R1734">
        <v>1456218</v>
      </c>
    </row>
    <row r="1735" spans="1:18" x14ac:dyDescent="0.25">
      <c r="A1735" s="170">
        <v>44559</v>
      </c>
      <c r="B1735" s="116">
        <v>3719.45</v>
      </c>
      <c r="C1735" s="116">
        <v>3693.15</v>
      </c>
      <c r="D1735" s="116">
        <v>3684.4</v>
      </c>
      <c r="E1735" s="116">
        <v>3700</v>
      </c>
      <c r="F1735" s="116">
        <v>3693.15</v>
      </c>
      <c r="G1735">
        <v>75965</v>
      </c>
      <c r="H1735" s="116"/>
      <c r="I1735" s="116"/>
      <c r="L1735" s="170">
        <v>44559</v>
      </c>
      <c r="M1735" s="116">
        <v>3694.7</v>
      </c>
      <c r="N1735" s="116">
        <v>3719.95</v>
      </c>
      <c r="O1735" s="116">
        <v>3685</v>
      </c>
      <c r="P1735" s="116">
        <v>3692.25</v>
      </c>
      <c r="Q1735" s="116">
        <v>3694.7</v>
      </c>
      <c r="R1735">
        <v>1456923</v>
      </c>
    </row>
    <row r="1736" spans="1:18" x14ac:dyDescent="0.25">
      <c r="A1736" s="170">
        <v>44560</v>
      </c>
      <c r="B1736" s="116">
        <v>3739.6</v>
      </c>
      <c r="C1736" s="116">
        <v>3733.15</v>
      </c>
      <c r="D1736" s="116">
        <v>3680.55</v>
      </c>
      <c r="E1736" s="116">
        <v>3693</v>
      </c>
      <c r="F1736" s="116">
        <v>3733.15</v>
      </c>
      <c r="G1736">
        <v>45572</v>
      </c>
      <c r="H1736" s="116"/>
      <c r="I1736" s="116"/>
      <c r="L1736" s="170">
        <v>44560</v>
      </c>
      <c r="M1736" s="116">
        <v>3733.75</v>
      </c>
      <c r="N1736" s="116">
        <v>3740</v>
      </c>
      <c r="O1736" s="116">
        <v>3680</v>
      </c>
      <c r="P1736" s="116">
        <v>3681.35</v>
      </c>
      <c r="Q1736" s="116">
        <v>3733.75</v>
      </c>
      <c r="R1736">
        <v>1966475</v>
      </c>
    </row>
    <row r="1737" spans="1:18" x14ac:dyDescent="0.25">
      <c r="A1737" s="170">
        <v>44561</v>
      </c>
      <c r="B1737" s="116">
        <v>3759.8</v>
      </c>
      <c r="C1737" s="116">
        <v>3736.85</v>
      </c>
      <c r="D1737" s="116">
        <v>3731.55</v>
      </c>
      <c r="E1737" s="116">
        <v>3736.05</v>
      </c>
      <c r="F1737" s="116">
        <v>3736.85</v>
      </c>
      <c r="G1737">
        <v>51482</v>
      </c>
      <c r="H1737" s="116"/>
      <c r="I1737" s="116"/>
      <c r="L1737" s="170">
        <v>44561</v>
      </c>
      <c r="M1737" s="116">
        <v>3738.35</v>
      </c>
      <c r="N1737" s="116">
        <v>3760</v>
      </c>
      <c r="O1737" s="116">
        <v>3731.3</v>
      </c>
      <c r="P1737" s="116">
        <v>3742.8</v>
      </c>
      <c r="Q1737" s="116">
        <v>3738.35</v>
      </c>
      <c r="R1737">
        <v>1207141</v>
      </c>
    </row>
    <row r="1738" spans="1:18" x14ac:dyDescent="0.25">
      <c r="A1738" s="170">
        <v>44564</v>
      </c>
      <c r="B1738" s="116">
        <v>3829</v>
      </c>
      <c r="C1738" s="116">
        <v>3818.15</v>
      </c>
      <c r="D1738" s="116">
        <v>3743.95</v>
      </c>
      <c r="E1738" s="116">
        <v>3744</v>
      </c>
      <c r="F1738" s="116">
        <v>3818.15</v>
      </c>
      <c r="G1738">
        <v>67010</v>
      </c>
      <c r="H1738" s="116"/>
      <c r="I1738" s="116"/>
      <c r="L1738" s="170">
        <v>44564</v>
      </c>
      <c r="M1738" s="116">
        <v>3817.75</v>
      </c>
      <c r="N1738" s="116">
        <v>3830</v>
      </c>
      <c r="O1738" s="116">
        <v>3745</v>
      </c>
      <c r="P1738" s="116">
        <v>3750</v>
      </c>
      <c r="Q1738" s="116">
        <v>3817.75</v>
      </c>
      <c r="R1738">
        <v>2346158</v>
      </c>
    </row>
    <row r="1739" spans="1:18" x14ac:dyDescent="0.25">
      <c r="A1739" s="170">
        <v>44565</v>
      </c>
      <c r="B1739" s="116">
        <v>3888</v>
      </c>
      <c r="C1739" s="116">
        <v>3882.7</v>
      </c>
      <c r="D1739" s="116">
        <v>3810</v>
      </c>
      <c r="E1739" s="116">
        <v>3829.05</v>
      </c>
      <c r="F1739" s="116">
        <v>3882.7</v>
      </c>
      <c r="G1739">
        <v>342652</v>
      </c>
      <c r="H1739" s="116"/>
      <c r="I1739" s="116"/>
      <c r="L1739" s="170">
        <v>44565</v>
      </c>
      <c r="M1739" s="116">
        <v>3884.75</v>
      </c>
      <c r="N1739" s="116">
        <v>3889.15</v>
      </c>
      <c r="O1739" s="116">
        <v>3811.7</v>
      </c>
      <c r="P1739" s="116">
        <v>3831.1</v>
      </c>
      <c r="Q1739" s="116">
        <v>3884.75</v>
      </c>
      <c r="R1739">
        <v>2488606</v>
      </c>
    </row>
    <row r="1740" spans="1:18" x14ac:dyDescent="0.25">
      <c r="A1740" s="170">
        <v>44566</v>
      </c>
      <c r="B1740" s="116">
        <v>3870.1</v>
      </c>
      <c r="C1740" s="116">
        <v>3861.05</v>
      </c>
      <c r="D1740" s="116">
        <v>3811</v>
      </c>
      <c r="E1740" s="116">
        <v>3865</v>
      </c>
      <c r="F1740" s="116">
        <v>3861.05</v>
      </c>
      <c r="G1740">
        <v>54550</v>
      </c>
      <c r="H1740" s="116"/>
      <c r="I1740" s="116"/>
      <c r="L1740" s="170">
        <v>44566</v>
      </c>
      <c r="M1740" s="116">
        <v>3860.95</v>
      </c>
      <c r="N1740" s="116">
        <v>3870</v>
      </c>
      <c r="O1740" s="116">
        <v>3812.4</v>
      </c>
      <c r="P1740" s="116">
        <v>3865</v>
      </c>
      <c r="Q1740" s="116">
        <v>3860.95</v>
      </c>
      <c r="R1740">
        <v>1733031</v>
      </c>
    </row>
    <row r="1741" spans="1:18" x14ac:dyDescent="0.25">
      <c r="A1741" s="170">
        <v>44567</v>
      </c>
      <c r="B1741" s="116">
        <v>3834.75</v>
      </c>
      <c r="C1741" s="116">
        <v>3806.85</v>
      </c>
      <c r="D1741" s="116">
        <v>3771.35</v>
      </c>
      <c r="E1741" s="116">
        <v>3816</v>
      </c>
      <c r="F1741" s="116">
        <v>3806.85</v>
      </c>
      <c r="G1741">
        <v>111898</v>
      </c>
      <c r="H1741" s="116"/>
      <c r="I1741" s="116"/>
      <c r="L1741" s="170">
        <v>44567</v>
      </c>
      <c r="M1741" s="116">
        <v>3807.45</v>
      </c>
      <c r="N1741" s="116">
        <v>3835</v>
      </c>
      <c r="O1741" s="116">
        <v>3772</v>
      </c>
      <c r="P1741" s="116">
        <v>3812</v>
      </c>
      <c r="Q1741" s="116">
        <v>3807.45</v>
      </c>
      <c r="R1741">
        <v>1810293</v>
      </c>
    </row>
    <row r="1742" spans="1:18" x14ac:dyDescent="0.25">
      <c r="A1742" s="170">
        <v>44568</v>
      </c>
      <c r="B1742" s="116">
        <v>3864.45</v>
      </c>
      <c r="C1742" s="116">
        <v>3854.85</v>
      </c>
      <c r="D1742" s="116">
        <v>3796</v>
      </c>
      <c r="E1742" s="116">
        <v>3809.1</v>
      </c>
      <c r="F1742" s="116">
        <v>3854.85</v>
      </c>
      <c r="G1742">
        <v>41904</v>
      </c>
      <c r="H1742" s="116"/>
      <c r="I1742" s="116"/>
      <c r="L1742" s="170">
        <v>44568</v>
      </c>
      <c r="M1742" s="116">
        <v>3853.5</v>
      </c>
      <c r="N1742" s="116">
        <v>3864.9</v>
      </c>
      <c r="O1742" s="116">
        <v>3796.4</v>
      </c>
      <c r="P1742" s="116">
        <v>3820</v>
      </c>
      <c r="Q1742" s="116">
        <v>3853.5</v>
      </c>
      <c r="R1742">
        <v>2460591</v>
      </c>
    </row>
    <row r="1743" spans="1:18" x14ac:dyDescent="0.25">
      <c r="A1743" s="170">
        <v>44571</v>
      </c>
      <c r="B1743" s="116">
        <v>3979.9</v>
      </c>
      <c r="C1743" s="116">
        <v>3879.35</v>
      </c>
      <c r="D1743" s="116">
        <v>3861.85</v>
      </c>
      <c r="E1743" s="116">
        <v>3974</v>
      </c>
      <c r="F1743" s="116">
        <v>3879.35</v>
      </c>
      <c r="G1743">
        <v>244605</v>
      </c>
      <c r="H1743" s="116"/>
      <c r="I1743" s="116"/>
      <c r="L1743" s="170">
        <v>44571</v>
      </c>
      <c r="M1743" s="116">
        <v>3879.85</v>
      </c>
      <c r="N1743" s="116">
        <v>3978</v>
      </c>
      <c r="O1743" s="116">
        <v>3861</v>
      </c>
      <c r="P1743" s="116">
        <v>3978</v>
      </c>
      <c r="Q1743" s="116">
        <v>3879.85</v>
      </c>
      <c r="R1743">
        <v>3937092</v>
      </c>
    </row>
    <row r="1744" spans="1:18" x14ac:dyDescent="0.25">
      <c r="A1744" s="170">
        <v>44572</v>
      </c>
      <c r="B1744" s="116">
        <v>3925.85</v>
      </c>
      <c r="C1744" s="116">
        <v>3915.8</v>
      </c>
      <c r="D1744" s="116">
        <v>3853.8</v>
      </c>
      <c r="E1744" s="116">
        <v>3859</v>
      </c>
      <c r="F1744" s="116">
        <v>3915.8</v>
      </c>
      <c r="G1744">
        <v>80161</v>
      </c>
      <c r="H1744" s="116"/>
      <c r="I1744" s="116"/>
      <c r="L1744" s="170">
        <v>44572</v>
      </c>
      <c r="M1744" s="116">
        <v>3915.9</v>
      </c>
      <c r="N1744" s="116">
        <v>3925</v>
      </c>
      <c r="O1744" s="116">
        <v>3856</v>
      </c>
      <c r="P1744" s="116">
        <v>3856</v>
      </c>
      <c r="Q1744" s="116">
        <v>3915.9</v>
      </c>
      <c r="R1744">
        <v>1906106</v>
      </c>
    </row>
    <row r="1745" spans="1:18" x14ac:dyDescent="0.25">
      <c r="A1745" s="170">
        <v>44573</v>
      </c>
      <c r="B1745" s="116">
        <v>3930.15</v>
      </c>
      <c r="C1745" s="116">
        <v>3857.25</v>
      </c>
      <c r="D1745" s="116">
        <v>3836.8</v>
      </c>
      <c r="E1745" s="116">
        <v>3927.8</v>
      </c>
      <c r="F1745" s="116">
        <v>3857.25</v>
      </c>
      <c r="G1745">
        <v>122701</v>
      </c>
      <c r="H1745" s="116"/>
      <c r="I1745" s="116"/>
      <c r="L1745" s="170">
        <v>44573</v>
      </c>
      <c r="M1745" s="116">
        <v>3859.9</v>
      </c>
      <c r="N1745" s="116">
        <v>3929</v>
      </c>
      <c r="O1745" s="116">
        <v>3836.55</v>
      </c>
      <c r="P1745" s="116">
        <v>3925</v>
      </c>
      <c r="Q1745" s="116">
        <v>3859.9</v>
      </c>
      <c r="R1745">
        <v>3203744</v>
      </c>
    </row>
    <row r="1746" spans="1:18" x14ac:dyDescent="0.25">
      <c r="A1746" s="170">
        <v>44574</v>
      </c>
      <c r="B1746" s="116">
        <v>3944.4</v>
      </c>
      <c r="C1746" s="116">
        <v>3897.65</v>
      </c>
      <c r="D1746" s="116">
        <v>3857.25</v>
      </c>
      <c r="E1746" s="116">
        <v>3934</v>
      </c>
      <c r="F1746" s="116">
        <v>3897.65</v>
      </c>
      <c r="G1746">
        <v>368315</v>
      </c>
      <c r="H1746" s="116"/>
      <c r="I1746" s="116"/>
      <c r="L1746" s="170">
        <v>44574</v>
      </c>
      <c r="M1746" s="116">
        <v>3897.9</v>
      </c>
      <c r="N1746" s="116">
        <v>3923</v>
      </c>
      <c r="O1746" s="116">
        <v>3857</v>
      </c>
      <c r="P1746" s="116">
        <v>3918</v>
      </c>
      <c r="Q1746" s="116">
        <v>3897.9</v>
      </c>
      <c r="R1746">
        <v>6684507</v>
      </c>
    </row>
    <row r="1747" spans="1:18" x14ac:dyDescent="0.25">
      <c r="A1747" s="170">
        <v>44575</v>
      </c>
      <c r="B1747" s="116">
        <v>3978.3</v>
      </c>
      <c r="C1747" s="116">
        <v>3969.25</v>
      </c>
      <c r="D1747" s="116">
        <v>3860.1</v>
      </c>
      <c r="E1747" s="116">
        <v>3880</v>
      </c>
      <c r="F1747" s="116">
        <v>3969.25</v>
      </c>
      <c r="G1747">
        <v>280512</v>
      </c>
      <c r="H1747" s="116"/>
      <c r="I1747" s="116"/>
      <c r="L1747" s="170">
        <v>44575</v>
      </c>
      <c r="M1747" s="116">
        <v>3968.15</v>
      </c>
      <c r="N1747" s="116">
        <v>3977</v>
      </c>
      <c r="O1747" s="116">
        <v>3860.05</v>
      </c>
      <c r="P1747" s="116">
        <v>3877.85</v>
      </c>
      <c r="Q1747" s="116">
        <v>3968.15</v>
      </c>
      <c r="R1747">
        <v>3348123</v>
      </c>
    </row>
    <row r="1748" spans="1:18" x14ac:dyDescent="0.25">
      <c r="A1748" s="170">
        <v>44578</v>
      </c>
      <c r="B1748" s="116">
        <v>4043</v>
      </c>
      <c r="C1748" s="116">
        <v>4019.1</v>
      </c>
      <c r="D1748" s="116">
        <v>3963</v>
      </c>
      <c r="E1748" s="116">
        <v>3998</v>
      </c>
      <c r="F1748" s="116">
        <v>4019.1</v>
      </c>
      <c r="G1748">
        <v>295249</v>
      </c>
      <c r="H1748" s="116"/>
      <c r="I1748" s="116"/>
      <c r="L1748" s="170">
        <v>44578</v>
      </c>
      <c r="M1748" s="116">
        <v>4019.15</v>
      </c>
      <c r="N1748" s="116">
        <v>4043</v>
      </c>
      <c r="O1748" s="116">
        <v>3962.3</v>
      </c>
      <c r="P1748" s="116">
        <v>3992.7</v>
      </c>
      <c r="Q1748" s="116">
        <v>4019.15</v>
      </c>
      <c r="R1748">
        <v>3442604</v>
      </c>
    </row>
    <row r="1749" spans="1:18" x14ac:dyDescent="0.25">
      <c r="A1749" s="170">
        <v>44579</v>
      </c>
      <c r="B1749" s="116">
        <v>4045.5</v>
      </c>
      <c r="C1749" s="116">
        <v>3990.25</v>
      </c>
      <c r="D1749" s="116">
        <v>3981</v>
      </c>
      <c r="E1749" s="116">
        <v>4045.5</v>
      </c>
      <c r="F1749" s="116">
        <v>3990.25</v>
      </c>
      <c r="G1749">
        <v>110328</v>
      </c>
      <c r="H1749" s="116"/>
      <c r="I1749" s="116"/>
      <c r="L1749" s="170">
        <v>44579</v>
      </c>
      <c r="M1749" s="116">
        <v>3990.6</v>
      </c>
      <c r="N1749" s="116">
        <v>4041.7</v>
      </c>
      <c r="O1749" s="116">
        <v>3980</v>
      </c>
      <c r="P1749" s="116">
        <v>4033.95</v>
      </c>
      <c r="Q1749" s="116">
        <v>3990.6</v>
      </c>
      <c r="R1749">
        <v>2389041</v>
      </c>
    </row>
    <row r="1750" spans="1:18" x14ac:dyDescent="0.25">
      <c r="A1750" s="170">
        <v>44580</v>
      </c>
      <c r="B1750" s="116">
        <v>4018</v>
      </c>
      <c r="C1750" s="116">
        <v>3915.8</v>
      </c>
      <c r="D1750" s="116">
        <v>3911.75</v>
      </c>
      <c r="E1750" s="116">
        <v>4018</v>
      </c>
      <c r="F1750" s="116">
        <v>3915.8</v>
      </c>
      <c r="G1750">
        <v>138761</v>
      </c>
      <c r="H1750" s="116"/>
      <c r="I1750" s="116"/>
      <c r="L1750" s="170">
        <v>44580</v>
      </c>
      <c r="M1750" s="116">
        <v>3914.65</v>
      </c>
      <c r="N1750" s="116">
        <v>4012</v>
      </c>
      <c r="O1750" s="116">
        <v>3910.5</v>
      </c>
      <c r="P1750" s="116">
        <v>4012</v>
      </c>
      <c r="Q1750" s="116">
        <v>3914.65</v>
      </c>
      <c r="R1750">
        <v>3102539</v>
      </c>
    </row>
    <row r="1751" spans="1:18" x14ac:dyDescent="0.25">
      <c r="A1751" s="170">
        <v>44581</v>
      </c>
      <c r="B1751" s="116">
        <v>3915</v>
      </c>
      <c r="C1751" s="116">
        <v>3827.85</v>
      </c>
      <c r="D1751" s="116">
        <v>3814</v>
      </c>
      <c r="E1751" s="116">
        <v>3915</v>
      </c>
      <c r="F1751" s="116">
        <v>3827.85</v>
      </c>
      <c r="G1751">
        <v>289388</v>
      </c>
      <c r="H1751" s="116"/>
      <c r="I1751" s="116"/>
      <c r="L1751" s="170">
        <v>44581</v>
      </c>
      <c r="M1751" s="116">
        <v>3826.55</v>
      </c>
      <c r="N1751" s="116">
        <v>3920</v>
      </c>
      <c r="O1751" s="116">
        <v>3811</v>
      </c>
      <c r="P1751" s="116">
        <v>3910</v>
      </c>
      <c r="Q1751" s="116">
        <v>3826.55</v>
      </c>
      <c r="R1751">
        <v>6176776</v>
      </c>
    </row>
    <row r="1752" spans="1:18" x14ac:dyDescent="0.25">
      <c r="A1752" s="170">
        <v>44582</v>
      </c>
      <c r="B1752" s="116">
        <v>3851</v>
      </c>
      <c r="C1752" s="116">
        <v>3834.85</v>
      </c>
      <c r="D1752" s="116">
        <v>3771.75</v>
      </c>
      <c r="E1752" s="116">
        <v>3814</v>
      </c>
      <c r="F1752" s="116">
        <v>3834.85</v>
      </c>
      <c r="G1752">
        <v>231443</v>
      </c>
      <c r="H1752" s="116"/>
      <c r="I1752" s="116"/>
      <c r="L1752" s="170">
        <v>44582</v>
      </c>
      <c r="M1752" s="116">
        <v>3833.5</v>
      </c>
      <c r="N1752" s="116">
        <v>3851.55</v>
      </c>
      <c r="O1752" s="116">
        <v>3771.1</v>
      </c>
      <c r="P1752" s="116">
        <v>3807</v>
      </c>
      <c r="Q1752" s="116">
        <v>3833.5</v>
      </c>
      <c r="R1752">
        <v>3112358</v>
      </c>
    </row>
    <row r="1753" spans="1:18" x14ac:dyDescent="0.25">
      <c r="A1753" s="170">
        <v>44585</v>
      </c>
      <c r="B1753" s="116">
        <v>3850.15</v>
      </c>
      <c r="C1753" s="116">
        <v>3771.5</v>
      </c>
      <c r="D1753" s="116">
        <v>3741</v>
      </c>
      <c r="E1753" s="116">
        <v>3841</v>
      </c>
      <c r="F1753" s="116">
        <v>3771.5</v>
      </c>
      <c r="G1753">
        <v>288622</v>
      </c>
      <c r="H1753" s="116"/>
      <c r="I1753" s="116"/>
      <c r="L1753" s="170">
        <v>44585</v>
      </c>
      <c r="M1753" s="116">
        <v>3771.35</v>
      </c>
      <c r="N1753" s="116">
        <v>3849.65</v>
      </c>
      <c r="O1753" s="116">
        <v>3740.1</v>
      </c>
      <c r="P1753" s="116">
        <v>3840</v>
      </c>
      <c r="Q1753" s="116">
        <v>3771.35</v>
      </c>
      <c r="R1753">
        <v>3258414</v>
      </c>
    </row>
    <row r="1754" spans="1:18" x14ac:dyDescent="0.25">
      <c r="A1754" s="170">
        <v>44586</v>
      </c>
      <c r="B1754" s="116">
        <v>3809.2</v>
      </c>
      <c r="C1754" s="116">
        <v>3770.1</v>
      </c>
      <c r="D1754" s="116">
        <v>3723.05</v>
      </c>
      <c r="E1754" s="116">
        <v>3771</v>
      </c>
      <c r="F1754" s="116">
        <v>3770.1</v>
      </c>
      <c r="G1754">
        <v>229135</v>
      </c>
      <c r="H1754" s="116"/>
      <c r="I1754" s="116"/>
      <c r="L1754" s="170">
        <v>44586</v>
      </c>
      <c r="M1754" s="116">
        <v>3769.9</v>
      </c>
      <c r="N1754" s="116">
        <v>3809.4</v>
      </c>
      <c r="O1754" s="116">
        <v>3722.2</v>
      </c>
      <c r="P1754" s="116">
        <v>3769.5</v>
      </c>
      <c r="Q1754" s="116">
        <v>3769.9</v>
      </c>
      <c r="R1754">
        <v>3330501</v>
      </c>
    </row>
    <row r="1755" spans="1:18" x14ac:dyDescent="0.25">
      <c r="A1755" s="170">
        <v>44588</v>
      </c>
      <c r="B1755" s="116">
        <v>3740</v>
      </c>
      <c r="C1755" s="116">
        <v>3650.1</v>
      </c>
      <c r="D1755" s="116">
        <v>3626.25</v>
      </c>
      <c r="E1755" s="116">
        <v>3740</v>
      </c>
      <c r="F1755" s="116">
        <v>3650.1</v>
      </c>
      <c r="G1755">
        <v>408154</v>
      </c>
      <c r="H1755" s="116"/>
      <c r="I1755" s="116"/>
      <c r="L1755" s="170">
        <v>44588</v>
      </c>
      <c r="M1755" s="116">
        <v>3649.25</v>
      </c>
      <c r="N1755" s="116">
        <v>3733.4</v>
      </c>
      <c r="O1755" s="116">
        <v>3625.1</v>
      </c>
      <c r="P1755" s="116">
        <v>3731</v>
      </c>
      <c r="Q1755" s="116">
        <v>3649.25</v>
      </c>
      <c r="R1755">
        <v>5718297</v>
      </c>
    </row>
    <row r="1756" spans="1:18" x14ac:dyDescent="0.25">
      <c r="A1756" s="170">
        <v>44589</v>
      </c>
      <c r="B1756" s="116">
        <v>3729</v>
      </c>
      <c r="C1756" s="116">
        <v>3690.25</v>
      </c>
      <c r="D1756" s="116">
        <v>3650</v>
      </c>
      <c r="E1756" s="116">
        <v>3659</v>
      </c>
      <c r="F1756" s="116">
        <v>3690.25</v>
      </c>
      <c r="G1756">
        <v>213927</v>
      </c>
      <c r="H1756" s="116"/>
      <c r="I1756" s="116"/>
      <c r="L1756" s="170">
        <v>44589</v>
      </c>
      <c r="M1756" s="116">
        <v>3690.05</v>
      </c>
      <c r="N1756" s="116">
        <v>3729.8</v>
      </c>
      <c r="O1756" s="116">
        <v>3646</v>
      </c>
      <c r="P1756" s="116">
        <v>3646</v>
      </c>
      <c r="Q1756" s="116">
        <v>3690.05</v>
      </c>
      <c r="R1756">
        <v>3143862</v>
      </c>
    </row>
    <row r="1757" spans="1:18" x14ac:dyDescent="0.25">
      <c r="A1757" s="170">
        <v>44592</v>
      </c>
      <c r="B1757" s="116">
        <v>3758.05</v>
      </c>
      <c r="C1757" s="116">
        <v>3737.9</v>
      </c>
      <c r="D1757" s="116">
        <v>3721.7</v>
      </c>
      <c r="E1757" s="116">
        <v>3742.2</v>
      </c>
      <c r="F1757" s="116">
        <v>3737.9</v>
      </c>
      <c r="G1757">
        <v>140447</v>
      </c>
      <c r="H1757" s="116"/>
      <c r="I1757" s="116"/>
      <c r="L1757" s="170">
        <v>44592</v>
      </c>
      <c r="M1757" s="116">
        <v>3736.25</v>
      </c>
      <c r="N1757" s="116">
        <v>3758</v>
      </c>
      <c r="O1757" s="116">
        <v>3721.4</v>
      </c>
      <c r="P1757" s="116">
        <v>3749</v>
      </c>
      <c r="Q1757" s="116">
        <v>3736.25</v>
      </c>
      <c r="R1757">
        <v>2739393</v>
      </c>
    </row>
    <row r="1758" spans="1:18" x14ac:dyDescent="0.25">
      <c r="A1758" s="170">
        <v>44593</v>
      </c>
      <c r="B1758" s="116">
        <v>3809</v>
      </c>
      <c r="C1758" s="116">
        <v>3800.65</v>
      </c>
      <c r="D1758" s="116">
        <v>3735.6</v>
      </c>
      <c r="E1758" s="116">
        <v>3780</v>
      </c>
      <c r="F1758" s="116">
        <v>3800.65</v>
      </c>
      <c r="G1758">
        <v>142772</v>
      </c>
      <c r="H1758" s="116"/>
      <c r="I1758" s="116"/>
      <c r="L1758" s="170">
        <v>44593</v>
      </c>
      <c r="M1758" s="116">
        <v>3800.65</v>
      </c>
      <c r="N1758" s="116">
        <v>3808</v>
      </c>
      <c r="O1758" s="116">
        <v>3736.4</v>
      </c>
      <c r="P1758" s="116">
        <v>3770</v>
      </c>
      <c r="Q1758" s="116">
        <v>3800.65</v>
      </c>
      <c r="R1758">
        <v>2105169</v>
      </c>
    </row>
    <row r="1759" spans="1:18" x14ac:dyDescent="0.25">
      <c r="A1759" s="170">
        <v>44594</v>
      </c>
      <c r="B1759" s="116">
        <v>3864</v>
      </c>
      <c r="C1759" s="116">
        <v>3857</v>
      </c>
      <c r="D1759" s="116">
        <v>3800.65</v>
      </c>
      <c r="E1759" s="116">
        <v>3823</v>
      </c>
      <c r="F1759" s="116">
        <v>3857</v>
      </c>
      <c r="G1759">
        <v>72720</v>
      </c>
      <c r="H1759" s="116"/>
      <c r="I1759" s="116"/>
      <c r="L1759" s="170">
        <v>44594</v>
      </c>
      <c r="M1759" s="116">
        <v>3856.2</v>
      </c>
      <c r="N1759" s="116">
        <v>3864</v>
      </c>
      <c r="O1759" s="116">
        <v>3800.65</v>
      </c>
      <c r="P1759" s="116">
        <v>3827.9</v>
      </c>
      <c r="Q1759" s="116">
        <v>3856.2</v>
      </c>
      <c r="R1759">
        <v>1984212</v>
      </c>
    </row>
    <row r="1760" spans="1:18" x14ac:dyDescent="0.25">
      <c r="A1760" s="170">
        <v>44595</v>
      </c>
      <c r="B1760" s="116">
        <v>3882.95</v>
      </c>
      <c r="C1760" s="116">
        <v>3825</v>
      </c>
      <c r="D1760" s="116">
        <v>3815</v>
      </c>
      <c r="E1760" s="116">
        <v>3845</v>
      </c>
      <c r="F1760" s="116">
        <v>3825</v>
      </c>
      <c r="G1760">
        <v>114933</v>
      </c>
      <c r="H1760" s="116"/>
      <c r="I1760" s="116"/>
      <c r="L1760" s="170">
        <v>44595</v>
      </c>
      <c r="M1760" s="116">
        <v>3824.6</v>
      </c>
      <c r="N1760" s="116">
        <v>3882.5</v>
      </c>
      <c r="O1760" s="116">
        <v>3816.05</v>
      </c>
      <c r="P1760" s="116">
        <v>3851</v>
      </c>
      <c r="Q1760" s="116">
        <v>3824.6</v>
      </c>
      <c r="R1760">
        <v>1960538</v>
      </c>
    </row>
    <row r="1761" spans="1:18" x14ac:dyDescent="0.25">
      <c r="A1761" s="170">
        <v>44596</v>
      </c>
      <c r="B1761" s="116">
        <v>3825</v>
      </c>
      <c r="C1761" s="116">
        <v>3814.65</v>
      </c>
      <c r="D1761" s="116">
        <v>3769.2</v>
      </c>
      <c r="E1761" s="116">
        <v>3810</v>
      </c>
      <c r="F1761" s="116">
        <v>3814.65</v>
      </c>
      <c r="G1761">
        <v>107911</v>
      </c>
      <c r="H1761" s="116"/>
      <c r="I1761" s="116"/>
      <c r="L1761" s="170">
        <v>44596</v>
      </c>
      <c r="M1761" s="116">
        <v>3814.9</v>
      </c>
      <c r="N1761" s="116">
        <v>3824.7</v>
      </c>
      <c r="O1761" s="116">
        <v>3769</v>
      </c>
      <c r="P1761" s="116">
        <v>3815.3</v>
      </c>
      <c r="Q1761" s="116">
        <v>3814.9</v>
      </c>
      <c r="R1761">
        <v>2307366</v>
      </c>
    </row>
    <row r="1762" spans="1:18" x14ac:dyDescent="0.25">
      <c r="A1762" s="170">
        <v>44599</v>
      </c>
      <c r="B1762" s="116">
        <v>3832.4</v>
      </c>
      <c r="C1762" s="116">
        <v>3778.6</v>
      </c>
      <c r="D1762" s="116">
        <v>3756.1</v>
      </c>
      <c r="E1762" s="116">
        <v>3800</v>
      </c>
      <c r="F1762" s="116">
        <v>3778.6</v>
      </c>
      <c r="G1762">
        <v>81224</v>
      </c>
      <c r="H1762" s="116"/>
      <c r="I1762" s="116"/>
      <c r="L1762" s="170">
        <v>44599</v>
      </c>
      <c r="M1762" s="116">
        <v>3779</v>
      </c>
      <c r="N1762" s="116">
        <v>3831.8</v>
      </c>
      <c r="O1762" s="116">
        <v>3756.15</v>
      </c>
      <c r="P1762" s="116">
        <v>3791</v>
      </c>
      <c r="Q1762" s="116">
        <v>3779</v>
      </c>
      <c r="R1762">
        <v>1919149</v>
      </c>
    </row>
    <row r="1763" spans="1:18" x14ac:dyDescent="0.25">
      <c r="A1763" s="170">
        <v>44600</v>
      </c>
      <c r="B1763" s="116">
        <v>3801.75</v>
      </c>
      <c r="C1763" s="116">
        <v>3742.4</v>
      </c>
      <c r="D1763" s="116">
        <v>3721.15</v>
      </c>
      <c r="E1763" s="116">
        <v>3794.9</v>
      </c>
      <c r="F1763" s="116">
        <v>3742.4</v>
      </c>
      <c r="G1763">
        <v>85663</v>
      </c>
      <c r="H1763" s="116"/>
      <c r="I1763" s="116"/>
      <c r="L1763" s="170">
        <v>44600</v>
      </c>
      <c r="M1763" s="116">
        <v>3743.45</v>
      </c>
      <c r="N1763" s="116">
        <v>3799.7</v>
      </c>
      <c r="O1763" s="116">
        <v>3721</v>
      </c>
      <c r="P1763" s="116">
        <v>3791.55</v>
      </c>
      <c r="Q1763" s="116">
        <v>3743.45</v>
      </c>
      <c r="R1763">
        <v>2946443</v>
      </c>
    </row>
    <row r="1764" spans="1:18" x14ac:dyDescent="0.25">
      <c r="A1764" s="170">
        <v>44601</v>
      </c>
      <c r="B1764" s="116">
        <v>3778</v>
      </c>
      <c r="C1764" s="116">
        <v>3761.25</v>
      </c>
      <c r="D1764" s="116">
        <v>3748</v>
      </c>
      <c r="E1764" s="116">
        <v>3762</v>
      </c>
      <c r="F1764" s="116">
        <v>3761.25</v>
      </c>
      <c r="G1764">
        <v>43296</v>
      </c>
      <c r="H1764" s="116"/>
      <c r="I1764" s="116"/>
      <c r="L1764" s="170">
        <v>44601</v>
      </c>
      <c r="M1764" s="116">
        <v>3760.55</v>
      </c>
      <c r="N1764" s="116">
        <v>3777.95</v>
      </c>
      <c r="O1764" s="116">
        <v>3746.1</v>
      </c>
      <c r="P1764" s="116">
        <v>3750</v>
      </c>
      <c r="Q1764" s="116">
        <v>3760.55</v>
      </c>
      <c r="R1764">
        <v>1638721</v>
      </c>
    </row>
    <row r="1765" spans="1:18" x14ac:dyDescent="0.25">
      <c r="A1765" s="170">
        <v>44602</v>
      </c>
      <c r="B1765" s="116">
        <v>3788.6</v>
      </c>
      <c r="C1765" s="116">
        <v>3771.2</v>
      </c>
      <c r="D1765" s="116">
        <v>3758.3</v>
      </c>
      <c r="E1765" s="116">
        <v>3785</v>
      </c>
      <c r="F1765" s="116">
        <v>3771.2</v>
      </c>
      <c r="G1765">
        <v>67626</v>
      </c>
      <c r="H1765" s="116"/>
      <c r="I1765" s="116"/>
      <c r="L1765" s="170">
        <v>44602</v>
      </c>
      <c r="M1765" s="116">
        <v>3770.35</v>
      </c>
      <c r="N1765" s="116">
        <v>3789.8</v>
      </c>
      <c r="O1765" s="116">
        <v>3758</v>
      </c>
      <c r="P1765" s="116">
        <v>3789.8</v>
      </c>
      <c r="Q1765" s="116">
        <v>3770.35</v>
      </c>
      <c r="R1765">
        <v>2112459</v>
      </c>
    </row>
    <row r="1766" spans="1:18" x14ac:dyDescent="0.25">
      <c r="A1766" s="170">
        <v>44603</v>
      </c>
      <c r="B1766" s="116">
        <v>3752</v>
      </c>
      <c r="C1766" s="116">
        <v>3695.6</v>
      </c>
      <c r="D1766" s="116">
        <v>3690.6</v>
      </c>
      <c r="E1766" s="116">
        <v>3752</v>
      </c>
      <c r="F1766" s="116">
        <v>3695.6</v>
      </c>
      <c r="G1766">
        <v>172871</v>
      </c>
      <c r="H1766" s="116"/>
      <c r="I1766" s="116"/>
      <c r="L1766" s="170">
        <v>44603</v>
      </c>
      <c r="M1766" s="116">
        <v>3694.95</v>
      </c>
      <c r="N1766" s="116">
        <v>3752.5</v>
      </c>
      <c r="O1766" s="116">
        <v>3690</v>
      </c>
      <c r="P1766" s="116">
        <v>3752.5</v>
      </c>
      <c r="Q1766" s="116">
        <v>3694.95</v>
      </c>
      <c r="R1766">
        <v>3851488</v>
      </c>
    </row>
    <row r="1767" spans="1:18" x14ac:dyDescent="0.25">
      <c r="A1767" s="170">
        <v>44606</v>
      </c>
      <c r="B1767" s="116">
        <v>3794.15</v>
      </c>
      <c r="C1767" s="116">
        <v>3734.25</v>
      </c>
      <c r="D1767" s="116">
        <v>3710</v>
      </c>
      <c r="E1767" s="116">
        <v>3734</v>
      </c>
      <c r="F1767" s="116">
        <v>3734.25</v>
      </c>
      <c r="G1767">
        <v>411550</v>
      </c>
      <c r="H1767" s="116"/>
      <c r="I1767" s="116"/>
      <c r="L1767" s="170">
        <v>44606</v>
      </c>
      <c r="M1767" s="116">
        <v>3733.75</v>
      </c>
      <c r="N1767" s="116">
        <v>3793.25</v>
      </c>
      <c r="O1767" s="116">
        <v>3710</v>
      </c>
      <c r="P1767" s="116">
        <v>3724</v>
      </c>
      <c r="Q1767" s="116">
        <v>3733.75</v>
      </c>
      <c r="R1767">
        <v>5951745</v>
      </c>
    </row>
    <row r="1768" spans="1:18" x14ac:dyDescent="0.25">
      <c r="A1768" s="170">
        <v>44607</v>
      </c>
      <c r="B1768" s="116">
        <v>3833</v>
      </c>
      <c r="C1768" s="116">
        <v>3817.7</v>
      </c>
      <c r="D1768" s="116">
        <v>3749.95</v>
      </c>
      <c r="E1768" s="116">
        <v>3785.45</v>
      </c>
      <c r="F1768" s="116">
        <v>3817.7</v>
      </c>
      <c r="G1768">
        <v>280664</v>
      </c>
      <c r="H1768" s="116"/>
      <c r="I1768" s="116"/>
      <c r="L1768" s="170">
        <v>44607</v>
      </c>
      <c r="M1768" s="116">
        <v>3817.8</v>
      </c>
      <c r="N1768" s="116">
        <v>3835</v>
      </c>
      <c r="O1768" s="116">
        <v>3748</v>
      </c>
      <c r="P1768" s="116">
        <v>3786</v>
      </c>
      <c r="Q1768" s="116">
        <v>3817.8</v>
      </c>
      <c r="R1768">
        <v>3931683</v>
      </c>
    </row>
    <row r="1769" spans="1:18" x14ac:dyDescent="0.25">
      <c r="A1769" s="170">
        <v>44608</v>
      </c>
      <c r="B1769" s="116">
        <v>3856</v>
      </c>
      <c r="C1769" s="116">
        <v>3813.55</v>
      </c>
      <c r="D1769" s="116">
        <v>3805.9</v>
      </c>
      <c r="E1769" s="116">
        <v>3852</v>
      </c>
      <c r="F1769" s="116">
        <v>3813.55</v>
      </c>
      <c r="G1769">
        <v>171784</v>
      </c>
      <c r="H1769" s="116"/>
      <c r="I1769" s="116"/>
      <c r="L1769" s="170">
        <v>44608</v>
      </c>
      <c r="M1769" s="116">
        <v>3813.1</v>
      </c>
      <c r="N1769" s="116">
        <v>3854.1</v>
      </c>
      <c r="O1769" s="116">
        <v>3806</v>
      </c>
      <c r="P1769" s="116">
        <v>3844</v>
      </c>
      <c r="Q1769" s="116">
        <v>3813.1</v>
      </c>
      <c r="R1769">
        <v>3256906</v>
      </c>
    </row>
    <row r="1770" spans="1:18" x14ac:dyDescent="0.25">
      <c r="A1770" s="170">
        <v>44609</v>
      </c>
      <c r="B1770" s="116">
        <v>3835.15</v>
      </c>
      <c r="C1770" s="116">
        <v>3784.45</v>
      </c>
      <c r="D1770" s="116">
        <v>3780</v>
      </c>
      <c r="E1770" s="116">
        <v>3830</v>
      </c>
      <c r="F1770" s="116">
        <v>3784.45</v>
      </c>
      <c r="G1770">
        <v>253743</v>
      </c>
      <c r="H1770" s="116"/>
      <c r="I1770" s="116"/>
      <c r="L1770" s="170">
        <v>44609</v>
      </c>
      <c r="M1770" s="116">
        <v>3784.2</v>
      </c>
      <c r="N1770" s="116">
        <v>3835</v>
      </c>
      <c r="O1770" s="116">
        <v>3779</v>
      </c>
      <c r="P1770" s="116">
        <v>3825</v>
      </c>
      <c r="Q1770" s="116">
        <v>3784.2</v>
      </c>
      <c r="R1770">
        <v>3134372</v>
      </c>
    </row>
    <row r="1771" spans="1:18" x14ac:dyDescent="0.25">
      <c r="A1771" s="170">
        <v>44610</v>
      </c>
      <c r="B1771" s="116">
        <v>3815.95</v>
      </c>
      <c r="C1771" s="116">
        <v>3794.8</v>
      </c>
      <c r="D1771" s="116">
        <v>3756</v>
      </c>
      <c r="E1771" s="116">
        <v>3769</v>
      </c>
      <c r="F1771" s="116">
        <v>3794.8</v>
      </c>
      <c r="G1771">
        <v>340554</v>
      </c>
      <c r="H1771" s="116"/>
      <c r="I1771" s="116"/>
      <c r="L1771" s="170">
        <v>44610</v>
      </c>
      <c r="M1771" s="116">
        <v>3793.9</v>
      </c>
      <c r="N1771" s="116">
        <v>3815.95</v>
      </c>
      <c r="O1771" s="116">
        <v>3757.6</v>
      </c>
      <c r="P1771" s="116">
        <v>3769</v>
      </c>
      <c r="Q1771" s="116">
        <v>3793.9</v>
      </c>
      <c r="R1771">
        <v>3688883</v>
      </c>
    </row>
    <row r="1772" spans="1:18" x14ac:dyDescent="0.25">
      <c r="A1772" s="170">
        <v>44613</v>
      </c>
      <c r="B1772" s="116">
        <v>3828.9</v>
      </c>
      <c r="C1772" s="116">
        <v>3720.25</v>
      </c>
      <c r="D1772" s="116">
        <v>3705.8</v>
      </c>
      <c r="E1772" s="116">
        <v>3812</v>
      </c>
      <c r="F1772" s="116">
        <v>3720.25</v>
      </c>
      <c r="G1772">
        <v>581891</v>
      </c>
      <c r="H1772" s="116"/>
      <c r="I1772" s="116"/>
      <c r="L1772" s="170">
        <v>44613</v>
      </c>
      <c r="M1772" s="116">
        <v>3719.4</v>
      </c>
      <c r="N1772" s="116">
        <v>3827.8</v>
      </c>
      <c r="O1772" s="116">
        <v>3705.55</v>
      </c>
      <c r="P1772" s="116">
        <v>3810</v>
      </c>
      <c r="Q1772" s="116">
        <v>3719.4</v>
      </c>
      <c r="R1772">
        <v>7465922</v>
      </c>
    </row>
    <row r="1773" spans="1:18" x14ac:dyDescent="0.25">
      <c r="A1773" s="170">
        <v>44614</v>
      </c>
      <c r="B1773" s="116">
        <v>3662.95</v>
      </c>
      <c r="C1773" s="116">
        <v>3586.65</v>
      </c>
      <c r="D1773" s="116">
        <v>3570.8</v>
      </c>
      <c r="E1773" s="116">
        <v>3649</v>
      </c>
      <c r="F1773" s="116">
        <v>3586.65</v>
      </c>
      <c r="G1773">
        <v>333134</v>
      </c>
      <c r="H1773" s="116"/>
      <c r="I1773" s="116"/>
      <c r="L1773" s="170">
        <v>44614</v>
      </c>
      <c r="M1773" s="116">
        <v>3586.4</v>
      </c>
      <c r="N1773" s="116">
        <v>3667.9</v>
      </c>
      <c r="O1773" s="116">
        <v>3570</v>
      </c>
      <c r="P1773" s="116">
        <v>3650</v>
      </c>
      <c r="Q1773" s="116">
        <v>3586.4</v>
      </c>
      <c r="R1773">
        <v>5408531</v>
      </c>
    </row>
    <row r="1774" spans="1:18" x14ac:dyDescent="0.25">
      <c r="A1774" s="170">
        <v>44615</v>
      </c>
      <c r="B1774" s="116">
        <v>3639.85</v>
      </c>
      <c r="C1774" s="116">
        <v>3565.3</v>
      </c>
      <c r="D1774" s="116">
        <v>3555.85</v>
      </c>
      <c r="E1774" s="116">
        <v>3604.7</v>
      </c>
      <c r="F1774" s="116">
        <v>3565.3</v>
      </c>
      <c r="G1774">
        <v>208645</v>
      </c>
      <c r="H1774" s="116"/>
      <c r="I1774" s="116"/>
      <c r="L1774" s="170">
        <v>44615</v>
      </c>
      <c r="M1774" s="116">
        <v>3563.8</v>
      </c>
      <c r="N1774" s="116">
        <v>3622.9</v>
      </c>
      <c r="O1774" s="116">
        <v>3555.65</v>
      </c>
      <c r="P1774" s="116">
        <v>3611</v>
      </c>
      <c r="Q1774" s="116">
        <v>3563.8</v>
      </c>
      <c r="R1774">
        <v>2426203</v>
      </c>
    </row>
    <row r="1775" spans="1:18" x14ac:dyDescent="0.25">
      <c r="A1775" s="170">
        <v>44616</v>
      </c>
      <c r="B1775" s="116">
        <v>3490</v>
      </c>
      <c r="C1775" s="116">
        <v>3402.25</v>
      </c>
      <c r="D1775" s="116">
        <v>3392.05</v>
      </c>
      <c r="E1775" s="116">
        <v>3475</v>
      </c>
      <c r="F1775" s="116">
        <v>3402.25</v>
      </c>
      <c r="G1775">
        <v>414928</v>
      </c>
      <c r="H1775" s="116"/>
      <c r="I1775" s="116"/>
      <c r="L1775" s="170">
        <v>44616</v>
      </c>
      <c r="M1775" s="116">
        <v>3401.65</v>
      </c>
      <c r="N1775" s="116">
        <v>3483.85</v>
      </c>
      <c r="O1775" s="116">
        <v>3391.1</v>
      </c>
      <c r="P1775" s="116">
        <v>3474</v>
      </c>
      <c r="Q1775" s="116">
        <v>3401.65</v>
      </c>
      <c r="R1775">
        <v>5039136</v>
      </c>
    </row>
    <row r="1776" spans="1:18" x14ac:dyDescent="0.25">
      <c r="A1776" s="170">
        <v>44617</v>
      </c>
      <c r="B1776" s="116">
        <v>3530</v>
      </c>
      <c r="C1776" s="116">
        <v>3519.7</v>
      </c>
      <c r="D1776" s="116">
        <v>3452.25</v>
      </c>
      <c r="E1776" s="116">
        <v>3452.25</v>
      </c>
      <c r="F1776" s="116">
        <v>3519.7</v>
      </c>
      <c r="G1776">
        <v>231297</v>
      </c>
      <c r="H1776" s="116"/>
      <c r="I1776" s="116"/>
      <c r="L1776" s="170">
        <v>44617</v>
      </c>
      <c r="M1776" s="116">
        <v>3520.75</v>
      </c>
      <c r="N1776" s="116">
        <v>3530</v>
      </c>
      <c r="O1776" s="116">
        <v>3462</v>
      </c>
      <c r="P1776" s="116">
        <v>3468</v>
      </c>
      <c r="Q1776" s="116">
        <v>3520.75</v>
      </c>
      <c r="R1776">
        <v>2549723</v>
      </c>
    </row>
    <row r="1777" spans="1:18" x14ac:dyDescent="0.25">
      <c r="A1777" s="170">
        <v>44620</v>
      </c>
      <c r="B1777" s="116">
        <v>3563.9</v>
      </c>
      <c r="C1777" s="116">
        <v>3554.55</v>
      </c>
      <c r="D1777" s="116">
        <v>3456.7</v>
      </c>
      <c r="E1777" s="116">
        <v>3493</v>
      </c>
      <c r="F1777" s="116">
        <v>3554.55</v>
      </c>
      <c r="G1777">
        <v>75954</v>
      </c>
      <c r="H1777" s="116"/>
      <c r="I1777" s="116"/>
      <c r="L1777" s="170">
        <v>44620</v>
      </c>
      <c r="M1777" s="116">
        <v>3554.2</v>
      </c>
      <c r="N1777" s="116">
        <v>3563.75</v>
      </c>
      <c r="O1777" s="116">
        <v>3455.9</v>
      </c>
      <c r="P1777" s="116">
        <v>3490</v>
      </c>
      <c r="Q1777" s="116">
        <v>3554.2</v>
      </c>
      <c r="R1777">
        <v>3288942</v>
      </c>
    </row>
    <row r="1778" spans="1:18" x14ac:dyDescent="0.25">
      <c r="A1778" s="170">
        <v>44622</v>
      </c>
      <c r="B1778" s="116">
        <v>3570.65</v>
      </c>
      <c r="C1778" s="116">
        <v>3544.35</v>
      </c>
      <c r="D1778" s="116">
        <v>3506.95</v>
      </c>
      <c r="E1778" s="116">
        <v>3560.1</v>
      </c>
      <c r="F1778" s="116">
        <v>3544.35</v>
      </c>
      <c r="G1778">
        <v>137462</v>
      </c>
      <c r="H1778" s="116"/>
      <c r="I1778" s="116"/>
      <c r="L1778" s="170">
        <v>44622</v>
      </c>
      <c r="M1778" s="116">
        <v>3546.15</v>
      </c>
      <c r="N1778" s="116">
        <v>3571.95</v>
      </c>
      <c r="O1778" s="116">
        <v>3506</v>
      </c>
      <c r="P1778" s="116">
        <v>3552.5</v>
      </c>
      <c r="Q1778" s="116">
        <v>3546.15</v>
      </c>
      <c r="R1778">
        <v>2761341</v>
      </c>
    </row>
    <row r="1779" spans="1:18" x14ac:dyDescent="0.25">
      <c r="A1779" s="170">
        <v>44623</v>
      </c>
      <c r="B1779" s="116">
        <v>3578.5</v>
      </c>
      <c r="C1779" s="116">
        <v>3544.45</v>
      </c>
      <c r="D1779" s="116">
        <v>3530.85</v>
      </c>
      <c r="E1779" s="116">
        <v>3568</v>
      </c>
      <c r="F1779" s="116">
        <v>3544.45</v>
      </c>
      <c r="G1779">
        <v>87974</v>
      </c>
      <c r="H1779" s="116"/>
      <c r="I1779" s="116"/>
      <c r="L1779" s="170">
        <v>44623</v>
      </c>
      <c r="M1779" s="116">
        <v>3544.4</v>
      </c>
      <c r="N1779" s="116">
        <v>3578.6</v>
      </c>
      <c r="O1779" s="116">
        <v>3530.1</v>
      </c>
      <c r="P1779" s="116">
        <v>3562.85</v>
      </c>
      <c r="Q1779" s="116">
        <v>3544.4</v>
      </c>
      <c r="R1779">
        <v>1928039</v>
      </c>
    </row>
    <row r="1780" spans="1:18" x14ac:dyDescent="0.25">
      <c r="A1780" s="170">
        <v>44624</v>
      </c>
      <c r="B1780" s="116">
        <v>3561.4</v>
      </c>
      <c r="C1780" s="116">
        <v>3525.2</v>
      </c>
      <c r="D1780" s="116">
        <v>3485</v>
      </c>
      <c r="E1780" s="116">
        <v>3500</v>
      </c>
      <c r="F1780" s="116">
        <v>3525.2</v>
      </c>
      <c r="G1780">
        <v>107978</v>
      </c>
      <c r="H1780" s="116"/>
      <c r="I1780" s="116"/>
      <c r="L1780" s="170">
        <v>44624</v>
      </c>
      <c r="M1780" s="116">
        <v>3524.35</v>
      </c>
      <c r="N1780" s="116">
        <v>3561.2</v>
      </c>
      <c r="O1780" s="116">
        <v>3487.05</v>
      </c>
      <c r="P1780" s="116">
        <v>3501.5</v>
      </c>
      <c r="Q1780" s="116">
        <v>3524.35</v>
      </c>
      <c r="R1780">
        <v>2370257</v>
      </c>
    </row>
    <row r="1781" spans="1:18" x14ac:dyDescent="0.25">
      <c r="A1781" s="170">
        <v>44627</v>
      </c>
      <c r="B1781" s="116">
        <v>3547.45</v>
      </c>
      <c r="C1781" s="116">
        <v>3485.3</v>
      </c>
      <c r="D1781" s="116">
        <v>3351</v>
      </c>
      <c r="E1781" s="116">
        <v>3469</v>
      </c>
      <c r="F1781" s="116">
        <v>3485.3</v>
      </c>
      <c r="G1781">
        <v>244599</v>
      </c>
      <c r="H1781" s="116"/>
      <c r="I1781" s="116"/>
      <c r="L1781" s="170">
        <v>44627</v>
      </c>
      <c r="M1781" s="116">
        <v>3484.9</v>
      </c>
      <c r="N1781" s="116">
        <v>3548</v>
      </c>
      <c r="O1781" s="116">
        <v>3431.55</v>
      </c>
      <c r="P1781" s="116">
        <v>3450</v>
      </c>
      <c r="Q1781" s="116">
        <v>3484.9</v>
      </c>
      <c r="R1781">
        <v>3054130</v>
      </c>
    </row>
    <row r="1782" spans="1:18" x14ac:dyDescent="0.25">
      <c r="A1782" s="170">
        <v>44628</v>
      </c>
      <c r="B1782" s="116">
        <v>3608</v>
      </c>
      <c r="C1782" s="116">
        <v>3599.95</v>
      </c>
      <c r="D1782" s="116">
        <v>3458</v>
      </c>
      <c r="E1782" s="116">
        <v>3458</v>
      </c>
      <c r="F1782" s="116">
        <v>3599.95</v>
      </c>
      <c r="G1782">
        <v>191722</v>
      </c>
      <c r="H1782" s="116"/>
      <c r="I1782" s="116"/>
      <c r="L1782" s="170">
        <v>44628</v>
      </c>
      <c r="M1782" s="116">
        <v>3599.95</v>
      </c>
      <c r="N1782" s="116">
        <v>3609</v>
      </c>
      <c r="O1782" s="116">
        <v>3460</v>
      </c>
      <c r="P1782" s="116">
        <v>3460</v>
      </c>
      <c r="Q1782" s="116">
        <v>3599.95</v>
      </c>
      <c r="R1782">
        <v>3300992</v>
      </c>
    </row>
    <row r="1783" spans="1:18" x14ac:dyDescent="0.25">
      <c r="A1783" s="170">
        <v>44629</v>
      </c>
      <c r="B1783" s="116">
        <v>3654</v>
      </c>
      <c r="C1783" s="116">
        <v>3633.35</v>
      </c>
      <c r="D1783" s="116">
        <v>3599</v>
      </c>
      <c r="E1783" s="116">
        <v>3610</v>
      </c>
      <c r="F1783" s="116">
        <v>3633.35</v>
      </c>
      <c r="G1783">
        <v>137528</v>
      </c>
      <c r="H1783" s="116"/>
      <c r="I1783" s="116"/>
      <c r="L1783" s="170">
        <v>44629</v>
      </c>
      <c r="M1783" s="116">
        <v>3632.6</v>
      </c>
      <c r="N1783" s="116">
        <v>3654</v>
      </c>
      <c r="O1783" s="116">
        <v>3597.05</v>
      </c>
      <c r="P1783" s="116">
        <v>3605</v>
      </c>
      <c r="Q1783" s="116">
        <v>3632.6</v>
      </c>
      <c r="R1783">
        <v>2719654</v>
      </c>
    </row>
    <row r="1784" spans="1:18" x14ac:dyDescent="0.25">
      <c r="A1784" s="170">
        <v>44630</v>
      </c>
      <c r="B1784" s="116">
        <v>3685</v>
      </c>
      <c r="C1784" s="116">
        <v>3620.1</v>
      </c>
      <c r="D1784" s="116">
        <v>3614.6</v>
      </c>
      <c r="E1784" s="116">
        <v>3685</v>
      </c>
      <c r="F1784" s="116">
        <v>3620.1</v>
      </c>
      <c r="G1784">
        <v>126839</v>
      </c>
      <c r="H1784" s="116"/>
      <c r="I1784" s="116"/>
      <c r="L1784" s="170">
        <v>44630</v>
      </c>
      <c r="M1784" s="116">
        <v>3620.95</v>
      </c>
      <c r="N1784" s="116">
        <v>3684</v>
      </c>
      <c r="O1784" s="116">
        <v>3615</v>
      </c>
      <c r="P1784" s="116">
        <v>3684</v>
      </c>
      <c r="Q1784" s="116">
        <v>3620.95</v>
      </c>
      <c r="R1784">
        <v>2005441</v>
      </c>
    </row>
    <row r="1785" spans="1:18" x14ac:dyDescent="0.25">
      <c r="A1785" s="170">
        <v>44631</v>
      </c>
      <c r="B1785" s="116">
        <v>3641.7</v>
      </c>
      <c r="C1785" s="116">
        <v>3600.7</v>
      </c>
      <c r="D1785" s="116">
        <v>3594</v>
      </c>
      <c r="E1785" s="116">
        <v>3614</v>
      </c>
      <c r="F1785" s="116">
        <v>3600.7</v>
      </c>
      <c r="G1785">
        <v>43118</v>
      </c>
      <c r="H1785" s="116"/>
      <c r="I1785" s="116"/>
      <c r="L1785" s="170">
        <v>44631</v>
      </c>
      <c r="M1785" s="116">
        <v>3599.15</v>
      </c>
      <c r="N1785" s="116">
        <v>3639.85</v>
      </c>
      <c r="O1785" s="116">
        <v>3592.85</v>
      </c>
      <c r="P1785" s="116">
        <v>3603.25</v>
      </c>
      <c r="Q1785" s="116">
        <v>3599.15</v>
      </c>
      <c r="R1785">
        <v>1623423</v>
      </c>
    </row>
    <row r="1786" spans="1:18" x14ac:dyDescent="0.25">
      <c r="A1786" s="170">
        <v>44634</v>
      </c>
      <c r="B1786" s="116">
        <v>3648</v>
      </c>
      <c r="C1786" s="116">
        <v>3642.7</v>
      </c>
      <c r="D1786" s="116">
        <v>3580</v>
      </c>
      <c r="E1786" s="116">
        <v>3584</v>
      </c>
      <c r="F1786" s="116">
        <v>3642.7</v>
      </c>
      <c r="G1786">
        <v>138512</v>
      </c>
      <c r="H1786" s="116"/>
      <c r="I1786" s="116"/>
      <c r="L1786" s="170">
        <v>44634</v>
      </c>
      <c r="M1786" s="116">
        <v>3643</v>
      </c>
      <c r="N1786" s="116">
        <v>3648.35</v>
      </c>
      <c r="O1786" s="116">
        <v>3580</v>
      </c>
      <c r="P1786" s="116">
        <v>3580</v>
      </c>
      <c r="Q1786" s="116">
        <v>3643</v>
      </c>
      <c r="R1786">
        <v>1765688</v>
      </c>
    </row>
    <row r="1787" spans="1:18" x14ac:dyDescent="0.25">
      <c r="A1787" s="170">
        <v>44635</v>
      </c>
      <c r="B1787" s="116">
        <v>3658.7</v>
      </c>
      <c r="C1787" s="116">
        <v>3595.4</v>
      </c>
      <c r="D1787" s="116">
        <v>3586</v>
      </c>
      <c r="E1787" s="116">
        <v>3656.5</v>
      </c>
      <c r="F1787" s="116">
        <v>3595.4</v>
      </c>
      <c r="G1787">
        <v>37001</v>
      </c>
      <c r="H1787" s="116"/>
      <c r="I1787" s="116"/>
      <c r="L1787" s="170">
        <v>44635</v>
      </c>
      <c r="M1787" s="116">
        <v>3593.9</v>
      </c>
      <c r="N1787" s="116">
        <v>3659</v>
      </c>
      <c r="O1787" s="116">
        <v>3585.4</v>
      </c>
      <c r="P1787" s="116">
        <v>3659</v>
      </c>
      <c r="Q1787" s="116">
        <v>3593.9</v>
      </c>
      <c r="R1787">
        <v>3651133</v>
      </c>
    </row>
    <row r="1788" spans="1:18" x14ac:dyDescent="0.25">
      <c r="A1788" s="170">
        <v>44636</v>
      </c>
      <c r="B1788" s="116">
        <v>3667</v>
      </c>
      <c r="C1788" s="116">
        <v>3654.25</v>
      </c>
      <c r="D1788" s="116">
        <v>3600</v>
      </c>
      <c r="E1788" s="116">
        <v>3653.7</v>
      </c>
      <c r="F1788" s="116">
        <v>3654.25</v>
      </c>
      <c r="G1788">
        <v>80789</v>
      </c>
      <c r="H1788" s="116"/>
      <c r="I1788" s="116"/>
      <c r="L1788" s="170">
        <v>44636</v>
      </c>
      <c r="M1788" s="116">
        <v>3655.9</v>
      </c>
      <c r="N1788" s="116">
        <v>3668</v>
      </c>
      <c r="O1788" s="116">
        <v>3616.25</v>
      </c>
      <c r="P1788" s="116">
        <v>3640.5</v>
      </c>
      <c r="Q1788" s="116">
        <v>3655.9</v>
      </c>
      <c r="R1788">
        <v>3090475</v>
      </c>
    </row>
    <row r="1789" spans="1:18" x14ac:dyDescent="0.25">
      <c r="A1789" s="170">
        <v>44637</v>
      </c>
      <c r="B1789" s="116">
        <v>3709.6</v>
      </c>
      <c r="C1789" s="116">
        <v>3675.2</v>
      </c>
      <c r="D1789" s="116">
        <v>3661</v>
      </c>
      <c r="E1789" s="116">
        <v>3692</v>
      </c>
      <c r="F1789" s="116">
        <v>3675.2</v>
      </c>
      <c r="G1789">
        <v>79044</v>
      </c>
      <c r="H1789" s="116"/>
      <c r="I1789" s="116"/>
      <c r="L1789" s="170">
        <v>44637</v>
      </c>
      <c r="M1789" s="116">
        <v>3672.75</v>
      </c>
      <c r="N1789" s="116">
        <v>3710</v>
      </c>
      <c r="O1789" s="116">
        <v>3660.3</v>
      </c>
      <c r="P1789" s="116">
        <v>3696.6</v>
      </c>
      <c r="Q1789" s="116">
        <v>3672.75</v>
      </c>
      <c r="R1789">
        <v>3600452</v>
      </c>
    </row>
    <row r="1790" spans="1:18" x14ac:dyDescent="0.25">
      <c r="A1790" s="170">
        <v>44641</v>
      </c>
      <c r="B1790" s="116">
        <v>3713.95</v>
      </c>
      <c r="C1790" s="116">
        <v>3625.25</v>
      </c>
      <c r="D1790" s="116">
        <v>3615</v>
      </c>
      <c r="E1790" s="116">
        <v>3700</v>
      </c>
      <c r="F1790" s="116">
        <v>3625.25</v>
      </c>
      <c r="G1790">
        <v>90739</v>
      </c>
      <c r="H1790" s="116"/>
      <c r="I1790" s="116"/>
      <c r="L1790" s="170">
        <v>44641</v>
      </c>
      <c r="M1790" s="116">
        <v>3626.7</v>
      </c>
      <c r="N1790" s="116">
        <v>3713.95</v>
      </c>
      <c r="O1790" s="116">
        <v>3615</v>
      </c>
      <c r="P1790" s="116">
        <v>3696</v>
      </c>
      <c r="Q1790" s="116">
        <v>3626.7</v>
      </c>
      <c r="R1790">
        <v>2413831</v>
      </c>
    </row>
    <row r="1791" spans="1:18" x14ac:dyDescent="0.25">
      <c r="A1791" s="170">
        <v>44642</v>
      </c>
      <c r="B1791" s="116">
        <v>3712</v>
      </c>
      <c r="C1791" s="116">
        <v>3700.95</v>
      </c>
      <c r="D1791" s="116">
        <v>3625.5</v>
      </c>
      <c r="E1791" s="116">
        <v>3630.1</v>
      </c>
      <c r="F1791" s="116">
        <v>3700.95</v>
      </c>
      <c r="G1791">
        <v>50288</v>
      </c>
      <c r="H1791" s="116"/>
      <c r="I1791" s="116"/>
      <c r="L1791" s="170">
        <v>44642</v>
      </c>
      <c r="M1791" s="116">
        <v>3700.95</v>
      </c>
      <c r="N1791" s="116">
        <v>3711</v>
      </c>
      <c r="O1791" s="116">
        <v>3625</v>
      </c>
      <c r="P1791" s="116">
        <v>3640</v>
      </c>
      <c r="Q1791" s="116">
        <v>3700.95</v>
      </c>
      <c r="R1791">
        <v>2907611</v>
      </c>
    </row>
    <row r="1792" spans="1:18" x14ac:dyDescent="0.25">
      <c r="A1792" s="170">
        <v>44643</v>
      </c>
      <c r="B1792" s="116">
        <v>3730</v>
      </c>
      <c r="C1792" s="116">
        <v>3708.25</v>
      </c>
      <c r="D1792" s="116">
        <v>3689.6</v>
      </c>
      <c r="E1792" s="116">
        <v>3709</v>
      </c>
      <c r="F1792" s="116">
        <v>3708.25</v>
      </c>
      <c r="G1792">
        <v>133080</v>
      </c>
      <c r="H1792" s="116"/>
      <c r="I1792" s="116"/>
      <c r="L1792" s="170">
        <v>44643</v>
      </c>
      <c r="M1792" s="116">
        <v>3712.4</v>
      </c>
      <c r="N1792" s="116">
        <v>3729.8</v>
      </c>
      <c r="O1792" s="116">
        <v>3690</v>
      </c>
      <c r="P1792" s="116">
        <v>3708</v>
      </c>
      <c r="Q1792" s="116">
        <v>3712.4</v>
      </c>
      <c r="R1792">
        <v>1596195</v>
      </c>
    </row>
    <row r="1793" spans="1:18" x14ac:dyDescent="0.25">
      <c r="A1793" s="170">
        <v>44644</v>
      </c>
      <c r="B1793" s="116">
        <v>3757.6</v>
      </c>
      <c r="C1793" s="116">
        <v>3750</v>
      </c>
      <c r="D1793" s="116">
        <v>3699.95</v>
      </c>
      <c r="E1793" s="116">
        <v>3700</v>
      </c>
      <c r="F1793" s="116">
        <v>3750</v>
      </c>
      <c r="G1793">
        <v>52182</v>
      </c>
      <c r="H1793" s="116"/>
      <c r="I1793" s="116"/>
      <c r="L1793" s="170">
        <v>44644</v>
      </c>
      <c r="M1793" s="116">
        <v>3749.85</v>
      </c>
      <c r="N1793" s="116">
        <v>3758.2</v>
      </c>
      <c r="O1793" s="116">
        <v>3695</v>
      </c>
      <c r="P1793" s="116">
        <v>3700</v>
      </c>
      <c r="Q1793" s="116">
        <v>3749.85</v>
      </c>
      <c r="R1793">
        <v>1879046</v>
      </c>
    </row>
    <row r="1794" spans="1:18" x14ac:dyDescent="0.25">
      <c r="A1794" s="170">
        <v>44645</v>
      </c>
      <c r="B1794" s="116">
        <v>3778.05</v>
      </c>
      <c r="C1794" s="116">
        <v>3707.95</v>
      </c>
      <c r="D1794" s="116">
        <v>3672.95</v>
      </c>
      <c r="E1794" s="116">
        <v>3753</v>
      </c>
      <c r="F1794" s="116">
        <v>3707.95</v>
      </c>
      <c r="G1794">
        <v>104788</v>
      </c>
      <c r="H1794" s="116"/>
      <c r="I1794" s="116"/>
      <c r="L1794" s="170">
        <v>44645</v>
      </c>
      <c r="M1794" s="116">
        <v>3707.45</v>
      </c>
      <c r="N1794" s="116">
        <v>3779.5</v>
      </c>
      <c r="O1794" s="116">
        <v>3672</v>
      </c>
      <c r="P1794" s="116">
        <v>3759.9</v>
      </c>
      <c r="Q1794" s="116">
        <v>3707.45</v>
      </c>
      <c r="R1794">
        <v>1690133</v>
      </c>
    </row>
    <row r="1795" spans="1:18" x14ac:dyDescent="0.25">
      <c r="A1795" s="170">
        <v>44648</v>
      </c>
      <c r="B1795" s="116">
        <v>3712.5</v>
      </c>
      <c r="C1795" s="116">
        <v>3706.05</v>
      </c>
      <c r="D1795" s="116">
        <v>3660.65</v>
      </c>
      <c r="E1795" s="116">
        <v>3698</v>
      </c>
      <c r="F1795" s="116">
        <v>3706.05</v>
      </c>
      <c r="G1795">
        <v>127823</v>
      </c>
      <c r="H1795" s="116"/>
      <c r="I1795" s="116"/>
      <c r="L1795" s="170">
        <v>44648</v>
      </c>
      <c r="M1795" s="116">
        <v>3707.7</v>
      </c>
      <c r="N1795" s="116">
        <v>3713</v>
      </c>
      <c r="O1795" s="116">
        <v>3661.2</v>
      </c>
      <c r="P1795" s="116">
        <v>3695</v>
      </c>
      <c r="Q1795" s="116">
        <v>3707.7</v>
      </c>
      <c r="R1795">
        <v>1760990</v>
      </c>
    </row>
    <row r="1796" spans="1:18" x14ac:dyDescent="0.25">
      <c r="A1796" s="170">
        <v>44649</v>
      </c>
      <c r="B1796" s="116">
        <v>3721</v>
      </c>
      <c r="C1796" s="116">
        <v>3704.95</v>
      </c>
      <c r="D1796" s="116">
        <v>3690</v>
      </c>
      <c r="E1796" s="116">
        <v>3690</v>
      </c>
      <c r="F1796" s="116">
        <v>3704.95</v>
      </c>
      <c r="G1796">
        <v>139652</v>
      </c>
      <c r="H1796" s="116"/>
      <c r="I1796" s="116"/>
      <c r="L1796" s="170">
        <v>44649</v>
      </c>
      <c r="M1796" s="116">
        <v>3705.35</v>
      </c>
      <c r="N1796" s="116">
        <v>3722</v>
      </c>
      <c r="O1796" s="116">
        <v>3691</v>
      </c>
      <c r="P1796" s="116">
        <v>3694.75</v>
      </c>
      <c r="Q1796" s="116">
        <v>3705.35</v>
      </c>
      <c r="R1796">
        <v>2689063</v>
      </c>
    </row>
    <row r="1797" spans="1:18" x14ac:dyDescent="0.25">
      <c r="A1797" s="170">
        <v>44650</v>
      </c>
      <c r="B1797" s="116">
        <v>3738</v>
      </c>
      <c r="C1797" s="116">
        <v>3730.65</v>
      </c>
      <c r="D1797" s="116">
        <v>3707.05</v>
      </c>
      <c r="E1797" s="116">
        <v>3738</v>
      </c>
      <c r="F1797" s="116">
        <v>3730.65</v>
      </c>
      <c r="G1797">
        <v>70417</v>
      </c>
      <c r="H1797" s="116"/>
      <c r="I1797" s="116"/>
      <c r="L1797" s="170">
        <v>44650</v>
      </c>
      <c r="M1797" s="116">
        <v>3731.55</v>
      </c>
      <c r="N1797" s="116">
        <v>3738</v>
      </c>
      <c r="O1797" s="116">
        <v>3706.2</v>
      </c>
      <c r="P1797" s="116">
        <v>3738</v>
      </c>
      <c r="Q1797" s="116">
        <v>3731.55</v>
      </c>
      <c r="R1797">
        <v>1583455</v>
      </c>
    </row>
    <row r="1798" spans="1:18" x14ac:dyDescent="0.25">
      <c r="A1798" s="170">
        <v>44651</v>
      </c>
      <c r="B1798" s="116">
        <v>3754</v>
      </c>
      <c r="C1798" s="116">
        <v>3738.8</v>
      </c>
      <c r="D1798" s="116">
        <v>3720.05</v>
      </c>
      <c r="E1798" s="116">
        <v>3736</v>
      </c>
      <c r="F1798" s="116">
        <v>3738.8</v>
      </c>
      <c r="G1798">
        <v>52924</v>
      </c>
      <c r="H1798" s="116"/>
      <c r="I1798" s="116"/>
      <c r="L1798" s="170">
        <v>44651</v>
      </c>
      <c r="M1798" s="116">
        <v>3739.95</v>
      </c>
      <c r="N1798" s="116">
        <v>3754.65</v>
      </c>
      <c r="O1798" s="116">
        <v>3720.2</v>
      </c>
      <c r="P1798" s="116">
        <v>3740</v>
      </c>
      <c r="Q1798" s="116">
        <v>3739.95</v>
      </c>
      <c r="R1798">
        <v>2168110</v>
      </c>
    </row>
    <row r="1799" spans="1:18" x14ac:dyDescent="0.25">
      <c r="A1799" s="170">
        <v>44652</v>
      </c>
      <c r="B1799" s="116">
        <v>3762.45</v>
      </c>
      <c r="C1799" s="116">
        <v>3756.85</v>
      </c>
      <c r="D1799" s="116">
        <v>3729</v>
      </c>
      <c r="E1799" s="116">
        <v>3746.15</v>
      </c>
      <c r="F1799" s="116">
        <v>3756.85</v>
      </c>
      <c r="G1799">
        <v>84280</v>
      </c>
      <c r="H1799" s="116"/>
      <c r="I1799" s="116"/>
      <c r="L1799" s="170">
        <v>44652</v>
      </c>
      <c r="M1799" s="116">
        <v>3758.75</v>
      </c>
      <c r="N1799" s="116">
        <v>3763</v>
      </c>
      <c r="O1799" s="116">
        <v>3728.05</v>
      </c>
      <c r="P1799" s="116">
        <v>3748</v>
      </c>
      <c r="Q1799" s="116">
        <v>3758.75</v>
      </c>
      <c r="R1799">
        <v>1387014</v>
      </c>
    </row>
    <row r="1800" spans="1:18" x14ac:dyDescent="0.25">
      <c r="A1800" s="170">
        <v>44655</v>
      </c>
      <c r="B1800" s="116">
        <v>3779</v>
      </c>
      <c r="C1800" s="116">
        <v>3769.8</v>
      </c>
      <c r="D1800" s="116">
        <v>3738.05</v>
      </c>
      <c r="E1800" s="116">
        <v>3761</v>
      </c>
      <c r="F1800" s="116">
        <v>3769.8</v>
      </c>
      <c r="G1800">
        <v>56385</v>
      </c>
      <c r="H1800" s="116"/>
      <c r="I1800" s="116"/>
      <c r="L1800" s="170">
        <v>44655</v>
      </c>
      <c r="M1800" s="116">
        <v>3770.35</v>
      </c>
      <c r="N1800" s="116">
        <v>3780</v>
      </c>
      <c r="O1800" s="116">
        <v>3737.1</v>
      </c>
      <c r="P1800" s="116">
        <v>3762</v>
      </c>
      <c r="Q1800" s="116">
        <v>3770.35</v>
      </c>
      <c r="R1800">
        <v>1472994</v>
      </c>
    </row>
    <row r="1801" spans="1:18" x14ac:dyDescent="0.25">
      <c r="A1801" s="170">
        <v>44656</v>
      </c>
      <c r="B1801" s="116">
        <v>3835.5</v>
      </c>
      <c r="C1801" s="116">
        <v>3814.05</v>
      </c>
      <c r="D1801" s="116">
        <v>3775.55</v>
      </c>
      <c r="E1801" s="116">
        <v>3792</v>
      </c>
      <c r="F1801" s="116">
        <v>3814.05</v>
      </c>
      <c r="G1801">
        <v>127222</v>
      </c>
      <c r="H1801" s="116"/>
      <c r="I1801" s="116"/>
      <c r="L1801" s="170">
        <v>44656</v>
      </c>
      <c r="M1801" s="116">
        <v>3814.8</v>
      </c>
      <c r="N1801" s="116">
        <v>3835.6</v>
      </c>
      <c r="O1801" s="116">
        <v>3772</v>
      </c>
      <c r="P1801" s="116">
        <v>3772</v>
      </c>
      <c r="Q1801" s="116">
        <v>3814.8</v>
      </c>
      <c r="R1801">
        <v>2314947</v>
      </c>
    </row>
    <row r="1802" spans="1:18" x14ac:dyDescent="0.25">
      <c r="A1802" s="170">
        <v>44657</v>
      </c>
      <c r="B1802" s="116">
        <v>3812.65</v>
      </c>
      <c r="C1802" s="116">
        <v>3756.15</v>
      </c>
      <c r="D1802" s="116">
        <v>3732.3</v>
      </c>
      <c r="E1802" s="116">
        <v>3812.65</v>
      </c>
      <c r="F1802" s="116">
        <v>3756.15</v>
      </c>
      <c r="G1802">
        <v>76724</v>
      </c>
      <c r="H1802" s="116"/>
      <c r="I1802" s="116"/>
      <c r="L1802" s="170">
        <v>44657</v>
      </c>
      <c r="M1802" s="116">
        <v>3755.35</v>
      </c>
      <c r="N1802" s="116">
        <v>3809.3</v>
      </c>
      <c r="O1802" s="116">
        <v>3731.15</v>
      </c>
      <c r="P1802" s="116">
        <v>3809.3</v>
      </c>
      <c r="Q1802" s="116">
        <v>3755.35</v>
      </c>
      <c r="R1802">
        <v>2051729</v>
      </c>
    </row>
    <row r="1803" spans="1:18" x14ac:dyDescent="0.25">
      <c r="A1803" s="170">
        <v>44658</v>
      </c>
      <c r="B1803" s="116">
        <v>3743.3</v>
      </c>
      <c r="C1803" s="116">
        <v>3684.95</v>
      </c>
      <c r="D1803" s="116">
        <v>3676</v>
      </c>
      <c r="E1803" s="116">
        <v>3740.05</v>
      </c>
      <c r="F1803" s="116">
        <v>3684.95</v>
      </c>
      <c r="G1803">
        <v>172534</v>
      </c>
      <c r="H1803" s="116"/>
      <c r="I1803" s="116"/>
      <c r="L1803" s="170">
        <v>44658</v>
      </c>
      <c r="M1803" s="116">
        <v>3684.15</v>
      </c>
      <c r="N1803" s="116">
        <v>3745.5</v>
      </c>
      <c r="O1803" s="116">
        <v>3679</v>
      </c>
      <c r="P1803" s="116">
        <v>3745.5</v>
      </c>
      <c r="Q1803" s="116">
        <v>3684.15</v>
      </c>
      <c r="R1803">
        <v>2494829</v>
      </c>
    </row>
    <row r="1804" spans="1:18" x14ac:dyDescent="0.25">
      <c r="A1804" s="170">
        <v>44659</v>
      </c>
      <c r="B1804" s="116">
        <v>3705</v>
      </c>
      <c r="C1804" s="116">
        <v>3686.85</v>
      </c>
      <c r="D1804" s="116">
        <v>3643.85</v>
      </c>
      <c r="E1804" s="116">
        <v>3690</v>
      </c>
      <c r="F1804" s="116">
        <v>3686.85</v>
      </c>
      <c r="G1804">
        <v>138607</v>
      </c>
      <c r="H1804" s="116"/>
      <c r="I1804" s="116"/>
      <c r="L1804" s="170">
        <v>44659</v>
      </c>
      <c r="M1804" s="116">
        <v>3685.65</v>
      </c>
      <c r="N1804" s="116">
        <v>3705</v>
      </c>
      <c r="O1804" s="116">
        <v>3642.5</v>
      </c>
      <c r="P1804" s="116">
        <v>3690</v>
      </c>
      <c r="Q1804" s="116">
        <v>3685.65</v>
      </c>
      <c r="R1804">
        <v>2296773</v>
      </c>
    </row>
    <row r="1805" spans="1:18" x14ac:dyDescent="0.25">
      <c r="A1805" s="170">
        <v>44662</v>
      </c>
      <c r="B1805" s="116">
        <v>3711.25</v>
      </c>
      <c r="C1805" s="116">
        <v>3696.4</v>
      </c>
      <c r="D1805" s="116">
        <v>3656.85</v>
      </c>
      <c r="E1805" s="116">
        <v>3698</v>
      </c>
      <c r="F1805" s="116">
        <v>3696.4</v>
      </c>
      <c r="G1805">
        <v>168596</v>
      </c>
      <c r="H1805" s="116"/>
      <c r="I1805" s="116"/>
      <c r="L1805" s="170">
        <v>44662</v>
      </c>
      <c r="M1805" s="116">
        <v>3696.4</v>
      </c>
      <c r="N1805" s="116">
        <v>3712.35</v>
      </c>
      <c r="O1805" s="116">
        <v>3656.1</v>
      </c>
      <c r="P1805" s="116">
        <v>3690</v>
      </c>
      <c r="Q1805" s="116">
        <v>3696.4</v>
      </c>
      <c r="R1805">
        <v>2291660</v>
      </c>
    </row>
    <row r="1806" spans="1:18" x14ac:dyDescent="0.25">
      <c r="A1806" s="170">
        <v>44663</v>
      </c>
      <c r="B1806" s="116">
        <v>3738.6</v>
      </c>
      <c r="C1806" s="116">
        <v>3691.45</v>
      </c>
      <c r="D1806" s="116">
        <v>3650.05</v>
      </c>
      <c r="E1806" s="116">
        <v>3680</v>
      </c>
      <c r="F1806" s="116">
        <v>3691.45</v>
      </c>
      <c r="G1806">
        <v>283042</v>
      </c>
      <c r="H1806" s="116"/>
      <c r="I1806" s="116"/>
      <c r="L1806" s="170">
        <v>44663</v>
      </c>
      <c r="M1806" s="116">
        <v>3691.1</v>
      </c>
      <c r="N1806" s="116">
        <v>3739</v>
      </c>
      <c r="O1806" s="116">
        <v>3648.35</v>
      </c>
      <c r="P1806" s="116">
        <v>3683</v>
      </c>
      <c r="Q1806" s="116">
        <v>3691.1</v>
      </c>
      <c r="R1806">
        <v>4483476</v>
      </c>
    </row>
    <row r="1807" spans="1:18" x14ac:dyDescent="0.25">
      <c r="A1807" s="170">
        <v>44664</v>
      </c>
      <c r="B1807" s="116">
        <v>3710.05</v>
      </c>
      <c r="C1807" s="116">
        <v>3661.3</v>
      </c>
      <c r="D1807" s="116">
        <v>3657</v>
      </c>
      <c r="E1807" s="116">
        <v>3703</v>
      </c>
      <c r="F1807" s="116">
        <v>3661.3</v>
      </c>
      <c r="G1807">
        <v>106056</v>
      </c>
      <c r="H1807" s="116"/>
      <c r="I1807" s="116"/>
      <c r="L1807" s="170">
        <v>44664</v>
      </c>
      <c r="M1807" s="116">
        <v>3661.95</v>
      </c>
      <c r="N1807" s="116">
        <v>3709.85</v>
      </c>
      <c r="O1807" s="116">
        <v>3655.55</v>
      </c>
      <c r="P1807" s="116">
        <v>3707</v>
      </c>
      <c r="Q1807" s="116">
        <v>3661.95</v>
      </c>
      <c r="R1807">
        <v>1621672</v>
      </c>
    </row>
    <row r="1808" spans="1:18" x14ac:dyDescent="0.25">
      <c r="A1808" s="170">
        <v>44669</v>
      </c>
      <c r="B1808" s="116">
        <v>3620</v>
      </c>
      <c r="C1808" s="116">
        <v>3528.45</v>
      </c>
      <c r="D1808" s="116">
        <v>3524</v>
      </c>
      <c r="E1808" s="116">
        <v>3620</v>
      </c>
      <c r="F1808" s="116">
        <v>3528.45</v>
      </c>
      <c r="G1808">
        <v>183837</v>
      </c>
      <c r="H1808" s="116"/>
      <c r="I1808" s="116"/>
      <c r="L1808" s="170">
        <v>44669</v>
      </c>
      <c r="M1808" s="116">
        <v>3528.05</v>
      </c>
      <c r="N1808" s="116">
        <v>3610</v>
      </c>
      <c r="O1808" s="116">
        <v>3522.5</v>
      </c>
      <c r="P1808" s="116">
        <v>3610</v>
      </c>
      <c r="Q1808" s="116">
        <v>3528.05</v>
      </c>
      <c r="R1808">
        <v>3820792</v>
      </c>
    </row>
    <row r="1809" spans="1:18" x14ac:dyDescent="0.25">
      <c r="A1809" s="170">
        <v>44670</v>
      </c>
      <c r="B1809" s="116">
        <v>3563.6</v>
      </c>
      <c r="C1809" s="116">
        <v>3474.3</v>
      </c>
      <c r="D1809" s="116">
        <v>3440</v>
      </c>
      <c r="E1809" s="116">
        <v>3550</v>
      </c>
      <c r="F1809" s="116">
        <v>3474.3</v>
      </c>
      <c r="G1809">
        <v>207746</v>
      </c>
      <c r="H1809" s="116"/>
      <c r="I1809" s="116"/>
      <c r="L1809" s="170">
        <v>44670</v>
      </c>
      <c r="M1809" s="116">
        <v>3471.9</v>
      </c>
      <c r="N1809" s="116">
        <v>3563.55</v>
      </c>
      <c r="O1809" s="116">
        <v>3439.15</v>
      </c>
      <c r="P1809" s="116">
        <v>3550</v>
      </c>
      <c r="Q1809" s="116">
        <v>3471.9</v>
      </c>
      <c r="R1809">
        <v>3170014</v>
      </c>
    </row>
    <row r="1810" spans="1:18" x14ac:dyDescent="0.25">
      <c r="A1810" s="170">
        <v>44671</v>
      </c>
      <c r="B1810" s="116">
        <v>3569</v>
      </c>
      <c r="C1810" s="116">
        <v>3555.95</v>
      </c>
      <c r="D1810" s="116">
        <v>3481.05</v>
      </c>
      <c r="E1810" s="116">
        <v>3489.75</v>
      </c>
      <c r="F1810" s="116">
        <v>3555.95</v>
      </c>
      <c r="G1810">
        <v>183652</v>
      </c>
      <c r="H1810" s="116"/>
      <c r="I1810" s="116"/>
      <c r="L1810" s="170">
        <v>44671</v>
      </c>
      <c r="M1810" s="116">
        <v>3556.8</v>
      </c>
      <c r="N1810" s="116">
        <v>3569.15</v>
      </c>
      <c r="O1810" s="116">
        <v>3480</v>
      </c>
      <c r="P1810" s="116">
        <v>3500</v>
      </c>
      <c r="Q1810" s="116">
        <v>3556.8</v>
      </c>
      <c r="R1810">
        <v>2640370</v>
      </c>
    </row>
    <row r="1811" spans="1:18" x14ac:dyDescent="0.25">
      <c r="A1811" s="170">
        <v>44672</v>
      </c>
      <c r="B1811" s="116">
        <v>3643</v>
      </c>
      <c r="C1811" s="116">
        <v>3629.95</v>
      </c>
      <c r="D1811" s="116">
        <v>3568.5</v>
      </c>
      <c r="E1811" s="116">
        <v>3589</v>
      </c>
      <c r="F1811" s="116">
        <v>3629.95</v>
      </c>
      <c r="G1811">
        <v>42124</v>
      </c>
      <c r="H1811" s="116"/>
      <c r="I1811" s="116"/>
      <c r="L1811" s="170">
        <v>44672</v>
      </c>
      <c r="M1811" s="116">
        <v>3628.65</v>
      </c>
      <c r="N1811" s="116">
        <v>3644</v>
      </c>
      <c r="O1811" s="116">
        <v>3567.4</v>
      </c>
      <c r="P1811" s="116">
        <v>3580</v>
      </c>
      <c r="Q1811" s="116">
        <v>3628.65</v>
      </c>
      <c r="R1811">
        <v>2280996</v>
      </c>
    </row>
    <row r="1812" spans="1:18" x14ac:dyDescent="0.25">
      <c r="A1812" s="170">
        <v>44673</v>
      </c>
      <c r="B1812" s="116">
        <v>3617</v>
      </c>
      <c r="C1812" s="116">
        <v>3611.85</v>
      </c>
      <c r="D1812" s="116">
        <v>3571.2</v>
      </c>
      <c r="E1812" s="116">
        <v>3580</v>
      </c>
      <c r="F1812" s="116">
        <v>3611.85</v>
      </c>
      <c r="G1812">
        <v>303745</v>
      </c>
      <c r="H1812" s="116"/>
      <c r="I1812" s="116"/>
      <c r="L1812" s="170">
        <v>44673</v>
      </c>
      <c r="M1812" s="116">
        <v>3612.55</v>
      </c>
      <c r="N1812" s="116">
        <v>3617</v>
      </c>
      <c r="O1812" s="116">
        <v>3571.5</v>
      </c>
      <c r="P1812" s="116">
        <v>3581.1</v>
      </c>
      <c r="Q1812" s="116">
        <v>3612.55</v>
      </c>
      <c r="R1812">
        <v>1581465</v>
      </c>
    </row>
    <row r="1813" spans="1:18" x14ac:dyDescent="0.25">
      <c r="A1813" s="170">
        <v>44676</v>
      </c>
      <c r="B1813" s="116">
        <v>3583</v>
      </c>
      <c r="C1813" s="116">
        <v>3547.7</v>
      </c>
      <c r="D1813" s="116">
        <v>3534</v>
      </c>
      <c r="E1813" s="116">
        <v>3561.1</v>
      </c>
      <c r="F1813" s="116">
        <v>3547.7</v>
      </c>
      <c r="G1813">
        <v>76976</v>
      </c>
      <c r="H1813" s="116"/>
      <c r="I1813" s="116"/>
      <c r="L1813" s="170">
        <v>44676</v>
      </c>
      <c r="M1813" s="116">
        <v>3548.2</v>
      </c>
      <c r="N1813" s="116">
        <v>3584</v>
      </c>
      <c r="O1813" s="116">
        <v>3533.1</v>
      </c>
      <c r="P1813" s="116">
        <v>3558</v>
      </c>
      <c r="Q1813" s="116">
        <v>3548.2</v>
      </c>
      <c r="R1813">
        <v>1960694</v>
      </c>
    </row>
    <row r="1814" spans="1:18" x14ac:dyDescent="0.25">
      <c r="A1814" s="170">
        <v>44677</v>
      </c>
      <c r="B1814" s="116">
        <v>3587.3</v>
      </c>
      <c r="C1814" s="116">
        <v>3544.65</v>
      </c>
      <c r="D1814" s="116">
        <v>3520</v>
      </c>
      <c r="E1814" s="116">
        <v>3565</v>
      </c>
      <c r="F1814" s="116">
        <v>3544.65</v>
      </c>
      <c r="G1814">
        <v>71786</v>
      </c>
      <c r="H1814" s="116"/>
      <c r="I1814" s="116"/>
      <c r="L1814" s="170">
        <v>44677</v>
      </c>
      <c r="M1814" s="116">
        <v>3546.3</v>
      </c>
      <c r="N1814" s="116">
        <v>3587.9</v>
      </c>
      <c r="O1814" s="116">
        <v>3518.15</v>
      </c>
      <c r="P1814" s="116">
        <v>3575.15</v>
      </c>
      <c r="Q1814" s="116">
        <v>3546.3</v>
      </c>
      <c r="R1814">
        <v>1943469</v>
      </c>
    </row>
    <row r="1815" spans="1:18" x14ac:dyDescent="0.25">
      <c r="A1815" s="170">
        <v>44678</v>
      </c>
      <c r="B1815" s="116">
        <v>3568.05</v>
      </c>
      <c r="C1815" s="116">
        <v>3561.3</v>
      </c>
      <c r="D1815" s="116">
        <v>3506</v>
      </c>
      <c r="E1815" s="116">
        <v>3540</v>
      </c>
      <c r="F1815" s="116">
        <v>3561.3</v>
      </c>
      <c r="G1815">
        <v>94285</v>
      </c>
      <c r="H1815" s="116"/>
      <c r="I1815" s="116"/>
      <c r="L1815" s="170">
        <v>44678</v>
      </c>
      <c r="M1815" s="116">
        <v>3561.2</v>
      </c>
      <c r="N1815" s="116">
        <v>3568.45</v>
      </c>
      <c r="O1815" s="116">
        <v>3506.3</v>
      </c>
      <c r="P1815" s="116">
        <v>3546</v>
      </c>
      <c r="Q1815" s="116">
        <v>3561.2</v>
      </c>
      <c r="R1815">
        <v>1727648</v>
      </c>
    </row>
    <row r="1816" spans="1:18" x14ac:dyDescent="0.25">
      <c r="A1816" s="170">
        <v>44679</v>
      </c>
      <c r="B1816" s="116">
        <v>3603.8</v>
      </c>
      <c r="C1816" s="116">
        <v>3584</v>
      </c>
      <c r="D1816" s="116">
        <v>3539</v>
      </c>
      <c r="E1816" s="116">
        <v>3585</v>
      </c>
      <c r="F1816" s="116">
        <v>3584</v>
      </c>
      <c r="G1816">
        <v>85289</v>
      </c>
      <c r="H1816" s="116"/>
      <c r="I1816" s="116"/>
      <c r="L1816" s="170">
        <v>44679</v>
      </c>
      <c r="M1816" s="116">
        <v>3584.3</v>
      </c>
      <c r="N1816" s="116">
        <v>3604.4</v>
      </c>
      <c r="O1816" s="116">
        <v>3538.05</v>
      </c>
      <c r="P1816" s="116">
        <v>3588</v>
      </c>
      <c r="Q1816" s="116">
        <v>3584.3</v>
      </c>
      <c r="R1816">
        <v>1703660</v>
      </c>
    </row>
    <row r="1817" spans="1:18" x14ac:dyDescent="0.25">
      <c r="A1817" s="170">
        <v>44680</v>
      </c>
      <c r="B1817" s="116">
        <v>3621.95</v>
      </c>
      <c r="C1817" s="116">
        <v>3550.1</v>
      </c>
      <c r="D1817" s="116">
        <v>3537.4</v>
      </c>
      <c r="E1817" s="116">
        <v>3597</v>
      </c>
      <c r="F1817" s="116">
        <v>3550.1</v>
      </c>
      <c r="G1817">
        <v>47354</v>
      </c>
      <c r="H1817" s="116"/>
      <c r="I1817" s="116"/>
      <c r="L1817" s="170">
        <v>44680</v>
      </c>
      <c r="M1817" s="116">
        <v>3546.7</v>
      </c>
      <c r="N1817" s="116">
        <v>3623.25</v>
      </c>
      <c r="O1817" s="116">
        <v>3536.85</v>
      </c>
      <c r="P1817" s="116">
        <v>3597</v>
      </c>
      <c r="Q1817" s="116">
        <v>3546.7</v>
      </c>
      <c r="R1817">
        <v>2051115</v>
      </c>
    </row>
    <row r="1818" spans="1:18" x14ac:dyDescent="0.25">
      <c r="A1818" s="170">
        <v>44683</v>
      </c>
      <c r="B1818" s="116">
        <v>3548.4</v>
      </c>
      <c r="C1818" s="116">
        <v>3542.05</v>
      </c>
      <c r="D1818" s="116">
        <v>3494</v>
      </c>
      <c r="E1818" s="116">
        <v>3513</v>
      </c>
      <c r="F1818" s="116">
        <v>3542.05</v>
      </c>
      <c r="G1818">
        <v>103847</v>
      </c>
      <c r="H1818" s="116"/>
      <c r="I1818" s="116"/>
      <c r="L1818" s="170">
        <v>44683</v>
      </c>
      <c r="M1818" s="116">
        <v>3542.4</v>
      </c>
      <c r="N1818" s="116">
        <v>3547.95</v>
      </c>
      <c r="O1818" s="116">
        <v>3492.75</v>
      </c>
      <c r="P1818" s="116">
        <v>3519.9</v>
      </c>
      <c r="Q1818" s="116">
        <v>3542.4</v>
      </c>
      <c r="R1818">
        <v>1324161</v>
      </c>
    </row>
    <row r="1819" spans="1:18" x14ac:dyDescent="0.25">
      <c r="A1819" s="170">
        <v>44685</v>
      </c>
      <c r="B1819" s="116">
        <v>3545.2</v>
      </c>
      <c r="C1819" s="116">
        <v>3482.45</v>
      </c>
      <c r="D1819" s="116">
        <v>3465.55</v>
      </c>
      <c r="E1819" s="116">
        <v>3540</v>
      </c>
      <c r="F1819" s="116">
        <v>3482.45</v>
      </c>
      <c r="G1819">
        <v>1062687</v>
      </c>
      <c r="H1819" s="116"/>
      <c r="I1819" s="116"/>
      <c r="L1819" s="170">
        <v>44685</v>
      </c>
      <c r="M1819" s="116">
        <v>3479.75</v>
      </c>
      <c r="N1819" s="116">
        <v>3545.45</v>
      </c>
      <c r="O1819" s="116">
        <v>3465.3</v>
      </c>
      <c r="P1819" s="116">
        <v>3538.5</v>
      </c>
      <c r="Q1819" s="116">
        <v>3479.75</v>
      </c>
      <c r="R1819">
        <v>2305825</v>
      </c>
    </row>
    <row r="1820" spans="1:18" x14ac:dyDescent="0.25">
      <c r="A1820" s="170">
        <v>44686</v>
      </c>
      <c r="B1820" s="116">
        <v>3532.95</v>
      </c>
      <c r="C1820" s="116">
        <v>3513.3</v>
      </c>
      <c r="D1820" s="116">
        <v>3486.6</v>
      </c>
      <c r="E1820" s="116">
        <v>3506.05</v>
      </c>
      <c r="F1820" s="116">
        <v>3513.3</v>
      </c>
      <c r="G1820">
        <v>74099</v>
      </c>
      <c r="H1820" s="116"/>
      <c r="I1820" s="116"/>
      <c r="L1820" s="170">
        <v>44686</v>
      </c>
      <c r="M1820" s="116">
        <v>3513.4</v>
      </c>
      <c r="N1820" s="116">
        <v>3533</v>
      </c>
      <c r="O1820" s="116">
        <v>3485.35</v>
      </c>
      <c r="P1820" s="116">
        <v>3512.1</v>
      </c>
      <c r="Q1820" s="116">
        <v>3513.4</v>
      </c>
      <c r="R1820">
        <v>1612262</v>
      </c>
    </row>
    <row r="1821" spans="1:18" x14ac:dyDescent="0.25">
      <c r="A1821" s="170">
        <v>44687</v>
      </c>
      <c r="B1821" s="116">
        <v>3474.7</v>
      </c>
      <c r="C1821" s="116">
        <v>3433</v>
      </c>
      <c r="D1821" s="116">
        <v>3425.05</v>
      </c>
      <c r="E1821" s="116">
        <v>3468.45</v>
      </c>
      <c r="F1821" s="116">
        <v>3433</v>
      </c>
      <c r="G1821">
        <v>134551</v>
      </c>
      <c r="H1821" s="116"/>
      <c r="I1821" s="116"/>
      <c r="L1821" s="170">
        <v>44687</v>
      </c>
      <c r="M1821" s="116">
        <v>3432.6</v>
      </c>
      <c r="N1821" s="116">
        <v>3474.5</v>
      </c>
      <c r="O1821" s="116">
        <v>3424.5</v>
      </c>
      <c r="P1821" s="116">
        <v>3459</v>
      </c>
      <c r="Q1821" s="116">
        <v>3432.6</v>
      </c>
      <c r="R1821">
        <v>2010812</v>
      </c>
    </row>
    <row r="1822" spans="1:18" x14ac:dyDescent="0.25">
      <c r="A1822" s="170">
        <v>44690</v>
      </c>
      <c r="B1822" s="116">
        <v>3455.5</v>
      </c>
      <c r="C1822" s="116">
        <v>3446.1</v>
      </c>
      <c r="D1822" s="116">
        <v>3348.75</v>
      </c>
      <c r="E1822" s="116">
        <v>3393</v>
      </c>
      <c r="F1822" s="116">
        <v>3446.1</v>
      </c>
      <c r="G1822">
        <v>185666</v>
      </c>
      <c r="H1822" s="116"/>
      <c r="I1822" s="116"/>
      <c r="L1822" s="170">
        <v>44690</v>
      </c>
      <c r="M1822" s="116">
        <v>3445.1</v>
      </c>
      <c r="N1822" s="116">
        <v>3456</v>
      </c>
      <c r="O1822" s="116">
        <v>3346.85</v>
      </c>
      <c r="P1822" s="116">
        <v>3398</v>
      </c>
      <c r="Q1822" s="116">
        <v>3445.1</v>
      </c>
      <c r="R1822">
        <v>2481830</v>
      </c>
    </row>
    <row r="1823" spans="1:18" x14ac:dyDescent="0.25">
      <c r="A1823" s="170">
        <v>44691</v>
      </c>
      <c r="B1823" s="116">
        <v>3464.9</v>
      </c>
      <c r="C1823" s="116">
        <v>3437.25</v>
      </c>
      <c r="D1823" s="116">
        <v>3425</v>
      </c>
      <c r="E1823" s="116">
        <v>3440</v>
      </c>
      <c r="F1823" s="116">
        <v>3437.25</v>
      </c>
      <c r="G1823">
        <v>95068</v>
      </c>
      <c r="H1823" s="116"/>
      <c r="I1823" s="116"/>
      <c r="L1823" s="170">
        <v>44691</v>
      </c>
      <c r="M1823" s="116">
        <v>3438.75</v>
      </c>
      <c r="N1823" s="116">
        <v>3464.8</v>
      </c>
      <c r="O1823" s="116">
        <v>3422</v>
      </c>
      <c r="P1823" s="116">
        <v>3434</v>
      </c>
      <c r="Q1823" s="116">
        <v>3438.75</v>
      </c>
      <c r="R1823">
        <v>1622685</v>
      </c>
    </row>
    <row r="1824" spans="1:18" x14ac:dyDescent="0.25">
      <c r="A1824" s="170">
        <v>44692</v>
      </c>
      <c r="B1824" s="116">
        <v>3447.5</v>
      </c>
      <c r="C1824" s="116">
        <v>3412.9</v>
      </c>
      <c r="D1824" s="116">
        <v>3382</v>
      </c>
      <c r="E1824" s="116">
        <v>3434</v>
      </c>
      <c r="F1824" s="116">
        <v>3412.9</v>
      </c>
      <c r="G1824">
        <v>66515</v>
      </c>
      <c r="H1824" s="116"/>
      <c r="I1824" s="116"/>
      <c r="L1824" s="170">
        <v>44692</v>
      </c>
      <c r="M1824" s="116">
        <v>3412</v>
      </c>
      <c r="N1824" s="116">
        <v>3448.45</v>
      </c>
      <c r="O1824" s="116">
        <v>3382.15</v>
      </c>
      <c r="P1824" s="116">
        <v>3435</v>
      </c>
      <c r="Q1824" s="116">
        <v>3412</v>
      </c>
      <c r="R1824">
        <v>1841769</v>
      </c>
    </row>
    <row r="1825" spans="1:18" x14ac:dyDescent="0.25">
      <c r="A1825" s="170">
        <v>44693</v>
      </c>
      <c r="B1825" s="116">
        <v>3448.4</v>
      </c>
      <c r="C1825" s="116">
        <v>3411</v>
      </c>
      <c r="D1825" s="116">
        <v>3350.1</v>
      </c>
      <c r="E1825" s="116">
        <v>3400</v>
      </c>
      <c r="F1825" s="116">
        <v>3411</v>
      </c>
      <c r="G1825">
        <v>158049</v>
      </c>
      <c r="H1825" s="116"/>
      <c r="I1825" s="116"/>
      <c r="L1825" s="170">
        <v>44693</v>
      </c>
      <c r="M1825" s="116">
        <v>3408.65</v>
      </c>
      <c r="N1825" s="116">
        <v>3449.7</v>
      </c>
      <c r="O1825" s="116">
        <v>3350.1</v>
      </c>
      <c r="P1825" s="116">
        <v>3378</v>
      </c>
      <c r="Q1825" s="116">
        <v>3408.65</v>
      </c>
      <c r="R1825">
        <v>2807195</v>
      </c>
    </row>
    <row r="1826" spans="1:18" x14ac:dyDescent="0.25">
      <c r="A1826" s="170">
        <v>44694</v>
      </c>
      <c r="B1826" s="116">
        <v>3441.3</v>
      </c>
      <c r="C1826" s="116">
        <v>3413.45</v>
      </c>
      <c r="D1826" s="116">
        <v>3383.15</v>
      </c>
      <c r="E1826" s="116">
        <v>3441</v>
      </c>
      <c r="F1826" s="116">
        <v>3413.45</v>
      </c>
      <c r="G1826">
        <v>142500</v>
      </c>
      <c r="H1826" s="116"/>
      <c r="I1826" s="116"/>
      <c r="L1826" s="170">
        <v>44694</v>
      </c>
      <c r="M1826" s="116">
        <v>3414.9</v>
      </c>
      <c r="N1826" s="116">
        <v>3439.9</v>
      </c>
      <c r="O1826" s="116">
        <v>3382.15</v>
      </c>
      <c r="P1826" s="116">
        <v>3435</v>
      </c>
      <c r="Q1826" s="116">
        <v>3414.9</v>
      </c>
      <c r="R1826">
        <v>2187823</v>
      </c>
    </row>
    <row r="1827" spans="1:18" x14ac:dyDescent="0.25">
      <c r="A1827" s="170">
        <v>44697</v>
      </c>
      <c r="B1827" s="116">
        <v>3429.5</v>
      </c>
      <c r="C1827" s="116">
        <v>3376.65</v>
      </c>
      <c r="D1827" s="116">
        <v>3366.85</v>
      </c>
      <c r="E1827" s="116">
        <v>3414</v>
      </c>
      <c r="F1827" s="116">
        <v>3376.65</v>
      </c>
      <c r="G1827">
        <v>32081</v>
      </c>
      <c r="H1827" s="116"/>
      <c r="I1827" s="116"/>
      <c r="L1827" s="170">
        <v>44697</v>
      </c>
      <c r="M1827" s="116">
        <v>3376.8</v>
      </c>
      <c r="N1827" s="116">
        <v>3430</v>
      </c>
      <c r="O1827" s="116">
        <v>3366.6</v>
      </c>
      <c r="P1827" s="116">
        <v>3415</v>
      </c>
      <c r="Q1827" s="116">
        <v>3376.8</v>
      </c>
      <c r="R1827">
        <v>1195813</v>
      </c>
    </row>
    <row r="1828" spans="1:18" x14ac:dyDescent="0.25">
      <c r="A1828" s="170">
        <v>44698</v>
      </c>
      <c r="B1828" s="116">
        <v>3466.4</v>
      </c>
      <c r="C1828" s="116">
        <v>3452.2</v>
      </c>
      <c r="D1828" s="116">
        <v>3351.25</v>
      </c>
      <c r="E1828" s="116">
        <v>3369.95</v>
      </c>
      <c r="F1828" s="116">
        <v>3452.2</v>
      </c>
      <c r="G1828">
        <v>37639</v>
      </c>
      <c r="H1828" s="116"/>
      <c r="I1828" s="116"/>
      <c r="L1828" s="170">
        <v>44698</v>
      </c>
      <c r="M1828" s="116">
        <v>3451.6</v>
      </c>
      <c r="N1828" s="116">
        <v>3467</v>
      </c>
      <c r="O1828" s="116">
        <v>3350.4</v>
      </c>
      <c r="P1828" s="116">
        <v>3370</v>
      </c>
      <c r="Q1828" s="116">
        <v>3451.6</v>
      </c>
      <c r="R1828">
        <v>1754076</v>
      </c>
    </row>
    <row r="1829" spans="1:18" x14ac:dyDescent="0.25">
      <c r="A1829" s="170">
        <v>44699</v>
      </c>
      <c r="B1829" s="116">
        <v>3495</v>
      </c>
      <c r="C1829" s="116">
        <v>3449</v>
      </c>
      <c r="D1829" s="116">
        <v>3443.05</v>
      </c>
      <c r="E1829" s="116">
        <v>3460</v>
      </c>
      <c r="F1829" s="116">
        <v>3449</v>
      </c>
      <c r="G1829">
        <v>59292</v>
      </c>
      <c r="H1829" s="116"/>
      <c r="I1829" s="116"/>
      <c r="L1829" s="170">
        <v>44699</v>
      </c>
      <c r="M1829" s="116">
        <v>3448.8</v>
      </c>
      <c r="N1829" s="116">
        <v>3495</v>
      </c>
      <c r="O1829" s="116">
        <v>3443.05</v>
      </c>
      <c r="P1829" s="116">
        <v>3465</v>
      </c>
      <c r="Q1829" s="116">
        <v>3448.8</v>
      </c>
      <c r="R1829">
        <v>1866781</v>
      </c>
    </row>
    <row r="1830" spans="1:18" x14ac:dyDescent="0.25">
      <c r="A1830" s="170">
        <v>44700</v>
      </c>
      <c r="B1830" s="116">
        <v>3402.6</v>
      </c>
      <c r="C1830" s="116">
        <v>3270.7</v>
      </c>
      <c r="D1830" s="116">
        <v>3231.05</v>
      </c>
      <c r="E1830" s="116">
        <v>3376</v>
      </c>
      <c r="F1830" s="116">
        <v>3270.7</v>
      </c>
      <c r="G1830">
        <v>494805</v>
      </c>
      <c r="H1830" s="116"/>
      <c r="I1830" s="116"/>
      <c r="L1830" s="170">
        <v>44700</v>
      </c>
      <c r="M1830" s="116">
        <v>3261.95</v>
      </c>
      <c r="N1830" s="116">
        <v>3405</v>
      </c>
      <c r="O1830" s="116">
        <v>3230</v>
      </c>
      <c r="P1830" s="116">
        <v>3397</v>
      </c>
      <c r="Q1830" s="116">
        <v>3261.95</v>
      </c>
      <c r="R1830">
        <v>4642963</v>
      </c>
    </row>
    <row r="1831" spans="1:18" x14ac:dyDescent="0.25">
      <c r="A1831" s="170">
        <v>44701</v>
      </c>
      <c r="B1831" s="116">
        <v>3314</v>
      </c>
      <c r="C1831" s="116">
        <v>3293.9</v>
      </c>
      <c r="D1831" s="116">
        <v>3271.15</v>
      </c>
      <c r="E1831" s="116">
        <v>3309</v>
      </c>
      <c r="F1831" s="116">
        <v>3293.9</v>
      </c>
      <c r="G1831">
        <v>137393</v>
      </c>
      <c r="H1831" s="116"/>
      <c r="I1831" s="116"/>
      <c r="L1831" s="170">
        <v>44701</v>
      </c>
      <c r="M1831" s="116">
        <v>3293</v>
      </c>
      <c r="N1831" s="116">
        <v>3313.9</v>
      </c>
      <c r="O1831" s="116">
        <v>3270.05</v>
      </c>
      <c r="P1831" s="116">
        <v>3310</v>
      </c>
      <c r="Q1831" s="116">
        <v>3293</v>
      </c>
      <c r="R1831">
        <v>3065125</v>
      </c>
    </row>
    <row r="1832" spans="1:18" x14ac:dyDescent="0.25">
      <c r="A1832" s="170">
        <v>44704</v>
      </c>
      <c r="B1832" s="116">
        <v>3338</v>
      </c>
      <c r="C1832" s="116">
        <v>3320.95</v>
      </c>
      <c r="D1832" s="116">
        <v>3267.05</v>
      </c>
      <c r="E1832" s="116">
        <v>3315</v>
      </c>
      <c r="F1832" s="116">
        <v>3320.95</v>
      </c>
      <c r="G1832">
        <v>88129</v>
      </c>
      <c r="H1832" s="116"/>
      <c r="I1832" s="116"/>
      <c r="L1832" s="170">
        <v>44704</v>
      </c>
      <c r="M1832" s="116">
        <v>3321.75</v>
      </c>
      <c r="N1832" s="116">
        <v>3338.9</v>
      </c>
      <c r="O1832" s="116">
        <v>3267</v>
      </c>
      <c r="P1832" s="116">
        <v>3304.8</v>
      </c>
      <c r="Q1832" s="116">
        <v>3321.75</v>
      </c>
      <c r="R1832">
        <v>2293690</v>
      </c>
    </row>
    <row r="1833" spans="1:18" x14ac:dyDescent="0.25">
      <c r="A1833" s="170">
        <v>44705</v>
      </c>
      <c r="B1833" s="116">
        <v>3320.95</v>
      </c>
      <c r="C1833" s="116">
        <v>3288.05</v>
      </c>
      <c r="D1833" s="116">
        <v>3276.5</v>
      </c>
      <c r="E1833" s="116">
        <v>3311</v>
      </c>
      <c r="F1833" s="116">
        <v>3288.05</v>
      </c>
      <c r="G1833">
        <v>105893</v>
      </c>
      <c r="H1833" s="116"/>
      <c r="I1833" s="116"/>
      <c r="L1833" s="170">
        <v>44705</v>
      </c>
      <c r="M1833" s="116">
        <v>3288</v>
      </c>
      <c r="N1833" s="116">
        <v>3324.85</v>
      </c>
      <c r="O1833" s="116">
        <v>3275.6</v>
      </c>
      <c r="P1833" s="116">
        <v>3315.15</v>
      </c>
      <c r="Q1833" s="116">
        <v>3288</v>
      </c>
      <c r="R1833">
        <v>1711510</v>
      </c>
    </row>
    <row r="1834" spans="1:18" x14ac:dyDescent="0.25">
      <c r="A1834" s="170">
        <v>44706</v>
      </c>
      <c r="B1834" s="116">
        <v>3286.55</v>
      </c>
      <c r="C1834" s="116">
        <v>3166.6</v>
      </c>
      <c r="D1834" s="116">
        <v>3155</v>
      </c>
      <c r="E1834" s="116">
        <v>3286</v>
      </c>
      <c r="F1834" s="116">
        <v>3166.6</v>
      </c>
      <c r="G1834">
        <v>235534</v>
      </c>
      <c r="H1834" s="116"/>
      <c r="I1834" s="116"/>
      <c r="L1834" s="170">
        <v>44706</v>
      </c>
      <c r="M1834" s="116">
        <v>3167.65</v>
      </c>
      <c r="N1834" s="116">
        <v>3292.85</v>
      </c>
      <c r="O1834" s="116">
        <v>3154.05</v>
      </c>
      <c r="P1834" s="116">
        <v>3292.85</v>
      </c>
      <c r="Q1834" s="116">
        <v>3167.65</v>
      </c>
      <c r="R1834">
        <v>3548046</v>
      </c>
    </row>
    <row r="1835" spans="1:18" x14ac:dyDescent="0.25">
      <c r="A1835" s="170">
        <v>44707</v>
      </c>
      <c r="B1835" s="116">
        <v>3242</v>
      </c>
      <c r="C1835" s="116">
        <v>3228.6</v>
      </c>
      <c r="D1835" s="116">
        <v>3181</v>
      </c>
      <c r="E1835" s="116">
        <v>3190</v>
      </c>
      <c r="F1835" s="116">
        <v>3228.6</v>
      </c>
      <c r="G1835">
        <v>110339</v>
      </c>
      <c r="H1835" s="116"/>
      <c r="I1835" s="116"/>
      <c r="L1835" s="170">
        <v>44707</v>
      </c>
      <c r="M1835" s="116">
        <v>3226.95</v>
      </c>
      <c r="N1835" s="116">
        <v>3241.5</v>
      </c>
      <c r="O1835" s="116">
        <v>3180.55</v>
      </c>
      <c r="P1835" s="116">
        <v>3191</v>
      </c>
      <c r="Q1835" s="116">
        <v>3226.95</v>
      </c>
      <c r="R1835">
        <v>2813186</v>
      </c>
    </row>
    <row r="1836" spans="1:18" x14ac:dyDescent="0.25">
      <c r="A1836" s="170">
        <v>44708</v>
      </c>
      <c r="B1836" s="116">
        <v>3278.85</v>
      </c>
      <c r="C1836" s="116">
        <v>3262.2</v>
      </c>
      <c r="D1836" s="116">
        <v>3230</v>
      </c>
      <c r="E1836" s="116">
        <v>3249</v>
      </c>
      <c r="F1836" s="116">
        <v>3262.2</v>
      </c>
      <c r="G1836">
        <v>146145</v>
      </c>
      <c r="H1836" s="116"/>
      <c r="I1836" s="116"/>
      <c r="L1836" s="170">
        <v>44708</v>
      </c>
      <c r="M1836" s="116">
        <v>3261.3</v>
      </c>
      <c r="N1836" s="116">
        <v>3278.9</v>
      </c>
      <c r="O1836" s="116">
        <v>3229.2</v>
      </c>
      <c r="P1836" s="116">
        <v>3253.2</v>
      </c>
      <c r="Q1836" s="116">
        <v>3261.3</v>
      </c>
      <c r="R1836">
        <v>3103153</v>
      </c>
    </row>
    <row r="1837" spans="1:18" x14ac:dyDescent="0.25">
      <c r="A1837" s="170">
        <v>44711</v>
      </c>
      <c r="B1837" s="116">
        <v>3385.8</v>
      </c>
      <c r="C1837" s="116">
        <v>3375.55</v>
      </c>
      <c r="D1837" s="116">
        <v>3273.85</v>
      </c>
      <c r="E1837" s="116">
        <v>3273.85</v>
      </c>
      <c r="F1837" s="116">
        <v>3375.55</v>
      </c>
      <c r="G1837">
        <v>117464</v>
      </c>
      <c r="H1837" s="116"/>
      <c r="I1837" s="116"/>
      <c r="L1837" s="170">
        <v>44711</v>
      </c>
      <c r="M1837" s="116">
        <v>3375.25</v>
      </c>
      <c r="N1837" s="116">
        <v>3386.6</v>
      </c>
      <c r="O1837" s="116">
        <v>3286.35</v>
      </c>
      <c r="P1837" s="116">
        <v>3297</v>
      </c>
      <c r="Q1837" s="116">
        <v>3375.25</v>
      </c>
      <c r="R1837">
        <v>2094624</v>
      </c>
    </row>
    <row r="1838" spans="1:18" x14ac:dyDescent="0.25">
      <c r="A1838" s="170">
        <v>44712</v>
      </c>
      <c r="B1838" s="116">
        <v>3382.95</v>
      </c>
      <c r="C1838" s="116">
        <v>3364.8</v>
      </c>
      <c r="D1838" s="116">
        <v>3324.1</v>
      </c>
      <c r="E1838" s="116">
        <v>3355</v>
      </c>
      <c r="F1838" s="116">
        <v>3364.8</v>
      </c>
      <c r="G1838">
        <v>72520</v>
      </c>
      <c r="H1838" s="116"/>
      <c r="I1838" s="116"/>
      <c r="L1838" s="170">
        <v>44712</v>
      </c>
      <c r="M1838" s="116">
        <v>3364.35</v>
      </c>
      <c r="N1838" s="116">
        <v>3383.4</v>
      </c>
      <c r="O1838" s="116">
        <v>3325</v>
      </c>
      <c r="P1838" s="116">
        <v>3354.15</v>
      </c>
      <c r="Q1838" s="116">
        <v>3364.35</v>
      </c>
      <c r="R1838">
        <v>4840965</v>
      </c>
    </row>
    <row r="1839" spans="1:18" x14ac:dyDescent="0.25">
      <c r="A1839" s="170">
        <v>44713</v>
      </c>
      <c r="B1839" s="116">
        <v>3388</v>
      </c>
      <c r="C1839" s="116">
        <v>3356.5</v>
      </c>
      <c r="D1839" s="116">
        <v>3342.5</v>
      </c>
      <c r="E1839" s="116">
        <v>3385</v>
      </c>
      <c r="F1839" s="116">
        <v>3356.5</v>
      </c>
      <c r="G1839">
        <v>121714</v>
      </c>
      <c r="H1839" s="116"/>
      <c r="I1839" s="116"/>
      <c r="L1839" s="170">
        <v>44713</v>
      </c>
      <c r="M1839" s="116">
        <v>3355.2</v>
      </c>
      <c r="N1839" s="116">
        <v>3388</v>
      </c>
      <c r="O1839" s="116">
        <v>3340.05</v>
      </c>
      <c r="P1839" s="116">
        <v>3388</v>
      </c>
      <c r="Q1839" s="116">
        <v>3355.2</v>
      </c>
      <c r="R1839">
        <v>1493835</v>
      </c>
    </row>
    <row r="1840" spans="1:18" x14ac:dyDescent="0.25">
      <c r="A1840" s="170">
        <v>44714</v>
      </c>
      <c r="B1840" s="116">
        <v>3432.25</v>
      </c>
      <c r="C1840" s="116">
        <v>3422.95</v>
      </c>
      <c r="D1840" s="116">
        <v>3350.05</v>
      </c>
      <c r="E1840" s="116">
        <v>3357</v>
      </c>
      <c r="F1840" s="116">
        <v>3422.95</v>
      </c>
      <c r="G1840">
        <v>104828</v>
      </c>
      <c r="H1840" s="116"/>
      <c r="I1840" s="116"/>
      <c r="L1840" s="170">
        <v>44714</v>
      </c>
      <c r="M1840" s="116">
        <v>3423</v>
      </c>
      <c r="N1840" s="116">
        <v>3432</v>
      </c>
      <c r="O1840" s="116">
        <v>3346.3</v>
      </c>
      <c r="P1840" s="116">
        <v>3355</v>
      </c>
      <c r="Q1840" s="116">
        <v>3423</v>
      </c>
      <c r="R1840">
        <v>2657939</v>
      </c>
    </row>
    <row r="1841" spans="1:18" x14ac:dyDescent="0.25">
      <c r="A1841" s="170">
        <v>44715</v>
      </c>
      <c r="B1841" s="116">
        <v>3477.5</v>
      </c>
      <c r="C1841" s="116">
        <v>3438.8</v>
      </c>
      <c r="D1841" s="116">
        <v>3431.55</v>
      </c>
      <c r="E1841" s="116">
        <v>3454.7</v>
      </c>
      <c r="F1841" s="116">
        <v>3438.8</v>
      </c>
      <c r="G1841">
        <v>65791</v>
      </c>
      <c r="H1841" s="116"/>
      <c r="I1841" s="116"/>
      <c r="L1841" s="170">
        <v>44715</v>
      </c>
      <c r="M1841" s="116">
        <v>3440.15</v>
      </c>
      <c r="N1841" s="116">
        <v>3477.3</v>
      </c>
      <c r="O1841" s="116">
        <v>3431.2</v>
      </c>
      <c r="P1841" s="116">
        <v>3459.4</v>
      </c>
      <c r="Q1841" s="116">
        <v>3440.15</v>
      </c>
      <c r="R1841">
        <v>1913622</v>
      </c>
    </row>
    <row r="1842" spans="1:18" x14ac:dyDescent="0.25">
      <c r="A1842" s="170">
        <v>44718</v>
      </c>
      <c r="B1842" s="116">
        <v>3453.1</v>
      </c>
      <c r="C1842" s="116">
        <v>3430.25</v>
      </c>
      <c r="D1842" s="116">
        <v>3378</v>
      </c>
      <c r="E1842" s="116">
        <v>3421</v>
      </c>
      <c r="F1842" s="116">
        <v>3430.25</v>
      </c>
      <c r="G1842">
        <v>34827</v>
      </c>
      <c r="H1842" s="116"/>
      <c r="I1842" s="116"/>
      <c r="L1842" s="170">
        <v>44718</v>
      </c>
      <c r="M1842" s="116">
        <v>3430.95</v>
      </c>
      <c r="N1842" s="116">
        <v>3453</v>
      </c>
      <c r="O1842" s="116">
        <v>3377.15</v>
      </c>
      <c r="P1842" s="116">
        <v>3418</v>
      </c>
      <c r="Q1842" s="116">
        <v>3430.95</v>
      </c>
      <c r="R1842">
        <v>1084210</v>
      </c>
    </row>
    <row r="1843" spans="1:18" x14ac:dyDescent="0.25">
      <c r="A1843" s="170">
        <v>44719</v>
      </c>
      <c r="B1843" s="116">
        <v>3420</v>
      </c>
      <c r="C1843" s="116">
        <v>3362</v>
      </c>
      <c r="D1843" s="116">
        <v>3356.2</v>
      </c>
      <c r="E1843" s="116">
        <v>3420</v>
      </c>
      <c r="F1843" s="116">
        <v>3362</v>
      </c>
      <c r="G1843">
        <v>26386</v>
      </c>
      <c r="H1843" s="116"/>
      <c r="I1843" s="116"/>
      <c r="L1843" s="170">
        <v>44719</v>
      </c>
      <c r="M1843" s="116">
        <v>3362.7</v>
      </c>
      <c r="N1843" s="116">
        <v>3418.85</v>
      </c>
      <c r="O1843" s="116">
        <v>3356</v>
      </c>
      <c r="P1843" s="116">
        <v>3401.05</v>
      </c>
      <c r="Q1843" s="116">
        <v>3362.7</v>
      </c>
      <c r="R1843">
        <v>2308256</v>
      </c>
    </row>
    <row r="1844" spans="1:18" x14ac:dyDescent="0.25">
      <c r="A1844" s="170">
        <v>44720</v>
      </c>
      <c r="B1844" s="116">
        <v>3413.45</v>
      </c>
      <c r="C1844" s="116">
        <v>3403.05</v>
      </c>
      <c r="D1844" s="116">
        <v>3347</v>
      </c>
      <c r="E1844" s="116">
        <v>3372</v>
      </c>
      <c r="F1844" s="116">
        <v>3403.05</v>
      </c>
      <c r="G1844">
        <v>79401</v>
      </c>
      <c r="H1844" s="116"/>
      <c r="I1844" s="116"/>
      <c r="L1844" s="170">
        <v>44720</v>
      </c>
      <c r="M1844" s="116">
        <v>3404.15</v>
      </c>
      <c r="N1844" s="116">
        <v>3413.95</v>
      </c>
      <c r="O1844" s="116">
        <v>3346.5</v>
      </c>
      <c r="P1844" s="116">
        <v>3380.15</v>
      </c>
      <c r="Q1844" s="116">
        <v>3404.15</v>
      </c>
      <c r="R1844">
        <v>2185707</v>
      </c>
    </row>
    <row r="1845" spans="1:18" x14ac:dyDescent="0.25">
      <c r="A1845" s="170">
        <v>44721</v>
      </c>
      <c r="B1845" s="116">
        <v>3436.4</v>
      </c>
      <c r="C1845" s="116">
        <v>3426.55</v>
      </c>
      <c r="D1845" s="116">
        <v>3354.15</v>
      </c>
      <c r="E1845" s="116">
        <v>3373</v>
      </c>
      <c r="F1845" s="116">
        <v>3426.55</v>
      </c>
      <c r="G1845">
        <v>46081</v>
      </c>
      <c r="H1845" s="116"/>
      <c r="I1845" s="116"/>
      <c r="L1845" s="170">
        <v>44721</v>
      </c>
      <c r="M1845" s="116">
        <v>3427.1</v>
      </c>
      <c r="N1845" s="116">
        <v>3437</v>
      </c>
      <c r="O1845" s="116">
        <v>3353.1</v>
      </c>
      <c r="P1845" s="116">
        <v>3385</v>
      </c>
      <c r="Q1845" s="116">
        <v>3427.1</v>
      </c>
      <c r="R1845">
        <v>1279197</v>
      </c>
    </row>
    <row r="1846" spans="1:18" x14ac:dyDescent="0.25">
      <c r="A1846" s="170">
        <v>44722</v>
      </c>
      <c r="B1846" s="116">
        <v>3390.15</v>
      </c>
      <c r="C1846" s="116">
        <v>3365.35</v>
      </c>
      <c r="D1846" s="116">
        <v>3352.1</v>
      </c>
      <c r="E1846" s="116">
        <v>3388</v>
      </c>
      <c r="F1846" s="116">
        <v>3365.35</v>
      </c>
      <c r="G1846">
        <v>116639</v>
      </c>
      <c r="H1846" s="116"/>
      <c r="I1846" s="116"/>
      <c r="L1846" s="170">
        <v>44722</v>
      </c>
      <c r="M1846" s="116">
        <v>3359.9</v>
      </c>
      <c r="N1846" s="116">
        <v>3393</v>
      </c>
      <c r="O1846" s="116">
        <v>3352</v>
      </c>
      <c r="P1846" s="116">
        <v>3382</v>
      </c>
      <c r="Q1846" s="116">
        <v>3359.9</v>
      </c>
      <c r="R1846">
        <v>1527582</v>
      </c>
    </row>
    <row r="1847" spans="1:18" x14ac:dyDescent="0.25">
      <c r="A1847" s="170">
        <v>44725</v>
      </c>
      <c r="B1847" s="116">
        <v>3293</v>
      </c>
      <c r="C1847" s="116">
        <v>3220.15</v>
      </c>
      <c r="D1847" s="116">
        <v>3194</v>
      </c>
      <c r="E1847" s="116">
        <v>3291</v>
      </c>
      <c r="F1847" s="116">
        <v>3220.15</v>
      </c>
      <c r="G1847">
        <v>168993</v>
      </c>
      <c r="H1847" s="116"/>
      <c r="I1847" s="116"/>
      <c r="L1847" s="170">
        <v>44725</v>
      </c>
      <c r="M1847" s="116">
        <v>3219.6</v>
      </c>
      <c r="N1847" s="116">
        <v>3293</v>
      </c>
      <c r="O1847" s="116">
        <v>3192.45</v>
      </c>
      <c r="P1847" s="116">
        <v>3290</v>
      </c>
      <c r="Q1847" s="116">
        <v>3219.6</v>
      </c>
      <c r="R1847">
        <v>3030921</v>
      </c>
    </row>
    <row r="1848" spans="1:18" x14ac:dyDescent="0.25">
      <c r="A1848" s="170">
        <v>44726</v>
      </c>
      <c r="B1848" s="116">
        <v>3238.9</v>
      </c>
      <c r="C1848" s="116">
        <v>3211.25</v>
      </c>
      <c r="D1848" s="116">
        <v>3178.9</v>
      </c>
      <c r="E1848" s="116">
        <v>3198</v>
      </c>
      <c r="F1848" s="116">
        <v>3211.25</v>
      </c>
      <c r="G1848">
        <v>168330</v>
      </c>
      <c r="H1848" s="116"/>
      <c r="I1848" s="116"/>
      <c r="L1848" s="170">
        <v>44726</v>
      </c>
      <c r="M1848" s="116">
        <v>3210.55</v>
      </c>
      <c r="N1848" s="116">
        <v>3238.9</v>
      </c>
      <c r="O1848" s="116">
        <v>3174.7</v>
      </c>
      <c r="P1848" s="116">
        <v>3190</v>
      </c>
      <c r="Q1848" s="116">
        <v>3210.55</v>
      </c>
      <c r="R1848">
        <v>2611493</v>
      </c>
    </row>
    <row r="1849" spans="1:18" x14ac:dyDescent="0.25">
      <c r="A1849" s="170">
        <v>44727</v>
      </c>
      <c r="B1849" s="116">
        <v>3234</v>
      </c>
      <c r="C1849" s="116">
        <v>3206.8</v>
      </c>
      <c r="D1849" s="116">
        <v>3201.1</v>
      </c>
      <c r="E1849" s="116">
        <v>3214.95</v>
      </c>
      <c r="F1849" s="116">
        <v>3206.8</v>
      </c>
      <c r="G1849">
        <v>87160</v>
      </c>
      <c r="H1849" s="116"/>
      <c r="I1849" s="116"/>
      <c r="L1849" s="170">
        <v>44727</v>
      </c>
      <c r="M1849" s="116">
        <v>3206.3</v>
      </c>
      <c r="N1849" s="116">
        <v>3234</v>
      </c>
      <c r="O1849" s="116">
        <v>3201</v>
      </c>
      <c r="P1849" s="116">
        <v>3218.5</v>
      </c>
      <c r="Q1849" s="116">
        <v>3206.3</v>
      </c>
      <c r="R1849">
        <v>1404536</v>
      </c>
    </row>
    <row r="1850" spans="1:18" x14ac:dyDescent="0.25">
      <c r="A1850" s="170">
        <v>44728</v>
      </c>
      <c r="B1850" s="116">
        <v>3241.65</v>
      </c>
      <c r="C1850" s="116">
        <v>3142.35</v>
      </c>
      <c r="D1850" s="116">
        <v>3134</v>
      </c>
      <c r="E1850" s="116">
        <v>3237.4</v>
      </c>
      <c r="F1850" s="116">
        <v>3142.35</v>
      </c>
      <c r="G1850">
        <v>175120</v>
      </c>
      <c r="H1850" s="116"/>
      <c r="I1850" s="116"/>
      <c r="L1850" s="170">
        <v>44728</v>
      </c>
      <c r="M1850" s="116">
        <v>3142</v>
      </c>
      <c r="N1850" s="116">
        <v>3244.85</v>
      </c>
      <c r="O1850" s="116">
        <v>3133.05</v>
      </c>
      <c r="P1850" s="116">
        <v>3240</v>
      </c>
      <c r="Q1850" s="116">
        <v>3142</v>
      </c>
      <c r="R1850">
        <v>2032028</v>
      </c>
    </row>
    <row r="1851" spans="1:18" x14ac:dyDescent="0.25">
      <c r="A1851" s="170">
        <v>44729</v>
      </c>
      <c r="B1851" s="116">
        <v>3110.55</v>
      </c>
      <c r="C1851" s="116">
        <v>3089.25</v>
      </c>
      <c r="D1851" s="116">
        <v>3023.35</v>
      </c>
      <c r="E1851" s="116">
        <v>3099.65</v>
      </c>
      <c r="F1851" s="116">
        <v>3089.25</v>
      </c>
      <c r="G1851">
        <v>276257</v>
      </c>
      <c r="H1851" s="116"/>
      <c r="I1851" s="116"/>
      <c r="L1851" s="170">
        <v>44729</v>
      </c>
      <c r="M1851" s="116">
        <v>3088.9</v>
      </c>
      <c r="N1851" s="116">
        <v>3118.75</v>
      </c>
      <c r="O1851" s="116">
        <v>3023.85</v>
      </c>
      <c r="P1851" s="116">
        <v>3092</v>
      </c>
      <c r="Q1851" s="116">
        <v>3088.9</v>
      </c>
      <c r="R1851">
        <v>5240434</v>
      </c>
    </row>
    <row r="1852" spans="1:18" x14ac:dyDescent="0.25">
      <c r="A1852" s="170">
        <v>44732</v>
      </c>
      <c r="B1852" s="116">
        <v>3138.6</v>
      </c>
      <c r="C1852" s="116">
        <v>3113.2</v>
      </c>
      <c r="D1852" s="116">
        <v>3069.7</v>
      </c>
      <c r="E1852" s="116">
        <v>3094.5</v>
      </c>
      <c r="F1852" s="116">
        <v>3113.2</v>
      </c>
      <c r="G1852">
        <v>94264</v>
      </c>
      <c r="H1852" s="116"/>
      <c r="I1852" s="116"/>
      <c r="L1852" s="170">
        <v>44732</v>
      </c>
      <c r="M1852" s="116">
        <v>3112.4</v>
      </c>
      <c r="N1852" s="116">
        <v>3138.75</v>
      </c>
      <c r="O1852" s="116">
        <v>3069</v>
      </c>
      <c r="P1852" s="116">
        <v>3094</v>
      </c>
      <c r="Q1852" s="116">
        <v>3112.4</v>
      </c>
      <c r="R1852">
        <v>1502769</v>
      </c>
    </row>
    <row r="1853" spans="1:18" x14ac:dyDescent="0.25">
      <c r="A1853" s="170">
        <v>44733</v>
      </c>
      <c r="B1853" s="116">
        <v>3237.3</v>
      </c>
      <c r="C1853" s="116">
        <v>3212</v>
      </c>
      <c r="D1853" s="116">
        <v>3125</v>
      </c>
      <c r="E1853" s="116">
        <v>3128</v>
      </c>
      <c r="F1853" s="116">
        <v>3212</v>
      </c>
      <c r="G1853">
        <v>106881</v>
      </c>
      <c r="H1853" s="116"/>
      <c r="I1853" s="116"/>
      <c r="L1853" s="170">
        <v>44733</v>
      </c>
      <c r="M1853" s="116">
        <v>3211.95</v>
      </c>
      <c r="N1853" s="116">
        <v>3237.75</v>
      </c>
      <c r="O1853" s="116">
        <v>3125.4</v>
      </c>
      <c r="P1853" s="116">
        <v>3130</v>
      </c>
      <c r="Q1853" s="116">
        <v>3211.95</v>
      </c>
      <c r="R1853">
        <v>2964461</v>
      </c>
    </row>
    <row r="1854" spans="1:18" x14ac:dyDescent="0.25">
      <c r="A1854" s="170">
        <v>44734</v>
      </c>
      <c r="B1854" s="116">
        <v>3249</v>
      </c>
      <c r="C1854" s="116">
        <v>3222</v>
      </c>
      <c r="D1854" s="116">
        <v>3184.15</v>
      </c>
      <c r="E1854" s="116">
        <v>3201</v>
      </c>
      <c r="F1854" s="116">
        <v>3222</v>
      </c>
      <c r="G1854">
        <v>94514</v>
      </c>
      <c r="H1854" s="116"/>
      <c r="I1854" s="116"/>
      <c r="L1854" s="170">
        <v>44734</v>
      </c>
      <c r="M1854" s="116">
        <v>3222.95</v>
      </c>
      <c r="N1854" s="116">
        <v>3250.55</v>
      </c>
      <c r="O1854" s="116">
        <v>3183</v>
      </c>
      <c r="P1854" s="116">
        <v>3199.9</v>
      </c>
      <c r="Q1854" s="116">
        <v>3222.95</v>
      </c>
      <c r="R1854">
        <v>3336315</v>
      </c>
    </row>
    <row r="1855" spans="1:18" x14ac:dyDescent="0.25">
      <c r="A1855" s="170">
        <v>44735</v>
      </c>
      <c r="B1855" s="116">
        <v>3317</v>
      </c>
      <c r="C1855" s="116">
        <v>3309</v>
      </c>
      <c r="D1855" s="116">
        <v>3222</v>
      </c>
      <c r="E1855" s="116">
        <v>3222</v>
      </c>
      <c r="F1855" s="116">
        <v>3309</v>
      </c>
      <c r="G1855">
        <v>371935</v>
      </c>
      <c r="H1855" s="116"/>
      <c r="I1855" s="116"/>
      <c r="L1855" s="170">
        <v>44735</v>
      </c>
      <c r="M1855" s="116">
        <v>3308.8</v>
      </c>
      <c r="N1855" s="116">
        <v>3318</v>
      </c>
      <c r="O1855" s="116">
        <v>3222.95</v>
      </c>
      <c r="P1855" s="116">
        <v>3222.95</v>
      </c>
      <c r="Q1855" s="116">
        <v>3308.8</v>
      </c>
      <c r="R1855">
        <v>3692578</v>
      </c>
    </row>
    <row r="1856" spans="1:18" x14ac:dyDescent="0.25">
      <c r="A1856" s="170">
        <v>44736</v>
      </c>
      <c r="B1856" s="116">
        <v>3344</v>
      </c>
      <c r="C1856" s="116">
        <v>3292.95</v>
      </c>
      <c r="D1856" s="116">
        <v>3278</v>
      </c>
      <c r="E1856" s="116">
        <v>3344</v>
      </c>
      <c r="F1856" s="116">
        <v>3292.95</v>
      </c>
      <c r="G1856">
        <v>107346</v>
      </c>
      <c r="H1856" s="116"/>
      <c r="I1856" s="116"/>
      <c r="L1856" s="170">
        <v>44736</v>
      </c>
      <c r="M1856" s="116">
        <v>3293.1</v>
      </c>
      <c r="N1856" s="116">
        <v>3345</v>
      </c>
      <c r="O1856" s="116">
        <v>3277.5</v>
      </c>
      <c r="P1856" s="116">
        <v>3339</v>
      </c>
      <c r="Q1856" s="116">
        <v>3293.1</v>
      </c>
      <c r="R1856">
        <v>2132118</v>
      </c>
    </row>
    <row r="1857" spans="1:18" x14ac:dyDescent="0.25">
      <c r="A1857" s="170">
        <v>44739</v>
      </c>
      <c r="B1857" s="116">
        <v>3361.7</v>
      </c>
      <c r="C1857" s="116">
        <v>3312.65</v>
      </c>
      <c r="D1857" s="116">
        <v>3306.4</v>
      </c>
      <c r="E1857" s="116">
        <v>3338</v>
      </c>
      <c r="F1857" s="116">
        <v>3312.65</v>
      </c>
      <c r="G1857">
        <v>38084</v>
      </c>
      <c r="H1857" s="116"/>
      <c r="I1857" s="116"/>
      <c r="L1857" s="170">
        <v>44739</v>
      </c>
      <c r="M1857" s="116">
        <v>3314.7</v>
      </c>
      <c r="N1857" s="116">
        <v>3362.9</v>
      </c>
      <c r="O1857" s="116">
        <v>3306.5</v>
      </c>
      <c r="P1857" s="116">
        <v>3350</v>
      </c>
      <c r="Q1857" s="116">
        <v>3314.7</v>
      </c>
      <c r="R1857">
        <v>2037686</v>
      </c>
    </row>
    <row r="1858" spans="1:18" x14ac:dyDescent="0.25">
      <c r="A1858" s="170">
        <v>44740</v>
      </c>
      <c r="B1858" s="116">
        <v>3326.25</v>
      </c>
      <c r="C1858" s="116">
        <v>3318.95</v>
      </c>
      <c r="D1858" s="116">
        <v>3274</v>
      </c>
      <c r="E1858" s="116">
        <v>3312.65</v>
      </c>
      <c r="F1858" s="116">
        <v>3318.95</v>
      </c>
      <c r="G1858">
        <v>31985</v>
      </c>
      <c r="H1858" s="116"/>
      <c r="I1858" s="116"/>
      <c r="L1858" s="170">
        <v>44740</v>
      </c>
      <c r="M1858" s="116">
        <v>3318.15</v>
      </c>
      <c r="N1858" s="116">
        <v>3330</v>
      </c>
      <c r="O1858" s="116">
        <v>3272.6</v>
      </c>
      <c r="P1858" s="116">
        <v>3307</v>
      </c>
      <c r="Q1858" s="116">
        <v>3318.15</v>
      </c>
      <c r="R1858">
        <v>1400046</v>
      </c>
    </row>
    <row r="1859" spans="1:18" x14ac:dyDescent="0.25">
      <c r="A1859" s="170">
        <v>44741</v>
      </c>
      <c r="B1859" s="116">
        <v>3332.9</v>
      </c>
      <c r="C1859" s="116">
        <v>3291.05</v>
      </c>
      <c r="D1859" s="116">
        <v>3270</v>
      </c>
      <c r="E1859" s="116">
        <v>3270</v>
      </c>
      <c r="F1859" s="116">
        <v>3291.05</v>
      </c>
      <c r="G1859">
        <v>108986</v>
      </c>
      <c r="H1859" s="116"/>
      <c r="I1859" s="116"/>
      <c r="L1859" s="170">
        <v>44741</v>
      </c>
      <c r="M1859" s="116">
        <v>3290.5</v>
      </c>
      <c r="N1859" s="116">
        <v>3333</v>
      </c>
      <c r="O1859" s="116">
        <v>3271</v>
      </c>
      <c r="P1859" s="116">
        <v>3271</v>
      </c>
      <c r="Q1859" s="116">
        <v>3290.5</v>
      </c>
      <c r="R1859">
        <v>2133994</v>
      </c>
    </row>
    <row r="1860" spans="1:18" x14ac:dyDescent="0.25">
      <c r="A1860" s="170">
        <v>44742</v>
      </c>
      <c r="B1860" s="116">
        <v>3310.95</v>
      </c>
      <c r="C1860" s="116">
        <v>3265.25</v>
      </c>
      <c r="D1860" s="116">
        <v>3254</v>
      </c>
      <c r="E1860" s="116">
        <v>3270</v>
      </c>
      <c r="F1860" s="116">
        <v>3265.25</v>
      </c>
      <c r="G1860">
        <v>41813</v>
      </c>
      <c r="H1860" s="116"/>
      <c r="I1860" s="116"/>
      <c r="L1860" s="170">
        <v>44742</v>
      </c>
      <c r="M1860" s="116">
        <v>3267.1</v>
      </c>
      <c r="N1860" s="116">
        <v>3310.9</v>
      </c>
      <c r="O1860" s="116">
        <v>3255</v>
      </c>
      <c r="P1860" s="116">
        <v>3272</v>
      </c>
      <c r="Q1860" s="116">
        <v>3267.1</v>
      </c>
      <c r="R1860">
        <v>2719603</v>
      </c>
    </row>
    <row r="1861" spans="1:18" x14ac:dyDescent="0.25">
      <c r="A1861" s="170">
        <v>44743</v>
      </c>
      <c r="B1861" s="116">
        <v>3332.45</v>
      </c>
      <c r="C1861" s="116">
        <v>3316.15</v>
      </c>
      <c r="D1861" s="116">
        <v>3252</v>
      </c>
      <c r="E1861" s="116">
        <v>3262</v>
      </c>
      <c r="F1861" s="116">
        <v>3316.15</v>
      </c>
      <c r="G1861">
        <v>34282</v>
      </c>
      <c r="H1861" s="116"/>
      <c r="I1861" s="116"/>
      <c r="L1861" s="170">
        <v>44743</v>
      </c>
      <c r="M1861" s="116">
        <v>3315.1</v>
      </c>
      <c r="N1861" s="116">
        <v>3333</v>
      </c>
      <c r="O1861" s="116">
        <v>3252.05</v>
      </c>
      <c r="P1861" s="116">
        <v>3260</v>
      </c>
      <c r="Q1861" s="116">
        <v>3315.1</v>
      </c>
      <c r="R1861">
        <v>1502879</v>
      </c>
    </row>
    <row r="1862" spans="1:18" x14ac:dyDescent="0.25">
      <c r="A1862" s="170">
        <v>44746</v>
      </c>
      <c r="B1862" s="116">
        <v>3316.6</v>
      </c>
      <c r="C1862" s="116">
        <v>3234.65</v>
      </c>
      <c r="D1862" s="116">
        <v>3225.8</v>
      </c>
      <c r="E1862" s="116">
        <v>3315</v>
      </c>
      <c r="F1862" s="116">
        <v>3234.65</v>
      </c>
      <c r="G1862">
        <v>113323</v>
      </c>
      <c r="H1862" s="116"/>
      <c r="I1862" s="116"/>
      <c r="L1862" s="170">
        <v>44746</v>
      </c>
      <c r="M1862" s="116">
        <v>3235.05</v>
      </c>
      <c r="N1862" s="116">
        <v>3317.95</v>
      </c>
      <c r="O1862" s="116">
        <v>3225.05</v>
      </c>
      <c r="P1862" s="116">
        <v>3312</v>
      </c>
      <c r="Q1862" s="116">
        <v>3235.05</v>
      </c>
      <c r="R1862">
        <v>2622535</v>
      </c>
    </row>
    <row r="1863" spans="1:18" x14ac:dyDescent="0.25">
      <c r="A1863" s="170">
        <v>44747</v>
      </c>
      <c r="B1863" s="116">
        <v>3272</v>
      </c>
      <c r="C1863" s="116">
        <v>3216.15</v>
      </c>
      <c r="D1863" s="116">
        <v>3209</v>
      </c>
      <c r="E1863" s="116">
        <v>3252</v>
      </c>
      <c r="F1863" s="116">
        <v>3216.15</v>
      </c>
      <c r="G1863">
        <v>138816</v>
      </c>
      <c r="H1863" s="116"/>
      <c r="I1863" s="116"/>
      <c r="L1863" s="170">
        <v>44747</v>
      </c>
      <c r="M1863" s="116">
        <v>3216.3</v>
      </c>
      <c r="N1863" s="116">
        <v>3272</v>
      </c>
      <c r="O1863" s="116">
        <v>3206.95</v>
      </c>
      <c r="P1863" s="116">
        <v>3255</v>
      </c>
      <c r="Q1863" s="116">
        <v>3216.3</v>
      </c>
      <c r="R1863">
        <v>2170627</v>
      </c>
    </row>
    <row r="1864" spans="1:18" x14ac:dyDescent="0.25">
      <c r="A1864" s="170">
        <v>44748</v>
      </c>
      <c r="B1864" s="116">
        <v>3267.9</v>
      </c>
      <c r="C1864" s="116">
        <v>3260.3</v>
      </c>
      <c r="D1864" s="116">
        <v>3202.4</v>
      </c>
      <c r="E1864" s="116">
        <v>3216</v>
      </c>
      <c r="F1864" s="116">
        <v>3260.3</v>
      </c>
      <c r="G1864">
        <v>101238</v>
      </c>
      <c r="H1864" s="116"/>
      <c r="I1864" s="116"/>
      <c r="L1864" s="170">
        <v>44748</v>
      </c>
      <c r="M1864" s="116">
        <v>3260.75</v>
      </c>
      <c r="N1864" s="116">
        <v>3268.5</v>
      </c>
      <c r="O1864" s="116">
        <v>3202.25</v>
      </c>
      <c r="P1864" s="116">
        <v>3218.5</v>
      </c>
      <c r="Q1864" s="116">
        <v>3260.75</v>
      </c>
      <c r="R1864">
        <v>2182144</v>
      </c>
    </row>
    <row r="1865" spans="1:18" x14ac:dyDescent="0.25">
      <c r="A1865" s="170">
        <v>44749</v>
      </c>
      <c r="B1865" s="116">
        <v>3319</v>
      </c>
      <c r="C1865" s="116">
        <v>3286.95</v>
      </c>
      <c r="D1865" s="116">
        <v>3265</v>
      </c>
      <c r="E1865" s="116">
        <v>3269.95</v>
      </c>
      <c r="F1865" s="116">
        <v>3286.95</v>
      </c>
      <c r="G1865">
        <v>77239</v>
      </c>
      <c r="H1865" s="116"/>
      <c r="I1865" s="116"/>
      <c r="L1865" s="170">
        <v>44749</v>
      </c>
      <c r="M1865" s="116">
        <v>3287.85</v>
      </c>
      <c r="N1865" s="116">
        <v>3319.4</v>
      </c>
      <c r="O1865" s="116">
        <v>3265.05</v>
      </c>
      <c r="P1865" s="116">
        <v>3271</v>
      </c>
      <c r="Q1865" s="116">
        <v>3287.85</v>
      </c>
      <c r="R1865">
        <v>1989921</v>
      </c>
    </row>
    <row r="1866" spans="1:18" x14ac:dyDescent="0.25">
      <c r="A1866" s="170">
        <v>44750</v>
      </c>
      <c r="B1866" s="116">
        <v>3300.25</v>
      </c>
      <c r="C1866" s="116">
        <v>3264.85</v>
      </c>
      <c r="D1866" s="116">
        <v>3250.05</v>
      </c>
      <c r="E1866" s="116">
        <v>3297</v>
      </c>
      <c r="F1866" s="116">
        <v>3264.85</v>
      </c>
      <c r="G1866">
        <v>76501</v>
      </c>
      <c r="H1866" s="116"/>
      <c r="I1866" s="116"/>
      <c r="L1866" s="170">
        <v>44750</v>
      </c>
      <c r="M1866" s="116">
        <v>3265.45</v>
      </c>
      <c r="N1866" s="116">
        <v>3305</v>
      </c>
      <c r="O1866" s="116">
        <v>3250</v>
      </c>
      <c r="P1866" s="116">
        <v>3300</v>
      </c>
      <c r="Q1866" s="116">
        <v>3265.45</v>
      </c>
      <c r="R1866">
        <v>2136916</v>
      </c>
    </row>
    <row r="1867" spans="1:18" x14ac:dyDescent="0.25">
      <c r="A1867" s="170">
        <v>44753</v>
      </c>
      <c r="B1867" s="116">
        <v>3223.05</v>
      </c>
      <c r="C1867" s="116">
        <v>3113.25</v>
      </c>
      <c r="D1867" s="116">
        <v>3105.85</v>
      </c>
      <c r="E1867" s="116">
        <v>3220</v>
      </c>
      <c r="F1867" s="116">
        <v>3113.25</v>
      </c>
      <c r="G1867">
        <v>202245</v>
      </c>
      <c r="H1867" s="116"/>
      <c r="I1867" s="116"/>
      <c r="L1867" s="170">
        <v>44753</v>
      </c>
      <c r="M1867" s="116">
        <v>3113.8</v>
      </c>
      <c r="N1867" s="116">
        <v>3225</v>
      </c>
      <c r="O1867" s="116">
        <v>3106</v>
      </c>
      <c r="P1867" s="116">
        <v>3206.15</v>
      </c>
      <c r="Q1867" s="116">
        <v>3113.8</v>
      </c>
      <c r="R1867">
        <v>6974600</v>
      </c>
    </row>
    <row r="1868" spans="1:18" x14ac:dyDescent="0.25">
      <c r="A1868" s="170">
        <v>44754</v>
      </c>
      <c r="B1868" s="116">
        <v>3136.2</v>
      </c>
      <c r="C1868" s="116">
        <v>3084.65</v>
      </c>
      <c r="D1868" s="116">
        <v>3081</v>
      </c>
      <c r="E1868" s="116">
        <v>3125</v>
      </c>
      <c r="F1868" s="116">
        <v>3084.65</v>
      </c>
      <c r="G1868">
        <v>188774</v>
      </c>
      <c r="H1868" s="116"/>
      <c r="I1868" s="116"/>
      <c r="L1868" s="170">
        <v>44754</v>
      </c>
      <c r="M1868" s="116">
        <v>3084.7</v>
      </c>
      <c r="N1868" s="116">
        <v>3136.2</v>
      </c>
      <c r="O1868" s="116">
        <v>3080.25</v>
      </c>
      <c r="P1868" s="116">
        <v>3114.9</v>
      </c>
      <c r="Q1868" s="116">
        <v>3084.7</v>
      </c>
      <c r="R1868">
        <v>3734815</v>
      </c>
    </row>
    <row r="1869" spans="1:18" x14ac:dyDescent="0.25">
      <c r="A1869" s="170">
        <v>44755</v>
      </c>
      <c r="B1869" s="116">
        <v>3109.9</v>
      </c>
      <c r="C1869" s="116">
        <v>3038.55</v>
      </c>
      <c r="D1869" s="116">
        <v>3033.7</v>
      </c>
      <c r="E1869" s="116">
        <v>3108.5</v>
      </c>
      <c r="F1869" s="116">
        <v>3038.55</v>
      </c>
      <c r="G1869">
        <v>107114</v>
      </c>
      <c r="H1869" s="116"/>
      <c r="I1869" s="116"/>
      <c r="L1869" s="170">
        <v>44755</v>
      </c>
      <c r="M1869" s="116">
        <v>3038.75</v>
      </c>
      <c r="N1869" s="116">
        <v>3110</v>
      </c>
      <c r="O1869" s="116">
        <v>3035</v>
      </c>
      <c r="P1869" s="116">
        <v>3104</v>
      </c>
      <c r="Q1869" s="116">
        <v>3038.75</v>
      </c>
      <c r="R1869">
        <v>3863530</v>
      </c>
    </row>
    <row r="1870" spans="1:18" x14ac:dyDescent="0.25">
      <c r="A1870" s="170">
        <v>44756</v>
      </c>
      <c r="B1870" s="116">
        <v>3060</v>
      </c>
      <c r="C1870" s="116">
        <v>2998.7</v>
      </c>
      <c r="D1870" s="116">
        <v>2968</v>
      </c>
      <c r="E1870" s="116">
        <v>3060</v>
      </c>
      <c r="F1870" s="116">
        <v>2998.7</v>
      </c>
      <c r="G1870">
        <v>167339</v>
      </c>
      <c r="H1870" s="116"/>
      <c r="I1870" s="116"/>
      <c r="L1870" s="170">
        <v>44756</v>
      </c>
      <c r="M1870" s="116">
        <v>2998.75</v>
      </c>
      <c r="N1870" s="116">
        <v>3057</v>
      </c>
      <c r="O1870" s="116">
        <v>2967</v>
      </c>
      <c r="P1870" s="116">
        <v>3056</v>
      </c>
      <c r="Q1870" s="116">
        <v>2998.75</v>
      </c>
      <c r="R1870">
        <v>4764908</v>
      </c>
    </row>
    <row r="1871" spans="1:18" x14ac:dyDescent="0.25">
      <c r="A1871" s="170">
        <v>44757</v>
      </c>
      <c r="B1871" s="116">
        <v>3028</v>
      </c>
      <c r="C1871" s="116">
        <v>2993.55</v>
      </c>
      <c r="D1871" s="116">
        <v>2953</v>
      </c>
      <c r="E1871" s="116">
        <v>3015</v>
      </c>
      <c r="F1871" s="116">
        <v>2993.55</v>
      </c>
      <c r="G1871">
        <v>120629</v>
      </c>
      <c r="H1871" s="116"/>
      <c r="I1871" s="116"/>
      <c r="L1871" s="170">
        <v>44757</v>
      </c>
      <c r="M1871" s="116">
        <v>2994.6</v>
      </c>
      <c r="N1871" s="116">
        <v>3028.9</v>
      </c>
      <c r="O1871" s="116">
        <v>2953</v>
      </c>
      <c r="P1871" s="116">
        <v>3018.55</v>
      </c>
      <c r="Q1871" s="116">
        <v>2994.6</v>
      </c>
      <c r="R1871">
        <v>4574806</v>
      </c>
    </row>
    <row r="1872" spans="1:18" x14ac:dyDescent="0.25">
      <c r="A1872" s="170">
        <v>44760</v>
      </c>
      <c r="B1872" s="116">
        <v>3076.45</v>
      </c>
      <c r="C1872" s="116">
        <v>3060.35</v>
      </c>
      <c r="D1872" s="116">
        <v>3015</v>
      </c>
      <c r="E1872" s="116">
        <v>3023.4</v>
      </c>
      <c r="F1872" s="116">
        <v>3060.35</v>
      </c>
      <c r="G1872">
        <v>1742719</v>
      </c>
      <c r="H1872" s="116"/>
      <c r="I1872" s="116"/>
      <c r="L1872" s="170">
        <v>44760</v>
      </c>
      <c r="M1872" s="116">
        <v>3063.5</v>
      </c>
      <c r="N1872" s="116">
        <v>3076.95</v>
      </c>
      <c r="O1872" s="116">
        <v>3014.3</v>
      </c>
      <c r="P1872" s="116">
        <v>3023</v>
      </c>
      <c r="Q1872" s="116">
        <v>3063.5</v>
      </c>
      <c r="R1872">
        <v>3202795</v>
      </c>
    </row>
    <row r="1873" spans="1:18" x14ac:dyDescent="0.25">
      <c r="A1873" s="170">
        <v>44761</v>
      </c>
      <c r="B1873" s="116">
        <v>3078.95</v>
      </c>
      <c r="C1873" s="116">
        <v>3075.1</v>
      </c>
      <c r="D1873" s="116">
        <v>3026</v>
      </c>
      <c r="E1873" s="116">
        <v>3026</v>
      </c>
      <c r="F1873" s="116">
        <v>3075.1</v>
      </c>
      <c r="G1873">
        <v>103279</v>
      </c>
      <c r="H1873" s="116"/>
      <c r="I1873" s="116"/>
      <c r="L1873" s="170">
        <v>44761</v>
      </c>
      <c r="M1873" s="116">
        <v>3074.25</v>
      </c>
      <c r="N1873" s="116">
        <v>3078.95</v>
      </c>
      <c r="O1873" s="116">
        <v>3030.05</v>
      </c>
      <c r="P1873" s="116">
        <v>3030.05</v>
      </c>
      <c r="Q1873" s="116">
        <v>3074.25</v>
      </c>
      <c r="R1873">
        <v>1865074</v>
      </c>
    </row>
    <row r="1874" spans="1:18" x14ac:dyDescent="0.25">
      <c r="A1874" s="170">
        <v>44762</v>
      </c>
      <c r="B1874" s="116">
        <v>3170.85</v>
      </c>
      <c r="C1874" s="116">
        <v>3163.95</v>
      </c>
      <c r="D1874" s="116">
        <v>3098</v>
      </c>
      <c r="E1874" s="116">
        <v>3109.45</v>
      </c>
      <c r="F1874" s="116">
        <v>3163.95</v>
      </c>
      <c r="G1874">
        <v>217944</v>
      </c>
      <c r="H1874" s="116"/>
      <c r="I1874" s="116"/>
      <c r="L1874" s="170">
        <v>44762</v>
      </c>
      <c r="M1874" s="116">
        <v>3164.8</v>
      </c>
      <c r="N1874" s="116">
        <v>3171.95</v>
      </c>
      <c r="O1874" s="116">
        <v>3098.05</v>
      </c>
      <c r="P1874" s="116">
        <v>3107.8</v>
      </c>
      <c r="Q1874" s="116">
        <v>3164.8</v>
      </c>
      <c r="R1874">
        <v>3402251</v>
      </c>
    </row>
    <row r="1875" spans="1:18" x14ac:dyDescent="0.25">
      <c r="A1875" s="170">
        <v>44763</v>
      </c>
      <c r="B1875" s="116">
        <v>3183.55</v>
      </c>
      <c r="C1875" s="116">
        <v>3177.7</v>
      </c>
      <c r="D1875" s="116">
        <v>3144.1</v>
      </c>
      <c r="E1875" s="116">
        <v>3167.1</v>
      </c>
      <c r="F1875" s="116">
        <v>3177.7</v>
      </c>
      <c r="G1875">
        <v>51548</v>
      </c>
      <c r="H1875" s="116"/>
      <c r="I1875" s="116"/>
      <c r="L1875" s="170">
        <v>44763</v>
      </c>
      <c r="M1875" s="116">
        <v>3177.3</v>
      </c>
      <c r="N1875" s="116">
        <v>3184</v>
      </c>
      <c r="O1875" s="116">
        <v>3144.05</v>
      </c>
      <c r="P1875" s="116">
        <v>3167</v>
      </c>
      <c r="Q1875" s="116">
        <v>3177.3</v>
      </c>
      <c r="R1875">
        <v>2420640</v>
      </c>
    </row>
    <row r="1876" spans="1:18" x14ac:dyDescent="0.25">
      <c r="A1876" s="170">
        <v>44764</v>
      </c>
      <c r="B1876" s="116">
        <v>3197</v>
      </c>
      <c r="C1876" s="116">
        <v>3171</v>
      </c>
      <c r="D1876" s="116">
        <v>3142.1</v>
      </c>
      <c r="E1876" s="116">
        <v>3180</v>
      </c>
      <c r="F1876" s="116">
        <v>3171</v>
      </c>
      <c r="G1876">
        <v>81444</v>
      </c>
      <c r="H1876" s="116"/>
      <c r="I1876" s="116"/>
      <c r="L1876" s="170">
        <v>44764</v>
      </c>
      <c r="M1876" s="116">
        <v>3171</v>
      </c>
      <c r="N1876" s="116">
        <v>3197</v>
      </c>
      <c r="O1876" s="116">
        <v>3143.5</v>
      </c>
      <c r="P1876" s="116">
        <v>3185</v>
      </c>
      <c r="Q1876" s="116">
        <v>3171</v>
      </c>
      <c r="R1876">
        <v>2075886</v>
      </c>
    </row>
    <row r="1877" spans="1:18" x14ac:dyDescent="0.25">
      <c r="A1877" s="170">
        <v>44767</v>
      </c>
      <c r="B1877" s="116">
        <v>3185</v>
      </c>
      <c r="C1877" s="116">
        <v>3167.3</v>
      </c>
      <c r="D1877" s="116">
        <v>3148.35</v>
      </c>
      <c r="E1877" s="116">
        <v>3169</v>
      </c>
      <c r="F1877" s="116">
        <v>3167.3</v>
      </c>
      <c r="G1877">
        <v>61457</v>
      </c>
      <c r="H1877" s="116"/>
      <c r="I1877" s="116"/>
      <c r="L1877" s="170">
        <v>44767</v>
      </c>
      <c r="M1877" s="116">
        <v>3166.75</v>
      </c>
      <c r="N1877" s="116">
        <v>3186.45</v>
      </c>
      <c r="O1877" s="116">
        <v>3149.1</v>
      </c>
      <c r="P1877" s="116">
        <v>3165</v>
      </c>
      <c r="Q1877" s="116">
        <v>3166.75</v>
      </c>
      <c r="R1877">
        <v>1797504</v>
      </c>
    </row>
    <row r="1878" spans="1:18" x14ac:dyDescent="0.25">
      <c r="A1878" s="170">
        <v>44768</v>
      </c>
      <c r="B1878" s="116">
        <v>3166.95</v>
      </c>
      <c r="C1878" s="116">
        <v>3115.85</v>
      </c>
      <c r="D1878" s="116">
        <v>3096.55</v>
      </c>
      <c r="E1878" s="116">
        <v>3163.95</v>
      </c>
      <c r="F1878" s="116">
        <v>3115.85</v>
      </c>
      <c r="G1878">
        <v>96329</v>
      </c>
      <c r="H1878" s="116"/>
      <c r="I1878" s="116"/>
      <c r="L1878" s="170">
        <v>44768</v>
      </c>
      <c r="M1878" s="116">
        <v>3115.9</v>
      </c>
      <c r="N1878" s="116">
        <v>3168.9</v>
      </c>
      <c r="O1878" s="116">
        <v>3096.5</v>
      </c>
      <c r="P1878" s="116">
        <v>3164.7</v>
      </c>
      <c r="Q1878" s="116">
        <v>3115.9</v>
      </c>
      <c r="R1878">
        <v>2639367</v>
      </c>
    </row>
    <row r="1879" spans="1:18" x14ac:dyDescent="0.25">
      <c r="A1879" s="170">
        <v>44769</v>
      </c>
      <c r="B1879" s="116">
        <v>3194.1</v>
      </c>
      <c r="C1879" s="116">
        <v>3188.35</v>
      </c>
      <c r="D1879" s="116">
        <v>3102</v>
      </c>
      <c r="E1879" s="116">
        <v>3102</v>
      </c>
      <c r="F1879" s="116">
        <v>3188.35</v>
      </c>
      <c r="G1879">
        <v>44030</v>
      </c>
      <c r="H1879" s="116"/>
      <c r="I1879" s="116"/>
      <c r="L1879" s="170">
        <v>44769</v>
      </c>
      <c r="M1879" s="116">
        <v>3188.85</v>
      </c>
      <c r="N1879" s="116">
        <v>3194.1</v>
      </c>
      <c r="O1879" s="116">
        <v>3110</v>
      </c>
      <c r="P1879" s="116">
        <v>3115</v>
      </c>
      <c r="Q1879" s="116">
        <v>3188.85</v>
      </c>
      <c r="R1879">
        <v>1389808</v>
      </c>
    </row>
    <row r="1880" spans="1:18" x14ac:dyDescent="0.25">
      <c r="A1880" s="170">
        <v>44770</v>
      </c>
      <c r="B1880" s="116">
        <v>3264</v>
      </c>
      <c r="C1880" s="116">
        <v>3260.2</v>
      </c>
      <c r="D1880" s="116">
        <v>3201.35</v>
      </c>
      <c r="E1880" s="116">
        <v>3214.9</v>
      </c>
      <c r="F1880" s="116">
        <v>3260.2</v>
      </c>
      <c r="G1880">
        <v>80279</v>
      </c>
      <c r="H1880" s="116"/>
      <c r="I1880" s="116"/>
      <c r="L1880" s="170">
        <v>44770</v>
      </c>
      <c r="M1880" s="116">
        <v>3260.5</v>
      </c>
      <c r="N1880" s="116">
        <v>3264</v>
      </c>
      <c r="O1880" s="116">
        <v>3201.65</v>
      </c>
      <c r="P1880" s="116">
        <v>3216</v>
      </c>
      <c r="Q1880" s="116">
        <v>3260.5</v>
      </c>
      <c r="R1880">
        <v>2106333</v>
      </c>
    </row>
    <row r="1881" spans="1:18" x14ac:dyDescent="0.25">
      <c r="A1881" s="170">
        <v>44771</v>
      </c>
      <c r="B1881" s="116">
        <v>3316.6</v>
      </c>
      <c r="C1881" s="116">
        <v>3300.8</v>
      </c>
      <c r="D1881" s="116">
        <v>3276</v>
      </c>
      <c r="E1881" s="116">
        <v>3290.2</v>
      </c>
      <c r="F1881" s="116">
        <v>3300.8</v>
      </c>
      <c r="G1881">
        <v>55026</v>
      </c>
      <c r="H1881" s="116"/>
      <c r="I1881" s="116"/>
      <c r="L1881" s="170">
        <v>44771</v>
      </c>
      <c r="M1881" s="116">
        <v>3301.9</v>
      </c>
      <c r="N1881" s="116">
        <v>3317.3</v>
      </c>
      <c r="O1881" s="116">
        <v>3275</v>
      </c>
      <c r="P1881" s="116">
        <v>3290</v>
      </c>
      <c r="Q1881" s="116">
        <v>3301.9</v>
      </c>
      <c r="R1881">
        <v>2430257</v>
      </c>
    </row>
    <row r="1882" spans="1:18" x14ac:dyDescent="0.25">
      <c r="A1882" s="170">
        <v>44774</v>
      </c>
      <c r="B1882" s="116">
        <v>3329</v>
      </c>
      <c r="C1882" s="116">
        <v>3299.2</v>
      </c>
      <c r="D1882" s="116">
        <v>3271</v>
      </c>
      <c r="E1882" s="116">
        <v>3327.05</v>
      </c>
      <c r="F1882" s="116">
        <v>3299.2</v>
      </c>
      <c r="G1882">
        <v>1310532</v>
      </c>
      <c r="H1882" s="116"/>
      <c r="I1882" s="116"/>
      <c r="L1882" s="170">
        <v>44774</v>
      </c>
      <c r="M1882" s="116">
        <v>3298.8</v>
      </c>
      <c r="N1882" s="116">
        <v>3327</v>
      </c>
      <c r="O1882" s="116">
        <v>3271</v>
      </c>
      <c r="P1882" s="116">
        <v>3327</v>
      </c>
      <c r="Q1882" s="116">
        <v>3298.8</v>
      </c>
      <c r="R1882">
        <v>1306913</v>
      </c>
    </row>
    <row r="1883" spans="1:18" x14ac:dyDescent="0.25">
      <c r="A1883" s="170">
        <v>44775</v>
      </c>
      <c r="B1883" s="116">
        <v>3311.45</v>
      </c>
      <c r="C1883" s="116">
        <v>3290.05</v>
      </c>
      <c r="D1883" s="116">
        <v>3272</v>
      </c>
      <c r="E1883" s="116">
        <v>3281</v>
      </c>
      <c r="F1883" s="116">
        <v>3290.05</v>
      </c>
      <c r="G1883">
        <v>75259</v>
      </c>
      <c r="H1883" s="116"/>
      <c r="I1883" s="116"/>
      <c r="L1883" s="170">
        <v>44775</v>
      </c>
      <c r="M1883" s="116">
        <v>3291.8</v>
      </c>
      <c r="N1883" s="116">
        <v>3312.9</v>
      </c>
      <c r="O1883" s="116">
        <v>3271.65</v>
      </c>
      <c r="P1883" s="116">
        <v>3290</v>
      </c>
      <c r="Q1883" s="116">
        <v>3291.8</v>
      </c>
      <c r="R1883">
        <v>1269114</v>
      </c>
    </row>
    <row r="1884" spans="1:18" x14ac:dyDescent="0.25">
      <c r="A1884" s="170">
        <v>44776</v>
      </c>
      <c r="B1884" s="116">
        <v>3349</v>
      </c>
      <c r="C1884" s="116">
        <v>3339.6</v>
      </c>
      <c r="D1884" s="116">
        <v>3276.7</v>
      </c>
      <c r="E1884" s="116">
        <v>3289.5</v>
      </c>
      <c r="F1884" s="116">
        <v>3339.6</v>
      </c>
      <c r="G1884">
        <v>47351</v>
      </c>
      <c r="H1884" s="116"/>
      <c r="I1884" s="116"/>
      <c r="L1884" s="170">
        <v>44776</v>
      </c>
      <c r="M1884" s="116">
        <v>3339.5</v>
      </c>
      <c r="N1884" s="116">
        <v>3349</v>
      </c>
      <c r="O1884" s="116">
        <v>3277.05</v>
      </c>
      <c r="P1884" s="116">
        <v>3280</v>
      </c>
      <c r="Q1884" s="116">
        <v>3339.5</v>
      </c>
      <c r="R1884">
        <v>2895824</v>
      </c>
    </row>
    <row r="1885" spans="1:18" x14ac:dyDescent="0.25">
      <c r="A1885" s="170">
        <v>44777</v>
      </c>
      <c r="B1885" s="116">
        <v>3387.95</v>
      </c>
      <c r="C1885" s="116">
        <v>3354.15</v>
      </c>
      <c r="D1885" s="116">
        <v>3306.65</v>
      </c>
      <c r="E1885" s="116">
        <v>3352</v>
      </c>
      <c r="F1885" s="116">
        <v>3354.15</v>
      </c>
      <c r="G1885">
        <v>128302</v>
      </c>
      <c r="H1885" s="116"/>
      <c r="I1885" s="116"/>
      <c r="L1885" s="170">
        <v>44777</v>
      </c>
      <c r="M1885" s="116">
        <v>3354.95</v>
      </c>
      <c r="N1885" s="116">
        <v>3387.9</v>
      </c>
      <c r="O1885" s="116">
        <v>3307.35</v>
      </c>
      <c r="P1885" s="116">
        <v>3350</v>
      </c>
      <c r="Q1885" s="116">
        <v>3354.95</v>
      </c>
      <c r="R1885">
        <v>2150567</v>
      </c>
    </row>
    <row r="1886" spans="1:18" x14ac:dyDescent="0.25">
      <c r="A1886" s="170">
        <v>44778</v>
      </c>
      <c r="B1886" s="116">
        <v>3377</v>
      </c>
      <c r="C1886" s="116">
        <v>3365.25</v>
      </c>
      <c r="D1886" s="116">
        <v>3354</v>
      </c>
      <c r="E1886" s="116">
        <v>3354</v>
      </c>
      <c r="F1886" s="116">
        <v>3365.25</v>
      </c>
      <c r="G1886">
        <v>25229</v>
      </c>
      <c r="H1886" s="116"/>
      <c r="I1886" s="116"/>
      <c r="L1886" s="170">
        <v>44778</v>
      </c>
      <c r="M1886" s="116">
        <v>3365.05</v>
      </c>
      <c r="N1886" s="116">
        <v>3377</v>
      </c>
      <c r="O1886" s="116">
        <v>3355</v>
      </c>
      <c r="P1886" s="116">
        <v>3361.2</v>
      </c>
      <c r="Q1886" s="116">
        <v>3365.05</v>
      </c>
      <c r="R1886">
        <v>1106933</v>
      </c>
    </row>
    <row r="1887" spans="1:18" x14ac:dyDescent="0.25">
      <c r="A1887" s="170">
        <v>44781</v>
      </c>
      <c r="B1887" s="116">
        <v>3378.9</v>
      </c>
      <c r="C1887" s="116">
        <v>3373.95</v>
      </c>
      <c r="D1887" s="116">
        <v>3335.5</v>
      </c>
      <c r="E1887" s="116">
        <v>3361</v>
      </c>
      <c r="F1887" s="116">
        <v>3373.95</v>
      </c>
      <c r="G1887">
        <v>86210</v>
      </c>
      <c r="H1887" s="116"/>
      <c r="I1887" s="116"/>
      <c r="L1887" s="170">
        <v>44781</v>
      </c>
      <c r="M1887" s="116">
        <v>3374.45</v>
      </c>
      <c r="N1887" s="116">
        <v>3378.9</v>
      </c>
      <c r="O1887" s="116">
        <v>3336</v>
      </c>
      <c r="P1887" s="116">
        <v>3365</v>
      </c>
      <c r="Q1887" s="116">
        <v>3374.45</v>
      </c>
      <c r="R1887">
        <v>1068836</v>
      </c>
    </row>
    <row r="1888" spans="1:18" x14ac:dyDescent="0.25">
      <c r="A1888" s="170">
        <v>44783</v>
      </c>
      <c r="B1888" s="116">
        <v>3380.3</v>
      </c>
      <c r="C1888" s="116">
        <v>3356</v>
      </c>
      <c r="D1888" s="116">
        <v>3335</v>
      </c>
      <c r="E1888" s="116">
        <v>3377.1</v>
      </c>
      <c r="F1888" s="116">
        <v>3356</v>
      </c>
      <c r="G1888">
        <v>72060</v>
      </c>
      <c r="H1888" s="116"/>
      <c r="I1888" s="116"/>
      <c r="L1888" s="170">
        <v>44783</v>
      </c>
      <c r="M1888" s="116">
        <v>3354.25</v>
      </c>
      <c r="N1888" s="116">
        <v>3385</v>
      </c>
      <c r="O1888" s="116">
        <v>3335</v>
      </c>
      <c r="P1888" s="116">
        <v>3385</v>
      </c>
      <c r="Q1888" s="116">
        <v>3354.25</v>
      </c>
      <c r="R1888">
        <v>1878359</v>
      </c>
    </row>
    <row r="1889" spans="1:18" x14ac:dyDescent="0.25">
      <c r="A1889" s="170">
        <v>44784</v>
      </c>
      <c r="B1889" s="116">
        <v>3428</v>
      </c>
      <c r="C1889" s="116">
        <v>3422.45</v>
      </c>
      <c r="D1889" s="116">
        <v>3377</v>
      </c>
      <c r="E1889" s="116">
        <v>3393</v>
      </c>
      <c r="F1889" s="116">
        <v>3422.45</v>
      </c>
      <c r="G1889">
        <v>124557</v>
      </c>
      <c r="H1889" s="116"/>
      <c r="I1889" s="116"/>
      <c r="L1889" s="170">
        <v>44784</v>
      </c>
      <c r="M1889" s="116">
        <v>3422.5</v>
      </c>
      <c r="N1889" s="116">
        <v>3428.7</v>
      </c>
      <c r="O1889" s="116">
        <v>3375.05</v>
      </c>
      <c r="P1889" s="116">
        <v>3400</v>
      </c>
      <c r="Q1889" s="116">
        <v>3422.5</v>
      </c>
      <c r="R1889">
        <v>1449248</v>
      </c>
    </row>
    <row r="1890" spans="1:18" x14ac:dyDescent="0.25">
      <c r="A1890" s="170">
        <v>44785</v>
      </c>
      <c r="B1890" s="116">
        <v>3420.1</v>
      </c>
      <c r="C1890" s="116">
        <v>3399.8</v>
      </c>
      <c r="D1890" s="116">
        <v>3382</v>
      </c>
      <c r="E1890" s="116">
        <v>3420</v>
      </c>
      <c r="F1890" s="116">
        <v>3399.8</v>
      </c>
      <c r="G1890">
        <v>112772</v>
      </c>
      <c r="H1890" s="116"/>
      <c r="I1890" s="116"/>
      <c r="L1890" s="170">
        <v>44785</v>
      </c>
      <c r="M1890" s="116">
        <v>3401.55</v>
      </c>
      <c r="N1890" s="116">
        <v>3419</v>
      </c>
      <c r="O1890" s="116">
        <v>3381.25</v>
      </c>
      <c r="P1890" s="116">
        <v>3419</v>
      </c>
      <c r="Q1890" s="116">
        <v>3401.55</v>
      </c>
      <c r="R1890">
        <v>1472354</v>
      </c>
    </row>
    <row r="1891" spans="1:18" x14ac:dyDescent="0.25">
      <c r="A1891" s="170">
        <v>44789</v>
      </c>
      <c r="B1891" s="116">
        <v>3413.5</v>
      </c>
      <c r="C1891" s="116">
        <v>3392.95</v>
      </c>
      <c r="D1891" s="116">
        <v>3387.8</v>
      </c>
      <c r="E1891" s="116">
        <v>3403.05</v>
      </c>
      <c r="F1891" s="116">
        <v>3392.95</v>
      </c>
      <c r="G1891">
        <v>22937</v>
      </c>
      <c r="H1891" s="116"/>
      <c r="I1891" s="116"/>
      <c r="L1891" s="170">
        <v>44789</v>
      </c>
      <c r="M1891" s="116">
        <v>3392.7</v>
      </c>
      <c r="N1891" s="116">
        <v>3414.85</v>
      </c>
      <c r="O1891" s="116">
        <v>3387.5</v>
      </c>
      <c r="P1891" s="116">
        <v>3411</v>
      </c>
      <c r="Q1891" s="116">
        <v>3392.7</v>
      </c>
      <c r="R1891">
        <v>839942</v>
      </c>
    </row>
    <row r="1892" spans="1:18" x14ac:dyDescent="0.25">
      <c r="A1892" s="170">
        <v>44790</v>
      </c>
      <c r="B1892" s="116">
        <v>3417</v>
      </c>
      <c r="C1892" s="116">
        <v>3400.65</v>
      </c>
      <c r="D1892" s="116">
        <v>3371</v>
      </c>
      <c r="E1892" s="116">
        <v>3385</v>
      </c>
      <c r="F1892" s="116">
        <v>3400.65</v>
      </c>
      <c r="G1892">
        <v>111891</v>
      </c>
      <c r="H1892" s="116"/>
      <c r="I1892" s="116"/>
      <c r="L1892" s="170">
        <v>44790</v>
      </c>
      <c r="M1892" s="116">
        <v>3401.1</v>
      </c>
      <c r="N1892" s="116">
        <v>3417.95</v>
      </c>
      <c r="O1892" s="116">
        <v>3371.1</v>
      </c>
      <c r="P1892" s="116">
        <v>3385.1</v>
      </c>
      <c r="Q1892" s="116">
        <v>3401.1</v>
      </c>
      <c r="R1892">
        <v>1622326</v>
      </c>
    </row>
    <row r="1893" spans="1:18" x14ac:dyDescent="0.25">
      <c r="A1893" s="170">
        <v>44791</v>
      </c>
      <c r="B1893" s="116">
        <v>3399</v>
      </c>
      <c r="C1893" s="116">
        <v>3381.25</v>
      </c>
      <c r="D1893" s="116">
        <v>3361.7</v>
      </c>
      <c r="E1893" s="116">
        <v>3399</v>
      </c>
      <c r="F1893" s="116">
        <v>3381.25</v>
      </c>
      <c r="G1893">
        <v>137979</v>
      </c>
      <c r="H1893" s="116"/>
      <c r="I1893" s="116"/>
      <c r="L1893" s="170">
        <v>44791</v>
      </c>
      <c r="M1893" s="116">
        <v>3381.25</v>
      </c>
      <c r="N1893" s="116">
        <v>3392</v>
      </c>
      <c r="O1893" s="116">
        <v>3362</v>
      </c>
      <c r="P1893" s="116">
        <v>3390</v>
      </c>
      <c r="Q1893" s="116">
        <v>3381.25</v>
      </c>
      <c r="R1893">
        <v>1430659</v>
      </c>
    </row>
    <row r="1894" spans="1:18" x14ac:dyDescent="0.25">
      <c r="A1894" s="170">
        <v>44792</v>
      </c>
      <c r="B1894" s="116">
        <v>3421</v>
      </c>
      <c r="C1894" s="116">
        <v>3385.25</v>
      </c>
      <c r="D1894" s="116">
        <v>3371.05</v>
      </c>
      <c r="E1894" s="116">
        <v>3388</v>
      </c>
      <c r="F1894" s="116">
        <v>3385.25</v>
      </c>
      <c r="G1894">
        <v>140465</v>
      </c>
      <c r="H1894" s="116"/>
      <c r="I1894" s="116"/>
      <c r="L1894" s="170">
        <v>44792</v>
      </c>
      <c r="M1894" s="116">
        <v>3385.75</v>
      </c>
      <c r="N1894" s="116">
        <v>3421.5</v>
      </c>
      <c r="O1894" s="116">
        <v>3371.25</v>
      </c>
      <c r="P1894" s="116">
        <v>3387</v>
      </c>
      <c r="Q1894" s="116">
        <v>3385.75</v>
      </c>
      <c r="R1894">
        <v>1398410</v>
      </c>
    </row>
    <row r="1895" spans="1:18" x14ac:dyDescent="0.25">
      <c r="A1895" s="170">
        <v>44795</v>
      </c>
      <c r="B1895" s="116">
        <v>3384.45</v>
      </c>
      <c r="C1895" s="116">
        <v>3354.25</v>
      </c>
      <c r="D1895" s="116">
        <v>3347</v>
      </c>
      <c r="E1895" s="116">
        <v>3369</v>
      </c>
      <c r="F1895" s="116">
        <v>3354.25</v>
      </c>
      <c r="G1895">
        <v>96277</v>
      </c>
      <c r="H1895" s="116"/>
      <c r="I1895" s="116"/>
      <c r="L1895" s="170">
        <v>44795</v>
      </c>
      <c r="M1895" s="116">
        <v>3354.55</v>
      </c>
      <c r="N1895" s="116">
        <v>3384.1</v>
      </c>
      <c r="O1895" s="116">
        <v>3347.4</v>
      </c>
      <c r="P1895" s="116">
        <v>3365</v>
      </c>
      <c r="Q1895" s="116">
        <v>3354.55</v>
      </c>
      <c r="R1895">
        <v>1536532</v>
      </c>
    </row>
    <row r="1896" spans="1:18" x14ac:dyDescent="0.25">
      <c r="A1896" s="170">
        <v>44796</v>
      </c>
      <c r="B1896" s="116">
        <v>3340.9</v>
      </c>
      <c r="C1896" s="116">
        <v>3283.75</v>
      </c>
      <c r="D1896" s="116">
        <v>3274.55</v>
      </c>
      <c r="E1896" s="116">
        <v>3324.25</v>
      </c>
      <c r="F1896" s="116">
        <v>3283.75</v>
      </c>
      <c r="G1896">
        <v>122593</v>
      </c>
      <c r="H1896" s="116"/>
      <c r="I1896" s="116"/>
      <c r="L1896" s="170">
        <v>44796</v>
      </c>
      <c r="M1896" s="116">
        <v>3284.6</v>
      </c>
      <c r="N1896" s="116">
        <v>3341.9</v>
      </c>
      <c r="O1896" s="116">
        <v>3270</v>
      </c>
      <c r="P1896" s="116">
        <v>3319.95</v>
      </c>
      <c r="Q1896" s="116">
        <v>3284.6</v>
      </c>
      <c r="R1896">
        <v>1849256</v>
      </c>
    </row>
    <row r="1897" spans="1:18" x14ac:dyDescent="0.25">
      <c r="A1897" s="170">
        <v>44797</v>
      </c>
      <c r="B1897" s="116">
        <v>3307.85</v>
      </c>
      <c r="C1897" s="116">
        <v>3255.35</v>
      </c>
      <c r="D1897" s="116">
        <v>3251</v>
      </c>
      <c r="E1897" s="116">
        <v>3295</v>
      </c>
      <c r="F1897" s="116">
        <v>3255.35</v>
      </c>
      <c r="G1897">
        <v>53777</v>
      </c>
      <c r="H1897" s="116"/>
      <c r="I1897" s="116"/>
      <c r="L1897" s="170">
        <v>44797</v>
      </c>
      <c r="M1897" s="116">
        <v>3255.35</v>
      </c>
      <c r="N1897" s="116">
        <v>3308</v>
      </c>
      <c r="O1897" s="116">
        <v>3250.2</v>
      </c>
      <c r="P1897" s="116">
        <v>3292</v>
      </c>
      <c r="Q1897" s="116">
        <v>3255.35</v>
      </c>
      <c r="R1897">
        <v>1691923</v>
      </c>
    </row>
    <row r="1898" spans="1:18" x14ac:dyDescent="0.25">
      <c r="A1898" s="170">
        <v>44798</v>
      </c>
      <c r="B1898" s="116">
        <v>3279.95</v>
      </c>
      <c r="C1898" s="116">
        <v>3218.1</v>
      </c>
      <c r="D1898" s="116">
        <v>3213.5</v>
      </c>
      <c r="E1898" s="116">
        <v>3270.2</v>
      </c>
      <c r="F1898" s="116">
        <v>3218.1</v>
      </c>
      <c r="G1898">
        <v>91523</v>
      </c>
      <c r="H1898" s="116"/>
      <c r="I1898" s="116"/>
      <c r="L1898" s="170">
        <v>44798</v>
      </c>
      <c r="M1898" s="116">
        <v>3218.2</v>
      </c>
      <c r="N1898" s="116">
        <v>3278.15</v>
      </c>
      <c r="O1898" s="116">
        <v>3214.75</v>
      </c>
      <c r="P1898" s="116">
        <v>3276</v>
      </c>
      <c r="Q1898" s="116">
        <v>3218.2</v>
      </c>
      <c r="R1898">
        <v>1946930</v>
      </c>
    </row>
    <row r="1899" spans="1:18" x14ac:dyDescent="0.25">
      <c r="A1899" s="170">
        <v>44799</v>
      </c>
      <c r="B1899" s="116">
        <v>3257</v>
      </c>
      <c r="C1899" s="116">
        <v>3221.65</v>
      </c>
      <c r="D1899" s="116">
        <v>3218.1</v>
      </c>
      <c r="E1899" s="116">
        <v>3234.85</v>
      </c>
      <c r="F1899" s="116">
        <v>3221.65</v>
      </c>
      <c r="G1899">
        <v>28323</v>
      </c>
      <c r="H1899" s="116"/>
      <c r="I1899" s="116"/>
      <c r="L1899" s="170">
        <v>44799</v>
      </c>
      <c r="M1899" s="116">
        <v>3222.2</v>
      </c>
      <c r="N1899" s="116">
        <v>3257</v>
      </c>
      <c r="O1899" s="116">
        <v>3216.8</v>
      </c>
      <c r="P1899" s="116">
        <v>3234.3</v>
      </c>
      <c r="Q1899" s="116">
        <v>3222.2</v>
      </c>
      <c r="R1899">
        <v>1457962</v>
      </c>
    </row>
    <row r="1900" spans="1:18" x14ac:dyDescent="0.25">
      <c r="A1900" s="170">
        <v>44802</v>
      </c>
      <c r="B1900" s="116">
        <v>3145</v>
      </c>
      <c r="C1900" s="116">
        <v>3133.7</v>
      </c>
      <c r="D1900" s="116">
        <v>3081.3</v>
      </c>
      <c r="E1900" s="116">
        <v>3145</v>
      </c>
      <c r="F1900" s="116">
        <v>3133.7</v>
      </c>
      <c r="G1900">
        <v>114608</v>
      </c>
      <c r="H1900" s="116"/>
      <c r="I1900" s="116"/>
      <c r="L1900" s="170">
        <v>44802</v>
      </c>
      <c r="M1900" s="116">
        <v>3132.55</v>
      </c>
      <c r="N1900" s="116">
        <v>3142.7</v>
      </c>
      <c r="O1900" s="116">
        <v>3081</v>
      </c>
      <c r="P1900" s="116">
        <v>3125</v>
      </c>
      <c r="Q1900" s="116">
        <v>3132.55</v>
      </c>
      <c r="R1900">
        <v>2539173</v>
      </c>
    </row>
    <row r="1901" spans="1:18" x14ac:dyDescent="0.25">
      <c r="A1901" s="170">
        <v>44803</v>
      </c>
      <c r="B1901" s="116">
        <v>3226.95</v>
      </c>
      <c r="C1901" s="116">
        <v>3211.6</v>
      </c>
      <c r="D1901" s="116">
        <v>3143.2</v>
      </c>
      <c r="E1901" s="116">
        <v>3148</v>
      </c>
      <c r="F1901" s="116">
        <v>3211.6</v>
      </c>
      <c r="G1901">
        <v>117816</v>
      </c>
      <c r="H1901" s="116"/>
      <c r="I1901" s="116"/>
      <c r="L1901" s="170">
        <v>44803</v>
      </c>
      <c r="M1901" s="116">
        <v>3211.15</v>
      </c>
      <c r="N1901" s="116">
        <v>3226.5</v>
      </c>
      <c r="O1901" s="116">
        <v>3142.1</v>
      </c>
      <c r="P1901" s="116">
        <v>3155</v>
      </c>
      <c r="Q1901" s="116">
        <v>3211.15</v>
      </c>
      <c r="R1901">
        <v>3431525</v>
      </c>
    </row>
    <row r="1902" spans="1:18" x14ac:dyDescent="0.25">
      <c r="A1902" s="170">
        <v>44805</v>
      </c>
      <c r="B1902" s="116">
        <v>3189.6</v>
      </c>
      <c r="C1902" s="116">
        <v>3131.55</v>
      </c>
      <c r="D1902" s="116">
        <v>3121.2</v>
      </c>
      <c r="E1902" s="116">
        <v>3189.6</v>
      </c>
      <c r="F1902" s="116">
        <v>3131.55</v>
      </c>
      <c r="G1902">
        <v>431542</v>
      </c>
      <c r="H1902" s="116"/>
      <c r="I1902" s="116"/>
      <c r="L1902" s="170">
        <v>44805</v>
      </c>
      <c r="M1902" s="116">
        <v>3131.7</v>
      </c>
      <c r="N1902" s="116">
        <v>3190</v>
      </c>
      <c r="O1902" s="116">
        <v>3121</v>
      </c>
      <c r="P1902" s="116">
        <v>3190</v>
      </c>
      <c r="Q1902" s="116">
        <v>3131.7</v>
      </c>
      <c r="R1902">
        <v>3546935</v>
      </c>
    </row>
    <row r="1903" spans="1:18" x14ac:dyDescent="0.25">
      <c r="A1903" s="170">
        <v>44806</v>
      </c>
      <c r="B1903" s="116">
        <v>3161.4</v>
      </c>
      <c r="C1903" s="116">
        <v>3129.65</v>
      </c>
      <c r="D1903" s="116">
        <v>3121.5</v>
      </c>
      <c r="E1903" s="116">
        <v>3160</v>
      </c>
      <c r="F1903" s="116">
        <v>3129.65</v>
      </c>
      <c r="G1903">
        <v>108411</v>
      </c>
      <c r="H1903" s="116"/>
      <c r="I1903" s="116"/>
      <c r="L1903" s="170">
        <v>44806</v>
      </c>
      <c r="M1903" s="116">
        <v>3130.4</v>
      </c>
      <c r="N1903" s="116">
        <v>3163</v>
      </c>
      <c r="O1903" s="116">
        <v>3120.3</v>
      </c>
      <c r="P1903" s="116">
        <v>3163</v>
      </c>
      <c r="Q1903" s="116">
        <v>3130.4</v>
      </c>
      <c r="R1903">
        <v>2052900</v>
      </c>
    </row>
    <row r="1904" spans="1:18" x14ac:dyDescent="0.25">
      <c r="A1904" s="170">
        <v>44809</v>
      </c>
      <c r="B1904" s="116">
        <v>3147.45</v>
      </c>
      <c r="C1904" s="116">
        <v>3132.85</v>
      </c>
      <c r="D1904" s="116">
        <v>3113.5</v>
      </c>
      <c r="E1904" s="116">
        <v>3129.65</v>
      </c>
      <c r="F1904" s="116">
        <v>3132.85</v>
      </c>
      <c r="G1904">
        <v>224678</v>
      </c>
      <c r="H1904" s="116"/>
      <c r="I1904" s="116"/>
      <c r="L1904" s="170">
        <v>44809</v>
      </c>
      <c r="M1904" s="116">
        <v>3133.4</v>
      </c>
      <c r="N1904" s="116">
        <v>3147.95</v>
      </c>
      <c r="O1904" s="116">
        <v>3112.25</v>
      </c>
      <c r="P1904" s="116">
        <v>3123.65</v>
      </c>
      <c r="Q1904" s="116">
        <v>3133.4</v>
      </c>
      <c r="R1904">
        <v>2147912</v>
      </c>
    </row>
    <row r="1905" spans="1:18" x14ac:dyDescent="0.25">
      <c r="A1905" s="170">
        <v>44810</v>
      </c>
      <c r="B1905" s="116">
        <v>3140.95</v>
      </c>
      <c r="C1905" s="116">
        <v>3128.85</v>
      </c>
      <c r="D1905" s="116">
        <v>3106.1</v>
      </c>
      <c r="E1905" s="116">
        <v>3134.2</v>
      </c>
      <c r="F1905" s="116">
        <v>3128.85</v>
      </c>
      <c r="G1905">
        <v>67799</v>
      </c>
      <c r="H1905" s="116"/>
      <c r="I1905" s="116"/>
      <c r="L1905" s="170">
        <v>44810</v>
      </c>
      <c r="M1905" s="116">
        <v>3127.05</v>
      </c>
      <c r="N1905" s="116">
        <v>3140.85</v>
      </c>
      <c r="O1905" s="116">
        <v>3106.35</v>
      </c>
      <c r="P1905" s="116">
        <v>3135.5</v>
      </c>
      <c r="Q1905" s="116">
        <v>3127.05</v>
      </c>
      <c r="R1905">
        <v>1936453</v>
      </c>
    </row>
    <row r="1906" spans="1:18" x14ac:dyDescent="0.25">
      <c r="A1906" s="170">
        <v>44811</v>
      </c>
      <c r="B1906" s="116">
        <v>3160.9</v>
      </c>
      <c r="C1906" s="116">
        <v>3151.1</v>
      </c>
      <c r="D1906" s="116">
        <v>3102</v>
      </c>
      <c r="E1906" s="116">
        <v>3117</v>
      </c>
      <c r="F1906" s="116">
        <v>3151.1</v>
      </c>
      <c r="G1906">
        <v>105750</v>
      </c>
      <c r="H1906" s="116"/>
      <c r="I1906" s="116"/>
      <c r="L1906" s="170">
        <v>44811</v>
      </c>
      <c r="M1906" s="116">
        <v>3149.6</v>
      </c>
      <c r="N1906" s="116">
        <v>3161.9</v>
      </c>
      <c r="O1906" s="116">
        <v>3102</v>
      </c>
      <c r="P1906" s="116">
        <v>3102</v>
      </c>
      <c r="Q1906" s="116">
        <v>3149.6</v>
      </c>
      <c r="R1906">
        <v>1291534</v>
      </c>
    </row>
    <row r="1907" spans="1:18" x14ac:dyDescent="0.25">
      <c r="A1907" s="170">
        <v>44812</v>
      </c>
      <c r="B1907" s="116">
        <v>3183.7</v>
      </c>
      <c r="C1907" s="116">
        <v>3169.85</v>
      </c>
      <c r="D1907" s="116">
        <v>3160.45</v>
      </c>
      <c r="E1907" s="116">
        <v>3164</v>
      </c>
      <c r="F1907" s="116">
        <v>3169.85</v>
      </c>
      <c r="G1907">
        <v>96753</v>
      </c>
      <c r="H1907" s="116"/>
      <c r="I1907" s="116"/>
      <c r="L1907" s="170">
        <v>44812</v>
      </c>
      <c r="M1907" s="116">
        <v>3169.65</v>
      </c>
      <c r="N1907" s="116">
        <v>3183.5</v>
      </c>
      <c r="O1907" s="116">
        <v>3160.1</v>
      </c>
      <c r="P1907" s="116">
        <v>3170</v>
      </c>
      <c r="Q1907" s="116">
        <v>3169.65</v>
      </c>
      <c r="R1907">
        <v>1346113</v>
      </c>
    </row>
    <row r="1908" spans="1:18" x14ac:dyDescent="0.25">
      <c r="A1908" s="170">
        <v>44813</v>
      </c>
      <c r="B1908" s="116">
        <v>3232</v>
      </c>
      <c r="C1908" s="116">
        <v>3217.3</v>
      </c>
      <c r="D1908" s="116">
        <v>3168.85</v>
      </c>
      <c r="E1908" s="116">
        <v>3190.3</v>
      </c>
      <c r="F1908" s="116">
        <v>3217.3</v>
      </c>
      <c r="G1908">
        <v>197742</v>
      </c>
      <c r="H1908" s="116"/>
      <c r="I1908" s="116"/>
      <c r="L1908" s="170">
        <v>44813</v>
      </c>
      <c r="M1908" s="116">
        <v>3217.65</v>
      </c>
      <c r="N1908" s="116">
        <v>3233.5</v>
      </c>
      <c r="O1908" s="116">
        <v>3168.5</v>
      </c>
      <c r="P1908" s="116">
        <v>3195</v>
      </c>
      <c r="Q1908" s="116">
        <v>3217.65</v>
      </c>
      <c r="R1908">
        <v>1561185</v>
      </c>
    </row>
    <row r="1909" spans="1:18" x14ac:dyDescent="0.25">
      <c r="A1909" s="170">
        <v>44816</v>
      </c>
      <c r="B1909" s="116">
        <v>3268.7</v>
      </c>
      <c r="C1909" s="116">
        <v>3241.3</v>
      </c>
      <c r="D1909" s="116">
        <v>3226.75</v>
      </c>
      <c r="E1909" s="116">
        <v>3233.85</v>
      </c>
      <c r="F1909" s="116">
        <v>3241.3</v>
      </c>
      <c r="G1909">
        <v>90748</v>
      </c>
      <c r="H1909" s="116"/>
      <c r="I1909" s="116"/>
      <c r="L1909" s="170">
        <v>44816</v>
      </c>
      <c r="M1909" s="116">
        <v>3242.95</v>
      </c>
      <c r="N1909" s="116">
        <v>3269.8</v>
      </c>
      <c r="O1909" s="116">
        <v>3225</v>
      </c>
      <c r="P1909" s="116">
        <v>3239.9</v>
      </c>
      <c r="Q1909" s="116">
        <v>3242.95</v>
      </c>
      <c r="R1909">
        <v>1785928</v>
      </c>
    </row>
    <row r="1910" spans="1:18" x14ac:dyDescent="0.25">
      <c r="A1910" s="170">
        <v>44817</v>
      </c>
      <c r="B1910" s="116">
        <v>3263.15</v>
      </c>
      <c r="C1910" s="116">
        <v>3229.4</v>
      </c>
      <c r="D1910" s="116">
        <v>3225</v>
      </c>
      <c r="E1910" s="116">
        <v>3260</v>
      </c>
      <c r="F1910" s="116">
        <v>3229.4</v>
      </c>
      <c r="G1910">
        <v>129890</v>
      </c>
      <c r="H1910" s="116"/>
      <c r="I1910" s="116"/>
      <c r="L1910" s="170">
        <v>44817</v>
      </c>
      <c r="M1910" s="116">
        <v>3229.35</v>
      </c>
      <c r="N1910" s="116">
        <v>3263.45</v>
      </c>
      <c r="O1910" s="116">
        <v>3225</v>
      </c>
      <c r="P1910" s="116">
        <v>3263.45</v>
      </c>
      <c r="Q1910" s="116">
        <v>3229.35</v>
      </c>
      <c r="R1910">
        <v>1972678</v>
      </c>
    </row>
    <row r="1911" spans="1:18" x14ac:dyDescent="0.25">
      <c r="A1911" s="170">
        <v>44818</v>
      </c>
      <c r="B1911" s="116">
        <v>3142</v>
      </c>
      <c r="C1911" s="116">
        <v>3120.85</v>
      </c>
      <c r="D1911" s="116">
        <v>3114.75</v>
      </c>
      <c r="E1911" s="116">
        <v>3135</v>
      </c>
      <c r="F1911" s="116">
        <v>3120.85</v>
      </c>
      <c r="G1911">
        <v>373125</v>
      </c>
      <c r="H1911" s="116"/>
      <c r="I1911" s="116"/>
      <c r="L1911" s="170">
        <v>44818</v>
      </c>
      <c r="M1911" s="116">
        <v>3120.4</v>
      </c>
      <c r="N1911" s="116">
        <v>3141.4</v>
      </c>
      <c r="O1911" s="116">
        <v>3113.8</v>
      </c>
      <c r="P1911" s="116">
        <v>3135</v>
      </c>
      <c r="Q1911" s="116">
        <v>3120.4</v>
      </c>
      <c r="R1911">
        <v>5090269</v>
      </c>
    </row>
    <row r="1912" spans="1:18" x14ac:dyDescent="0.25">
      <c r="A1912" s="170">
        <v>44819</v>
      </c>
      <c r="B1912" s="116">
        <v>3140.65</v>
      </c>
      <c r="C1912" s="116">
        <v>3104.35</v>
      </c>
      <c r="D1912" s="116">
        <v>3101</v>
      </c>
      <c r="E1912" s="116">
        <v>3127</v>
      </c>
      <c r="F1912" s="116">
        <v>3104.35</v>
      </c>
      <c r="G1912">
        <v>192170</v>
      </c>
      <c r="H1912" s="116"/>
      <c r="I1912" s="116"/>
      <c r="L1912" s="170">
        <v>44819</v>
      </c>
      <c r="M1912" s="116">
        <v>3104.35</v>
      </c>
      <c r="N1912" s="116">
        <v>3137.75</v>
      </c>
      <c r="O1912" s="116">
        <v>3100</v>
      </c>
      <c r="P1912" s="116">
        <v>3130</v>
      </c>
      <c r="Q1912" s="116">
        <v>3104.35</v>
      </c>
      <c r="R1912">
        <v>2138023</v>
      </c>
    </row>
    <row r="1913" spans="1:18" x14ac:dyDescent="0.25">
      <c r="A1913" s="170">
        <v>44820</v>
      </c>
      <c r="B1913" s="116">
        <v>3097.95</v>
      </c>
      <c r="C1913" s="116">
        <v>3008.65</v>
      </c>
      <c r="D1913" s="116">
        <v>3001</v>
      </c>
      <c r="E1913" s="116">
        <v>3088</v>
      </c>
      <c r="F1913" s="116">
        <v>3008.65</v>
      </c>
      <c r="G1913">
        <v>352662</v>
      </c>
      <c r="H1913" s="116"/>
      <c r="I1913" s="116"/>
      <c r="L1913" s="170">
        <v>44820</v>
      </c>
      <c r="M1913" s="116">
        <v>3008.7</v>
      </c>
      <c r="N1913" s="116">
        <v>3094.35</v>
      </c>
      <c r="O1913" s="116">
        <v>3000</v>
      </c>
      <c r="P1913" s="116">
        <v>3076</v>
      </c>
      <c r="Q1913" s="116">
        <v>3008.7</v>
      </c>
      <c r="R1913">
        <v>5322221</v>
      </c>
    </row>
    <row r="1914" spans="1:18" x14ac:dyDescent="0.25">
      <c r="A1914" s="170">
        <v>44823</v>
      </c>
      <c r="B1914" s="116">
        <v>3042.95</v>
      </c>
      <c r="C1914" s="116">
        <v>3028.55</v>
      </c>
      <c r="D1914" s="116">
        <v>2988.35</v>
      </c>
      <c r="E1914" s="116">
        <v>3025</v>
      </c>
      <c r="F1914" s="116">
        <v>3028.55</v>
      </c>
      <c r="G1914">
        <v>855360</v>
      </c>
      <c r="H1914" s="116"/>
      <c r="I1914" s="116"/>
      <c r="L1914" s="170">
        <v>44823</v>
      </c>
      <c r="M1914" s="116">
        <v>3028.8</v>
      </c>
      <c r="N1914" s="116">
        <v>3042</v>
      </c>
      <c r="O1914" s="116">
        <v>2987.8</v>
      </c>
      <c r="P1914" s="116">
        <v>3036</v>
      </c>
      <c r="Q1914" s="116">
        <v>3028.8</v>
      </c>
      <c r="R1914">
        <v>2072220</v>
      </c>
    </row>
    <row r="1915" spans="1:18" x14ac:dyDescent="0.25">
      <c r="A1915" s="170">
        <v>44824</v>
      </c>
      <c r="B1915" s="116">
        <v>3079.9</v>
      </c>
      <c r="C1915" s="116">
        <v>3041.4</v>
      </c>
      <c r="D1915" s="116">
        <v>3031</v>
      </c>
      <c r="E1915" s="116">
        <v>3050</v>
      </c>
      <c r="F1915" s="116">
        <v>3041.4</v>
      </c>
      <c r="G1915">
        <v>112804</v>
      </c>
      <c r="H1915" s="116"/>
      <c r="I1915" s="116"/>
      <c r="L1915" s="170">
        <v>44824</v>
      </c>
      <c r="M1915" s="116">
        <v>3040.3</v>
      </c>
      <c r="N1915" s="116">
        <v>3079.95</v>
      </c>
      <c r="O1915" s="116">
        <v>3030</v>
      </c>
      <c r="P1915" s="116">
        <v>3050</v>
      </c>
      <c r="Q1915" s="116">
        <v>3040.3</v>
      </c>
      <c r="R1915">
        <v>1544295</v>
      </c>
    </row>
    <row r="1916" spans="1:18" x14ac:dyDescent="0.25">
      <c r="A1916" s="170">
        <v>44825</v>
      </c>
      <c r="B1916" s="116">
        <v>3040.8</v>
      </c>
      <c r="C1916" s="116">
        <v>3001.75</v>
      </c>
      <c r="D1916" s="116">
        <v>3000</v>
      </c>
      <c r="E1916" s="116">
        <v>3029</v>
      </c>
      <c r="F1916" s="116">
        <v>3001.75</v>
      </c>
      <c r="G1916">
        <v>124329</v>
      </c>
      <c r="H1916" s="116"/>
      <c r="I1916" s="116"/>
      <c r="L1916" s="170">
        <v>44825</v>
      </c>
      <c r="M1916" s="116">
        <v>3001.2</v>
      </c>
      <c r="N1916" s="116">
        <v>3041.4</v>
      </c>
      <c r="O1916" s="116">
        <v>2998.15</v>
      </c>
      <c r="P1916" s="116">
        <v>3028</v>
      </c>
      <c r="Q1916" s="116">
        <v>3001.2</v>
      </c>
      <c r="R1916">
        <v>2253818</v>
      </c>
    </row>
    <row r="1917" spans="1:18" x14ac:dyDescent="0.25">
      <c r="A1917" s="170">
        <v>44826</v>
      </c>
      <c r="B1917" s="116">
        <v>3029.95</v>
      </c>
      <c r="C1917" s="116">
        <v>3007.6</v>
      </c>
      <c r="D1917" s="116">
        <v>2980</v>
      </c>
      <c r="E1917" s="116">
        <v>2986.15</v>
      </c>
      <c r="F1917" s="116">
        <v>3007.6</v>
      </c>
      <c r="G1917">
        <v>148264</v>
      </c>
      <c r="H1917" s="116"/>
      <c r="I1917" s="116"/>
      <c r="L1917" s="170">
        <v>44826</v>
      </c>
      <c r="M1917" s="116">
        <v>3007.4</v>
      </c>
      <c r="N1917" s="116">
        <v>3029.95</v>
      </c>
      <c r="O1917" s="116">
        <v>2979.3</v>
      </c>
      <c r="P1917" s="116">
        <v>2990</v>
      </c>
      <c r="Q1917" s="116">
        <v>3007.4</v>
      </c>
      <c r="R1917">
        <v>2017983</v>
      </c>
    </row>
    <row r="1918" spans="1:18" x14ac:dyDescent="0.25">
      <c r="A1918" s="170">
        <v>44827</v>
      </c>
      <c r="B1918" s="116">
        <v>3021.95</v>
      </c>
      <c r="C1918" s="116">
        <v>2982.8</v>
      </c>
      <c r="D1918" s="116">
        <v>2980.1</v>
      </c>
      <c r="E1918" s="116">
        <v>3006.1</v>
      </c>
      <c r="F1918" s="116">
        <v>2982.8</v>
      </c>
      <c r="G1918">
        <v>145153</v>
      </c>
      <c r="H1918" s="116"/>
      <c r="I1918" s="116"/>
      <c r="L1918" s="170">
        <v>44827</v>
      </c>
      <c r="M1918" s="116">
        <v>2982.05</v>
      </c>
      <c r="N1918" s="116">
        <v>3022.5</v>
      </c>
      <c r="O1918" s="116">
        <v>2979</v>
      </c>
      <c r="P1918" s="116">
        <v>3004</v>
      </c>
      <c r="Q1918" s="116">
        <v>2982.05</v>
      </c>
      <c r="R1918">
        <v>2652374</v>
      </c>
    </row>
    <row r="1919" spans="1:18" x14ac:dyDescent="0.25">
      <c r="A1919" s="170">
        <v>44830</v>
      </c>
      <c r="B1919" s="116">
        <v>3024.5</v>
      </c>
      <c r="C1919" s="116">
        <v>2994.75</v>
      </c>
      <c r="D1919" s="116">
        <v>2926</v>
      </c>
      <c r="E1919" s="116">
        <v>2978</v>
      </c>
      <c r="F1919" s="116">
        <v>2994.75</v>
      </c>
      <c r="G1919">
        <v>181320</v>
      </c>
      <c r="H1919" s="116"/>
      <c r="I1919" s="116"/>
      <c r="L1919" s="170">
        <v>44830</v>
      </c>
      <c r="M1919" s="116">
        <v>2994.4</v>
      </c>
      <c r="N1919" s="116">
        <v>3025.85</v>
      </c>
      <c r="O1919" s="116">
        <v>2926.1</v>
      </c>
      <c r="P1919" s="116">
        <v>2959.85</v>
      </c>
      <c r="Q1919" s="116">
        <v>2994.4</v>
      </c>
      <c r="R1919">
        <v>2925489</v>
      </c>
    </row>
    <row r="1920" spans="1:18" x14ac:dyDescent="0.25">
      <c r="A1920" s="170">
        <v>44831</v>
      </c>
      <c r="B1920" s="116">
        <v>3025</v>
      </c>
      <c r="C1920" s="116">
        <v>3018.65</v>
      </c>
      <c r="D1920" s="116">
        <v>2976</v>
      </c>
      <c r="E1920" s="116">
        <v>3014.45</v>
      </c>
      <c r="F1920" s="116">
        <v>3018.65</v>
      </c>
      <c r="G1920">
        <v>152031</v>
      </c>
      <c r="H1920" s="116"/>
      <c r="I1920" s="116"/>
      <c r="L1920" s="170">
        <v>44831</v>
      </c>
      <c r="M1920" s="116">
        <v>3017.45</v>
      </c>
      <c r="N1920" s="116">
        <v>3025</v>
      </c>
      <c r="O1920" s="116">
        <v>2976</v>
      </c>
      <c r="P1920" s="116">
        <v>3009.4</v>
      </c>
      <c r="Q1920" s="116">
        <v>3017.45</v>
      </c>
      <c r="R1920">
        <v>2227447</v>
      </c>
    </row>
    <row r="1921" spans="1:18" x14ac:dyDescent="0.25">
      <c r="A1921" s="170">
        <v>44832</v>
      </c>
      <c r="B1921" s="116">
        <v>3049</v>
      </c>
      <c r="C1921" s="116">
        <v>3037.35</v>
      </c>
      <c r="D1921" s="116">
        <v>2980</v>
      </c>
      <c r="E1921" s="116">
        <v>2980</v>
      </c>
      <c r="F1921" s="116">
        <v>3037.35</v>
      </c>
      <c r="G1921">
        <v>129003</v>
      </c>
      <c r="H1921" s="116"/>
      <c r="I1921" s="116"/>
      <c r="L1921" s="170">
        <v>44832</v>
      </c>
      <c r="M1921" s="116">
        <v>3035.65</v>
      </c>
      <c r="N1921" s="116">
        <v>3049.95</v>
      </c>
      <c r="O1921" s="116">
        <v>2980</v>
      </c>
      <c r="P1921" s="116">
        <v>2980</v>
      </c>
      <c r="Q1921" s="116">
        <v>3035.65</v>
      </c>
      <c r="R1921">
        <v>2739767</v>
      </c>
    </row>
    <row r="1922" spans="1:18" x14ac:dyDescent="0.25">
      <c r="A1922" s="170">
        <v>44833</v>
      </c>
      <c r="B1922" s="116">
        <v>3052.5</v>
      </c>
      <c r="C1922" s="116">
        <v>2997.35</v>
      </c>
      <c r="D1922" s="116">
        <v>2990.7</v>
      </c>
      <c r="E1922" s="116">
        <v>3042</v>
      </c>
      <c r="F1922" s="116">
        <v>2997.35</v>
      </c>
      <c r="G1922">
        <v>116665</v>
      </c>
      <c r="H1922" s="116"/>
      <c r="I1922" s="116"/>
      <c r="L1922" s="170">
        <v>44833</v>
      </c>
      <c r="M1922" s="116">
        <v>2997.3</v>
      </c>
      <c r="N1922" s="116">
        <v>3055.85</v>
      </c>
      <c r="O1922" s="116">
        <v>2990</v>
      </c>
      <c r="P1922" s="116">
        <v>3054</v>
      </c>
      <c r="Q1922" s="116">
        <v>2997.3</v>
      </c>
      <c r="R1922">
        <v>2493902</v>
      </c>
    </row>
    <row r="1923" spans="1:18" x14ac:dyDescent="0.25">
      <c r="A1923" s="170">
        <v>44834</v>
      </c>
      <c r="B1923" s="116">
        <v>3019</v>
      </c>
      <c r="C1923" s="116">
        <v>3004.6</v>
      </c>
      <c r="D1923" s="116">
        <v>2950.1</v>
      </c>
      <c r="E1923" s="116">
        <v>2995</v>
      </c>
      <c r="F1923" s="116">
        <v>3004.6</v>
      </c>
      <c r="G1923">
        <v>167509</v>
      </c>
      <c r="H1923" s="116"/>
      <c r="I1923" s="116"/>
      <c r="L1923" s="170">
        <v>44834</v>
      </c>
      <c r="M1923" s="116">
        <v>3004.55</v>
      </c>
      <c r="N1923" s="116">
        <v>3019.7</v>
      </c>
      <c r="O1923" s="116">
        <v>2950.1</v>
      </c>
      <c r="P1923" s="116">
        <v>2990.85</v>
      </c>
      <c r="Q1923" s="116">
        <v>3004.55</v>
      </c>
      <c r="R1923">
        <v>2817353</v>
      </c>
    </row>
    <row r="1924" spans="1:18" x14ac:dyDescent="0.25">
      <c r="A1924" s="170">
        <v>44837</v>
      </c>
      <c r="B1924" s="116">
        <v>3020.45</v>
      </c>
      <c r="C1924" s="116">
        <v>2985.7</v>
      </c>
      <c r="D1924" s="116">
        <v>2973.85</v>
      </c>
      <c r="E1924" s="116">
        <v>3004.6</v>
      </c>
      <c r="F1924" s="116">
        <v>2985.7</v>
      </c>
      <c r="G1924">
        <v>161101</v>
      </c>
      <c r="H1924" s="116"/>
      <c r="I1924" s="116"/>
      <c r="L1924" s="170">
        <v>44837</v>
      </c>
      <c r="M1924" s="116">
        <v>2984.95</v>
      </c>
      <c r="N1924" s="116">
        <v>3020.7</v>
      </c>
      <c r="O1924" s="116">
        <v>2974</v>
      </c>
      <c r="P1924" s="116">
        <v>2995</v>
      </c>
      <c r="Q1924" s="116">
        <v>2984.95</v>
      </c>
      <c r="R1924">
        <v>1763331</v>
      </c>
    </row>
    <row r="1925" spans="1:18" x14ac:dyDescent="0.25">
      <c r="A1925" s="170">
        <v>44838</v>
      </c>
      <c r="B1925" s="116">
        <v>3097.5</v>
      </c>
      <c r="C1925" s="116">
        <v>3092.5</v>
      </c>
      <c r="D1925" s="116">
        <v>3020</v>
      </c>
      <c r="E1925" s="116">
        <v>3020</v>
      </c>
      <c r="F1925" s="116">
        <v>3092.5</v>
      </c>
      <c r="G1925">
        <v>113230</v>
      </c>
      <c r="H1925" s="116"/>
      <c r="I1925" s="116"/>
      <c r="L1925" s="170">
        <v>44838</v>
      </c>
      <c r="M1925" s="116">
        <v>3091.15</v>
      </c>
      <c r="N1925" s="116">
        <v>3098</v>
      </c>
      <c r="O1925" s="116">
        <v>3023</v>
      </c>
      <c r="P1925" s="116">
        <v>3029.95</v>
      </c>
      <c r="Q1925" s="116">
        <v>3091.15</v>
      </c>
      <c r="R1925">
        <v>2145875</v>
      </c>
    </row>
    <row r="1926" spans="1:18" x14ac:dyDescent="0.25">
      <c r="A1926" s="170">
        <v>44840</v>
      </c>
      <c r="B1926" s="116">
        <v>3124.1</v>
      </c>
      <c r="C1926" s="116">
        <v>3104.7</v>
      </c>
      <c r="D1926" s="116">
        <v>3092.5</v>
      </c>
      <c r="E1926" s="116">
        <v>3103</v>
      </c>
      <c r="F1926" s="116">
        <v>3104.7</v>
      </c>
      <c r="G1926">
        <v>185886</v>
      </c>
      <c r="H1926" s="116"/>
      <c r="I1926" s="116"/>
      <c r="L1926" s="170">
        <v>44840</v>
      </c>
      <c r="M1926" s="116">
        <v>3101.95</v>
      </c>
      <c r="N1926" s="116">
        <v>3124</v>
      </c>
      <c r="O1926" s="116">
        <v>3092.45</v>
      </c>
      <c r="P1926" s="116">
        <v>3111</v>
      </c>
      <c r="Q1926" s="116">
        <v>3101.95</v>
      </c>
      <c r="R1926">
        <v>1790816</v>
      </c>
    </row>
    <row r="1927" spans="1:18" x14ac:dyDescent="0.25">
      <c r="A1927" s="170">
        <v>44841</v>
      </c>
      <c r="B1927" s="116">
        <v>3104.85</v>
      </c>
      <c r="C1927" s="116">
        <v>3064.95</v>
      </c>
      <c r="D1927" s="116">
        <v>3059</v>
      </c>
      <c r="E1927" s="116">
        <v>3099</v>
      </c>
      <c r="F1927" s="116">
        <v>3064.95</v>
      </c>
      <c r="G1927">
        <v>190047</v>
      </c>
      <c r="H1927" s="116"/>
      <c r="I1927" s="116"/>
      <c r="L1927" s="170">
        <v>44841</v>
      </c>
      <c r="M1927" s="116">
        <v>3064.9</v>
      </c>
      <c r="N1927" s="116">
        <v>3105</v>
      </c>
      <c r="O1927" s="116">
        <v>3058.1</v>
      </c>
      <c r="P1927" s="116">
        <v>3097.4</v>
      </c>
      <c r="Q1927" s="116">
        <v>3064.9</v>
      </c>
      <c r="R1927">
        <v>1939879</v>
      </c>
    </row>
    <row r="1928" spans="1:18" x14ac:dyDescent="0.25">
      <c r="A1928" s="170">
        <v>44844</v>
      </c>
      <c r="B1928" s="116">
        <v>3129.9</v>
      </c>
      <c r="C1928" s="116">
        <v>3121.2</v>
      </c>
      <c r="D1928" s="116">
        <v>3013.05</v>
      </c>
      <c r="E1928" s="116">
        <v>3013.1</v>
      </c>
      <c r="F1928" s="116">
        <v>3121.2</v>
      </c>
      <c r="G1928">
        <v>227444</v>
      </c>
      <c r="H1928" s="116"/>
      <c r="I1928" s="116"/>
      <c r="L1928" s="170">
        <v>44844</v>
      </c>
      <c r="M1928" s="116">
        <v>3118.55</v>
      </c>
      <c r="N1928" s="116">
        <v>3127</v>
      </c>
      <c r="O1928" s="116">
        <v>3005</v>
      </c>
      <c r="P1928" s="116">
        <v>3010</v>
      </c>
      <c r="Q1928" s="116">
        <v>3118.55</v>
      </c>
      <c r="R1928">
        <v>3064063</v>
      </c>
    </row>
    <row r="1929" spans="1:18" x14ac:dyDescent="0.25">
      <c r="A1929" s="170">
        <v>44845</v>
      </c>
      <c r="B1929" s="116">
        <v>3144.55</v>
      </c>
      <c r="C1929" s="116">
        <v>3068.95</v>
      </c>
      <c r="D1929" s="116">
        <v>3054.75</v>
      </c>
      <c r="E1929" s="116">
        <v>3100</v>
      </c>
      <c r="F1929" s="116">
        <v>3068.95</v>
      </c>
      <c r="G1929">
        <v>1428966</v>
      </c>
      <c r="H1929" s="116"/>
      <c r="I1929" s="116"/>
      <c r="L1929" s="170">
        <v>44845</v>
      </c>
      <c r="M1929" s="116">
        <v>3069.55</v>
      </c>
      <c r="N1929" s="116">
        <v>3145</v>
      </c>
      <c r="O1929" s="116">
        <v>3053.35</v>
      </c>
      <c r="P1929" s="116">
        <v>3100</v>
      </c>
      <c r="Q1929" s="116">
        <v>3069.55</v>
      </c>
      <c r="R1929">
        <v>4730645</v>
      </c>
    </row>
    <row r="1930" spans="1:18" x14ac:dyDescent="0.25">
      <c r="A1930" s="170">
        <v>44846</v>
      </c>
      <c r="B1930" s="116">
        <v>3110</v>
      </c>
      <c r="C1930" s="116">
        <v>3100.75</v>
      </c>
      <c r="D1930" s="116">
        <v>3063.25</v>
      </c>
      <c r="E1930" s="116">
        <v>3093.8</v>
      </c>
      <c r="F1930" s="116">
        <v>3100.75</v>
      </c>
      <c r="G1930">
        <v>77306</v>
      </c>
      <c r="H1930" s="116"/>
      <c r="I1930" s="116"/>
      <c r="L1930" s="170">
        <v>44846</v>
      </c>
      <c r="M1930" s="116">
        <v>3100.75</v>
      </c>
      <c r="N1930" s="116">
        <v>3109.9</v>
      </c>
      <c r="O1930" s="116">
        <v>3062.05</v>
      </c>
      <c r="P1930" s="116">
        <v>3084.9</v>
      </c>
      <c r="Q1930" s="116">
        <v>3100.75</v>
      </c>
      <c r="R1930">
        <v>1665247</v>
      </c>
    </row>
    <row r="1931" spans="1:18" x14ac:dyDescent="0.25">
      <c r="A1931" s="170">
        <v>44847</v>
      </c>
      <c r="B1931" s="116">
        <v>3110</v>
      </c>
      <c r="C1931" s="116">
        <v>3101.05</v>
      </c>
      <c r="D1931" s="116">
        <v>3053.3</v>
      </c>
      <c r="E1931" s="116">
        <v>3104.6</v>
      </c>
      <c r="F1931" s="116">
        <v>3101.05</v>
      </c>
      <c r="G1931">
        <v>123897</v>
      </c>
      <c r="H1931" s="116"/>
      <c r="I1931" s="116"/>
      <c r="L1931" s="170">
        <v>44847</v>
      </c>
      <c r="M1931" s="116">
        <v>3103.3</v>
      </c>
      <c r="N1931" s="116">
        <v>3110</v>
      </c>
      <c r="O1931" s="116">
        <v>3052.35</v>
      </c>
      <c r="P1931" s="116">
        <v>3100.75</v>
      </c>
      <c r="Q1931" s="116">
        <v>3103.3</v>
      </c>
      <c r="R1931">
        <v>2054781</v>
      </c>
    </row>
    <row r="1932" spans="1:18" x14ac:dyDescent="0.25">
      <c r="A1932" s="170">
        <v>44848</v>
      </c>
      <c r="B1932" s="116">
        <v>3149</v>
      </c>
      <c r="C1932" s="116">
        <v>3097.65</v>
      </c>
      <c r="D1932" s="116">
        <v>3071.05</v>
      </c>
      <c r="E1932" s="116">
        <v>3136</v>
      </c>
      <c r="F1932" s="116">
        <v>3097.65</v>
      </c>
      <c r="G1932">
        <v>127684</v>
      </c>
      <c r="H1932" s="116"/>
      <c r="I1932" s="116"/>
      <c r="L1932" s="170">
        <v>44848</v>
      </c>
      <c r="M1932" s="116">
        <v>3099.15</v>
      </c>
      <c r="N1932" s="116">
        <v>3150</v>
      </c>
      <c r="O1932" s="116">
        <v>3071</v>
      </c>
      <c r="P1932" s="116">
        <v>3145</v>
      </c>
      <c r="Q1932" s="116">
        <v>3099.15</v>
      </c>
      <c r="R1932">
        <v>2245977</v>
      </c>
    </row>
    <row r="1933" spans="1:18" x14ac:dyDescent="0.25">
      <c r="A1933" s="170">
        <v>44851</v>
      </c>
      <c r="B1933" s="116">
        <v>3127.5</v>
      </c>
      <c r="C1933" s="116">
        <v>3111.65</v>
      </c>
      <c r="D1933" s="116">
        <v>3072.55</v>
      </c>
      <c r="E1933" s="116">
        <v>3082</v>
      </c>
      <c r="F1933" s="116">
        <v>3111.65</v>
      </c>
      <c r="G1933">
        <v>1207533</v>
      </c>
      <c r="H1933" s="116"/>
      <c r="I1933" s="116"/>
      <c r="L1933" s="170">
        <v>44851</v>
      </c>
      <c r="M1933" s="116">
        <v>3111.75</v>
      </c>
      <c r="N1933" s="116">
        <v>3128.4</v>
      </c>
      <c r="O1933" s="116">
        <v>3071.45</v>
      </c>
      <c r="P1933" s="116">
        <v>3072.65</v>
      </c>
      <c r="Q1933" s="116">
        <v>3111.75</v>
      </c>
      <c r="R1933">
        <v>1517005</v>
      </c>
    </row>
    <row r="1934" spans="1:18" x14ac:dyDescent="0.25">
      <c r="A1934" s="170">
        <v>44852</v>
      </c>
      <c r="B1934" s="116">
        <v>3153.55</v>
      </c>
      <c r="C1934" s="116">
        <v>3143.75</v>
      </c>
      <c r="D1934" s="116">
        <v>3128.9</v>
      </c>
      <c r="E1934" s="116">
        <v>3145</v>
      </c>
      <c r="F1934" s="116">
        <v>3143.75</v>
      </c>
      <c r="G1934">
        <v>41737</v>
      </c>
      <c r="H1934" s="116"/>
      <c r="I1934" s="116"/>
      <c r="L1934" s="170">
        <v>44852</v>
      </c>
      <c r="M1934" s="116">
        <v>3144.7</v>
      </c>
      <c r="N1934" s="116">
        <v>3155.35</v>
      </c>
      <c r="O1934" s="116">
        <v>3128.55</v>
      </c>
      <c r="P1934" s="116">
        <v>3150</v>
      </c>
      <c r="Q1934" s="116">
        <v>3144.7</v>
      </c>
      <c r="R1934">
        <v>1793722</v>
      </c>
    </row>
    <row r="1935" spans="1:18" x14ac:dyDescent="0.25">
      <c r="A1935" s="170">
        <v>44853</v>
      </c>
      <c r="B1935" s="116">
        <v>3153.35</v>
      </c>
      <c r="C1935" s="116">
        <v>3120.75</v>
      </c>
      <c r="D1935" s="116">
        <v>3112.55</v>
      </c>
      <c r="E1935" s="116">
        <v>3139.85</v>
      </c>
      <c r="F1935" s="116">
        <v>3120.75</v>
      </c>
      <c r="G1935">
        <v>50767</v>
      </c>
      <c r="H1935" s="116"/>
      <c r="I1935" s="116"/>
      <c r="L1935" s="170">
        <v>44853</v>
      </c>
      <c r="M1935" s="116">
        <v>3121.85</v>
      </c>
      <c r="N1935" s="116">
        <v>3159</v>
      </c>
      <c r="O1935" s="116">
        <v>3112</v>
      </c>
      <c r="P1935" s="116">
        <v>3159</v>
      </c>
      <c r="Q1935" s="116">
        <v>3121.85</v>
      </c>
      <c r="R1935">
        <v>1194289</v>
      </c>
    </row>
    <row r="1936" spans="1:18" x14ac:dyDescent="0.25">
      <c r="A1936" s="170">
        <v>44854</v>
      </c>
      <c r="B1936" s="116">
        <v>3160</v>
      </c>
      <c r="C1936" s="116">
        <v>3154.85</v>
      </c>
      <c r="D1936" s="116">
        <v>3104.5</v>
      </c>
      <c r="E1936" s="116">
        <v>3112</v>
      </c>
      <c r="F1936" s="116">
        <v>3154.85</v>
      </c>
      <c r="G1936">
        <v>35915</v>
      </c>
      <c r="H1936" s="116"/>
      <c r="I1936" s="116"/>
      <c r="L1936" s="170">
        <v>44854</v>
      </c>
      <c r="M1936" s="116">
        <v>3157.3</v>
      </c>
      <c r="N1936" s="116">
        <v>3160</v>
      </c>
      <c r="O1936" s="116">
        <v>3105</v>
      </c>
      <c r="P1936" s="116">
        <v>3105</v>
      </c>
      <c r="Q1936" s="116">
        <v>3157.3</v>
      </c>
      <c r="R1936">
        <v>1587601</v>
      </c>
    </row>
    <row r="1937" spans="1:18" x14ac:dyDescent="0.25">
      <c r="A1937" s="170">
        <v>44855</v>
      </c>
      <c r="B1937" s="116">
        <v>3159</v>
      </c>
      <c r="C1937" s="116">
        <v>3139.4</v>
      </c>
      <c r="D1937" s="116">
        <v>3127.65</v>
      </c>
      <c r="E1937" s="116">
        <v>3154.85</v>
      </c>
      <c r="F1937" s="116">
        <v>3139.4</v>
      </c>
      <c r="G1937">
        <v>93476</v>
      </c>
      <c r="H1937" s="116"/>
      <c r="I1937" s="116"/>
      <c r="L1937" s="170">
        <v>44855</v>
      </c>
      <c r="M1937" s="116">
        <v>3137.4</v>
      </c>
      <c r="N1937" s="116">
        <v>3160.4</v>
      </c>
      <c r="O1937" s="116">
        <v>3127</v>
      </c>
      <c r="P1937" s="116">
        <v>3157.8</v>
      </c>
      <c r="Q1937" s="116">
        <v>3137.4</v>
      </c>
      <c r="R1937">
        <v>1021913</v>
      </c>
    </row>
    <row r="1938" spans="1:18" x14ac:dyDescent="0.25">
      <c r="A1938" s="170">
        <v>44858</v>
      </c>
      <c r="B1938" s="116">
        <v>3178</v>
      </c>
      <c r="C1938" s="116">
        <v>3161.95</v>
      </c>
      <c r="D1938" s="116">
        <v>3155</v>
      </c>
      <c r="E1938" s="116">
        <v>3160</v>
      </c>
      <c r="F1938" s="116">
        <v>3161.95</v>
      </c>
      <c r="G1938">
        <v>42704</v>
      </c>
      <c r="H1938" s="116"/>
      <c r="I1938" s="116"/>
      <c r="L1938" s="170">
        <v>44858</v>
      </c>
      <c r="M1938" s="116">
        <v>3161.7</v>
      </c>
      <c r="N1938" s="116">
        <v>3178</v>
      </c>
      <c r="O1938" s="116">
        <v>3155</v>
      </c>
      <c r="P1938" s="116">
        <v>3170.1</v>
      </c>
      <c r="Q1938" s="116">
        <v>3161.7</v>
      </c>
      <c r="R1938">
        <v>260949</v>
      </c>
    </row>
    <row r="1939" spans="1:18" x14ac:dyDescent="0.25">
      <c r="A1939" s="170">
        <v>44859</v>
      </c>
      <c r="B1939" s="116">
        <v>3183.95</v>
      </c>
      <c r="C1939" s="116">
        <v>3161.8</v>
      </c>
      <c r="D1939" s="116">
        <v>3150.85</v>
      </c>
      <c r="E1939" s="116">
        <v>3180</v>
      </c>
      <c r="F1939" s="116">
        <v>3161.8</v>
      </c>
      <c r="G1939">
        <v>142516</v>
      </c>
      <c r="H1939" s="116"/>
      <c r="I1939" s="116"/>
      <c r="L1939" s="170">
        <v>44859</v>
      </c>
      <c r="M1939" s="116">
        <v>3162.1</v>
      </c>
      <c r="N1939" s="116">
        <v>3184.25</v>
      </c>
      <c r="O1939" s="116">
        <v>3151.15</v>
      </c>
      <c r="P1939" s="116">
        <v>3180.5</v>
      </c>
      <c r="Q1939" s="116">
        <v>3162.1</v>
      </c>
      <c r="R1939">
        <v>2069643</v>
      </c>
    </row>
    <row r="1940" spans="1:18" x14ac:dyDescent="0.25">
      <c r="A1940" s="170">
        <v>44861</v>
      </c>
      <c r="B1940" s="116">
        <v>3173.35</v>
      </c>
      <c r="C1940" s="116">
        <v>3156.15</v>
      </c>
      <c r="D1940" s="116">
        <v>3134.6</v>
      </c>
      <c r="E1940" s="116">
        <v>3159</v>
      </c>
      <c r="F1940" s="116">
        <v>3156.15</v>
      </c>
      <c r="G1940">
        <v>42161</v>
      </c>
      <c r="H1940" s="116"/>
      <c r="I1940" s="116"/>
      <c r="L1940" s="170">
        <v>44861</v>
      </c>
      <c r="M1940" s="116">
        <v>3157.4</v>
      </c>
      <c r="N1940" s="116">
        <v>3174</v>
      </c>
      <c r="O1940" s="116">
        <v>3134.35</v>
      </c>
      <c r="P1940" s="116">
        <v>3160.7</v>
      </c>
      <c r="Q1940" s="116">
        <v>3157.4</v>
      </c>
      <c r="R1940">
        <v>2438421</v>
      </c>
    </row>
    <row r="1941" spans="1:18" x14ac:dyDescent="0.25">
      <c r="A1941" s="170">
        <v>44862</v>
      </c>
      <c r="B1941" s="116">
        <v>3178.4</v>
      </c>
      <c r="C1941" s="116">
        <v>3162.95</v>
      </c>
      <c r="D1941" s="116">
        <v>3147.05</v>
      </c>
      <c r="E1941" s="116">
        <v>3156.15</v>
      </c>
      <c r="F1941" s="116">
        <v>3162.95</v>
      </c>
      <c r="G1941">
        <v>36819</v>
      </c>
      <c r="H1941" s="116"/>
      <c r="I1941" s="116"/>
      <c r="L1941" s="170">
        <v>44862</v>
      </c>
      <c r="M1941" s="116">
        <v>3163.25</v>
      </c>
      <c r="N1941" s="116">
        <v>3178.5</v>
      </c>
      <c r="O1941" s="116">
        <v>3145</v>
      </c>
      <c r="P1941" s="116">
        <v>3150</v>
      </c>
      <c r="Q1941" s="116">
        <v>3163.25</v>
      </c>
      <c r="R1941">
        <v>1355739</v>
      </c>
    </row>
    <row r="1942" spans="1:18" x14ac:dyDescent="0.25">
      <c r="A1942" s="170">
        <v>44865</v>
      </c>
      <c r="B1942" s="116">
        <v>3199.3</v>
      </c>
      <c r="C1942" s="116">
        <v>3193.05</v>
      </c>
      <c r="D1942" s="116">
        <v>3178.45</v>
      </c>
      <c r="E1942" s="116">
        <v>3193</v>
      </c>
      <c r="F1942" s="116">
        <v>3193.05</v>
      </c>
      <c r="G1942">
        <v>80343</v>
      </c>
      <c r="H1942" s="116"/>
      <c r="I1942" s="116"/>
      <c r="L1942" s="170">
        <v>44865</v>
      </c>
      <c r="M1942" s="116">
        <v>3193.15</v>
      </c>
      <c r="N1942" s="116">
        <v>3199</v>
      </c>
      <c r="O1942" s="116">
        <v>3177.8</v>
      </c>
      <c r="P1942" s="116">
        <v>3199</v>
      </c>
      <c r="Q1942" s="116">
        <v>3193.15</v>
      </c>
      <c r="R1942">
        <v>1919414</v>
      </c>
    </row>
    <row r="1943" spans="1:18" x14ac:dyDescent="0.25">
      <c r="A1943" s="170">
        <v>44866</v>
      </c>
      <c r="B1943" s="116">
        <v>3261.65</v>
      </c>
      <c r="C1943" s="116">
        <v>3259.6</v>
      </c>
      <c r="D1943" s="116">
        <v>3205.05</v>
      </c>
      <c r="E1943" s="116">
        <v>3209</v>
      </c>
      <c r="F1943" s="116">
        <v>3259.6</v>
      </c>
      <c r="G1943">
        <v>52959</v>
      </c>
      <c r="H1943" s="116"/>
      <c r="I1943" s="116"/>
      <c r="L1943" s="170">
        <v>44866</v>
      </c>
      <c r="M1943" s="116">
        <v>3259.7</v>
      </c>
      <c r="N1943" s="116">
        <v>3262.6</v>
      </c>
      <c r="O1943" s="116">
        <v>3203.45</v>
      </c>
      <c r="P1943" s="116">
        <v>3214.5</v>
      </c>
      <c r="Q1943" s="116">
        <v>3259.7</v>
      </c>
      <c r="R1943">
        <v>2991060</v>
      </c>
    </row>
    <row r="1944" spans="1:18" x14ac:dyDescent="0.25">
      <c r="A1944" s="170">
        <v>44867</v>
      </c>
      <c r="B1944" s="116">
        <v>3270</v>
      </c>
      <c r="C1944" s="116">
        <v>3242.75</v>
      </c>
      <c r="D1944" s="116">
        <v>3222.15</v>
      </c>
      <c r="E1944" s="116">
        <v>3270</v>
      </c>
      <c r="F1944" s="116">
        <v>3242.75</v>
      </c>
      <c r="G1944">
        <v>146673</v>
      </c>
      <c r="H1944" s="116"/>
      <c r="I1944" s="116"/>
      <c r="L1944" s="170">
        <v>44867</v>
      </c>
      <c r="M1944" s="116">
        <v>3241.7</v>
      </c>
      <c r="N1944" s="116">
        <v>3270</v>
      </c>
      <c r="O1944" s="116">
        <v>3222.05</v>
      </c>
      <c r="P1944" s="116">
        <v>3270</v>
      </c>
      <c r="Q1944" s="116">
        <v>3241.7</v>
      </c>
      <c r="R1944">
        <v>1405955</v>
      </c>
    </row>
    <row r="1945" spans="1:18" x14ac:dyDescent="0.25">
      <c r="A1945" s="170">
        <v>44868</v>
      </c>
      <c r="B1945" s="116">
        <v>3225.45</v>
      </c>
      <c r="C1945" s="116">
        <v>3207.15</v>
      </c>
      <c r="D1945" s="116">
        <v>3195</v>
      </c>
      <c r="E1945" s="116">
        <v>3225</v>
      </c>
      <c r="F1945" s="116">
        <v>3207.15</v>
      </c>
      <c r="G1945">
        <v>1567293</v>
      </c>
      <c r="H1945" s="116"/>
      <c r="I1945" s="116"/>
      <c r="L1945" s="170">
        <v>44868</v>
      </c>
      <c r="M1945" s="116">
        <v>3206.75</v>
      </c>
      <c r="N1945" s="116">
        <v>3228.05</v>
      </c>
      <c r="O1945" s="116">
        <v>3195</v>
      </c>
      <c r="P1945" s="116">
        <v>3228.05</v>
      </c>
      <c r="Q1945" s="116">
        <v>3206.75</v>
      </c>
      <c r="R1945">
        <v>1422652</v>
      </c>
    </row>
    <row r="1946" spans="1:18" x14ac:dyDescent="0.25">
      <c r="A1946" s="170">
        <v>44869</v>
      </c>
      <c r="B1946" s="116">
        <v>3220</v>
      </c>
      <c r="C1946" s="116">
        <v>3216.3</v>
      </c>
      <c r="D1946" s="116">
        <v>3168</v>
      </c>
      <c r="E1946" s="116">
        <v>3207.15</v>
      </c>
      <c r="F1946" s="116">
        <v>3216.3</v>
      </c>
      <c r="G1946">
        <v>112298</v>
      </c>
      <c r="H1946" s="116"/>
      <c r="I1946" s="116"/>
      <c r="L1946" s="170">
        <v>44869</v>
      </c>
      <c r="M1946" s="116">
        <v>3217.4</v>
      </c>
      <c r="N1946" s="116">
        <v>3220.05</v>
      </c>
      <c r="O1946" s="116">
        <v>3166.15</v>
      </c>
      <c r="P1946" s="116">
        <v>3217</v>
      </c>
      <c r="Q1946" s="116">
        <v>3217.4</v>
      </c>
      <c r="R1946">
        <v>1464013</v>
      </c>
    </row>
    <row r="1947" spans="1:18" x14ac:dyDescent="0.25">
      <c r="A1947" s="170">
        <v>44872</v>
      </c>
      <c r="B1947" s="116">
        <v>3242</v>
      </c>
      <c r="C1947" s="116">
        <v>3234.25</v>
      </c>
      <c r="D1947" s="116">
        <v>3196.15</v>
      </c>
      <c r="E1947" s="116">
        <v>3225</v>
      </c>
      <c r="F1947" s="116">
        <v>3234.25</v>
      </c>
      <c r="G1947">
        <v>121301</v>
      </c>
      <c r="H1947" s="116"/>
      <c r="I1947" s="116"/>
      <c r="L1947" s="170">
        <v>44872</v>
      </c>
      <c r="M1947" s="116">
        <v>3233.7</v>
      </c>
      <c r="N1947" s="116">
        <v>3242.8</v>
      </c>
      <c r="O1947" s="116">
        <v>3195.1</v>
      </c>
      <c r="P1947" s="116">
        <v>3229</v>
      </c>
      <c r="Q1947" s="116">
        <v>3233.7</v>
      </c>
      <c r="R1947">
        <v>1474498</v>
      </c>
    </row>
    <row r="1948" spans="1:18" x14ac:dyDescent="0.25">
      <c r="A1948" s="170">
        <v>44874</v>
      </c>
      <c r="B1948" s="116">
        <v>3245.6</v>
      </c>
      <c r="C1948" s="116">
        <v>3215.95</v>
      </c>
      <c r="D1948" s="116">
        <v>3202</v>
      </c>
      <c r="E1948" s="116">
        <v>3236</v>
      </c>
      <c r="F1948" s="116">
        <v>3215.95</v>
      </c>
      <c r="G1948">
        <v>107468</v>
      </c>
      <c r="H1948" s="116"/>
      <c r="I1948" s="116"/>
      <c r="L1948" s="170">
        <v>44874</v>
      </c>
      <c r="M1948" s="116">
        <v>3216.05</v>
      </c>
      <c r="N1948" s="116">
        <v>3249.8</v>
      </c>
      <c r="O1948" s="116">
        <v>3201.65</v>
      </c>
      <c r="P1948" s="116">
        <v>3249.8</v>
      </c>
      <c r="Q1948" s="116">
        <v>3216.05</v>
      </c>
      <c r="R1948">
        <v>1162267</v>
      </c>
    </row>
    <row r="1949" spans="1:18" x14ac:dyDescent="0.25">
      <c r="A1949" s="170">
        <v>44875</v>
      </c>
      <c r="B1949" s="116">
        <v>3225.15</v>
      </c>
      <c r="C1949" s="116">
        <v>3206</v>
      </c>
      <c r="D1949" s="116">
        <v>3172.4</v>
      </c>
      <c r="E1949" s="116">
        <v>3175</v>
      </c>
      <c r="F1949" s="116">
        <v>3206</v>
      </c>
      <c r="G1949">
        <v>114990</v>
      </c>
      <c r="H1949" s="116"/>
      <c r="I1949" s="116"/>
      <c r="L1949" s="170">
        <v>44875</v>
      </c>
      <c r="M1949" s="116">
        <v>3205.65</v>
      </c>
      <c r="N1949" s="116">
        <v>3225</v>
      </c>
      <c r="O1949" s="116">
        <v>3170</v>
      </c>
      <c r="P1949" s="116">
        <v>3170</v>
      </c>
      <c r="Q1949" s="116">
        <v>3205.65</v>
      </c>
      <c r="R1949">
        <v>1573092</v>
      </c>
    </row>
    <row r="1950" spans="1:18" x14ac:dyDescent="0.25">
      <c r="A1950" s="170">
        <v>44876</v>
      </c>
      <c r="B1950" s="116">
        <v>3341.25</v>
      </c>
      <c r="C1950" s="116">
        <v>3316.1</v>
      </c>
      <c r="D1950" s="116">
        <v>3253.6</v>
      </c>
      <c r="E1950" s="116">
        <v>3262</v>
      </c>
      <c r="F1950" s="116">
        <v>3316.1</v>
      </c>
      <c r="G1950">
        <v>308454</v>
      </c>
      <c r="H1950" s="116"/>
      <c r="I1950" s="116"/>
      <c r="L1950" s="170">
        <v>44876</v>
      </c>
      <c r="M1950" s="116">
        <v>3315.95</v>
      </c>
      <c r="N1950" s="116">
        <v>3341.6</v>
      </c>
      <c r="O1950" s="116">
        <v>3255.05</v>
      </c>
      <c r="P1950" s="116">
        <v>3269.6</v>
      </c>
      <c r="Q1950" s="116">
        <v>3315.95</v>
      </c>
      <c r="R1950">
        <v>3265394</v>
      </c>
    </row>
    <row r="1951" spans="1:18" x14ac:dyDescent="0.25">
      <c r="A1951" s="170">
        <v>44879</v>
      </c>
      <c r="B1951" s="116">
        <v>3349</v>
      </c>
      <c r="C1951" s="116">
        <v>3334.05</v>
      </c>
      <c r="D1951" s="116">
        <v>3307.3</v>
      </c>
      <c r="E1951" s="116">
        <v>3321</v>
      </c>
      <c r="F1951" s="116">
        <v>3334.05</v>
      </c>
      <c r="G1951">
        <v>145040</v>
      </c>
      <c r="H1951" s="116"/>
      <c r="I1951" s="116"/>
      <c r="L1951" s="170">
        <v>44879</v>
      </c>
      <c r="M1951" s="116">
        <v>3335.5</v>
      </c>
      <c r="N1951" s="116">
        <v>3349</v>
      </c>
      <c r="O1951" s="116">
        <v>3309</v>
      </c>
      <c r="P1951" s="116">
        <v>3324</v>
      </c>
      <c r="Q1951" s="116">
        <v>3335.5</v>
      </c>
      <c r="R1951">
        <v>1342074</v>
      </c>
    </row>
    <row r="1952" spans="1:18" x14ac:dyDescent="0.25">
      <c r="A1952" s="170">
        <v>44880</v>
      </c>
      <c r="B1952" s="116">
        <v>3341.15</v>
      </c>
      <c r="C1952" s="116">
        <v>3332.65</v>
      </c>
      <c r="D1952" s="116">
        <v>3291.8</v>
      </c>
      <c r="E1952" s="116">
        <v>3325</v>
      </c>
      <c r="F1952" s="116">
        <v>3332.65</v>
      </c>
      <c r="G1952">
        <v>132868</v>
      </c>
      <c r="H1952" s="116"/>
      <c r="I1952" s="116"/>
      <c r="L1952" s="170">
        <v>44880</v>
      </c>
      <c r="M1952" s="116">
        <v>3332.6</v>
      </c>
      <c r="N1952" s="116">
        <v>3339.95</v>
      </c>
      <c r="O1952" s="116">
        <v>3292</v>
      </c>
      <c r="P1952" s="116">
        <v>3321</v>
      </c>
      <c r="Q1952" s="116">
        <v>3332.6</v>
      </c>
      <c r="R1952">
        <v>1400708</v>
      </c>
    </row>
    <row r="1953" spans="1:18" x14ac:dyDescent="0.25">
      <c r="A1953" s="170">
        <v>44881</v>
      </c>
      <c r="B1953" s="116">
        <v>3367</v>
      </c>
      <c r="C1953" s="116">
        <v>3354.05</v>
      </c>
      <c r="D1953" s="116">
        <v>3322.05</v>
      </c>
      <c r="E1953" s="116">
        <v>3334</v>
      </c>
      <c r="F1953" s="116">
        <v>3354.05</v>
      </c>
      <c r="G1953">
        <v>196455</v>
      </c>
      <c r="H1953" s="116"/>
      <c r="I1953" s="116"/>
      <c r="L1953" s="170">
        <v>44881</v>
      </c>
      <c r="M1953" s="116">
        <v>3355.35</v>
      </c>
      <c r="N1953" s="116">
        <v>3367.9</v>
      </c>
      <c r="O1953" s="116">
        <v>3321.45</v>
      </c>
      <c r="P1953" s="116">
        <v>3338.9</v>
      </c>
      <c r="Q1953" s="116">
        <v>3355.35</v>
      </c>
      <c r="R1953">
        <v>1748235</v>
      </c>
    </row>
    <row r="1954" spans="1:18" x14ac:dyDescent="0.25">
      <c r="A1954" s="170">
        <v>44882</v>
      </c>
      <c r="B1954" s="116">
        <v>3358.65</v>
      </c>
      <c r="C1954" s="116">
        <v>3351.4</v>
      </c>
      <c r="D1954" s="116">
        <v>3318.3</v>
      </c>
      <c r="E1954" s="116">
        <v>3343</v>
      </c>
      <c r="F1954" s="116">
        <v>3351.4</v>
      </c>
      <c r="G1954">
        <v>46877</v>
      </c>
      <c r="H1954" s="116"/>
      <c r="I1954" s="116"/>
      <c r="L1954" s="170">
        <v>44882</v>
      </c>
      <c r="M1954" s="116">
        <v>3349</v>
      </c>
      <c r="N1954" s="116">
        <v>3360</v>
      </c>
      <c r="O1954" s="116">
        <v>3317.75</v>
      </c>
      <c r="P1954" s="116">
        <v>3340</v>
      </c>
      <c r="Q1954" s="116">
        <v>3349</v>
      </c>
      <c r="R1954">
        <v>1417986</v>
      </c>
    </row>
    <row r="1955" spans="1:18" x14ac:dyDescent="0.25">
      <c r="A1955" s="170">
        <v>44883</v>
      </c>
      <c r="B1955" s="116">
        <v>3361.4</v>
      </c>
      <c r="C1955" s="116">
        <v>3341.8</v>
      </c>
      <c r="D1955" s="116">
        <v>3321.15</v>
      </c>
      <c r="E1955" s="116">
        <v>3346</v>
      </c>
      <c r="F1955" s="116">
        <v>3341.8</v>
      </c>
      <c r="G1955">
        <v>138271</v>
      </c>
      <c r="H1955" s="116"/>
      <c r="I1955" s="116"/>
      <c r="L1955" s="170">
        <v>44883</v>
      </c>
      <c r="M1955" s="116">
        <v>3343.45</v>
      </c>
      <c r="N1955" s="116">
        <v>3362.75</v>
      </c>
      <c r="O1955" s="116">
        <v>3321</v>
      </c>
      <c r="P1955" s="116">
        <v>3350</v>
      </c>
      <c r="Q1955" s="116">
        <v>3343.45</v>
      </c>
      <c r="R1955">
        <v>1164540</v>
      </c>
    </row>
    <row r="1956" spans="1:18" x14ac:dyDescent="0.25">
      <c r="A1956" s="170">
        <v>44886</v>
      </c>
      <c r="B1956" s="116">
        <v>3332.2</v>
      </c>
      <c r="C1956" s="116">
        <v>3282.3</v>
      </c>
      <c r="D1956" s="116">
        <v>3274.7</v>
      </c>
      <c r="E1956" s="116">
        <v>3330</v>
      </c>
      <c r="F1956" s="116">
        <v>3282.3</v>
      </c>
      <c r="G1956">
        <v>26113</v>
      </c>
      <c r="H1956" s="116"/>
      <c r="I1956" s="116"/>
      <c r="L1956" s="170">
        <v>44886</v>
      </c>
      <c r="M1956" s="116">
        <v>3283.5</v>
      </c>
      <c r="N1956" s="116">
        <v>3333.7</v>
      </c>
      <c r="O1956" s="116">
        <v>3273</v>
      </c>
      <c r="P1956" s="116">
        <v>3322.5</v>
      </c>
      <c r="Q1956" s="116">
        <v>3283.5</v>
      </c>
      <c r="R1956">
        <v>1304194</v>
      </c>
    </row>
    <row r="1957" spans="1:18" x14ac:dyDescent="0.25">
      <c r="A1957" s="170">
        <v>44887</v>
      </c>
      <c r="B1957" s="116">
        <v>3318.95</v>
      </c>
      <c r="C1957" s="116">
        <v>3314.25</v>
      </c>
      <c r="D1957" s="116">
        <v>3255.05</v>
      </c>
      <c r="E1957" s="116">
        <v>3272</v>
      </c>
      <c r="F1957" s="116">
        <v>3314.25</v>
      </c>
      <c r="G1957">
        <v>23411</v>
      </c>
      <c r="H1957" s="116"/>
      <c r="I1957" s="116"/>
      <c r="L1957" s="170">
        <v>44887</v>
      </c>
      <c r="M1957" s="116">
        <v>3314.95</v>
      </c>
      <c r="N1957" s="116">
        <v>3318.95</v>
      </c>
      <c r="O1957" s="116">
        <v>3255.25</v>
      </c>
      <c r="P1957" s="116">
        <v>3280</v>
      </c>
      <c r="Q1957" s="116">
        <v>3314.95</v>
      </c>
      <c r="R1957">
        <v>1149739</v>
      </c>
    </row>
    <row r="1958" spans="1:18" x14ac:dyDescent="0.25">
      <c r="A1958" s="170">
        <v>44888</v>
      </c>
      <c r="B1958" s="116">
        <v>3330</v>
      </c>
      <c r="C1958" s="116">
        <v>3310.4</v>
      </c>
      <c r="D1958" s="116">
        <v>3290.75</v>
      </c>
      <c r="E1958" s="116">
        <v>3330</v>
      </c>
      <c r="F1958" s="116">
        <v>3310.4</v>
      </c>
      <c r="G1958">
        <v>73213</v>
      </c>
      <c r="H1958" s="116"/>
      <c r="I1958" s="116"/>
      <c r="L1958" s="170">
        <v>44888</v>
      </c>
      <c r="M1958" s="116">
        <v>3308.3</v>
      </c>
      <c r="N1958" s="116">
        <v>3330</v>
      </c>
      <c r="O1958" s="116">
        <v>3291</v>
      </c>
      <c r="P1958" s="116">
        <v>3330</v>
      </c>
      <c r="Q1958" s="116">
        <v>3308.3</v>
      </c>
      <c r="R1958">
        <v>1150011</v>
      </c>
    </row>
    <row r="1959" spans="1:18" x14ac:dyDescent="0.25">
      <c r="A1959" s="170">
        <v>44889</v>
      </c>
      <c r="B1959" s="116">
        <v>3392</v>
      </c>
      <c r="C1959" s="116">
        <v>3378.5</v>
      </c>
      <c r="D1959" s="116">
        <v>3307.05</v>
      </c>
      <c r="E1959" s="116">
        <v>3315</v>
      </c>
      <c r="F1959" s="116">
        <v>3378.5</v>
      </c>
      <c r="G1959">
        <v>150131</v>
      </c>
      <c r="H1959" s="116"/>
      <c r="I1959" s="116"/>
      <c r="L1959" s="170">
        <v>44889</v>
      </c>
      <c r="M1959" s="116">
        <v>3380.15</v>
      </c>
      <c r="N1959" s="116">
        <v>3392.95</v>
      </c>
      <c r="O1959" s="116">
        <v>3308.3</v>
      </c>
      <c r="P1959" s="116">
        <v>3316.25</v>
      </c>
      <c r="Q1959" s="116">
        <v>3380.15</v>
      </c>
      <c r="R1959">
        <v>1296591</v>
      </c>
    </row>
    <row r="1960" spans="1:18" x14ac:dyDescent="0.25">
      <c r="A1960" s="170">
        <v>44890</v>
      </c>
      <c r="B1960" s="116">
        <v>3402</v>
      </c>
      <c r="C1960" s="116">
        <v>3388.85</v>
      </c>
      <c r="D1960" s="116">
        <v>3348</v>
      </c>
      <c r="E1960" s="116">
        <v>3378</v>
      </c>
      <c r="F1960" s="116">
        <v>3388.85</v>
      </c>
      <c r="G1960">
        <v>80720</v>
      </c>
      <c r="H1960" s="116"/>
      <c r="I1960" s="116"/>
      <c r="L1960" s="170">
        <v>44890</v>
      </c>
      <c r="M1960" s="116">
        <v>3389.65</v>
      </c>
      <c r="N1960" s="116">
        <v>3403.35</v>
      </c>
      <c r="O1960" s="116">
        <v>3348</v>
      </c>
      <c r="P1960" s="116">
        <v>3383</v>
      </c>
      <c r="Q1960" s="116">
        <v>3389.65</v>
      </c>
      <c r="R1960">
        <v>1588981</v>
      </c>
    </row>
    <row r="1961" spans="1:18" x14ac:dyDescent="0.25">
      <c r="A1961" s="170">
        <v>44893</v>
      </c>
      <c r="B1961" s="116">
        <v>3416.2</v>
      </c>
      <c r="C1961" s="116">
        <v>3397.4</v>
      </c>
      <c r="D1961" s="116">
        <v>3365</v>
      </c>
      <c r="E1961" s="116">
        <v>3371</v>
      </c>
      <c r="F1961" s="116">
        <v>3397.4</v>
      </c>
      <c r="G1961">
        <v>95814</v>
      </c>
      <c r="H1961" s="116"/>
      <c r="I1961" s="116"/>
      <c r="L1961" s="170">
        <v>44893</v>
      </c>
      <c r="M1961" s="116">
        <v>3395.25</v>
      </c>
      <c r="N1961" s="116">
        <v>3417</v>
      </c>
      <c r="O1961" s="116">
        <v>3365.55</v>
      </c>
      <c r="P1961" s="116">
        <v>3366</v>
      </c>
      <c r="Q1961" s="116">
        <v>3395.25</v>
      </c>
      <c r="R1961">
        <v>2195437</v>
      </c>
    </row>
    <row r="1962" spans="1:18" x14ac:dyDescent="0.25">
      <c r="A1962" s="170">
        <v>44894</v>
      </c>
      <c r="B1962" s="116">
        <v>3428</v>
      </c>
      <c r="C1962" s="116">
        <v>3397.1</v>
      </c>
      <c r="D1962" s="116">
        <v>3380.25</v>
      </c>
      <c r="E1962" s="116">
        <v>3380.25</v>
      </c>
      <c r="F1962" s="116">
        <v>3397.1</v>
      </c>
      <c r="G1962">
        <v>166776</v>
      </c>
      <c r="H1962" s="116"/>
      <c r="I1962" s="116"/>
      <c r="L1962" s="170">
        <v>44894</v>
      </c>
      <c r="M1962" s="116">
        <v>3397.35</v>
      </c>
      <c r="N1962" s="116">
        <v>3429</v>
      </c>
      <c r="O1962" s="116">
        <v>3383</v>
      </c>
      <c r="P1962" s="116">
        <v>3383</v>
      </c>
      <c r="Q1962" s="116">
        <v>3397.35</v>
      </c>
      <c r="R1962">
        <v>1576028</v>
      </c>
    </row>
    <row r="1963" spans="1:18" x14ac:dyDescent="0.25">
      <c r="A1963" s="170">
        <v>44895</v>
      </c>
      <c r="B1963" s="116">
        <v>3413.15</v>
      </c>
      <c r="C1963" s="116">
        <v>3392.4</v>
      </c>
      <c r="D1963" s="116">
        <v>3375.05</v>
      </c>
      <c r="E1963" s="116">
        <v>3390</v>
      </c>
      <c r="F1963" s="116">
        <v>3392.4</v>
      </c>
      <c r="G1963">
        <v>32178</v>
      </c>
      <c r="H1963" s="116"/>
      <c r="I1963" s="116"/>
      <c r="L1963" s="170">
        <v>44895</v>
      </c>
      <c r="M1963" s="116">
        <v>3390.8</v>
      </c>
      <c r="N1963" s="116">
        <v>3414.9</v>
      </c>
      <c r="O1963" s="116">
        <v>3375</v>
      </c>
      <c r="P1963" s="116">
        <v>3383</v>
      </c>
      <c r="Q1963" s="116">
        <v>3390.8</v>
      </c>
      <c r="R1963">
        <v>3410702</v>
      </c>
    </row>
    <row r="1964" spans="1:18" x14ac:dyDescent="0.25">
      <c r="A1964" s="170">
        <v>44896</v>
      </c>
      <c r="B1964" s="116">
        <v>3479.65</v>
      </c>
      <c r="C1964" s="116">
        <v>3475.1</v>
      </c>
      <c r="D1964" s="116">
        <v>3421</v>
      </c>
      <c r="E1964" s="116">
        <v>3421</v>
      </c>
      <c r="F1964" s="116">
        <v>3475.1</v>
      </c>
      <c r="G1964">
        <v>261887</v>
      </c>
      <c r="H1964" s="116"/>
      <c r="I1964" s="116"/>
      <c r="L1964" s="170">
        <v>44896</v>
      </c>
      <c r="M1964" s="116">
        <v>3475.65</v>
      </c>
      <c r="N1964" s="116">
        <v>3480</v>
      </c>
      <c r="O1964" s="116">
        <v>3420</v>
      </c>
      <c r="P1964" s="116">
        <v>3425</v>
      </c>
      <c r="Q1964" s="116">
        <v>3475.65</v>
      </c>
      <c r="R1964">
        <v>2180856</v>
      </c>
    </row>
    <row r="1965" spans="1:18" x14ac:dyDescent="0.25">
      <c r="A1965" s="170">
        <v>44897</v>
      </c>
      <c r="B1965" s="116">
        <v>3468</v>
      </c>
      <c r="C1965" s="116">
        <v>3439.25</v>
      </c>
      <c r="D1965" s="116">
        <v>3414</v>
      </c>
      <c r="E1965" s="116">
        <v>3460</v>
      </c>
      <c r="F1965" s="116">
        <v>3439.25</v>
      </c>
      <c r="G1965">
        <v>83358</v>
      </c>
      <c r="H1965" s="116"/>
      <c r="I1965" s="116"/>
      <c r="L1965" s="170">
        <v>44897</v>
      </c>
      <c r="M1965" s="116">
        <v>3439.15</v>
      </c>
      <c r="N1965" s="116">
        <v>3468.9</v>
      </c>
      <c r="O1965" s="116">
        <v>3413</v>
      </c>
      <c r="P1965" s="116">
        <v>3458.1</v>
      </c>
      <c r="Q1965" s="116">
        <v>3439.15</v>
      </c>
      <c r="R1965">
        <v>2411749</v>
      </c>
    </row>
    <row r="1966" spans="1:18" x14ac:dyDescent="0.25">
      <c r="A1966" s="170">
        <v>44900</v>
      </c>
      <c r="B1966" s="116">
        <v>3435.85</v>
      </c>
      <c r="C1966" s="116">
        <v>3425</v>
      </c>
      <c r="D1966" s="116">
        <v>3407.3</v>
      </c>
      <c r="E1966" s="116">
        <v>3424</v>
      </c>
      <c r="F1966" s="116">
        <v>3425</v>
      </c>
      <c r="G1966">
        <v>77725</v>
      </c>
      <c r="H1966" s="116"/>
      <c r="I1966" s="116"/>
      <c r="L1966" s="170">
        <v>44900</v>
      </c>
      <c r="M1966" s="116">
        <v>3425.9</v>
      </c>
      <c r="N1966" s="116">
        <v>3439.15</v>
      </c>
      <c r="O1966" s="116">
        <v>3407</v>
      </c>
      <c r="P1966" s="116">
        <v>3433</v>
      </c>
      <c r="Q1966" s="116">
        <v>3425.9</v>
      </c>
      <c r="R1966">
        <v>1475065</v>
      </c>
    </row>
    <row r="1967" spans="1:18" x14ac:dyDescent="0.25">
      <c r="A1967" s="170">
        <v>44901</v>
      </c>
      <c r="B1967" s="116">
        <v>3407.85</v>
      </c>
      <c r="C1967" s="116">
        <v>3384.35</v>
      </c>
      <c r="D1967" s="116">
        <v>3367.85</v>
      </c>
      <c r="E1967" s="116">
        <v>3400</v>
      </c>
      <c r="F1967" s="116">
        <v>3384.35</v>
      </c>
      <c r="G1967">
        <v>50436</v>
      </c>
      <c r="H1967" s="116"/>
      <c r="I1967" s="116"/>
      <c r="L1967" s="170">
        <v>44901</v>
      </c>
      <c r="M1967" s="116">
        <v>3385.35</v>
      </c>
      <c r="N1967" s="116">
        <v>3407.95</v>
      </c>
      <c r="O1967" s="116">
        <v>3368</v>
      </c>
      <c r="P1967" s="116">
        <v>3400.05</v>
      </c>
      <c r="Q1967" s="116">
        <v>3385.35</v>
      </c>
      <c r="R1967">
        <v>1166999</v>
      </c>
    </row>
    <row r="1968" spans="1:18" x14ac:dyDescent="0.25">
      <c r="A1968" s="170">
        <v>44902</v>
      </c>
      <c r="B1968" s="116">
        <v>3394.65</v>
      </c>
      <c r="C1968" s="116">
        <v>3380.6</v>
      </c>
      <c r="D1968" s="116">
        <v>3354.05</v>
      </c>
      <c r="E1968" s="116">
        <v>3367</v>
      </c>
      <c r="F1968" s="116">
        <v>3380.6</v>
      </c>
      <c r="G1968">
        <v>45278</v>
      </c>
      <c r="H1968" s="116"/>
      <c r="I1968" s="116"/>
      <c r="L1968" s="170">
        <v>44902</v>
      </c>
      <c r="M1968" s="116">
        <v>3380.6</v>
      </c>
      <c r="N1968" s="116">
        <v>3393.7</v>
      </c>
      <c r="O1968" s="116">
        <v>3354</v>
      </c>
      <c r="P1968" s="116">
        <v>3368.3</v>
      </c>
      <c r="Q1968" s="116">
        <v>3380.6</v>
      </c>
      <c r="R1968">
        <v>1167505</v>
      </c>
    </row>
    <row r="1969" spans="1:18" x14ac:dyDescent="0.25">
      <c r="A1969" s="170">
        <v>44903</v>
      </c>
      <c r="B1969" s="116">
        <v>3374</v>
      </c>
      <c r="C1969" s="116">
        <v>3350.3</v>
      </c>
      <c r="D1969" s="116">
        <v>3339.05</v>
      </c>
      <c r="E1969" s="116">
        <v>3374</v>
      </c>
      <c r="F1969" s="116">
        <v>3350.3</v>
      </c>
      <c r="G1969">
        <v>106443</v>
      </c>
      <c r="H1969" s="116"/>
      <c r="I1969" s="116"/>
      <c r="L1969" s="170">
        <v>44903</v>
      </c>
      <c r="M1969" s="116">
        <v>3350.55</v>
      </c>
      <c r="N1969" s="116">
        <v>3380.6</v>
      </c>
      <c r="O1969" s="116">
        <v>3339.45</v>
      </c>
      <c r="P1969" s="116">
        <v>3360</v>
      </c>
      <c r="Q1969" s="116">
        <v>3350.55</v>
      </c>
      <c r="R1969">
        <v>1285619</v>
      </c>
    </row>
    <row r="1970" spans="1:18" x14ac:dyDescent="0.25">
      <c r="A1970" s="170">
        <v>44904</v>
      </c>
      <c r="B1970" s="116">
        <v>3372</v>
      </c>
      <c r="C1970" s="116">
        <v>3292.65</v>
      </c>
      <c r="D1970" s="116">
        <v>3277</v>
      </c>
      <c r="E1970" s="116">
        <v>3366</v>
      </c>
      <c r="F1970" s="116">
        <v>3292.65</v>
      </c>
      <c r="G1970">
        <v>68806</v>
      </c>
      <c r="H1970" s="116"/>
      <c r="I1970" s="116"/>
      <c r="L1970" s="170">
        <v>44904</v>
      </c>
      <c r="M1970" s="116">
        <v>3292.75</v>
      </c>
      <c r="N1970" s="116">
        <v>3374.1</v>
      </c>
      <c r="O1970" s="116">
        <v>3276.35</v>
      </c>
      <c r="P1970" s="116">
        <v>3374.1</v>
      </c>
      <c r="Q1970" s="116">
        <v>3292.75</v>
      </c>
      <c r="R1970">
        <v>1797896</v>
      </c>
    </row>
    <row r="1971" spans="1:18" x14ac:dyDescent="0.25">
      <c r="A1971" s="170">
        <v>44907</v>
      </c>
      <c r="B1971" s="116">
        <v>3295</v>
      </c>
      <c r="C1971" s="116">
        <v>3284.5</v>
      </c>
      <c r="D1971" s="116">
        <v>3236.35</v>
      </c>
      <c r="E1971" s="116">
        <v>3250</v>
      </c>
      <c r="F1971" s="116">
        <v>3284.5</v>
      </c>
      <c r="G1971">
        <v>80179</v>
      </c>
      <c r="H1971" s="116"/>
      <c r="I1971" s="116"/>
      <c r="L1971" s="170">
        <v>44907</v>
      </c>
      <c r="M1971" s="116">
        <v>3286.45</v>
      </c>
      <c r="N1971" s="116">
        <v>3296</v>
      </c>
      <c r="O1971" s="116">
        <v>3236.1</v>
      </c>
      <c r="P1971" s="116">
        <v>3255.5</v>
      </c>
      <c r="Q1971" s="116">
        <v>3286.45</v>
      </c>
      <c r="R1971">
        <v>1527610</v>
      </c>
    </row>
    <row r="1972" spans="1:18" x14ac:dyDescent="0.25">
      <c r="A1972" s="170">
        <v>44908</v>
      </c>
      <c r="B1972" s="116">
        <v>3339.4</v>
      </c>
      <c r="C1972" s="116">
        <v>3331.9</v>
      </c>
      <c r="D1972" s="116">
        <v>3269</v>
      </c>
      <c r="E1972" s="116">
        <v>3280.2</v>
      </c>
      <c r="F1972" s="116">
        <v>3331.9</v>
      </c>
      <c r="G1972">
        <v>36869</v>
      </c>
      <c r="H1972" s="116"/>
      <c r="I1972" s="116"/>
      <c r="L1972" s="170">
        <v>44908</v>
      </c>
      <c r="M1972" s="116">
        <v>3332.1</v>
      </c>
      <c r="N1972" s="116">
        <v>3336.45</v>
      </c>
      <c r="O1972" s="116">
        <v>3267.8</v>
      </c>
      <c r="P1972" s="116">
        <v>3277.2</v>
      </c>
      <c r="Q1972" s="116">
        <v>3332.1</v>
      </c>
      <c r="R1972">
        <v>1378016</v>
      </c>
    </row>
    <row r="1973" spans="1:18" x14ac:dyDescent="0.25">
      <c r="A1973" s="170">
        <v>44909</v>
      </c>
      <c r="B1973" s="116">
        <v>3378.05</v>
      </c>
      <c r="C1973" s="116">
        <v>3364.7</v>
      </c>
      <c r="D1973" s="116">
        <v>3341</v>
      </c>
      <c r="E1973" s="116">
        <v>3341</v>
      </c>
      <c r="F1973" s="116">
        <v>3364.7</v>
      </c>
      <c r="G1973">
        <v>39334</v>
      </c>
      <c r="H1973" s="116"/>
      <c r="I1973" s="116"/>
      <c r="L1973" s="170">
        <v>44909</v>
      </c>
      <c r="M1973" s="116">
        <v>3365.35</v>
      </c>
      <c r="N1973" s="116">
        <v>3377</v>
      </c>
      <c r="O1973" s="116">
        <v>3340.9</v>
      </c>
      <c r="P1973" s="116">
        <v>3348.8</v>
      </c>
      <c r="Q1973" s="116">
        <v>3365.35</v>
      </c>
      <c r="R1973">
        <v>1213311</v>
      </c>
    </row>
    <row r="1974" spans="1:18" x14ac:dyDescent="0.25">
      <c r="A1974" s="170">
        <v>44910</v>
      </c>
      <c r="B1974" s="116">
        <v>3364</v>
      </c>
      <c r="C1974" s="116">
        <v>3304.55</v>
      </c>
      <c r="D1974" s="116">
        <v>3300</v>
      </c>
      <c r="E1974" s="116">
        <v>3364</v>
      </c>
      <c r="F1974" s="116">
        <v>3304.55</v>
      </c>
      <c r="G1974">
        <v>56212</v>
      </c>
      <c r="H1974" s="116"/>
      <c r="I1974" s="116"/>
      <c r="L1974" s="170">
        <v>44910</v>
      </c>
      <c r="M1974" s="116">
        <v>3305.1</v>
      </c>
      <c r="N1974" s="116">
        <v>3364.75</v>
      </c>
      <c r="O1974" s="116">
        <v>3298.95</v>
      </c>
      <c r="P1974" s="116">
        <v>3358.8</v>
      </c>
      <c r="Q1974" s="116">
        <v>3305.1</v>
      </c>
      <c r="R1974">
        <v>1415694</v>
      </c>
    </row>
    <row r="1975" spans="1:18" x14ac:dyDescent="0.25">
      <c r="A1975" s="170">
        <v>44911</v>
      </c>
      <c r="B1975" s="116">
        <v>3291.1</v>
      </c>
      <c r="C1975" s="116">
        <v>3238.1</v>
      </c>
      <c r="D1975" s="116">
        <v>3225.1</v>
      </c>
      <c r="E1975" s="116">
        <v>3280</v>
      </c>
      <c r="F1975" s="116">
        <v>3238.1</v>
      </c>
      <c r="G1975">
        <v>66727</v>
      </c>
      <c r="H1975" s="116"/>
      <c r="I1975" s="116"/>
      <c r="L1975" s="170">
        <v>44911</v>
      </c>
      <c r="M1975" s="116">
        <v>3240.25</v>
      </c>
      <c r="N1975" s="116">
        <v>3292</v>
      </c>
      <c r="O1975" s="116">
        <v>3225.2</v>
      </c>
      <c r="P1975" s="116">
        <v>3275</v>
      </c>
      <c r="Q1975" s="116">
        <v>3240.25</v>
      </c>
      <c r="R1975">
        <v>2703680</v>
      </c>
    </row>
    <row r="1976" spans="1:18" x14ac:dyDescent="0.25">
      <c r="A1976" s="170">
        <v>44914</v>
      </c>
      <c r="B1976" s="116">
        <v>3246</v>
      </c>
      <c r="C1976" s="116">
        <v>3201.6</v>
      </c>
      <c r="D1976" s="116">
        <v>3195</v>
      </c>
      <c r="E1976" s="116">
        <v>3234</v>
      </c>
      <c r="F1976" s="116">
        <v>3201.6</v>
      </c>
      <c r="G1976">
        <v>90877</v>
      </c>
      <c r="H1976" s="116"/>
      <c r="I1976" s="116"/>
      <c r="L1976" s="170">
        <v>44914</v>
      </c>
      <c r="M1976" s="116">
        <v>3202.05</v>
      </c>
      <c r="N1976" s="116">
        <v>3245.5</v>
      </c>
      <c r="O1976" s="116">
        <v>3194.5</v>
      </c>
      <c r="P1976" s="116">
        <v>3227</v>
      </c>
      <c r="Q1976" s="116">
        <v>3202.05</v>
      </c>
      <c r="R1976">
        <v>2120965</v>
      </c>
    </row>
    <row r="1977" spans="1:18" x14ac:dyDescent="0.25">
      <c r="A1977" s="170">
        <v>44915</v>
      </c>
      <c r="B1977" s="116">
        <v>3248.05</v>
      </c>
      <c r="C1977" s="116">
        <v>3242.9</v>
      </c>
      <c r="D1977" s="116">
        <v>3164</v>
      </c>
      <c r="E1977" s="116">
        <v>3201</v>
      </c>
      <c r="F1977" s="116">
        <v>3242.9</v>
      </c>
      <c r="G1977">
        <v>28562</v>
      </c>
      <c r="H1977" s="116"/>
      <c r="I1977" s="116"/>
      <c r="L1977" s="170">
        <v>44915</v>
      </c>
      <c r="M1977" s="116">
        <v>3243.95</v>
      </c>
      <c r="N1977" s="116">
        <v>3249</v>
      </c>
      <c r="O1977" s="116">
        <v>3163.65</v>
      </c>
      <c r="P1977" s="116">
        <v>3198.9</v>
      </c>
      <c r="Q1977" s="116">
        <v>3243.95</v>
      </c>
      <c r="R1977">
        <v>1529971</v>
      </c>
    </row>
    <row r="1978" spans="1:18" x14ac:dyDescent="0.25">
      <c r="A1978" s="170">
        <v>44916</v>
      </c>
      <c r="B1978" s="116">
        <v>3283</v>
      </c>
      <c r="C1978" s="116">
        <v>3267.15</v>
      </c>
      <c r="D1978" s="116">
        <v>3239.35</v>
      </c>
      <c r="E1978" s="116">
        <v>3249</v>
      </c>
      <c r="F1978" s="116">
        <v>3267.15</v>
      </c>
      <c r="G1978">
        <v>91096</v>
      </c>
      <c r="H1978" s="116"/>
      <c r="I1978" s="116"/>
      <c r="L1978" s="170">
        <v>44916</v>
      </c>
      <c r="M1978" s="116">
        <v>3268.55</v>
      </c>
      <c r="N1978" s="116">
        <v>3283.05</v>
      </c>
      <c r="O1978" s="116">
        <v>3240</v>
      </c>
      <c r="P1978" s="116">
        <v>3249</v>
      </c>
      <c r="Q1978" s="116">
        <v>3268.55</v>
      </c>
      <c r="R1978">
        <v>1432566</v>
      </c>
    </row>
    <row r="1979" spans="1:18" x14ac:dyDescent="0.25">
      <c r="A1979" s="170">
        <v>44917</v>
      </c>
      <c r="B1979" s="116">
        <v>3290.95</v>
      </c>
      <c r="C1979" s="116">
        <v>3258.7</v>
      </c>
      <c r="D1979" s="116">
        <v>3244.6</v>
      </c>
      <c r="E1979" s="116">
        <v>3288</v>
      </c>
      <c r="F1979" s="116">
        <v>3258.7</v>
      </c>
      <c r="G1979">
        <v>41242</v>
      </c>
      <c r="H1979" s="116"/>
      <c r="I1979" s="116"/>
      <c r="L1979" s="170">
        <v>44917</v>
      </c>
      <c r="M1979" s="116">
        <v>3259.7</v>
      </c>
      <c r="N1979" s="116">
        <v>3294</v>
      </c>
      <c r="O1979" s="116">
        <v>3245.1</v>
      </c>
      <c r="P1979" s="116">
        <v>3294</v>
      </c>
      <c r="Q1979" s="116">
        <v>3259.7</v>
      </c>
      <c r="R1979">
        <v>1384101</v>
      </c>
    </row>
    <row r="1980" spans="1:18" x14ac:dyDescent="0.25">
      <c r="A1980" s="170">
        <v>44918</v>
      </c>
      <c r="B1980" s="116">
        <v>3265.85</v>
      </c>
      <c r="C1980" s="116">
        <v>3227.3</v>
      </c>
      <c r="D1980" s="116">
        <v>3218.7</v>
      </c>
      <c r="E1980" s="116">
        <v>3235.1</v>
      </c>
      <c r="F1980" s="116">
        <v>3227.3</v>
      </c>
      <c r="G1980">
        <v>88714</v>
      </c>
      <c r="H1980" s="116"/>
      <c r="I1980" s="116"/>
      <c r="L1980" s="170">
        <v>44918</v>
      </c>
      <c r="M1980" s="116">
        <v>3228.35</v>
      </c>
      <c r="N1980" s="116">
        <v>3266.85</v>
      </c>
      <c r="O1980" s="116">
        <v>3217</v>
      </c>
      <c r="P1980" s="116">
        <v>3217</v>
      </c>
      <c r="Q1980" s="116">
        <v>3228.35</v>
      </c>
      <c r="R1980">
        <v>1360281</v>
      </c>
    </row>
    <row r="1981" spans="1:18" x14ac:dyDescent="0.25">
      <c r="A1981" s="170">
        <v>44921</v>
      </c>
      <c r="B1981" s="116">
        <v>3271.95</v>
      </c>
      <c r="C1981" s="116">
        <v>3255.85</v>
      </c>
      <c r="D1981" s="116">
        <v>3225</v>
      </c>
      <c r="E1981" s="116">
        <v>3225</v>
      </c>
      <c r="F1981" s="116">
        <v>3255.85</v>
      </c>
      <c r="G1981">
        <v>18484</v>
      </c>
      <c r="H1981" s="116"/>
      <c r="I1981" s="116"/>
      <c r="L1981" s="170">
        <v>44921</v>
      </c>
      <c r="M1981" s="116">
        <v>3252.9</v>
      </c>
      <c r="N1981" s="116">
        <v>3272</v>
      </c>
      <c r="O1981" s="116">
        <v>3225.05</v>
      </c>
      <c r="P1981" s="116">
        <v>3228.35</v>
      </c>
      <c r="Q1981" s="116">
        <v>3252.9</v>
      </c>
      <c r="R1981">
        <v>870157</v>
      </c>
    </row>
    <row r="1982" spans="1:18" x14ac:dyDescent="0.25">
      <c r="A1982" s="170">
        <v>44922</v>
      </c>
      <c r="B1982" s="116">
        <v>3273.95</v>
      </c>
      <c r="C1982" s="116">
        <v>3259.05</v>
      </c>
      <c r="D1982" s="116">
        <v>3230.6</v>
      </c>
      <c r="E1982" s="116">
        <v>3265</v>
      </c>
      <c r="F1982" s="116">
        <v>3259.05</v>
      </c>
      <c r="G1982">
        <v>34548</v>
      </c>
      <c r="H1982" s="116"/>
      <c r="I1982" s="116"/>
      <c r="L1982" s="170">
        <v>44922</v>
      </c>
      <c r="M1982" s="116">
        <v>3259.5</v>
      </c>
      <c r="N1982" s="116">
        <v>3273.8</v>
      </c>
      <c r="O1982" s="116">
        <v>3231.5</v>
      </c>
      <c r="P1982" s="116">
        <v>3269.2</v>
      </c>
      <c r="Q1982" s="116">
        <v>3259.5</v>
      </c>
      <c r="R1982">
        <v>835883</v>
      </c>
    </row>
    <row r="1983" spans="1:18" x14ac:dyDescent="0.25">
      <c r="A1983" s="170">
        <v>44923</v>
      </c>
      <c r="B1983" s="116">
        <v>3266.95</v>
      </c>
      <c r="C1983" s="116">
        <v>3256.3</v>
      </c>
      <c r="D1983" s="116">
        <v>3226.8</v>
      </c>
      <c r="E1983" s="116">
        <v>3245</v>
      </c>
      <c r="F1983" s="116">
        <v>3256.3</v>
      </c>
      <c r="G1983">
        <v>41409</v>
      </c>
      <c r="H1983" s="116"/>
      <c r="I1983" s="116"/>
      <c r="L1983" s="170">
        <v>44923</v>
      </c>
      <c r="M1983" s="116">
        <v>3257.1</v>
      </c>
      <c r="N1983" s="116">
        <v>3266.1</v>
      </c>
      <c r="O1983" s="116">
        <v>3226</v>
      </c>
      <c r="P1983" s="116">
        <v>3249.8</v>
      </c>
      <c r="Q1983" s="116">
        <v>3257.1</v>
      </c>
      <c r="R1983">
        <v>910795</v>
      </c>
    </row>
    <row r="1984" spans="1:18" x14ac:dyDescent="0.25">
      <c r="A1984" s="170">
        <v>44924</v>
      </c>
      <c r="B1984" s="116">
        <v>3271</v>
      </c>
      <c r="C1984" s="116">
        <v>3269.25</v>
      </c>
      <c r="D1984" s="116">
        <v>3229.05</v>
      </c>
      <c r="E1984" s="116">
        <v>3233</v>
      </c>
      <c r="F1984" s="116">
        <v>3269.25</v>
      </c>
      <c r="G1984">
        <v>52967</v>
      </c>
      <c r="H1984" s="116"/>
      <c r="I1984" s="116"/>
      <c r="L1984" s="170">
        <v>44924</v>
      </c>
      <c r="M1984" s="116">
        <v>3268.75</v>
      </c>
      <c r="N1984" s="116">
        <v>3271.5</v>
      </c>
      <c r="O1984" s="116">
        <v>3228</v>
      </c>
      <c r="P1984" s="116">
        <v>3231.1</v>
      </c>
      <c r="Q1984" s="116">
        <v>3268.75</v>
      </c>
      <c r="R1984">
        <v>1037927</v>
      </c>
    </row>
    <row r="1985" spans="1:18" x14ac:dyDescent="0.25">
      <c r="A1985" s="170">
        <v>44925</v>
      </c>
      <c r="B1985" s="116">
        <v>3299.05</v>
      </c>
      <c r="C1985" s="116">
        <v>3259.25</v>
      </c>
      <c r="D1985" s="116">
        <v>3246.75</v>
      </c>
      <c r="E1985" s="116">
        <v>3285</v>
      </c>
      <c r="F1985" s="116">
        <v>3259.25</v>
      </c>
      <c r="G1985">
        <v>182089</v>
      </c>
      <c r="H1985" s="116"/>
      <c r="I1985" s="116"/>
      <c r="L1985" s="170">
        <v>44925</v>
      </c>
      <c r="M1985" s="116">
        <v>3256.7</v>
      </c>
      <c r="N1985" s="116">
        <v>3299</v>
      </c>
      <c r="O1985" s="116">
        <v>3246.2</v>
      </c>
      <c r="P1985" s="116">
        <v>3286.05</v>
      </c>
      <c r="Q1985" s="116">
        <v>3256.7</v>
      </c>
      <c r="R1985">
        <v>1163131</v>
      </c>
    </row>
    <row r="1986" spans="1:18" x14ac:dyDescent="0.25">
      <c r="A1986" s="170">
        <v>44928</v>
      </c>
      <c r="B1986" s="116">
        <v>3267</v>
      </c>
      <c r="C1986" s="116">
        <v>3260.65</v>
      </c>
      <c r="D1986" s="116">
        <v>3235.85</v>
      </c>
      <c r="E1986" s="116">
        <v>3265</v>
      </c>
      <c r="F1986" s="116">
        <v>3260.65</v>
      </c>
      <c r="G1986">
        <v>72106</v>
      </c>
      <c r="H1986" s="116"/>
      <c r="I1986" s="116"/>
      <c r="L1986" s="170">
        <v>44928</v>
      </c>
      <c r="M1986" s="116">
        <v>3261.45</v>
      </c>
      <c r="N1986" s="116">
        <v>3266.85</v>
      </c>
      <c r="O1986" s="116">
        <v>3235.2</v>
      </c>
      <c r="P1986" s="116">
        <v>3261</v>
      </c>
      <c r="Q1986" s="116">
        <v>3261.45</v>
      </c>
      <c r="R1986">
        <v>709547</v>
      </c>
    </row>
    <row r="1987" spans="1:18" x14ac:dyDescent="0.25">
      <c r="A1987" s="170">
        <v>44929</v>
      </c>
      <c r="B1987" s="116">
        <v>3319.55</v>
      </c>
      <c r="C1987" s="116">
        <v>3310.85</v>
      </c>
      <c r="D1987" s="116">
        <v>3247.7</v>
      </c>
      <c r="E1987" s="116">
        <v>3260</v>
      </c>
      <c r="F1987" s="116">
        <v>3310.85</v>
      </c>
      <c r="G1987">
        <v>45996</v>
      </c>
      <c r="H1987" s="116"/>
      <c r="I1987" s="116"/>
      <c r="L1987" s="170">
        <v>44929</v>
      </c>
      <c r="M1987" s="116">
        <v>3311.35</v>
      </c>
      <c r="N1987" s="116">
        <v>3320</v>
      </c>
      <c r="O1987" s="116">
        <v>3245.3</v>
      </c>
      <c r="P1987" s="116">
        <v>3252</v>
      </c>
      <c r="Q1987" s="116">
        <v>3311.35</v>
      </c>
      <c r="R1987">
        <v>1245178</v>
      </c>
    </row>
    <row r="1988" spans="1:18" x14ac:dyDescent="0.25">
      <c r="A1988" s="170">
        <v>44930</v>
      </c>
      <c r="B1988" s="116">
        <v>3326.85</v>
      </c>
      <c r="C1988" s="116">
        <v>3314.05</v>
      </c>
      <c r="D1988" s="116">
        <v>3286.85</v>
      </c>
      <c r="E1988" s="116">
        <v>3304</v>
      </c>
      <c r="F1988" s="116">
        <v>3314.05</v>
      </c>
      <c r="G1988">
        <v>42280</v>
      </c>
      <c r="H1988" s="116"/>
      <c r="I1988" s="116"/>
      <c r="L1988" s="170">
        <v>44930</v>
      </c>
      <c r="M1988" s="116">
        <v>3314.65</v>
      </c>
      <c r="N1988" s="116">
        <v>3327.35</v>
      </c>
      <c r="O1988" s="116">
        <v>3286.2</v>
      </c>
      <c r="P1988" s="116">
        <v>3306.7</v>
      </c>
      <c r="Q1988" s="116">
        <v>3314.65</v>
      </c>
      <c r="R1988">
        <v>1231668</v>
      </c>
    </row>
    <row r="1989" spans="1:18" x14ac:dyDescent="0.25">
      <c r="A1989" s="170">
        <v>44931</v>
      </c>
      <c r="B1989" s="116">
        <v>3336.1</v>
      </c>
      <c r="C1989" s="116">
        <v>3310.35</v>
      </c>
      <c r="D1989" s="116">
        <v>3283.1</v>
      </c>
      <c r="E1989" s="116">
        <v>3330</v>
      </c>
      <c r="F1989" s="116">
        <v>3310.35</v>
      </c>
      <c r="G1989">
        <v>54074</v>
      </c>
      <c r="H1989" s="116"/>
      <c r="I1989" s="116"/>
      <c r="L1989" s="170">
        <v>44931</v>
      </c>
      <c r="M1989" s="116">
        <v>3311.1</v>
      </c>
      <c r="N1989" s="116">
        <v>3337.3</v>
      </c>
      <c r="O1989" s="116">
        <v>3281.95</v>
      </c>
      <c r="P1989" s="116">
        <v>3330.2</v>
      </c>
      <c r="Q1989" s="116">
        <v>3311.1</v>
      </c>
      <c r="R1989">
        <v>1826057</v>
      </c>
    </row>
    <row r="1990" spans="1:18" x14ac:dyDescent="0.25">
      <c r="A1990" s="170">
        <v>44932</v>
      </c>
      <c r="B1990" s="116">
        <v>3300.05</v>
      </c>
      <c r="C1990" s="116">
        <v>3212</v>
      </c>
      <c r="D1990" s="116">
        <v>3200</v>
      </c>
      <c r="E1990" s="116">
        <v>3300</v>
      </c>
      <c r="F1990" s="116">
        <v>3212</v>
      </c>
      <c r="G1990">
        <v>91907</v>
      </c>
      <c r="H1990" s="116"/>
      <c r="I1990" s="116"/>
      <c r="L1990" s="170">
        <v>44932</v>
      </c>
      <c r="M1990" s="116">
        <v>3211.55</v>
      </c>
      <c r="N1990" s="116">
        <v>3301.55</v>
      </c>
      <c r="O1990" s="116">
        <v>3200</v>
      </c>
      <c r="P1990" s="116">
        <v>3300</v>
      </c>
      <c r="Q1990" s="116">
        <v>3211.55</v>
      </c>
      <c r="R1990">
        <v>2488376</v>
      </c>
    </row>
    <row r="1991" spans="1:18" x14ac:dyDescent="0.25">
      <c r="A1991" s="170">
        <v>44935</v>
      </c>
      <c r="B1991" s="116">
        <v>3327.8</v>
      </c>
      <c r="C1991" s="116">
        <v>3319.7</v>
      </c>
      <c r="D1991" s="116">
        <v>3215.3</v>
      </c>
      <c r="E1991" s="116">
        <v>3243.9</v>
      </c>
      <c r="F1991" s="116">
        <v>3319.7</v>
      </c>
      <c r="G1991">
        <v>169062</v>
      </c>
      <c r="H1991" s="116"/>
      <c r="I1991" s="116"/>
      <c r="L1991" s="170">
        <v>44935</v>
      </c>
      <c r="M1991" s="116">
        <v>3319.95</v>
      </c>
      <c r="N1991" s="116">
        <v>3327</v>
      </c>
      <c r="O1991" s="116">
        <v>3221.15</v>
      </c>
      <c r="P1991" s="116">
        <v>3229</v>
      </c>
      <c r="Q1991" s="116">
        <v>3319.95</v>
      </c>
      <c r="R1991">
        <v>2885060</v>
      </c>
    </row>
    <row r="1992" spans="1:18" x14ac:dyDescent="0.25">
      <c r="A1992" s="170">
        <v>44936</v>
      </c>
      <c r="B1992" s="116">
        <v>3292.5</v>
      </c>
      <c r="C1992" s="116">
        <v>3286.2</v>
      </c>
      <c r="D1992" s="116">
        <v>3231</v>
      </c>
      <c r="E1992" s="116">
        <v>3290</v>
      </c>
      <c r="F1992" s="116">
        <v>3286.2</v>
      </c>
      <c r="G1992">
        <v>94932</v>
      </c>
      <c r="H1992" s="116"/>
      <c r="I1992" s="116"/>
      <c r="L1992" s="170">
        <v>44936</v>
      </c>
      <c r="M1992" s="116">
        <v>3286.4</v>
      </c>
      <c r="N1992" s="116">
        <v>3298</v>
      </c>
      <c r="O1992" s="116">
        <v>3230.1</v>
      </c>
      <c r="P1992" s="116">
        <v>3285</v>
      </c>
      <c r="Q1992" s="116">
        <v>3286.4</v>
      </c>
      <c r="R1992">
        <v>3864655</v>
      </c>
    </row>
    <row r="1993" spans="1:18" x14ac:dyDescent="0.25">
      <c r="A1993" s="170">
        <v>44937</v>
      </c>
      <c r="B1993" s="116">
        <v>3349</v>
      </c>
      <c r="C1993" s="116">
        <v>3328.85</v>
      </c>
      <c r="D1993" s="116">
        <v>3272</v>
      </c>
      <c r="E1993" s="116">
        <v>3289</v>
      </c>
      <c r="F1993" s="116">
        <v>3328.85</v>
      </c>
      <c r="G1993">
        <v>72414</v>
      </c>
      <c r="H1993" s="116"/>
      <c r="I1993" s="116"/>
      <c r="L1993" s="170">
        <v>44937</v>
      </c>
      <c r="M1993" s="116">
        <v>3328.7</v>
      </c>
      <c r="N1993" s="116">
        <v>3349.5</v>
      </c>
      <c r="O1993" s="116">
        <v>3271.15</v>
      </c>
      <c r="P1993" s="116">
        <v>3290.1</v>
      </c>
      <c r="Q1993" s="116">
        <v>3328.7</v>
      </c>
      <c r="R1993">
        <v>2720512</v>
      </c>
    </row>
    <row r="1994" spans="1:18" x14ac:dyDescent="0.25">
      <c r="A1994" s="170">
        <v>44938</v>
      </c>
      <c r="B1994" s="116">
        <v>3350</v>
      </c>
      <c r="C1994" s="116">
        <v>3334.6</v>
      </c>
      <c r="D1994" s="116">
        <v>3316</v>
      </c>
      <c r="E1994" s="116">
        <v>3333</v>
      </c>
      <c r="F1994" s="116">
        <v>3334.6</v>
      </c>
      <c r="G1994">
        <v>83856</v>
      </c>
      <c r="H1994" s="116"/>
      <c r="I1994" s="116"/>
      <c r="L1994" s="170">
        <v>44938</v>
      </c>
      <c r="M1994" s="116">
        <v>3334.35</v>
      </c>
      <c r="N1994" s="116">
        <v>3350</v>
      </c>
      <c r="O1994" s="116">
        <v>3315.55</v>
      </c>
      <c r="P1994" s="116">
        <v>3329</v>
      </c>
      <c r="Q1994" s="116">
        <v>3334.35</v>
      </c>
      <c r="R1994">
        <v>2250391</v>
      </c>
    </row>
    <row r="1995" spans="1:18" x14ac:dyDescent="0.25">
      <c r="A1995" s="170">
        <v>44939</v>
      </c>
      <c r="B1995" s="116">
        <v>3379.1</v>
      </c>
      <c r="C1995" s="116">
        <v>3374.2</v>
      </c>
      <c r="D1995" s="116">
        <v>3305.2</v>
      </c>
      <c r="E1995" s="116">
        <v>3349</v>
      </c>
      <c r="F1995" s="116">
        <v>3374.2</v>
      </c>
      <c r="G1995">
        <v>98757</v>
      </c>
      <c r="H1995" s="116"/>
      <c r="I1995" s="116"/>
      <c r="L1995" s="170">
        <v>44939</v>
      </c>
      <c r="M1995" s="116">
        <v>3374.55</v>
      </c>
      <c r="N1995" s="116">
        <v>3379</v>
      </c>
      <c r="O1995" s="116">
        <v>3305</v>
      </c>
      <c r="P1995" s="116">
        <v>3342.9</v>
      </c>
      <c r="Q1995" s="116">
        <v>3374.55</v>
      </c>
      <c r="R1995">
        <v>1742837</v>
      </c>
    </row>
    <row r="1996" spans="1:18" x14ac:dyDescent="0.25">
      <c r="A1996" s="170">
        <v>44942</v>
      </c>
      <c r="B1996" s="116">
        <v>3352.4</v>
      </c>
      <c r="C1996" s="116">
        <v>3334.4</v>
      </c>
      <c r="D1996" s="116">
        <v>3298.75</v>
      </c>
      <c r="E1996" s="116">
        <v>3320</v>
      </c>
      <c r="F1996" s="116">
        <v>3334.4</v>
      </c>
      <c r="G1996">
        <v>64489</v>
      </c>
      <c r="H1996" s="116"/>
      <c r="I1996" s="116"/>
      <c r="L1996" s="170">
        <v>44942</v>
      </c>
      <c r="M1996" s="116">
        <v>3334.05</v>
      </c>
      <c r="N1996" s="116">
        <v>3353</v>
      </c>
      <c r="O1996" s="116">
        <v>3298.05</v>
      </c>
      <c r="P1996" s="116">
        <v>3317</v>
      </c>
      <c r="Q1996" s="116">
        <v>3334.05</v>
      </c>
      <c r="R1996">
        <v>1843607</v>
      </c>
    </row>
    <row r="1997" spans="1:18" x14ac:dyDescent="0.25">
      <c r="A1997" s="170">
        <v>44943</v>
      </c>
      <c r="B1997" s="116">
        <v>3383</v>
      </c>
      <c r="C1997" s="116">
        <v>3378.85</v>
      </c>
      <c r="D1997" s="116">
        <v>3319.75</v>
      </c>
      <c r="E1997" s="116">
        <v>3334</v>
      </c>
      <c r="F1997" s="116">
        <v>3378.85</v>
      </c>
      <c r="G1997">
        <v>121563</v>
      </c>
      <c r="H1997" s="116"/>
      <c r="I1997" s="116"/>
      <c r="L1997" s="170">
        <v>44943</v>
      </c>
      <c r="M1997" s="116">
        <v>3378.4</v>
      </c>
      <c r="N1997" s="116">
        <v>3381.8</v>
      </c>
      <c r="O1997" s="116">
        <v>3321</v>
      </c>
      <c r="P1997" s="116">
        <v>3330</v>
      </c>
      <c r="Q1997" s="116">
        <v>3378.4</v>
      </c>
      <c r="R1997">
        <v>1688475</v>
      </c>
    </row>
    <row r="1998" spans="1:18" x14ac:dyDescent="0.25">
      <c r="A1998" s="170">
        <v>44944</v>
      </c>
      <c r="B1998" s="116">
        <v>3407.65</v>
      </c>
      <c r="C1998" s="116">
        <v>3390.55</v>
      </c>
      <c r="D1998" s="116">
        <v>3371</v>
      </c>
      <c r="E1998" s="116">
        <v>3373.55</v>
      </c>
      <c r="F1998" s="116">
        <v>3390.55</v>
      </c>
      <c r="G1998">
        <v>107557</v>
      </c>
      <c r="H1998" s="116"/>
      <c r="I1998" s="116"/>
      <c r="L1998" s="170">
        <v>44944</v>
      </c>
      <c r="M1998" s="116">
        <v>3390</v>
      </c>
      <c r="N1998" s="116">
        <v>3408.95</v>
      </c>
      <c r="O1998" s="116">
        <v>3372.25</v>
      </c>
      <c r="P1998" s="116">
        <v>3380</v>
      </c>
      <c r="Q1998" s="116">
        <v>3390</v>
      </c>
      <c r="R1998">
        <v>2421189</v>
      </c>
    </row>
    <row r="1999" spans="1:18" x14ac:dyDescent="0.25">
      <c r="A1999" s="170">
        <v>44945</v>
      </c>
      <c r="B1999" s="116">
        <v>3387.1</v>
      </c>
      <c r="C1999" s="116">
        <v>3372.4</v>
      </c>
      <c r="D1999" s="116">
        <v>3360.55</v>
      </c>
      <c r="E1999" s="116">
        <v>3380</v>
      </c>
      <c r="F1999" s="116">
        <v>3372.4</v>
      </c>
      <c r="G1999">
        <v>77208</v>
      </c>
      <c r="H1999" s="116"/>
      <c r="I1999" s="116"/>
      <c r="L1999" s="170">
        <v>44945</v>
      </c>
      <c r="M1999" s="116">
        <v>3373.1</v>
      </c>
      <c r="N1999" s="116">
        <v>3387</v>
      </c>
      <c r="O1999" s="116">
        <v>3361</v>
      </c>
      <c r="P1999" s="116">
        <v>3380</v>
      </c>
      <c r="Q1999" s="116">
        <v>3373.1</v>
      </c>
      <c r="R1999">
        <v>1585044</v>
      </c>
    </row>
    <row r="2000" spans="1:18" x14ac:dyDescent="0.25">
      <c r="A2000" s="170">
        <v>44946</v>
      </c>
      <c r="B2000" s="116">
        <v>3393.8</v>
      </c>
      <c r="C2000" s="116">
        <v>3361.65</v>
      </c>
      <c r="D2000" s="116">
        <v>3356.2</v>
      </c>
      <c r="E2000" s="116">
        <v>3369.7</v>
      </c>
      <c r="F2000" s="116">
        <v>3361.65</v>
      </c>
      <c r="G2000">
        <v>46357</v>
      </c>
      <c r="H2000" s="116"/>
      <c r="I2000" s="116"/>
      <c r="L2000" s="170">
        <v>44946</v>
      </c>
      <c r="M2000" s="116">
        <v>3363.1</v>
      </c>
      <c r="N2000" s="116">
        <v>3394.65</v>
      </c>
      <c r="O2000" s="116">
        <v>3355.6</v>
      </c>
      <c r="P2000" s="116">
        <v>3365</v>
      </c>
      <c r="Q2000" s="116">
        <v>3363.1</v>
      </c>
      <c r="R2000">
        <v>1529349</v>
      </c>
    </row>
    <row r="2001" spans="1:18" x14ac:dyDescent="0.25">
      <c r="A2001" s="170">
        <v>44949</v>
      </c>
      <c r="B2001" s="116">
        <v>3418</v>
      </c>
      <c r="C2001" s="116">
        <v>3414</v>
      </c>
      <c r="D2001" s="116">
        <v>3358</v>
      </c>
      <c r="E2001" s="116">
        <v>3375.3</v>
      </c>
      <c r="F2001" s="116">
        <v>3414</v>
      </c>
      <c r="G2001">
        <v>46966</v>
      </c>
      <c r="H2001" s="116"/>
      <c r="I2001" s="116"/>
      <c r="L2001" s="170">
        <v>44949</v>
      </c>
      <c r="M2001" s="116">
        <v>3414.9</v>
      </c>
      <c r="N2001" s="116">
        <v>3419</v>
      </c>
      <c r="O2001" s="116">
        <v>3355.6</v>
      </c>
      <c r="P2001" s="116">
        <v>3388</v>
      </c>
      <c r="Q2001" s="116">
        <v>3414.9</v>
      </c>
      <c r="R2001">
        <v>1067916</v>
      </c>
    </row>
    <row r="2002" spans="1:18" x14ac:dyDescent="0.25">
      <c r="A2002" s="170">
        <v>44950</v>
      </c>
      <c r="B2002" s="116">
        <v>3451.75</v>
      </c>
      <c r="C2002" s="116">
        <v>3435.85</v>
      </c>
      <c r="D2002" s="116">
        <v>3416.1</v>
      </c>
      <c r="E2002" s="116">
        <v>3423</v>
      </c>
      <c r="F2002" s="116">
        <v>3435.85</v>
      </c>
      <c r="G2002">
        <v>55283</v>
      </c>
      <c r="H2002" s="116"/>
      <c r="I2002" s="116"/>
      <c r="L2002" s="170">
        <v>44950</v>
      </c>
      <c r="M2002" s="116">
        <v>3436.3</v>
      </c>
      <c r="N2002" s="116">
        <v>3451.95</v>
      </c>
      <c r="O2002" s="116">
        <v>3417.3</v>
      </c>
      <c r="P2002" s="116">
        <v>3425</v>
      </c>
      <c r="Q2002" s="116">
        <v>3436.3</v>
      </c>
      <c r="R2002">
        <v>1387863</v>
      </c>
    </row>
    <row r="2003" spans="1:18" x14ac:dyDescent="0.25">
      <c r="A2003" s="170">
        <v>44951</v>
      </c>
      <c r="B2003" s="116">
        <v>3435.95</v>
      </c>
      <c r="C2003" s="116">
        <v>3431.55</v>
      </c>
      <c r="D2003" s="116">
        <v>3405.7</v>
      </c>
      <c r="E2003" s="116">
        <v>3425</v>
      </c>
      <c r="F2003" s="116">
        <v>3431.55</v>
      </c>
      <c r="G2003">
        <v>39744</v>
      </c>
      <c r="H2003" s="116"/>
      <c r="I2003" s="116"/>
      <c r="L2003" s="170">
        <v>44951</v>
      </c>
      <c r="M2003" s="116">
        <v>3429.75</v>
      </c>
      <c r="N2003" s="116">
        <v>3435</v>
      </c>
      <c r="O2003" s="116">
        <v>3405</v>
      </c>
      <c r="P2003" s="116">
        <v>3425.3</v>
      </c>
      <c r="Q2003" s="116">
        <v>3429.75</v>
      </c>
      <c r="R2003">
        <v>874110</v>
      </c>
    </row>
    <row r="2004" spans="1:18" x14ac:dyDescent="0.25">
      <c r="A2004" s="170">
        <v>44953</v>
      </c>
      <c r="B2004" s="116">
        <v>3447</v>
      </c>
      <c r="C2004" s="116">
        <v>3410.4</v>
      </c>
      <c r="D2004" s="116">
        <v>3382.15</v>
      </c>
      <c r="E2004" s="116">
        <v>3430</v>
      </c>
      <c r="F2004" s="116">
        <v>3410.4</v>
      </c>
      <c r="G2004">
        <v>91518</v>
      </c>
      <c r="H2004" s="116"/>
      <c r="I2004" s="116"/>
      <c r="L2004" s="170">
        <v>44953</v>
      </c>
      <c r="M2004" s="116">
        <v>3411.05</v>
      </c>
      <c r="N2004" s="116">
        <v>3446</v>
      </c>
      <c r="O2004" s="116">
        <v>3382.3</v>
      </c>
      <c r="P2004" s="116">
        <v>3426</v>
      </c>
      <c r="Q2004" s="116">
        <v>3411.05</v>
      </c>
      <c r="R2004">
        <v>1785879</v>
      </c>
    </row>
    <row r="2005" spans="1:18" x14ac:dyDescent="0.25">
      <c r="A2005" s="170">
        <v>44956</v>
      </c>
      <c r="B2005" s="116">
        <v>3457.95</v>
      </c>
      <c r="C2005" s="116">
        <v>3435.4</v>
      </c>
      <c r="D2005" s="116">
        <v>3387.15</v>
      </c>
      <c r="E2005" s="116">
        <v>3413.55</v>
      </c>
      <c r="F2005" s="116">
        <v>3435.4</v>
      </c>
      <c r="G2005">
        <v>59893</v>
      </c>
      <c r="H2005" s="116"/>
      <c r="I2005" s="116"/>
      <c r="L2005" s="170">
        <v>44956</v>
      </c>
      <c r="M2005" s="116">
        <v>3433.65</v>
      </c>
      <c r="N2005" s="116">
        <v>3458.45</v>
      </c>
      <c r="O2005" s="116">
        <v>3385.55</v>
      </c>
      <c r="P2005" s="116">
        <v>3420</v>
      </c>
      <c r="Q2005" s="116">
        <v>3433.65</v>
      </c>
      <c r="R2005">
        <v>1953798</v>
      </c>
    </row>
    <row r="2006" spans="1:18" x14ac:dyDescent="0.25">
      <c r="A2006" s="170">
        <v>44957</v>
      </c>
      <c r="B2006" s="116">
        <v>3444.85</v>
      </c>
      <c r="C2006" s="116">
        <v>3357.45</v>
      </c>
      <c r="D2006" s="116">
        <v>3347.7</v>
      </c>
      <c r="E2006" s="116">
        <v>3442.05</v>
      </c>
      <c r="F2006" s="116">
        <v>3357.45</v>
      </c>
      <c r="G2006">
        <v>79115</v>
      </c>
      <c r="H2006" s="116"/>
      <c r="I2006" s="116"/>
      <c r="L2006" s="170">
        <v>44957</v>
      </c>
      <c r="M2006" s="116">
        <v>3358.7</v>
      </c>
      <c r="N2006" s="116">
        <v>3449</v>
      </c>
      <c r="O2006" s="116">
        <v>3351</v>
      </c>
      <c r="P2006" s="116">
        <v>3449</v>
      </c>
      <c r="Q2006" s="116">
        <v>3358.7</v>
      </c>
      <c r="R2006">
        <v>2820375</v>
      </c>
    </row>
    <row r="2007" spans="1:18" x14ac:dyDescent="0.25">
      <c r="A2007" s="170">
        <v>44958</v>
      </c>
      <c r="B2007" s="116">
        <v>3418</v>
      </c>
      <c r="C2007" s="116">
        <v>3407.65</v>
      </c>
      <c r="D2007" s="116">
        <v>3355.6</v>
      </c>
      <c r="E2007" s="116">
        <v>3380</v>
      </c>
      <c r="F2007" s="116">
        <v>3407.65</v>
      </c>
      <c r="G2007">
        <v>43182</v>
      </c>
      <c r="H2007" s="116"/>
      <c r="I2007" s="116"/>
      <c r="L2007" s="170">
        <v>44958</v>
      </c>
      <c r="M2007" s="116">
        <v>3408.35</v>
      </c>
      <c r="N2007" s="116">
        <v>3419</v>
      </c>
      <c r="O2007" s="116">
        <v>3355</v>
      </c>
      <c r="P2007" s="116">
        <v>3363</v>
      </c>
      <c r="Q2007" s="116">
        <v>3408.35</v>
      </c>
      <c r="R2007">
        <v>2205161</v>
      </c>
    </row>
    <row r="2008" spans="1:18" x14ac:dyDescent="0.25">
      <c r="A2008" s="170">
        <v>44959</v>
      </c>
      <c r="B2008" s="116">
        <v>3468.3</v>
      </c>
      <c r="C2008" s="116">
        <v>3461.95</v>
      </c>
      <c r="D2008" s="116">
        <v>3407.05</v>
      </c>
      <c r="E2008" s="116">
        <v>3407.05</v>
      </c>
      <c r="F2008" s="116">
        <v>3461.95</v>
      </c>
      <c r="G2008">
        <v>48456</v>
      </c>
      <c r="H2008" s="116"/>
      <c r="I2008" s="116"/>
      <c r="L2008" s="170">
        <v>44959</v>
      </c>
      <c r="M2008" s="116">
        <v>3460.4</v>
      </c>
      <c r="N2008" s="116">
        <v>3469</v>
      </c>
      <c r="O2008" s="116">
        <v>3420.1</v>
      </c>
      <c r="P2008" s="116">
        <v>3427</v>
      </c>
      <c r="Q2008" s="116">
        <v>3460.4</v>
      </c>
      <c r="R2008">
        <v>1813847</v>
      </c>
    </row>
    <row r="2009" spans="1:18" x14ac:dyDescent="0.25">
      <c r="A2009" s="170">
        <v>44960</v>
      </c>
      <c r="B2009" s="116">
        <v>3498</v>
      </c>
      <c r="C2009" s="116">
        <v>3481.85</v>
      </c>
      <c r="D2009" s="116">
        <v>3452.45</v>
      </c>
      <c r="E2009" s="116">
        <v>3492.6</v>
      </c>
      <c r="F2009" s="116">
        <v>3481.85</v>
      </c>
      <c r="G2009">
        <v>125650</v>
      </c>
      <c r="H2009" s="116"/>
      <c r="I2009" s="116"/>
      <c r="L2009" s="170">
        <v>44960</v>
      </c>
      <c r="M2009" s="116">
        <v>3482.3</v>
      </c>
      <c r="N2009" s="116">
        <v>3504</v>
      </c>
      <c r="O2009" s="116">
        <v>3452.9</v>
      </c>
      <c r="P2009" s="116">
        <v>3504</v>
      </c>
      <c r="Q2009" s="116">
        <v>3482.3</v>
      </c>
      <c r="R2009">
        <v>1804469</v>
      </c>
    </row>
    <row r="2010" spans="1:18" x14ac:dyDescent="0.25">
      <c r="A2010" s="170">
        <v>44963</v>
      </c>
      <c r="B2010" s="116">
        <v>3475</v>
      </c>
      <c r="C2010" s="116">
        <v>3460</v>
      </c>
      <c r="D2010" s="116">
        <v>3437</v>
      </c>
      <c r="E2010" s="116">
        <v>3475</v>
      </c>
      <c r="F2010" s="116">
        <v>3460</v>
      </c>
      <c r="G2010">
        <v>21416</v>
      </c>
      <c r="H2010" s="116"/>
      <c r="I2010" s="116"/>
      <c r="L2010" s="170">
        <v>44963</v>
      </c>
      <c r="M2010" s="116">
        <v>3459.95</v>
      </c>
      <c r="N2010" s="116">
        <v>3473.15</v>
      </c>
      <c r="O2010" s="116">
        <v>3436.85</v>
      </c>
      <c r="P2010" s="116">
        <v>3473.15</v>
      </c>
      <c r="Q2010" s="116">
        <v>3459.95</v>
      </c>
      <c r="R2010">
        <v>1138714</v>
      </c>
    </row>
    <row r="2011" spans="1:18" x14ac:dyDescent="0.25">
      <c r="A2011" s="170">
        <v>44964</v>
      </c>
      <c r="B2011" s="116">
        <v>3492</v>
      </c>
      <c r="C2011" s="116">
        <v>3470.65</v>
      </c>
      <c r="D2011" s="116">
        <v>3460.15</v>
      </c>
      <c r="E2011" s="116">
        <v>3464</v>
      </c>
      <c r="F2011" s="116">
        <v>3470.65</v>
      </c>
      <c r="G2011">
        <v>80033</v>
      </c>
      <c r="H2011" s="116"/>
      <c r="I2011" s="116"/>
      <c r="L2011" s="170">
        <v>44964</v>
      </c>
      <c r="M2011" s="116">
        <v>3472.55</v>
      </c>
      <c r="N2011" s="116">
        <v>3493</v>
      </c>
      <c r="O2011" s="116">
        <v>3461.4</v>
      </c>
      <c r="P2011" s="116">
        <v>3468.9</v>
      </c>
      <c r="Q2011" s="116">
        <v>3472.55</v>
      </c>
      <c r="R2011">
        <v>1455647</v>
      </c>
    </row>
    <row r="2012" spans="1:18" x14ac:dyDescent="0.25">
      <c r="A2012" s="170">
        <v>44965</v>
      </c>
      <c r="B2012" s="116">
        <v>3539.5</v>
      </c>
      <c r="C2012" s="116">
        <v>3518.7</v>
      </c>
      <c r="D2012" s="116">
        <v>3472</v>
      </c>
      <c r="E2012" s="116">
        <v>3472</v>
      </c>
      <c r="F2012" s="116">
        <v>3518.7</v>
      </c>
      <c r="G2012">
        <v>50900</v>
      </c>
      <c r="H2012" s="116"/>
      <c r="I2012" s="116"/>
      <c r="L2012" s="170">
        <v>44965</v>
      </c>
      <c r="M2012" s="116">
        <v>3520.1</v>
      </c>
      <c r="N2012" s="116">
        <v>3539.9</v>
      </c>
      <c r="O2012" s="116">
        <v>3478.05</v>
      </c>
      <c r="P2012" s="116">
        <v>3478.05</v>
      </c>
      <c r="Q2012" s="116">
        <v>3520.1</v>
      </c>
      <c r="R2012">
        <v>1986946</v>
      </c>
    </row>
    <row r="2013" spans="1:18" x14ac:dyDescent="0.25">
      <c r="A2013" s="170">
        <v>44966</v>
      </c>
      <c r="B2013" s="116">
        <v>3547.95</v>
      </c>
      <c r="C2013" s="116">
        <v>3541.15</v>
      </c>
      <c r="D2013" s="116">
        <v>3504</v>
      </c>
      <c r="E2013" s="116">
        <v>3518.7</v>
      </c>
      <c r="F2013" s="116">
        <v>3541.15</v>
      </c>
      <c r="G2013">
        <v>32844</v>
      </c>
      <c r="H2013" s="116"/>
      <c r="I2013" s="116"/>
      <c r="L2013" s="170">
        <v>44966</v>
      </c>
      <c r="M2013" s="116">
        <v>3540.85</v>
      </c>
      <c r="N2013" s="116">
        <v>3547.6</v>
      </c>
      <c r="O2013" s="116">
        <v>3505.3</v>
      </c>
      <c r="P2013" s="116">
        <v>3515</v>
      </c>
      <c r="Q2013" s="116">
        <v>3540.85</v>
      </c>
      <c r="R2013">
        <v>1655427</v>
      </c>
    </row>
    <row r="2014" spans="1:18" x14ac:dyDescent="0.25">
      <c r="A2014" s="170">
        <v>44967</v>
      </c>
      <c r="B2014" s="116">
        <v>3541.15</v>
      </c>
      <c r="C2014" s="116">
        <v>3535.45</v>
      </c>
      <c r="D2014" s="116">
        <v>3506.65</v>
      </c>
      <c r="E2014" s="116">
        <v>3512.05</v>
      </c>
      <c r="F2014" s="116">
        <v>3535.45</v>
      </c>
      <c r="G2014">
        <v>48411</v>
      </c>
      <c r="H2014" s="116"/>
      <c r="I2014" s="116"/>
      <c r="L2014" s="170">
        <v>44967</v>
      </c>
      <c r="M2014" s="116">
        <v>3537.55</v>
      </c>
      <c r="N2014" s="116">
        <v>3542.35</v>
      </c>
      <c r="O2014" s="116">
        <v>3508.15</v>
      </c>
      <c r="P2014" s="116">
        <v>3520</v>
      </c>
      <c r="Q2014" s="116">
        <v>3537.55</v>
      </c>
      <c r="R2014">
        <v>1187821</v>
      </c>
    </row>
    <row r="2015" spans="1:18" x14ac:dyDescent="0.25">
      <c r="A2015" s="170">
        <v>44970</v>
      </c>
      <c r="B2015" s="116">
        <v>3548</v>
      </c>
      <c r="C2015" s="116">
        <v>3482.75</v>
      </c>
      <c r="D2015" s="116">
        <v>3475</v>
      </c>
      <c r="E2015" s="116">
        <v>3548</v>
      </c>
      <c r="F2015" s="116">
        <v>3482.75</v>
      </c>
      <c r="G2015">
        <v>26143</v>
      </c>
      <c r="H2015" s="116"/>
      <c r="I2015" s="116"/>
      <c r="L2015" s="170">
        <v>44970</v>
      </c>
      <c r="M2015" s="116">
        <v>3482.4</v>
      </c>
      <c r="N2015" s="116">
        <v>3549</v>
      </c>
      <c r="O2015" s="116">
        <v>3473.4</v>
      </c>
      <c r="P2015" s="116">
        <v>3549</v>
      </c>
      <c r="Q2015" s="116">
        <v>3482.4</v>
      </c>
      <c r="R2015">
        <v>1087939</v>
      </c>
    </row>
    <row r="2016" spans="1:18" x14ac:dyDescent="0.25">
      <c r="A2016" s="170">
        <v>44971</v>
      </c>
      <c r="B2016" s="116">
        <v>3524.2</v>
      </c>
      <c r="C2016" s="116">
        <v>3499.15</v>
      </c>
      <c r="D2016" s="116">
        <v>3496.1</v>
      </c>
      <c r="E2016" s="116">
        <v>3499</v>
      </c>
      <c r="F2016" s="116">
        <v>3499.15</v>
      </c>
      <c r="G2016">
        <v>141270</v>
      </c>
      <c r="H2016" s="116"/>
      <c r="I2016" s="116"/>
      <c r="L2016" s="170">
        <v>44971</v>
      </c>
      <c r="M2016" s="116">
        <v>3500.1</v>
      </c>
      <c r="N2016" s="116">
        <v>3524.85</v>
      </c>
      <c r="O2016" s="116">
        <v>3495</v>
      </c>
      <c r="P2016" s="116">
        <v>3505</v>
      </c>
      <c r="Q2016" s="116">
        <v>3500.1</v>
      </c>
      <c r="R2016">
        <v>1579818</v>
      </c>
    </row>
    <row r="2017" spans="1:18" x14ac:dyDescent="0.25">
      <c r="A2017" s="170">
        <v>44972</v>
      </c>
      <c r="B2017" s="116">
        <v>3525</v>
      </c>
      <c r="C2017" s="116">
        <v>3518.9</v>
      </c>
      <c r="D2017" s="116">
        <v>3460.45</v>
      </c>
      <c r="E2017" s="116">
        <v>3490</v>
      </c>
      <c r="F2017" s="116">
        <v>3518.9</v>
      </c>
      <c r="G2017">
        <v>30042</v>
      </c>
      <c r="H2017" s="116"/>
      <c r="I2017" s="116"/>
      <c r="L2017" s="170">
        <v>44972</v>
      </c>
      <c r="M2017" s="116">
        <v>3520.65</v>
      </c>
      <c r="N2017" s="116">
        <v>3526</v>
      </c>
      <c r="O2017" s="116">
        <v>3460.15</v>
      </c>
      <c r="P2017" s="116">
        <v>3487</v>
      </c>
      <c r="Q2017" s="116">
        <v>3520.65</v>
      </c>
      <c r="R2017">
        <v>1429449</v>
      </c>
    </row>
    <row r="2018" spans="1:18" x14ac:dyDescent="0.25">
      <c r="A2018" s="170">
        <v>44973</v>
      </c>
      <c r="B2018" s="116">
        <v>3575</v>
      </c>
      <c r="C2018" s="116">
        <v>3553.95</v>
      </c>
      <c r="D2018" s="116">
        <v>3526</v>
      </c>
      <c r="E2018" s="116">
        <v>3530</v>
      </c>
      <c r="F2018" s="116">
        <v>3553.95</v>
      </c>
      <c r="G2018">
        <v>57676</v>
      </c>
      <c r="H2018" s="116"/>
      <c r="I2018" s="116"/>
      <c r="L2018" s="170">
        <v>44973</v>
      </c>
      <c r="M2018" s="116">
        <v>3558.05</v>
      </c>
      <c r="N2018" s="116">
        <v>3575</v>
      </c>
      <c r="O2018" s="116">
        <v>3527</v>
      </c>
      <c r="P2018" s="116">
        <v>3527.2</v>
      </c>
      <c r="Q2018" s="116">
        <v>3558.05</v>
      </c>
      <c r="R2018">
        <v>1618931</v>
      </c>
    </row>
    <row r="2019" spans="1:18" x14ac:dyDescent="0.25">
      <c r="A2019" s="170">
        <v>44974</v>
      </c>
      <c r="B2019" s="116">
        <v>3536.75</v>
      </c>
      <c r="C2019" s="116">
        <v>3499.65</v>
      </c>
      <c r="D2019" s="116">
        <v>3489.95</v>
      </c>
      <c r="E2019" s="116">
        <v>3525</v>
      </c>
      <c r="F2019" s="116">
        <v>3499.65</v>
      </c>
      <c r="G2019">
        <v>50877</v>
      </c>
      <c r="H2019" s="116"/>
      <c r="I2019" s="116"/>
      <c r="L2019" s="170">
        <v>44974</v>
      </c>
      <c r="M2019" s="116">
        <v>3501.15</v>
      </c>
      <c r="N2019" s="116">
        <v>3538.9</v>
      </c>
      <c r="O2019" s="116">
        <v>3490</v>
      </c>
      <c r="P2019" s="116">
        <v>3526.15</v>
      </c>
      <c r="Q2019" s="116">
        <v>3501.15</v>
      </c>
      <c r="R2019">
        <v>1061369</v>
      </c>
    </row>
    <row r="2020" spans="1:18" x14ac:dyDescent="0.25">
      <c r="A2020" s="170">
        <v>44977</v>
      </c>
      <c r="B2020" s="116">
        <v>3522</v>
      </c>
      <c r="C2020" s="116">
        <v>3486.1</v>
      </c>
      <c r="D2020" s="116">
        <v>3475.2</v>
      </c>
      <c r="E2020" s="116">
        <v>3506</v>
      </c>
      <c r="F2020" s="116">
        <v>3486.1</v>
      </c>
      <c r="G2020">
        <v>43050</v>
      </c>
      <c r="H2020" s="116"/>
      <c r="I2020" s="116"/>
      <c r="L2020" s="170">
        <v>44977</v>
      </c>
      <c r="M2020" s="116">
        <v>3487.3</v>
      </c>
      <c r="N2020" s="116">
        <v>3522</v>
      </c>
      <c r="O2020" s="116">
        <v>3475.05</v>
      </c>
      <c r="P2020" s="116">
        <v>3502</v>
      </c>
      <c r="Q2020" s="116">
        <v>3487.3</v>
      </c>
      <c r="R2020">
        <v>1296082</v>
      </c>
    </row>
    <row r="2021" spans="1:18" x14ac:dyDescent="0.25">
      <c r="A2021" s="170">
        <v>44978</v>
      </c>
      <c r="B2021" s="116">
        <v>3507.95</v>
      </c>
      <c r="C2021" s="116">
        <v>3449.4</v>
      </c>
      <c r="D2021" s="116">
        <v>3445</v>
      </c>
      <c r="E2021" s="116">
        <v>3489</v>
      </c>
      <c r="F2021" s="116">
        <v>3449.4</v>
      </c>
      <c r="G2021">
        <v>102243</v>
      </c>
      <c r="H2021" s="116"/>
      <c r="I2021" s="116"/>
      <c r="L2021" s="170">
        <v>44978</v>
      </c>
      <c r="M2021" s="116">
        <v>3451</v>
      </c>
      <c r="N2021" s="116">
        <v>3508.9</v>
      </c>
      <c r="O2021" s="116">
        <v>3444.75</v>
      </c>
      <c r="P2021" s="116">
        <v>3494</v>
      </c>
      <c r="Q2021" s="116">
        <v>3451</v>
      </c>
      <c r="R2021">
        <v>1139541</v>
      </c>
    </row>
    <row r="2022" spans="1:18" x14ac:dyDescent="0.25">
      <c r="A2022" s="170">
        <v>44979</v>
      </c>
      <c r="B2022" s="116">
        <v>3447.55</v>
      </c>
      <c r="C2022" s="116">
        <v>3400.55</v>
      </c>
      <c r="D2022" s="116">
        <v>3395.1</v>
      </c>
      <c r="E2022" s="116">
        <v>3424.9</v>
      </c>
      <c r="F2022" s="116">
        <v>3400.55</v>
      </c>
      <c r="G2022">
        <v>41593</v>
      </c>
      <c r="H2022" s="116"/>
      <c r="I2022" s="116"/>
      <c r="L2022" s="170">
        <v>44979</v>
      </c>
      <c r="M2022" s="116">
        <v>3401.55</v>
      </c>
      <c r="N2022" s="116">
        <v>3447</v>
      </c>
      <c r="O2022" s="116">
        <v>3395</v>
      </c>
      <c r="P2022" s="116">
        <v>3414.95</v>
      </c>
      <c r="Q2022" s="116">
        <v>3401.55</v>
      </c>
      <c r="R2022">
        <v>1218430</v>
      </c>
    </row>
    <row r="2023" spans="1:18" x14ac:dyDescent="0.25">
      <c r="A2023" s="170">
        <v>44980</v>
      </c>
      <c r="B2023" s="116">
        <v>3453.75</v>
      </c>
      <c r="C2023" s="116">
        <v>3414.1</v>
      </c>
      <c r="D2023" s="116">
        <v>3408</v>
      </c>
      <c r="E2023" s="116">
        <v>3410.5</v>
      </c>
      <c r="F2023" s="116">
        <v>3414.1</v>
      </c>
      <c r="G2023">
        <v>41914</v>
      </c>
      <c r="H2023" s="116"/>
      <c r="I2023" s="116"/>
      <c r="L2023" s="170">
        <v>44980</v>
      </c>
      <c r="M2023" s="116">
        <v>3413.8</v>
      </c>
      <c r="N2023" s="116">
        <v>3452.4</v>
      </c>
      <c r="O2023" s="116">
        <v>3408</v>
      </c>
      <c r="P2023" s="116">
        <v>3421</v>
      </c>
      <c r="Q2023" s="116">
        <v>3413.8</v>
      </c>
      <c r="R2023">
        <v>1441570</v>
      </c>
    </row>
    <row r="2024" spans="1:18" x14ac:dyDescent="0.25">
      <c r="A2024" s="170">
        <v>44981</v>
      </c>
      <c r="B2024" s="116">
        <v>3434</v>
      </c>
      <c r="C2024" s="116">
        <v>3400.05</v>
      </c>
      <c r="D2024" s="116">
        <v>3382.55</v>
      </c>
      <c r="E2024" s="116">
        <v>3421.2</v>
      </c>
      <c r="F2024" s="116">
        <v>3400.05</v>
      </c>
      <c r="G2024">
        <v>35329</v>
      </c>
      <c r="H2024" s="116"/>
      <c r="I2024" s="116"/>
      <c r="L2024" s="170">
        <v>44981</v>
      </c>
      <c r="M2024" s="116">
        <v>3400.45</v>
      </c>
      <c r="N2024" s="116">
        <v>3433.95</v>
      </c>
      <c r="O2024" s="116">
        <v>3382.3</v>
      </c>
      <c r="P2024" s="116">
        <v>3422.5</v>
      </c>
      <c r="Q2024" s="116">
        <v>3400.45</v>
      </c>
      <c r="R2024">
        <v>977592</v>
      </c>
    </row>
    <row r="2025" spans="1:18" x14ac:dyDescent="0.25">
      <c r="A2025" s="170">
        <v>44984</v>
      </c>
      <c r="B2025" s="116">
        <v>3397.9</v>
      </c>
      <c r="C2025" s="116">
        <v>3331.85</v>
      </c>
      <c r="D2025" s="116">
        <v>3317.3</v>
      </c>
      <c r="E2025" s="116">
        <v>3397.9</v>
      </c>
      <c r="F2025" s="116">
        <v>3331.85</v>
      </c>
      <c r="G2025">
        <v>30683</v>
      </c>
      <c r="H2025" s="116"/>
      <c r="I2025" s="116"/>
      <c r="L2025" s="170">
        <v>44984</v>
      </c>
      <c r="M2025" s="116">
        <v>3331.85</v>
      </c>
      <c r="N2025" s="116">
        <v>3390</v>
      </c>
      <c r="O2025" s="116">
        <v>3316</v>
      </c>
      <c r="P2025" s="116">
        <v>3390</v>
      </c>
      <c r="Q2025" s="116">
        <v>3331.85</v>
      </c>
      <c r="R2025">
        <v>1128022</v>
      </c>
    </row>
    <row r="2026" spans="1:18" x14ac:dyDescent="0.25">
      <c r="A2026" s="170">
        <v>44985</v>
      </c>
      <c r="B2026" s="116">
        <v>3392</v>
      </c>
      <c r="C2026" s="116">
        <v>3314.15</v>
      </c>
      <c r="D2026" s="116">
        <v>3300.05</v>
      </c>
      <c r="E2026" s="116">
        <v>3331.85</v>
      </c>
      <c r="F2026" s="116">
        <v>3314.15</v>
      </c>
      <c r="G2026">
        <v>56090</v>
      </c>
      <c r="H2026" s="116"/>
      <c r="I2026" s="116"/>
      <c r="L2026" s="170">
        <v>44985</v>
      </c>
      <c r="M2026" s="116">
        <v>3312.85</v>
      </c>
      <c r="N2026" s="116">
        <v>3392</v>
      </c>
      <c r="O2026" s="116">
        <v>3299.9</v>
      </c>
      <c r="P2026" s="116">
        <v>3328.5</v>
      </c>
      <c r="Q2026" s="116">
        <v>3312.85</v>
      </c>
      <c r="R2026">
        <v>4116217</v>
      </c>
    </row>
    <row r="2027" spans="1:18" x14ac:dyDescent="0.25">
      <c r="A2027" s="170">
        <v>44986</v>
      </c>
      <c r="B2027" s="116">
        <v>3389.05</v>
      </c>
      <c r="C2027" s="116">
        <v>3385.85</v>
      </c>
      <c r="D2027" s="116">
        <v>3320</v>
      </c>
      <c r="E2027" s="116">
        <v>3326.5</v>
      </c>
      <c r="F2027" s="116">
        <v>3385.85</v>
      </c>
      <c r="G2027">
        <v>48789</v>
      </c>
      <c r="H2027" s="116"/>
      <c r="I2027" s="116"/>
      <c r="L2027" s="170">
        <v>44986</v>
      </c>
      <c r="M2027" s="116">
        <v>3385.7</v>
      </c>
      <c r="N2027" s="116">
        <v>3389</v>
      </c>
      <c r="O2027" s="116">
        <v>3315</v>
      </c>
      <c r="P2027" s="116">
        <v>3323</v>
      </c>
      <c r="Q2027" s="116">
        <v>3385.7</v>
      </c>
      <c r="R2027">
        <v>1669307</v>
      </c>
    </row>
    <row r="2028" spans="1:18" x14ac:dyDescent="0.25">
      <c r="A2028" s="170">
        <v>44987</v>
      </c>
      <c r="B2028" s="116">
        <v>3369.95</v>
      </c>
      <c r="C2028" s="116">
        <v>3321.15</v>
      </c>
      <c r="D2028" s="116">
        <v>3318</v>
      </c>
      <c r="E2028" s="116">
        <v>3369.95</v>
      </c>
      <c r="F2028" s="116">
        <v>3321.15</v>
      </c>
      <c r="G2028">
        <v>48727</v>
      </c>
      <c r="H2028" s="116"/>
      <c r="I2028" s="116"/>
      <c r="L2028" s="170">
        <v>44987</v>
      </c>
      <c r="M2028" s="116">
        <v>3321.45</v>
      </c>
      <c r="N2028" s="116">
        <v>3369.9</v>
      </c>
      <c r="O2028" s="116">
        <v>3318</v>
      </c>
      <c r="P2028" s="116">
        <v>3361</v>
      </c>
      <c r="Q2028" s="116">
        <v>3321.45</v>
      </c>
      <c r="R2028">
        <v>1556538</v>
      </c>
    </row>
    <row r="2029" spans="1:18" x14ac:dyDescent="0.25">
      <c r="A2029" s="170">
        <v>44988</v>
      </c>
      <c r="B2029" s="116">
        <v>3360</v>
      </c>
      <c r="C2029" s="116">
        <v>3342.75</v>
      </c>
      <c r="D2029" s="116">
        <v>3331</v>
      </c>
      <c r="E2029" s="116">
        <v>3360</v>
      </c>
      <c r="F2029" s="116">
        <v>3342.75</v>
      </c>
      <c r="G2029">
        <v>15677</v>
      </c>
      <c r="H2029" s="116"/>
      <c r="I2029" s="116"/>
      <c r="L2029" s="170">
        <v>44988</v>
      </c>
      <c r="M2029" s="116">
        <v>3342.15</v>
      </c>
      <c r="N2029" s="116">
        <v>3358</v>
      </c>
      <c r="O2029" s="116">
        <v>3331.1</v>
      </c>
      <c r="P2029" s="116">
        <v>3354</v>
      </c>
      <c r="Q2029" s="116">
        <v>3342.15</v>
      </c>
      <c r="R2029">
        <v>1043190</v>
      </c>
    </row>
    <row r="2030" spans="1:18" x14ac:dyDescent="0.25">
      <c r="A2030" s="170">
        <v>44991</v>
      </c>
      <c r="B2030" s="116">
        <v>3404</v>
      </c>
      <c r="C2030" s="116">
        <v>3371.5</v>
      </c>
      <c r="D2030" s="116">
        <v>3356</v>
      </c>
      <c r="E2030" s="116">
        <v>3356</v>
      </c>
      <c r="F2030" s="116">
        <v>3371.5</v>
      </c>
      <c r="G2030">
        <v>57870</v>
      </c>
      <c r="H2030" s="116"/>
      <c r="I2030" s="116"/>
      <c r="L2030" s="170">
        <v>44991</v>
      </c>
      <c r="M2030" s="116">
        <v>3371.85</v>
      </c>
      <c r="N2030" s="116">
        <v>3404.95</v>
      </c>
      <c r="O2030" s="116">
        <v>3359</v>
      </c>
      <c r="P2030" s="116">
        <v>3361.9</v>
      </c>
      <c r="Q2030" s="116">
        <v>3371.85</v>
      </c>
      <c r="R2030">
        <v>1334132</v>
      </c>
    </row>
    <row r="2031" spans="1:18" x14ac:dyDescent="0.25">
      <c r="A2031" s="170">
        <v>44993</v>
      </c>
      <c r="B2031" s="116">
        <v>3395</v>
      </c>
      <c r="C2031" s="116">
        <v>3389.7</v>
      </c>
      <c r="D2031" s="116">
        <v>3331.7</v>
      </c>
      <c r="E2031" s="116">
        <v>3361</v>
      </c>
      <c r="F2031" s="116">
        <v>3389.7</v>
      </c>
      <c r="G2031">
        <v>30873</v>
      </c>
      <c r="H2031" s="116"/>
      <c r="I2031" s="116"/>
      <c r="L2031" s="170">
        <v>44993</v>
      </c>
      <c r="M2031" s="116">
        <v>3390.4</v>
      </c>
      <c r="N2031" s="116">
        <v>3396</v>
      </c>
      <c r="O2031" s="116">
        <v>3330.85</v>
      </c>
      <c r="P2031" s="116">
        <v>3364</v>
      </c>
      <c r="Q2031" s="116">
        <v>3390.4</v>
      </c>
      <c r="R2031">
        <v>1844590</v>
      </c>
    </row>
    <row r="2032" spans="1:18" x14ac:dyDescent="0.25">
      <c r="A2032" s="170">
        <v>44994</v>
      </c>
      <c r="B2032" s="116">
        <v>3389.7</v>
      </c>
      <c r="C2032" s="116">
        <v>3337.45</v>
      </c>
      <c r="D2032" s="116">
        <v>3329</v>
      </c>
      <c r="E2032" s="116">
        <v>3389.7</v>
      </c>
      <c r="F2032" s="116">
        <v>3337.45</v>
      </c>
      <c r="G2032">
        <v>48171</v>
      </c>
      <c r="H2032" s="116"/>
      <c r="I2032" s="116"/>
      <c r="L2032" s="170">
        <v>44994</v>
      </c>
      <c r="M2032" s="116">
        <v>3336.85</v>
      </c>
      <c r="N2032" s="116">
        <v>3385</v>
      </c>
      <c r="O2032" s="116">
        <v>3330.85</v>
      </c>
      <c r="P2032" s="116">
        <v>3385</v>
      </c>
      <c r="Q2032" s="116">
        <v>3336.85</v>
      </c>
      <c r="R2032">
        <v>1648500</v>
      </c>
    </row>
    <row r="2033" spans="1:18" x14ac:dyDescent="0.25">
      <c r="A2033" s="170">
        <v>44995</v>
      </c>
      <c r="B2033" s="116">
        <v>3337</v>
      </c>
      <c r="C2033" s="116">
        <v>3331.05</v>
      </c>
      <c r="D2033" s="116">
        <v>3295</v>
      </c>
      <c r="E2033" s="116">
        <v>3311</v>
      </c>
      <c r="F2033" s="116">
        <v>3331.05</v>
      </c>
      <c r="G2033">
        <v>54663</v>
      </c>
      <c r="H2033" s="116"/>
      <c r="I2033" s="116"/>
      <c r="L2033" s="170">
        <v>44995</v>
      </c>
      <c r="M2033" s="116">
        <v>3331</v>
      </c>
      <c r="N2033" s="116">
        <v>3337.25</v>
      </c>
      <c r="O2033" s="116">
        <v>3290</v>
      </c>
      <c r="P2033" s="116">
        <v>3312.9</v>
      </c>
      <c r="Q2033" s="116">
        <v>3331</v>
      </c>
      <c r="R2033">
        <v>1024404</v>
      </c>
    </row>
    <row r="2034" spans="1:18" x14ac:dyDescent="0.25">
      <c r="A2034" s="170">
        <v>44998</v>
      </c>
      <c r="B2034" s="116">
        <v>3369.25</v>
      </c>
      <c r="C2034" s="116">
        <v>3282.4</v>
      </c>
      <c r="D2034" s="116">
        <v>3272</v>
      </c>
      <c r="E2034" s="116">
        <v>3331.05</v>
      </c>
      <c r="F2034" s="116">
        <v>3282.4</v>
      </c>
      <c r="G2034">
        <v>81352</v>
      </c>
      <c r="H2034" s="116"/>
      <c r="I2034" s="116"/>
      <c r="L2034" s="170">
        <v>44998</v>
      </c>
      <c r="M2034" s="116">
        <v>3281.95</v>
      </c>
      <c r="N2034" s="116">
        <v>3369.8</v>
      </c>
      <c r="O2034" s="116">
        <v>3272</v>
      </c>
      <c r="P2034" s="116">
        <v>3333</v>
      </c>
      <c r="Q2034" s="116">
        <v>3281.95</v>
      </c>
      <c r="R2034">
        <v>1901233</v>
      </c>
    </row>
    <row r="2035" spans="1:18" x14ac:dyDescent="0.25">
      <c r="A2035" s="170">
        <v>44999</v>
      </c>
      <c r="B2035" s="116">
        <v>3304</v>
      </c>
      <c r="C2035" s="116">
        <v>3216.85</v>
      </c>
      <c r="D2035" s="116">
        <v>3210</v>
      </c>
      <c r="E2035" s="116">
        <v>3275.55</v>
      </c>
      <c r="F2035" s="116">
        <v>3216.85</v>
      </c>
      <c r="G2035">
        <v>240605</v>
      </c>
      <c r="H2035" s="116"/>
      <c r="I2035" s="116"/>
      <c r="L2035" s="170">
        <v>44999</v>
      </c>
      <c r="M2035" s="116">
        <v>3214.95</v>
      </c>
      <c r="N2035" s="116">
        <v>3304.4</v>
      </c>
      <c r="O2035" s="116">
        <v>3209.4</v>
      </c>
      <c r="P2035" s="116">
        <v>3280</v>
      </c>
      <c r="Q2035" s="116">
        <v>3214.95</v>
      </c>
      <c r="R2035">
        <v>2670334</v>
      </c>
    </row>
    <row r="2036" spans="1:18" x14ac:dyDescent="0.25">
      <c r="A2036" s="170">
        <v>45000</v>
      </c>
      <c r="B2036" s="116">
        <v>3261.2</v>
      </c>
      <c r="C2036" s="116">
        <v>3198.75</v>
      </c>
      <c r="D2036" s="116">
        <v>3191</v>
      </c>
      <c r="E2036" s="116">
        <v>3242.55</v>
      </c>
      <c r="F2036" s="116">
        <v>3198.75</v>
      </c>
      <c r="G2036">
        <v>95877</v>
      </c>
      <c r="H2036" s="116"/>
      <c r="I2036" s="116"/>
      <c r="L2036" s="170">
        <v>45000</v>
      </c>
      <c r="M2036" s="116">
        <v>3198.9</v>
      </c>
      <c r="N2036" s="116">
        <v>3260.35</v>
      </c>
      <c r="O2036" s="116">
        <v>3192</v>
      </c>
      <c r="P2036" s="116">
        <v>3250</v>
      </c>
      <c r="Q2036" s="116">
        <v>3198.9</v>
      </c>
      <c r="R2036">
        <v>1780522</v>
      </c>
    </row>
    <row r="2037" spans="1:18" x14ac:dyDescent="0.25">
      <c r="A2037" s="170">
        <v>45001</v>
      </c>
      <c r="B2037" s="116">
        <v>3219</v>
      </c>
      <c r="C2037" s="116">
        <v>3184.75</v>
      </c>
      <c r="D2037" s="116">
        <v>3171.45</v>
      </c>
      <c r="E2037" s="116">
        <v>3196</v>
      </c>
      <c r="F2037" s="116">
        <v>3184.75</v>
      </c>
      <c r="G2037">
        <v>52784</v>
      </c>
      <c r="H2037" s="116"/>
      <c r="I2037" s="116"/>
      <c r="L2037" s="170">
        <v>45001</v>
      </c>
      <c r="M2037" s="116">
        <v>3185</v>
      </c>
      <c r="N2037" s="116">
        <v>3219.8</v>
      </c>
      <c r="O2037" s="116">
        <v>3172</v>
      </c>
      <c r="P2037" s="116">
        <v>3208</v>
      </c>
      <c r="Q2037" s="116">
        <v>3185</v>
      </c>
      <c r="R2037">
        <v>1901060</v>
      </c>
    </row>
    <row r="2038" spans="1:18" x14ac:dyDescent="0.25">
      <c r="A2038" s="170">
        <v>45002</v>
      </c>
      <c r="B2038" s="116">
        <v>3220</v>
      </c>
      <c r="C2038" s="116">
        <v>3178.95</v>
      </c>
      <c r="D2038" s="116">
        <v>3145</v>
      </c>
      <c r="E2038" s="116">
        <v>3151</v>
      </c>
      <c r="F2038" s="116">
        <v>3178.95</v>
      </c>
      <c r="G2038">
        <v>269767</v>
      </c>
      <c r="H2038" s="116"/>
      <c r="I2038" s="116"/>
      <c r="L2038" s="170">
        <v>45002</v>
      </c>
      <c r="M2038" s="116">
        <v>3179.3</v>
      </c>
      <c r="N2038" s="116">
        <v>3221.4</v>
      </c>
      <c r="O2038" s="116">
        <v>3144</v>
      </c>
      <c r="P2038" s="116">
        <v>3150.5</v>
      </c>
      <c r="Q2038" s="116">
        <v>3179.3</v>
      </c>
      <c r="R2038">
        <v>6739966</v>
      </c>
    </row>
    <row r="2039" spans="1:18" x14ac:dyDescent="0.25">
      <c r="A2039" s="170">
        <v>45005</v>
      </c>
      <c r="B2039" s="116">
        <v>3173.5</v>
      </c>
      <c r="C2039" s="116">
        <v>3141.2</v>
      </c>
      <c r="D2039" s="116">
        <v>3096.1</v>
      </c>
      <c r="E2039" s="116">
        <v>3173.5</v>
      </c>
      <c r="F2039" s="116">
        <v>3141.2</v>
      </c>
      <c r="G2039">
        <v>52684</v>
      </c>
      <c r="H2039" s="116"/>
      <c r="I2039" s="116"/>
      <c r="L2039" s="170">
        <v>45005</v>
      </c>
      <c r="M2039" s="116">
        <v>3143.3</v>
      </c>
      <c r="N2039" s="116">
        <v>3169.65</v>
      </c>
      <c r="O2039" s="116">
        <v>3095.05</v>
      </c>
      <c r="P2039" s="116">
        <v>3169.65</v>
      </c>
      <c r="Q2039" s="116">
        <v>3143.3</v>
      </c>
      <c r="R2039">
        <v>2289468</v>
      </c>
    </row>
    <row r="2040" spans="1:18" x14ac:dyDescent="0.25">
      <c r="A2040" s="170">
        <v>45006</v>
      </c>
      <c r="B2040" s="116">
        <v>3155</v>
      </c>
      <c r="C2040" s="116">
        <v>3105.9</v>
      </c>
      <c r="D2040" s="116">
        <v>3097</v>
      </c>
      <c r="E2040" s="116">
        <v>3145</v>
      </c>
      <c r="F2040" s="116">
        <v>3105.9</v>
      </c>
      <c r="G2040">
        <v>34240</v>
      </c>
      <c r="H2040" s="116"/>
      <c r="I2040" s="116"/>
      <c r="L2040" s="170">
        <v>45006</v>
      </c>
      <c r="M2040" s="116">
        <v>3106.1</v>
      </c>
      <c r="N2040" s="116">
        <v>3156.75</v>
      </c>
      <c r="O2040" s="116">
        <v>3097.45</v>
      </c>
      <c r="P2040" s="116">
        <v>3143.3</v>
      </c>
      <c r="Q2040" s="116">
        <v>3106.1</v>
      </c>
      <c r="R2040">
        <v>1815297</v>
      </c>
    </row>
    <row r="2041" spans="1:18" x14ac:dyDescent="0.25">
      <c r="A2041" s="170">
        <v>45007</v>
      </c>
      <c r="B2041" s="116">
        <v>3143.6</v>
      </c>
      <c r="C2041" s="116">
        <v>3130.7</v>
      </c>
      <c r="D2041" s="116">
        <v>3106.1</v>
      </c>
      <c r="E2041" s="116">
        <v>3121.35</v>
      </c>
      <c r="F2041" s="116">
        <v>3130.7</v>
      </c>
      <c r="G2041">
        <v>33080</v>
      </c>
      <c r="H2041" s="116"/>
      <c r="I2041" s="116"/>
      <c r="L2041" s="170">
        <v>45007</v>
      </c>
      <c r="M2041" s="116">
        <v>3130.8</v>
      </c>
      <c r="N2041" s="116">
        <v>3143.5</v>
      </c>
      <c r="O2041" s="116">
        <v>3106.1</v>
      </c>
      <c r="P2041" s="116">
        <v>3130.05</v>
      </c>
      <c r="Q2041" s="116">
        <v>3130.8</v>
      </c>
      <c r="R2041">
        <v>1123939</v>
      </c>
    </row>
    <row r="2042" spans="1:18" x14ac:dyDescent="0.25">
      <c r="A2042" s="170">
        <v>45008</v>
      </c>
      <c r="B2042" s="116">
        <v>3144</v>
      </c>
      <c r="C2042" s="116">
        <v>3124</v>
      </c>
      <c r="D2042" s="116">
        <v>3100.8</v>
      </c>
      <c r="E2042" s="116">
        <v>3117</v>
      </c>
      <c r="F2042" s="116">
        <v>3124</v>
      </c>
      <c r="G2042">
        <v>26541</v>
      </c>
      <c r="H2042" s="116"/>
      <c r="I2042" s="116"/>
      <c r="L2042" s="170">
        <v>45008</v>
      </c>
      <c r="M2042" s="116">
        <v>3124.65</v>
      </c>
      <c r="N2042" s="116">
        <v>3146.35</v>
      </c>
      <c r="O2042" s="116">
        <v>3101</v>
      </c>
      <c r="P2042" s="116">
        <v>3114.9</v>
      </c>
      <c r="Q2042" s="116">
        <v>3124.65</v>
      </c>
      <c r="R2042">
        <v>1372218</v>
      </c>
    </row>
    <row r="2043" spans="1:18" x14ac:dyDescent="0.25">
      <c r="A2043" s="170">
        <v>45009</v>
      </c>
      <c r="B2043" s="116">
        <v>3169.7</v>
      </c>
      <c r="C2043" s="116">
        <v>3121.45</v>
      </c>
      <c r="D2043" s="116">
        <v>3108.8</v>
      </c>
      <c r="E2043" s="116">
        <v>3145</v>
      </c>
      <c r="F2043" s="116">
        <v>3121.45</v>
      </c>
      <c r="G2043">
        <v>34882</v>
      </c>
      <c r="H2043" s="116"/>
      <c r="I2043" s="116"/>
      <c r="L2043" s="170">
        <v>45009</v>
      </c>
      <c r="M2043" s="116">
        <v>3120.5</v>
      </c>
      <c r="N2043" s="116">
        <v>3170</v>
      </c>
      <c r="O2043" s="116">
        <v>3106</v>
      </c>
      <c r="P2043" s="116">
        <v>3148.9</v>
      </c>
      <c r="Q2043" s="116">
        <v>3120.5</v>
      </c>
      <c r="R2043">
        <v>1329577</v>
      </c>
    </row>
    <row r="2044" spans="1:18" x14ac:dyDescent="0.25">
      <c r="A2044" s="170">
        <v>45012</v>
      </c>
      <c r="B2044" s="116">
        <v>3151.95</v>
      </c>
      <c r="C2044" s="116">
        <v>3120.1</v>
      </c>
      <c r="D2044" s="116">
        <v>3105.85</v>
      </c>
      <c r="E2044" s="116">
        <v>3123.85</v>
      </c>
      <c r="F2044" s="116">
        <v>3120.1</v>
      </c>
      <c r="G2044">
        <v>77555</v>
      </c>
      <c r="H2044" s="116"/>
      <c r="I2044" s="116"/>
      <c r="L2044" s="170">
        <v>45012</v>
      </c>
      <c r="M2044" s="116">
        <v>3122.3</v>
      </c>
      <c r="N2044" s="116">
        <v>3152.75</v>
      </c>
      <c r="O2044" s="116">
        <v>3106</v>
      </c>
      <c r="P2044" s="116">
        <v>3135</v>
      </c>
      <c r="Q2044" s="116">
        <v>3122.3</v>
      </c>
      <c r="R2044">
        <v>1524217</v>
      </c>
    </row>
    <row r="2045" spans="1:18" x14ac:dyDescent="0.25">
      <c r="A2045" s="170">
        <v>45013</v>
      </c>
      <c r="B2045" s="116">
        <v>3145.35</v>
      </c>
      <c r="C2045" s="116">
        <v>3115.5</v>
      </c>
      <c r="D2045" s="116">
        <v>3110</v>
      </c>
      <c r="E2045" s="116">
        <v>3122</v>
      </c>
      <c r="F2045" s="116">
        <v>3115.5</v>
      </c>
      <c r="G2045">
        <v>31013</v>
      </c>
      <c r="H2045" s="116"/>
      <c r="I2045" s="116"/>
      <c r="L2045" s="170">
        <v>45013</v>
      </c>
      <c r="M2045" s="116">
        <v>3115.9</v>
      </c>
      <c r="N2045" s="116">
        <v>3149.55</v>
      </c>
      <c r="O2045" s="116">
        <v>3110.15</v>
      </c>
      <c r="P2045" s="116">
        <v>3127</v>
      </c>
      <c r="Q2045" s="116">
        <v>3115.9</v>
      </c>
      <c r="R2045">
        <v>1303530</v>
      </c>
    </row>
    <row r="2046" spans="1:18" x14ac:dyDescent="0.25">
      <c r="A2046" s="170">
        <v>45014</v>
      </c>
      <c r="B2046" s="116">
        <v>3149</v>
      </c>
      <c r="C2046" s="116">
        <v>3138.1</v>
      </c>
      <c r="D2046" s="116">
        <v>3105</v>
      </c>
      <c r="E2046" s="116">
        <v>3125</v>
      </c>
      <c r="F2046" s="116">
        <v>3138.1</v>
      </c>
      <c r="G2046">
        <v>25771</v>
      </c>
      <c r="H2046" s="116"/>
      <c r="I2046" s="116"/>
      <c r="L2046" s="170">
        <v>45014</v>
      </c>
      <c r="M2046" s="116">
        <v>3138.9</v>
      </c>
      <c r="N2046" s="116">
        <v>3150</v>
      </c>
      <c r="O2046" s="116">
        <v>3104.1</v>
      </c>
      <c r="P2046" s="116">
        <v>3129</v>
      </c>
      <c r="Q2046" s="116">
        <v>3138.9</v>
      </c>
      <c r="R2046">
        <v>1740616</v>
      </c>
    </row>
    <row r="2047" spans="1:18" x14ac:dyDescent="0.25">
      <c r="A2047" s="170">
        <v>45016</v>
      </c>
      <c r="B2047" s="116">
        <v>3214</v>
      </c>
      <c r="C2047" s="116">
        <v>3205.8</v>
      </c>
      <c r="D2047" s="116">
        <v>3153</v>
      </c>
      <c r="E2047" s="116">
        <v>3191</v>
      </c>
      <c r="F2047" s="116">
        <v>3205.8</v>
      </c>
      <c r="G2047">
        <v>39813</v>
      </c>
      <c r="H2047" s="116"/>
      <c r="I2047" s="116"/>
      <c r="L2047" s="170">
        <v>45016</v>
      </c>
      <c r="M2047" s="116">
        <v>3205.9</v>
      </c>
      <c r="N2047" s="116">
        <v>3213</v>
      </c>
      <c r="O2047" s="116">
        <v>3152</v>
      </c>
      <c r="P2047" s="116">
        <v>3189.95</v>
      </c>
      <c r="Q2047" s="116">
        <v>3205.9</v>
      </c>
      <c r="R2047">
        <v>2382581</v>
      </c>
    </row>
    <row r="2048" spans="1:18" x14ac:dyDescent="0.25">
      <c r="A2048" s="170">
        <v>45019</v>
      </c>
      <c r="B2048" s="116">
        <v>3225</v>
      </c>
      <c r="C2048" s="116">
        <v>3199.25</v>
      </c>
      <c r="D2048" s="116">
        <v>3175</v>
      </c>
      <c r="E2048" s="116">
        <v>3225</v>
      </c>
      <c r="F2048" s="116">
        <v>3199.25</v>
      </c>
      <c r="G2048">
        <v>29210</v>
      </c>
      <c r="H2048" s="116"/>
      <c r="I2048" s="116"/>
      <c r="L2048" s="170">
        <v>45019</v>
      </c>
      <c r="M2048" s="116">
        <v>3200</v>
      </c>
      <c r="N2048" s="116">
        <v>3224.95</v>
      </c>
      <c r="O2048" s="116">
        <v>3173.75</v>
      </c>
      <c r="P2048" s="116">
        <v>3224.95</v>
      </c>
      <c r="Q2048" s="116">
        <v>3200</v>
      </c>
      <c r="R2048">
        <v>1521830</v>
      </c>
    </row>
    <row r="2049" spans="1:18" x14ac:dyDescent="0.25">
      <c r="A2049" s="170">
        <v>45021</v>
      </c>
      <c r="B2049" s="116">
        <v>3263.6</v>
      </c>
      <c r="C2049" s="116">
        <v>3236.8</v>
      </c>
      <c r="D2049" s="116">
        <v>3185.75</v>
      </c>
      <c r="E2049" s="116">
        <v>3190</v>
      </c>
      <c r="F2049" s="116">
        <v>3236.8</v>
      </c>
      <c r="G2049">
        <v>188173</v>
      </c>
      <c r="H2049" s="116"/>
      <c r="I2049" s="116"/>
      <c r="L2049" s="170">
        <v>45021</v>
      </c>
      <c r="M2049" s="116">
        <v>3239.8</v>
      </c>
      <c r="N2049" s="116">
        <v>3264.35</v>
      </c>
      <c r="O2049" s="116">
        <v>3185.5</v>
      </c>
      <c r="P2049" s="116">
        <v>3185.5</v>
      </c>
      <c r="Q2049" s="116">
        <v>3239.8</v>
      </c>
      <c r="R2049">
        <v>2655065</v>
      </c>
    </row>
    <row r="2050" spans="1:18" x14ac:dyDescent="0.25">
      <c r="A2050" s="170">
        <v>45022</v>
      </c>
      <c r="B2050" s="116">
        <v>3256.9</v>
      </c>
      <c r="C2050" s="116">
        <v>3221.7</v>
      </c>
      <c r="D2050" s="116">
        <v>3216.7</v>
      </c>
      <c r="E2050" s="116">
        <v>3227.5</v>
      </c>
      <c r="F2050" s="116">
        <v>3221.7</v>
      </c>
      <c r="G2050">
        <v>139159</v>
      </c>
      <c r="H2050" s="116"/>
      <c r="I2050" s="116"/>
      <c r="L2050" s="170">
        <v>45022</v>
      </c>
      <c r="M2050" s="116">
        <v>3220.7</v>
      </c>
      <c r="N2050" s="116">
        <v>3257.35</v>
      </c>
      <c r="O2050" s="116">
        <v>3215</v>
      </c>
      <c r="P2050" s="116">
        <v>3225</v>
      </c>
      <c r="Q2050" s="116">
        <v>3220.7</v>
      </c>
      <c r="R2050">
        <v>1703464</v>
      </c>
    </row>
    <row r="2051" spans="1:18" x14ac:dyDescent="0.25">
      <c r="A2051" s="170">
        <v>45026</v>
      </c>
      <c r="B2051" s="116">
        <v>3271</v>
      </c>
      <c r="C2051" s="116">
        <v>3263.2</v>
      </c>
      <c r="D2051" s="116">
        <v>3215.55</v>
      </c>
      <c r="E2051" s="116">
        <v>3217</v>
      </c>
      <c r="F2051" s="116">
        <v>3263.2</v>
      </c>
      <c r="G2051">
        <v>101932</v>
      </c>
      <c r="H2051" s="116"/>
      <c r="I2051" s="116"/>
      <c r="L2051" s="170">
        <v>45026</v>
      </c>
      <c r="M2051" s="116">
        <v>3263.4</v>
      </c>
      <c r="N2051" s="116">
        <v>3272</v>
      </c>
      <c r="O2051" s="116">
        <v>3215</v>
      </c>
      <c r="P2051" s="116">
        <v>3220</v>
      </c>
      <c r="Q2051" s="116">
        <v>3263.4</v>
      </c>
      <c r="R2051">
        <v>2203187</v>
      </c>
    </row>
    <row r="2052" spans="1:18" x14ac:dyDescent="0.25">
      <c r="A2052" s="170">
        <v>45027</v>
      </c>
      <c r="B2052" s="116">
        <v>3275</v>
      </c>
      <c r="C2052" s="116">
        <v>3214.25</v>
      </c>
      <c r="D2052" s="116">
        <v>3193.2</v>
      </c>
      <c r="E2052" s="116">
        <v>3275</v>
      </c>
      <c r="F2052" s="116">
        <v>3214.25</v>
      </c>
      <c r="G2052">
        <v>103589</v>
      </c>
      <c r="H2052" s="116"/>
      <c r="I2052" s="116"/>
      <c r="L2052" s="170">
        <v>45027</v>
      </c>
      <c r="M2052" s="116">
        <v>3213.8</v>
      </c>
      <c r="N2052" s="116">
        <v>3272.95</v>
      </c>
      <c r="O2052" s="116">
        <v>3192.15</v>
      </c>
      <c r="P2052" s="116">
        <v>3264</v>
      </c>
      <c r="Q2052" s="116">
        <v>3213.8</v>
      </c>
      <c r="R2052">
        <v>2348779</v>
      </c>
    </row>
    <row r="2053" spans="1:18" x14ac:dyDescent="0.25">
      <c r="A2053" s="170">
        <v>45028</v>
      </c>
      <c r="B2053" s="116">
        <v>3259.95</v>
      </c>
      <c r="C2053" s="116">
        <v>3242.1</v>
      </c>
      <c r="D2053" s="116">
        <v>3200</v>
      </c>
      <c r="E2053" s="116">
        <v>3218</v>
      </c>
      <c r="F2053" s="116">
        <v>3242.1</v>
      </c>
      <c r="G2053">
        <v>126563</v>
      </c>
      <c r="H2053" s="116"/>
      <c r="I2053" s="116"/>
      <c r="L2053" s="170">
        <v>45028</v>
      </c>
      <c r="M2053" s="116">
        <v>3241.65</v>
      </c>
      <c r="N2053" s="116">
        <v>3260.95</v>
      </c>
      <c r="O2053" s="116">
        <v>3199</v>
      </c>
      <c r="P2053" s="116">
        <v>3227.95</v>
      </c>
      <c r="Q2053" s="116">
        <v>3241.65</v>
      </c>
      <c r="R2053">
        <v>2417727</v>
      </c>
    </row>
    <row r="2054" spans="1:18" x14ac:dyDescent="0.25">
      <c r="A2054" s="170">
        <v>45029</v>
      </c>
      <c r="B2054" s="116">
        <v>3226</v>
      </c>
      <c r="C2054" s="116">
        <v>3189.85</v>
      </c>
      <c r="D2054" s="116">
        <v>3181.05</v>
      </c>
      <c r="E2054" s="116">
        <v>3210.05</v>
      </c>
      <c r="F2054" s="116">
        <v>3189.85</v>
      </c>
      <c r="G2054">
        <v>232961</v>
      </c>
      <c r="H2054" s="116"/>
      <c r="I2054" s="116"/>
      <c r="L2054" s="170">
        <v>45029</v>
      </c>
      <c r="M2054" s="116">
        <v>3188.85</v>
      </c>
      <c r="N2054" s="116">
        <v>3230</v>
      </c>
      <c r="O2054" s="116">
        <v>3180</v>
      </c>
      <c r="P2054" s="116">
        <v>3210</v>
      </c>
      <c r="Q2054" s="116">
        <v>3188.85</v>
      </c>
      <c r="R2054">
        <v>4174070</v>
      </c>
    </row>
    <row r="2055" spans="1:18" x14ac:dyDescent="0.25">
      <c r="A2055" s="170">
        <v>45033</v>
      </c>
      <c r="B2055" s="116">
        <v>3163.35</v>
      </c>
      <c r="C2055" s="116">
        <v>3139.6</v>
      </c>
      <c r="D2055" s="116">
        <v>3070.3</v>
      </c>
      <c r="E2055" s="116">
        <v>3150</v>
      </c>
      <c r="F2055" s="116">
        <v>3139.6</v>
      </c>
      <c r="G2055">
        <v>191858</v>
      </c>
      <c r="H2055" s="116"/>
      <c r="I2055" s="116"/>
      <c r="L2055" s="170">
        <v>45033</v>
      </c>
      <c r="M2055" s="116">
        <v>3139.5</v>
      </c>
      <c r="N2055" s="116">
        <v>3163.4</v>
      </c>
      <c r="O2055" s="116">
        <v>3070.25</v>
      </c>
      <c r="P2055" s="116">
        <v>3134.1</v>
      </c>
      <c r="Q2055" s="116">
        <v>3139.5</v>
      </c>
      <c r="R2055">
        <v>5505048</v>
      </c>
    </row>
    <row r="2056" spans="1:18" x14ac:dyDescent="0.25">
      <c r="A2056" s="170">
        <v>45034</v>
      </c>
      <c r="B2056" s="116">
        <v>3155.8</v>
      </c>
      <c r="C2056" s="116">
        <v>3131.3</v>
      </c>
      <c r="D2056" s="116">
        <v>3111.3</v>
      </c>
      <c r="E2056" s="116">
        <v>3148.05</v>
      </c>
      <c r="F2056" s="116">
        <v>3131.3</v>
      </c>
      <c r="G2056">
        <v>151970</v>
      </c>
      <c r="H2056" s="116"/>
      <c r="I2056" s="116"/>
      <c r="L2056" s="170">
        <v>45034</v>
      </c>
      <c r="M2056" s="116">
        <v>3130.75</v>
      </c>
      <c r="N2056" s="116">
        <v>3156.85</v>
      </c>
      <c r="O2056" s="116">
        <v>3110.6</v>
      </c>
      <c r="P2056" s="116">
        <v>3154.95</v>
      </c>
      <c r="Q2056" s="116">
        <v>3130.75</v>
      </c>
      <c r="R2056">
        <v>2617302</v>
      </c>
    </row>
    <row r="2057" spans="1:18" x14ac:dyDescent="0.25">
      <c r="A2057" s="170">
        <v>45035</v>
      </c>
      <c r="B2057" s="116">
        <v>3132.05</v>
      </c>
      <c r="C2057" s="116">
        <v>3088.7</v>
      </c>
      <c r="D2057" s="116">
        <v>3072.35</v>
      </c>
      <c r="E2057" s="116">
        <v>3126</v>
      </c>
      <c r="F2057" s="116">
        <v>3088.7</v>
      </c>
      <c r="G2057">
        <v>185687</v>
      </c>
      <c r="H2057" s="116"/>
      <c r="I2057" s="116"/>
      <c r="L2057" s="170">
        <v>45035</v>
      </c>
      <c r="M2057" s="116">
        <v>3089.6</v>
      </c>
      <c r="N2057" s="116">
        <v>3140</v>
      </c>
      <c r="O2057" s="116">
        <v>3071.5</v>
      </c>
      <c r="P2057" s="116">
        <v>3130.75</v>
      </c>
      <c r="Q2057" s="116">
        <v>3089.6</v>
      </c>
      <c r="R2057">
        <v>3298034</v>
      </c>
    </row>
    <row r="2058" spans="1:18" x14ac:dyDescent="0.25">
      <c r="A2058" s="170">
        <v>45036</v>
      </c>
      <c r="B2058" s="116">
        <v>3112.95</v>
      </c>
      <c r="C2058" s="116">
        <v>3104.45</v>
      </c>
      <c r="D2058" s="116">
        <v>3079</v>
      </c>
      <c r="E2058" s="116">
        <v>3100</v>
      </c>
      <c r="F2058" s="116">
        <v>3104.45</v>
      </c>
      <c r="G2058">
        <v>76175</v>
      </c>
      <c r="H2058" s="116"/>
      <c r="I2058" s="116"/>
      <c r="L2058" s="170">
        <v>45036</v>
      </c>
      <c r="M2058" s="116">
        <v>3104.8</v>
      </c>
      <c r="N2058" s="116">
        <v>3113</v>
      </c>
      <c r="O2058" s="116">
        <v>3078</v>
      </c>
      <c r="P2058" s="116">
        <v>3090</v>
      </c>
      <c r="Q2058" s="116">
        <v>3104.8</v>
      </c>
      <c r="R2058">
        <v>2419999</v>
      </c>
    </row>
    <row r="2059" spans="1:18" x14ac:dyDescent="0.25">
      <c r="A2059" s="170">
        <v>45037</v>
      </c>
      <c r="B2059" s="116">
        <v>3165.75</v>
      </c>
      <c r="C2059" s="116">
        <v>3161.65</v>
      </c>
      <c r="D2059" s="116">
        <v>3101</v>
      </c>
      <c r="E2059" s="116">
        <v>3101</v>
      </c>
      <c r="F2059" s="116">
        <v>3161.65</v>
      </c>
      <c r="G2059">
        <v>58734</v>
      </c>
      <c r="H2059" s="116"/>
      <c r="I2059" s="116"/>
      <c r="L2059" s="170">
        <v>45037</v>
      </c>
      <c r="M2059" s="116">
        <v>3160.85</v>
      </c>
      <c r="N2059" s="116">
        <v>3164.45</v>
      </c>
      <c r="O2059" s="116">
        <v>3100.8</v>
      </c>
      <c r="P2059" s="116">
        <v>3110</v>
      </c>
      <c r="Q2059" s="116">
        <v>3160.85</v>
      </c>
      <c r="R2059">
        <v>1929184</v>
      </c>
    </row>
    <row r="2060" spans="1:18" x14ac:dyDescent="0.25">
      <c r="A2060" s="170">
        <v>45040</v>
      </c>
      <c r="B2060" s="116">
        <v>3180.6</v>
      </c>
      <c r="C2060" s="116">
        <v>3174.15</v>
      </c>
      <c r="D2060" s="116">
        <v>3126.6</v>
      </c>
      <c r="E2060" s="116">
        <v>3151</v>
      </c>
      <c r="F2060" s="116">
        <v>3174.15</v>
      </c>
      <c r="G2060">
        <v>122196</v>
      </c>
      <c r="H2060" s="116"/>
      <c r="I2060" s="116"/>
      <c r="L2060" s="170">
        <v>45040</v>
      </c>
      <c r="M2060" s="116">
        <v>3174.8</v>
      </c>
      <c r="N2060" s="116">
        <v>3180.95</v>
      </c>
      <c r="O2060" s="116">
        <v>3126.15</v>
      </c>
      <c r="P2060" s="116">
        <v>3151.1</v>
      </c>
      <c r="Q2060" s="116">
        <v>3174.8</v>
      </c>
      <c r="R2060">
        <v>1640676</v>
      </c>
    </row>
    <row r="2061" spans="1:18" x14ac:dyDescent="0.25">
      <c r="A2061" s="170">
        <v>45041</v>
      </c>
      <c r="B2061" s="116">
        <v>3190.85</v>
      </c>
      <c r="C2061" s="116">
        <v>3175.3</v>
      </c>
      <c r="D2061" s="116">
        <v>3148.9</v>
      </c>
      <c r="E2061" s="116">
        <v>3180</v>
      </c>
      <c r="F2061" s="116">
        <v>3175.3</v>
      </c>
      <c r="G2061">
        <v>76223</v>
      </c>
      <c r="H2061" s="116"/>
      <c r="I2061" s="116"/>
      <c r="L2061" s="170">
        <v>45041</v>
      </c>
      <c r="M2061" s="116">
        <v>3176</v>
      </c>
      <c r="N2061" s="116">
        <v>3191.2</v>
      </c>
      <c r="O2061" s="116">
        <v>3147.5</v>
      </c>
      <c r="P2061" s="116">
        <v>3183</v>
      </c>
      <c r="Q2061" s="116">
        <v>3176</v>
      </c>
      <c r="R2061">
        <v>2024090</v>
      </c>
    </row>
    <row r="2062" spans="1:18" x14ac:dyDescent="0.25">
      <c r="A2062" s="170">
        <v>45042</v>
      </c>
      <c r="B2062" s="116">
        <v>3207</v>
      </c>
      <c r="C2062" s="116">
        <v>3199.7</v>
      </c>
      <c r="D2062" s="116">
        <v>3176</v>
      </c>
      <c r="E2062" s="116">
        <v>3176</v>
      </c>
      <c r="F2062" s="116">
        <v>3199.7</v>
      </c>
      <c r="G2062">
        <v>40943</v>
      </c>
      <c r="H2062" s="116"/>
      <c r="I2062" s="116"/>
      <c r="L2062" s="170">
        <v>45042</v>
      </c>
      <c r="M2062" s="116">
        <v>3198.15</v>
      </c>
      <c r="N2062" s="116">
        <v>3208.4</v>
      </c>
      <c r="O2062" s="116">
        <v>3181</v>
      </c>
      <c r="P2062" s="116">
        <v>3181</v>
      </c>
      <c r="Q2062" s="116">
        <v>3198.15</v>
      </c>
      <c r="R2062">
        <v>2000029</v>
      </c>
    </row>
    <row r="2063" spans="1:18" x14ac:dyDescent="0.25">
      <c r="A2063" s="170">
        <v>45043</v>
      </c>
      <c r="B2063" s="116">
        <v>3200</v>
      </c>
      <c r="C2063" s="116">
        <v>3187.1</v>
      </c>
      <c r="D2063" s="116">
        <v>3171</v>
      </c>
      <c r="E2063" s="116">
        <v>3200</v>
      </c>
      <c r="F2063" s="116">
        <v>3187.1</v>
      </c>
      <c r="G2063">
        <v>80128</v>
      </c>
      <c r="H2063" s="116"/>
      <c r="I2063" s="116"/>
      <c r="L2063" s="170">
        <v>45043</v>
      </c>
      <c r="M2063" s="116">
        <v>3187.95</v>
      </c>
      <c r="N2063" s="116">
        <v>3199.2</v>
      </c>
      <c r="O2063" s="116">
        <v>3170.65</v>
      </c>
      <c r="P2063" s="116">
        <v>3185</v>
      </c>
      <c r="Q2063" s="116">
        <v>3187.95</v>
      </c>
      <c r="R2063">
        <v>2434446</v>
      </c>
    </row>
    <row r="2064" spans="1:18" x14ac:dyDescent="0.25">
      <c r="A2064" s="170">
        <v>45044</v>
      </c>
      <c r="B2064" s="116">
        <v>3227.2</v>
      </c>
      <c r="C2064" s="116">
        <v>3216</v>
      </c>
      <c r="D2064" s="116">
        <v>3197.15</v>
      </c>
      <c r="E2064" s="116">
        <v>3208</v>
      </c>
      <c r="F2064" s="116">
        <v>3216</v>
      </c>
      <c r="G2064">
        <v>51644</v>
      </c>
      <c r="H2064" s="116"/>
      <c r="I2064" s="116"/>
      <c r="L2064" s="170">
        <v>45044</v>
      </c>
      <c r="M2064" s="116">
        <v>3219.25</v>
      </c>
      <c r="N2064" s="116">
        <v>3227.25</v>
      </c>
      <c r="O2064" s="116">
        <v>3196.25</v>
      </c>
      <c r="P2064" s="116">
        <v>3200.4</v>
      </c>
      <c r="Q2064" s="116">
        <v>3219.25</v>
      </c>
      <c r="R2064">
        <v>2931312</v>
      </c>
    </row>
    <row r="2065" spans="1:18" x14ac:dyDescent="0.25">
      <c r="A2065" s="170">
        <v>45048</v>
      </c>
      <c r="B2065" s="116">
        <v>3232.1</v>
      </c>
      <c r="C2065" s="116">
        <v>3219.2</v>
      </c>
      <c r="D2065" s="116">
        <v>3211</v>
      </c>
      <c r="E2065" s="116">
        <v>3217</v>
      </c>
      <c r="F2065" s="116">
        <v>3219.2</v>
      </c>
      <c r="G2065">
        <v>69567</v>
      </c>
      <c r="H2065" s="116"/>
      <c r="I2065" s="116"/>
      <c r="L2065" s="170">
        <v>45048</v>
      </c>
      <c r="M2065" s="116">
        <v>3219.4</v>
      </c>
      <c r="N2065" s="116">
        <v>3235</v>
      </c>
      <c r="O2065" s="116">
        <v>3210</v>
      </c>
      <c r="P2065" s="116">
        <v>3235</v>
      </c>
      <c r="Q2065" s="116">
        <v>3219.4</v>
      </c>
      <c r="R2065">
        <v>2321159</v>
      </c>
    </row>
    <row r="2066" spans="1:18" x14ac:dyDescent="0.25">
      <c r="A2066" s="170">
        <v>45049</v>
      </c>
      <c r="B2066" s="116">
        <v>3215.75</v>
      </c>
      <c r="C2066" s="116">
        <v>3180.3</v>
      </c>
      <c r="D2066" s="116">
        <v>3174.05</v>
      </c>
      <c r="E2066" s="116">
        <v>3209.05</v>
      </c>
      <c r="F2066" s="116">
        <v>3180.3</v>
      </c>
      <c r="G2066">
        <v>53799</v>
      </c>
      <c r="H2066" s="116"/>
      <c r="I2066" s="116"/>
      <c r="L2066" s="170">
        <v>45049</v>
      </c>
      <c r="M2066" s="116">
        <v>3179.9</v>
      </c>
      <c r="N2066" s="116">
        <v>3216</v>
      </c>
      <c r="O2066" s="116">
        <v>3173.15</v>
      </c>
      <c r="P2066" s="116">
        <v>3216</v>
      </c>
      <c r="Q2066" s="116">
        <v>3179.9</v>
      </c>
      <c r="R2066">
        <v>2468285</v>
      </c>
    </row>
    <row r="2067" spans="1:18" x14ac:dyDescent="0.25">
      <c r="A2067" s="170">
        <v>45050</v>
      </c>
      <c r="B2067" s="116">
        <v>3224.5</v>
      </c>
      <c r="C2067" s="116">
        <v>3220.35</v>
      </c>
      <c r="D2067" s="116">
        <v>3181</v>
      </c>
      <c r="E2067" s="116">
        <v>3191.95</v>
      </c>
      <c r="F2067" s="116">
        <v>3220.35</v>
      </c>
      <c r="G2067">
        <v>74186</v>
      </c>
      <c r="H2067" s="116"/>
      <c r="I2067" s="116"/>
      <c r="L2067" s="170">
        <v>45050</v>
      </c>
      <c r="M2067" s="116">
        <v>3220.7</v>
      </c>
      <c r="N2067" s="116">
        <v>3224.45</v>
      </c>
      <c r="O2067" s="116">
        <v>3178</v>
      </c>
      <c r="P2067" s="116">
        <v>3180.15</v>
      </c>
      <c r="Q2067" s="116">
        <v>3220.7</v>
      </c>
      <c r="R2067">
        <v>1953253</v>
      </c>
    </row>
    <row r="2068" spans="1:18" x14ac:dyDescent="0.25">
      <c r="A2068" s="170">
        <v>45051</v>
      </c>
      <c r="B2068" s="116">
        <v>3242.9</v>
      </c>
      <c r="C2068" s="116">
        <v>3230.85</v>
      </c>
      <c r="D2068" s="116">
        <v>3210</v>
      </c>
      <c r="E2068" s="116">
        <v>3220.3</v>
      </c>
      <c r="F2068" s="116">
        <v>3230.85</v>
      </c>
      <c r="G2068">
        <v>23445</v>
      </c>
      <c r="H2068" s="116"/>
      <c r="I2068" s="116"/>
      <c r="L2068" s="170">
        <v>45051</v>
      </c>
      <c r="M2068" s="116">
        <v>3230.7</v>
      </c>
      <c r="N2068" s="116">
        <v>3244</v>
      </c>
      <c r="O2068" s="116">
        <v>3210.05</v>
      </c>
      <c r="P2068" s="116">
        <v>3220</v>
      </c>
      <c r="Q2068" s="116">
        <v>3230.7</v>
      </c>
      <c r="R2068">
        <v>1710027</v>
      </c>
    </row>
    <row r="2069" spans="1:18" x14ac:dyDescent="0.25">
      <c r="A2069" s="170">
        <v>45054</v>
      </c>
      <c r="B2069" s="116">
        <v>3253</v>
      </c>
      <c r="C2069" s="116">
        <v>3249.95</v>
      </c>
      <c r="D2069" s="116">
        <v>3230.85</v>
      </c>
      <c r="E2069" s="116">
        <v>3230.85</v>
      </c>
      <c r="F2069" s="116">
        <v>3249.95</v>
      </c>
      <c r="G2069">
        <v>53011</v>
      </c>
      <c r="H2069" s="116"/>
      <c r="I2069" s="116"/>
      <c r="L2069" s="170">
        <v>45054</v>
      </c>
      <c r="M2069" s="116">
        <v>3250.6</v>
      </c>
      <c r="N2069" s="116">
        <v>3254.85</v>
      </c>
      <c r="O2069" s="116">
        <v>3231.3</v>
      </c>
      <c r="P2069" s="116">
        <v>3245</v>
      </c>
      <c r="Q2069" s="116">
        <v>3250.6</v>
      </c>
      <c r="R2069">
        <v>928235</v>
      </c>
    </row>
    <row r="2070" spans="1:18" x14ac:dyDescent="0.25">
      <c r="A2070" s="170">
        <v>45055</v>
      </c>
      <c r="B2070" s="116">
        <v>3298.2</v>
      </c>
      <c r="C2070" s="116">
        <v>3283.9</v>
      </c>
      <c r="D2070" s="116">
        <v>3246.5</v>
      </c>
      <c r="E2070" s="116">
        <v>3247</v>
      </c>
      <c r="F2070" s="116">
        <v>3283.9</v>
      </c>
      <c r="G2070">
        <v>23799</v>
      </c>
      <c r="H2070" s="116"/>
      <c r="I2070" s="116"/>
      <c r="L2070" s="170">
        <v>45055</v>
      </c>
      <c r="M2070" s="116">
        <v>3283.25</v>
      </c>
      <c r="N2070" s="116">
        <v>3298</v>
      </c>
      <c r="O2070" s="116">
        <v>3246</v>
      </c>
      <c r="P2070" s="116">
        <v>3252.6</v>
      </c>
      <c r="Q2070" s="116">
        <v>3283.25</v>
      </c>
      <c r="R2070">
        <v>1107375</v>
      </c>
    </row>
    <row r="2071" spans="1:18" x14ac:dyDescent="0.25">
      <c r="A2071" s="170">
        <v>45056</v>
      </c>
      <c r="B2071" s="116">
        <v>3306.3</v>
      </c>
      <c r="C2071" s="116">
        <v>3285.95</v>
      </c>
      <c r="D2071" s="116">
        <v>3268</v>
      </c>
      <c r="E2071" s="116">
        <v>3288</v>
      </c>
      <c r="F2071" s="116">
        <v>3285.95</v>
      </c>
      <c r="G2071">
        <v>62216</v>
      </c>
      <c r="H2071" s="116"/>
      <c r="I2071" s="116"/>
      <c r="L2071" s="170">
        <v>45056</v>
      </c>
      <c r="M2071" s="116">
        <v>3286.8</v>
      </c>
      <c r="N2071" s="116">
        <v>3306.5</v>
      </c>
      <c r="O2071" s="116">
        <v>3266.05</v>
      </c>
      <c r="P2071" s="116">
        <v>3290</v>
      </c>
      <c r="Q2071" s="116">
        <v>3286.8</v>
      </c>
      <c r="R2071">
        <v>1559987</v>
      </c>
    </row>
    <row r="2072" spans="1:18" x14ac:dyDescent="0.25">
      <c r="A2072" s="170">
        <v>45057</v>
      </c>
      <c r="B2072" s="116">
        <v>3309</v>
      </c>
      <c r="C2072" s="116">
        <v>3281.5</v>
      </c>
      <c r="D2072" s="116">
        <v>3272.5</v>
      </c>
      <c r="E2072" s="116">
        <v>3306</v>
      </c>
      <c r="F2072" s="116">
        <v>3281.5</v>
      </c>
      <c r="G2072">
        <v>22830</v>
      </c>
      <c r="H2072" s="116"/>
      <c r="I2072" s="116"/>
      <c r="L2072" s="170">
        <v>45057</v>
      </c>
      <c r="M2072" s="116">
        <v>3282.15</v>
      </c>
      <c r="N2072" s="116">
        <v>3309.7</v>
      </c>
      <c r="O2072" s="116">
        <v>3272</v>
      </c>
      <c r="P2072" s="116">
        <v>3309</v>
      </c>
      <c r="Q2072" s="116">
        <v>3282.15</v>
      </c>
      <c r="R2072">
        <v>1719623</v>
      </c>
    </row>
    <row r="2073" spans="1:18" x14ac:dyDescent="0.25">
      <c r="A2073" s="170">
        <v>45058</v>
      </c>
      <c r="B2073" s="116">
        <v>3290</v>
      </c>
      <c r="C2073" s="116">
        <v>3273.75</v>
      </c>
      <c r="D2073" s="116">
        <v>3259.35</v>
      </c>
      <c r="E2073" s="116">
        <v>3281.5</v>
      </c>
      <c r="F2073" s="116">
        <v>3273.75</v>
      </c>
      <c r="G2073">
        <v>19204</v>
      </c>
      <c r="H2073" s="116"/>
      <c r="I2073" s="116"/>
      <c r="L2073" s="170">
        <v>45058</v>
      </c>
      <c r="M2073" s="116">
        <v>3274.3</v>
      </c>
      <c r="N2073" s="116">
        <v>3290</v>
      </c>
      <c r="O2073" s="116">
        <v>3260</v>
      </c>
      <c r="P2073" s="116">
        <v>3279.15</v>
      </c>
      <c r="Q2073" s="116">
        <v>3274.3</v>
      </c>
      <c r="R2073">
        <v>1027479</v>
      </c>
    </row>
    <row r="2074" spans="1:18" x14ac:dyDescent="0.25">
      <c r="A2074" s="170">
        <v>45061</v>
      </c>
      <c r="B2074" s="116">
        <v>3292.75</v>
      </c>
      <c r="C2074" s="116">
        <v>3253.15</v>
      </c>
      <c r="D2074" s="116">
        <v>3249.15</v>
      </c>
      <c r="E2074" s="116">
        <v>3280.5</v>
      </c>
      <c r="F2074" s="116">
        <v>3253.15</v>
      </c>
      <c r="G2074">
        <v>20898</v>
      </c>
      <c r="H2074" s="116"/>
      <c r="I2074" s="116"/>
      <c r="L2074" s="170">
        <v>45061</v>
      </c>
      <c r="M2074" s="116">
        <v>3255.05</v>
      </c>
      <c r="N2074" s="116">
        <v>3292</v>
      </c>
      <c r="O2074" s="116">
        <v>3248.35</v>
      </c>
      <c r="P2074" s="116">
        <v>3284</v>
      </c>
      <c r="Q2074" s="116">
        <v>3255.05</v>
      </c>
      <c r="R2074">
        <v>1150390</v>
      </c>
    </row>
    <row r="2075" spans="1:18" x14ac:dyDescent="0.25">
      <c r="A2075" s="170">
        <v>45062</v>
      </c>
      <c r="B2075" s="116">
        <v>3283.9</v>
      </c>
      <c r="C2075" s="116">
        <v>3257</v>
      </c>
      <c r="D2075" s="116">
        <v>3250.75</v>
      </c>
      <c r="E2075" s="116">
        <v>3262</v>
      </c>
      <c r="F2075" s="116">
        <v>3257</v>
      </c>
      <c r="G2075">
        <v>20043</v>
      </c>
      <c r="H2075" s="116"/>
      <c r="I2075" s="116"/>
      <c r="L2075" s="170">
        <v>45062</v>
      </c>
      <c r="M2075" s="116">
        <v>3258.15</v>
      </c>
      <c r="N2075" s="116">
        <v>3285</v>
      </c>
      <c r="O2075" s="116">
        <v>3250.45</v>
      </c>
      <c r="P2075" s="116">
        <v>3256.2</v>
      </c>
      <c r="Q2075" s="116">
        <v>3258.15</v>
      </c>
      <c r="R2075">
        <v>986306</v>
      </c>
    </row>
    <row r="2076" spans="1:18" x14ac:dyDescent="0.25">
      <c r="A2076" s="170">
        <v>45063</v>
      </c>
      <c r="B2076" s="116">
        <v>3272.45</v>
      </c>
      <c r="C2076" s="116">
        <v>3209.1</v>
      </c>
      <c r="D2076" s="116">
        <v>3198.65</v>
      </c>
      <c r="E2076" s="116">
        <v>3251</v>
      </c>
      <c r="F2076" s="116">
        <v>3209.1</v>
      </c>
      <c r="G2076">
        <v>21459</v>
      </c>
      <c r="H2076" s="116"/>
      <c r="I2076" s="116"/>
      <c r="L2076" s="170">
        <v>45063</v>
      </c>
      <c r="M2076" s="116">
        <v>3208.7</v>
      </c>
      <c r="N2076" s="116">
        <v>3280</v>
      </c>
      <c r="O2076" s="116">
        <v>3198.25</v>
      </c>
      <c r="P2076" s="116">
        <v>3255.95</v>
      </c>
      <c r="Q2076" s="116">
        <v>3208.7</v>
      </c>
      <c r="R2076">
        <v>1588815</v>
      </c>
    </row>
    <row r="2077" spans="1:18" x14ac:dyDescent="0.25">
      <c r="A2077" s="170">
        <v>45064</v>
      </c>
      <c r="B2077" s="116">
        <v>3225.85</v>
      </c>
      <c r="C2077" s="116">
        <v>3199.95</v>
      </c>
      <c r="D2077" s="116">
        <v>3196</v>
      </c>
      <c r="E2077" s="116">
        <v>3215.05</v>
      </c>
      <c r="F2077" s="116">
        <v>3199.95</v>
      </c>
      <c r="G2077">
        <v>58500</v>
      </c>
      <c r="H2077" s="116"/>
      <c r="I2077" s="116"/>
      <c r="L2077" s="170">
        <v>45064</v>
      </c>
      <c r="M2077" s="116">
        <v>3199.85</v>
      </c>
      <c r="N2077" s="116">
        <v>3228.95</v>
      </c>
      <c r="O2077" s="116">
        <v>3195</v>
      </c>
      <c r="P2077" s="116">
        <v>3225.95</v>
      </c>
      <c r="Q2077" s="116">
        <v>3199.85</v>
      </c>
      <c r="R2077">
        <v>1369364</v>
      </c>
    </row>
    <row r="2078" spans="1:18" x14ac:dyDescent="0.25">
      <c r="A2078" s="170">
        <v>45065</v>
      </c>
      <c r="B2078" s="116">
        <v>3233.95</v>
      </c>
      <c r="C2078" s="116">
        <v>3221.75</v>
      </c>
      <c r="D2078" s="116">
        <v>3202.1</v>
      </c>
      <c r="E2078" s="116">
        <v>3204</v>
      </c>
      <c r="F2078" s="116">
        <v>3221.75</v>
      </c>
      <c r="G2078">
        <v>38600</v>
      </c>
      <c r="H2078" s="116"/>
      <c r="I2078" s="116"/>
      <c r="L2078" s="170">
        <v>45065</v>
      </c>
      <c r="M2078" s="116">
        <v>3222.85</v>
      </c>
      <c r="N2078" s="116">
        <v>3234.5</v>
      </c>
      <c r="O2078" s="116">
        <v>3203.05</v>
      </c>
      <c r="P2078" s="116">
        <v>3210</v>
      </c>
      <c r="Q2078" s="116">
        <v>3222.85</v>
      </c>
      <c r="R2078">
        <v>1152449</v>
      </c>
    </row>
    <row r="2079" spans="1:18" x14ac:dyDescent="0.25">
      <c r="A2079" s="170">
        <v>45068</v>
      </c>
      <c r="B2079" s="116">
        <v>3308</v>
      </c>
      <c r="C2079" s="116">
        <v>3297.95</v>
      </c>
      <c r="D2079" s="116">
        <v>3218.15</v>
      </c>
      <c r="E2079" s="116">
        <v>3222.85</v>
      </c>
      <c r="F2079" s="116">
        <v>3297.95</v>
      </c>
      <c r="G2079">
        <v>37822</v>
      </c>
      <c r="H2079" s="116"/>
      <c r="I2079" s="116"/>
      <c r="L2079" s="170">
        <v>45068</v>
      </c>
      <c r="M2079" s="116">
        <v>3298.7</v>
      </c>
      <c r="N2079" s="116">
        <v>3308.45</v>
      </c>
      <c r="O2079" s="116">
        <v>3217.05</v>
      </c>
      <c r="P2079" s="116">
        <v>3230</v>
      </c>
      <c r="Q2079" s="116">
        <v>3298.7</v>
      </c>
      <c r="R2079">
        <v>1333243</v>
      </c>
    </row>
    <row r="2080" spans="1:18" x14ac:dyDescent="0.25">
      <c r="A2080" s="170">
        <v>45069</v>
      </c>
      <c r="B2080" s="116">
        <v>3328.95</v>
      </c>
      <c r="C2080" s="116">
        <v>3295.7</v>
      </c>
      <c r="D2080" s="116">
        <v>3290.45</v>
      </c>
      <c r="E2080" s="116">
        <v>3308</v>
      </c>
      <c r="F2080" s="116">
        <v>3295.7</v>
      </c>
      <c r="G2080">
        <v>32867</v>
      </c>
      <c r="H2080" s="116"/>
      <c r="I2080" s="116"/>
      <c r="L2080" s="170">
        <v>45069</v>
      </c>
      <c r="M2080" s="116">
        <v>3297.05</v>
      </c>
      <c r="N2080" s="116">
        <v>3327.95</v>
      </c>
      <c r="O2080" s="116">
        <v>3290.1</v>
      </c>
      <c r="P2080" s="116">
        <v>3306</v>
      </c>
      <c r="Q2080" s="116">
        <v>3297.05</v>
      </c>
      <c r="R2080">
        <v>1687418</v>
      </c>
    </row>
    <row r="2081" spans="1:18" x14ac:dyDescent="0.25">
      <c r="A2081" s="170">
        <v>45070</v>
      </c>
      <c r="B2081" s="116">
        <v>3317.35</v>
      </c>
      <c r="C2081" s="116">
        <v>3301.05</v>
      </c>
      <c r="D2081" s="116">
        <v>3268</v>
      </c>
      <c r="E2081" s="116">
        <v>3268</v>
      </c>
      <c r="F2081" s="116">
        <v>3301.05</v>
      </c>
      <c r="G2081">
        <v>11292</v>
      </c>
      <c r="H2081" s="116"/>
      <c r="I2081" s="116"/>
      <c r="L2081" s="170">
        <v>45070</v>
      </c>
      <c r="M2081" s="116">
        <v>3303.35</v>
      </c>
      <c r="N2081" s="116">
        <v>3317.2</v>
      </c>
      <c r="O2081" s="116">
        <v>3276</v>
      </c>
      <c r="P2081" s="116">
        <v>3276</v>
      </c>
      <c r="Q2081" s="116">
        <v>3303.35</v>
      </c>
      <c r="R2081">
        <v>1016555</v>
      </c>
    </row>
    <row r="2082" spans="1:18" x14ac:dyDescent="0.25">
      <c r="A2082" s="170">
        <v>45071</v>
      </c>
      <c r="B2082" s="116">
        <v>3305.65</v>
      </c>
      <c r="C2082" s="116">
        <v>3294.75</v>
      </c>
      <c r="D2082" s="116">
        <v>3267.85</v>
      </c>
      <c r="E2082" s="116">
        <v>3290</v>
      </c>
      <c r="F2082" s="116">
        <v>3294.75</v>
      </c>
      <c r="G2082">
        <v>30397</v>
      </c>
      <c r="H2082" s="116"/>
      <c r="I2082" s="116"/>
      <c r="L2082" s="170">
        <v>45071</v>
      </c>
      <c r="M2082" s="116">
        <v>3293.5</v>
      </c>
      <c r="N2082" s="116">
        <v>3306</v>
      </c>
      <c r="O2082" s="116">
        <v>3267.1</v>
      </c>
      <c r="P2082" s="116">
        <v>3294</v>
      </c>
      <c r="Q2082" s="116">
        <v>3293.5</v>
      </c>
      <c r="R2082">
        <v>1374917</v>
      </c>
    </row>
    <row r="2083" spans="1:18" x14ac:dyDescent="0.25">
      <c r="A2083" s="170">
        <v>45072</v>
      </c>
      <c r="B2083" s="116">
        <v>3339</v>
      </c>
      <c r="C2083" s="116">
        <v>3329</v>
      </c>
      <c r="D2083" s="116">
        <v>3288.05</v>
      </c>
      <c r="E2083" s="116">
        <v>3288.05</v>
      </c>
      <c r="F2083" s="116">
        <v>3329</v>
      </c>
      <c r="G2083">
        <v>66787</v>
      </c>
      <c r="H2083" s="116"/>
      <c r="I2083" s="116"/>
      <c r="L2083" s="170">
        <v>45072</v>
      </c>
      <c r="M2083" s="116">
        <v>3328.9</v>
      </c>
      <c r="N2083" s="116">
        <v>3338.65</v>
      </c>
      <c r="O2083" s="116">
        <v>3291</v>
      </c>
      <c r="P2083" s="116">
        <v>3293.5</v>
      </c>
      <c r="Q2083" s="116">
        <v>3328.9</v>
      </c>
      <c r="R2083">
        <v>1791115</v>
      </c>
    </row>
    <row r="2084" spans="1:18" x14ac:dyDescent="0.25">
      <c r="A2084" s="170">
        <v>45075</v>
      </c>
      <c r="B2084" s="116">
        <v>3372.95</v>
      </c>
      <c r="C2084" s="116">
        <v>3319.45</v>
      </c>
      <c r="D2084" s="116">
        <v>3312.85</v>
      </c>
      <c r="E2084" s="116">
        <v>3355</v>
      </c>
      <c r="F2084" s="116">
        <v>3319.45</v>
      </c>
      <c r="G2084">
        <v>62538</v>
      </c>
      <c r="H2084" s="116"/>
      <c r="I2084" s="116"/>
      <c r="L2084" s="170">
        <v>45075</v>
      </c>
      <c r="M2084" s="116">
        <v>3320.35</v>
      </c>
      <c r="N2084" s="116">
        <v>3372</v>
      </c>
      <c r="O2084" s="116">
        <v>3312</v>
      </c>
      <c r="P2084" s="116">
        <v>3360.8</v>
      </c>
      <c r="Q2084" s="116">
        <v>3320.35</v>
      </c>
      <c r="R2084">
        <v>1210372</v>
      </c>
    </row>
    <row r="2085" spans="1:18" x14ac:dyDescent="0.25">
      <c r="A2085" s="170">
        <v>45076</v>
      </c>
      <c r="B2085" s="116">
        <v>3326.3</v>
      </c>
      <c r="C2085" s="116">
        <v>3314.8</v>
      </c>
      <c r="D2085" s="116">
        <v>3302</v>
      </c>
      <c r="E2085" s="116">
        <v>3317</v>
      </c>
      <c r="F2085" s="116">
        <v>3314.8</v>
      </c>
      <c r="G2085">
        <v>39929</v>
      </c>
      <c r="H2085" s="116"/>
      <c r="I2085" s="116"/>
      <c r="L2085" s="170">
        <v>45076</v>
      </c>
      <c r="M2085" s="116">
        <v>3316.2</v>
      </c>
      <c r="N2085" s="116">
        <v>3326.95</v>
      </c>
      <c r="O2085" s="116">
        <v>3301.35</v>
      </c>
      <c r="P2085" s="116">
        <v>3315</v>
      </c>
      <c r="Q2085" s="116">
        <v>3316.2</v>
      </c>
      <c r="R2085">
        <v>1344224</v>
      </c>
    </row>
    <row r="2086" spans="1:18" x14ac:dyDescent="0.25">
      <c r="A2086" s="170">
        <v>45077</v>
      </c>
      <c r="B2086" s="116">
        <v>3327.55</v>
      </c>
      <c r="C2086" s="116">
        <v>3291</v>
      </c>
      <c r="D2086" s="116">
        <v>3271</v>
      </c>
      <c r="E2086" s="116">
        <v>3314.8</v>
      </c>
      <c r="F2086" s="116">
        <v>3291</v>
      </c>
      <c r="G2086">
        <v>28339</v>
      </c>
      <c r="H2086" s="116"/>
      <c r="I2086" s="116"/>
      <c r="L2086" s="170">
        <v>45077</v>
      </c>
      <c r="M2086" s="116">
        <v>3289.5</v>
      </c>
      <c r="N2086" s="116">
        <v>3327.7</v>
      </c>
      <c r="O2086" s="116">
        <v>3265.15</v>
      </c>
      <c r="P2086" s="116">
        <v>3309</v>
      </c>
      <c r="Q2086" s="116">
        <v>3289.5</v>
      </c>
      <c r="R2086">
        <v>5815424</v>
      </c>
    </row>
    <row r="2087" spans="1:18" x14ac:dyDescent="0.25">
      <c r="A2087" s="170">
        <v>45078</v>
      </c>
      <c r="B2087" s="116">
        <v>3339.8</v>
      </c>
      <c r="C2087" s="116">
        <v>3323.3</v>
      </c>
      <c r="D2087" s="116">
        <v>3295</v>
      </c>
      <c r="E2087" s="116">
        <v>3310</v>
      </c>
      <c r="F2087" s="116">
        <v>3323.3</v>
      </c>
      <c r="G2087">
        <v>62779</v>
      </c>
      <c r="H2087" s="116"/>
      <c r="I2087" s="116"/>
      <c r="L2087" s="170">
        <v>45078</v>
      </c>
      <c r="M2087" s="116">
        <v>3324</v>
      </c>
      <c r="N2087" s="116">
        <v>3340</v>
      </c>
      <c r="O2087" s="116">
        <v>3297.5</v>
      </c>
      <c r="P2087" s="116">
        <v>3314</v>
      </c>
      <c r="Q2087" s="116">
        <v>3324</v>
      </c>
      <c r="R2087">
        <v>1177314</v>
      </c>
    </row>
    <row r="2088" spans="1:18" x14ac:dyDescent="0.25">
      <c r="A2088" s="170">
        <v>45079</v>
      </c>
      <c r="B2088" s="116">
        <v>3336.75</v>
      </c>
      <c r="C2088" s="116">
        <v>3304.4</v>
      </c>
      <c r="D2088" s="116">
        <v>3296.6</v>
      </c>
      <c r="E2088" s="116">
        <v>3316.2</v>
      </c>
      <c r="F2088" s="116">
        <v>3304.4</v>
      </c>
      <c r="G2088">
        <v>22900</v>
      </c>
      <c r="H2088" s="116"/>
      <c r="I2088" s="116"/>
      <c r="L2088" s="170">
        <v>45079</v>
      </c>
      <c r="M2088" s="116">
        <v>3305.6</v>
      </c>
      <c r="N2088" s="116">
        <v>3335.9</v>
      </c>
      <c r="O2088" s="116">
        <v>3297.45</v>
      </c>
      <c r="P2088" s="116">
        <v>3326.25</v>
      </c>
      <c r="Q2088" s="116">
        <v>3305.6</v>
      </c>
      <c r="R2088">
        <v>2030661</v>
      </c>
    </row>
    <row r="2089" spans="1:18" x14ac:dyDescent="0.25">
      <c r="A2089" s="170">
        <v>45082</v>
      </c>
      <c r="B2089" s="116">
        <v>3325.85</v>
      </c>
      <c r="C2089" s="116">
        <v>3289.6</v>
      </c>
      <c r="D2089" s="116">
        <v>3285</v>
      </c>
      <c r="E2089" s="116">
        <v>3313</v>
      </c>
      <c r="F2089" s="116">
        <v>3289.6</v>
      </c>
      <c r="G2089">
        <v>35207</v>
      </c>
      <c r="H2089" s="116"/>
      <c r="I2089" s="116"/>
      <c r="L2089" s="170">
        <v>45082</v>
      </c>
      <c r="M2089" s="116">
        <v>3288.9</v>
      </c>
      <c r="N2089" s="116">
        <v>3327</v>
      </c>
      <c r="O2089" s="116">
        <v>3285.05</v>
      </c>
      <c r="P2089" s="116">
        <v>3315</v>
      </c>
      <c r="Q2089" s="116">
        <v>3288.9</v>
      </c>
      <c r="R2089">
        <v>1861468</v>
      </c>
    </row>
    <row r="2090" spans="1:18" x14ac:dyDescent="0.25">
      <c r="A2090" s="170">
        <v>45083</v>
      </c>
      <c r="B2090" s="116">
        <v>3289</v>
      </c>
      <c r="C2090" s="116">
        <v>3234.15</v>
      </c>
      <c r="D2090" s="116">
        <v>3221.4</v>
      </c>
      <c r="E2090" s="116">
        <v>3289</v>
      </c>
      <c r="F2090" s="116">
        <v>3234.15</v>
      </c>
      <c r="G2090">
        <v>150482</v>
      </c>
      <c r="H2090" s="116"/>
      <c r="I2090" s="116"/>
      <c r="L2090" s="170">
        <v>45083</v>
      </c>
      <c r="M2090" s="116">
        <v>3232.3</v>
      </c>
      <c r="N2090" s="116">
        <v>3288.85</v>
      </c>
      <c r="O2090" s="116">
        <v>3220.6</v>
      </c>
      <c r="P2090" s="116">
        <v>3280</v>
      </c>
      <c r="Q2090" s="116">
        <v>3232.3</v>
      </c>
      <c r="R2090">
        <v>2022849</v>
      </c>
    </row>
    <row r="2091" spans="1:18" x14ac:dyDescent="0.25">
      <c r="A2091" s="170">
        <v>45084</v>
      </c>
      <c r="B2091" s="116">
        <v>3278.8</v>
      </c>
      <c r="C2091" s="116">
        <v>3274.6</v>
      </c>
      <c r="D2091" s="116">
        <v>3237.05</v>
      </c>
      <c r="E2091" s="116">
        <v>3237.05</v>
      </c>
      <c r="F2091" s="116">
        <v>3274.6</v>
      </c>
      <c r="G2091">
        <v>109708</v>
      </c>
      <c r="H2091" s="116"/>
      <c r="I2091" s="116"/>
      <c r="L2091" s="170">
        <v>45084</v>
      </c>
      <c r="M2091" s="116">
        <v>3274.9</v>
      </c>
      <c r="N2091" s="116">
        <v>3278.85</v>
      </c>
      <c r="O2091" s="116">
        <v>3241</v>
      </c>
      <c r="P2091" s="116">
        <v>3253</v>
      </c>
      <c r="Q2091" s="116">
        <v>3274.9</v>
      </c>
      <c r="R2091">
        <v>1567196</v>
      </c>
    </row>
    <row r="2092" spans="1:18" x14ac:dyDescent="0.25">
      <c r="A2092" s="170">
        <v>45085</v>
      </c>
      <c r="B2092" s="116">
        <v>3270</v>
      </c>
      <c r="C2092" s="116">
        <v>3236.15</v>
      </c>
      <c r="D2092" s="116">
        <v>3233.1</v>
      </c>
      <c r="E2092" s="116">
        <v>3269.95</v>
      </c>
      <c r="F2092" s="116">
        <v>3236.15</v>
      </c>
      <c r="G2092">
        <v>63206</v>
      </c>
      <c r="H2092" s="116"/>
      <c r="I2092" s="116"/>
      <c r="L2092" s="170">
        <v>45085</v>
      </c>
      <c r="M2092" s="116">
        <v>3236.45</v>
      </c>
      <c r="N2092" s="116">
        <v>3270</v>
      </c>
      <c r="O2092" s="116">
        <v>3233</v>
      </c>
      <c r="P2092" s="116">
        <v>3261</v>
      </c>
      <c r="Q2092" s="116">
        <v>3236.45</v>
      </c>
      <c r="R2092">
        <v>1759366</v>
      </c>
    </row>
    <row r="2093" spans="1:18" x14ac:dyDescent="0.25">
      <c r="A2093" s="170">
        <v>45086</v>
      </c>
      <c r="B2093" s="116">
        <v>3249.95</v>
      </c>
      <c r="C2093" s="116">
        <v>3210.45</v>
      </c>
      <c r="D2093" s="116">
        <v>3207</v>
      </c>
      <c r="E2093" s="116">
        <v>3245.05</v>
      </c>
      <c r="F2093" s="116">
        <v>3210.45</v>
      </c>
      <c r="G2093">
        <v>137471</v>
      </c>
      <c r="H2093" s="116"/>
      <c r="I2093" s="116"/>
      <c r="L2093" s="170">
        <v>45086</v>
      </c>
      <c r="M2093" s="116">
        <v>3209.3</v>
      </c>
      <c r="N2093" s="116">
        <v>3250</v>
      </c>
      <c r="O2093" s="116">
        <v>3205.35</v>
      </c>
      <c r="P2093" s="116">
        <v>3245</v>
      </c>
      <c r="Q2093" s="116">
        <v>3209.3</v>
      </c>
      <c r="R2093">
        <v>1775689</v>
      </c>
    </row>
    <row r="2094" spans="1:18" x14ac:dyDescent="0.25">
      <c r="A2094" s="170">
        <v>45089</v>
      </c>
      <c r="B2094" s="116">
        <v>3254.3</v>
      </c>
      <c r="C2094" s="116">
        <v>3248.55</v>
      </c>
      <c r="D2094" s="116">
        <v>3210.05</v>
      </c>
      <c r="E2094" s="116">
        <v>3210.05</v>
      </c>
      <c r="F2094" s="116">
        <v>3248.55</v>
      </c>
      <c r="G2094">
        <v>95226</v>
      </c>
      <c r="H2094" s="116"/>
      <c r="I2094" s="116"/>
      <c r="L2094" s="170">
        <v>45089</v>
      </c>
      <c r="M2094" s="116">
        <v>3246.9</v>
      </c>
      <c r="N2094" s="116">
        <v>3254.4</v>
      </c>
      <c r="O2094" s="116">
        <v>3211</v>
      </c>
      <c r="P2094" s="116">
        <v>3215</v>
      </c>
      <c r="Q2094" s="116">
        <v>3246.9</v>
      </c>
      <c r="R2094">
        <v>2324605</v>
      </c>
    </row>
    <row r="2095" spans="1:18" x14ac:dyDescent="0.25">
      <c r="A2095" s="170">
        <v>45090</v>
      </c>
      <c r="B2095" s="116">
        <v>3265</v>
      </c>
      <c r="C2095" s="116">
        <v>3243.8</v>
      </c>
      <c r="D2095" s="116">
        <v>3240.6</v>
      </c>
      <c r="E2095" s="116">
        <v>3256</v>
      </c>
      <c r="F2095" s="116">
        <v>3243.8</v>
      </c>
      <c r="G2095">
        <v>111746</v>
      </c>
      <c r="H2095" s="116"/>
      <c r="I2095" s="116"/>
      <c r="L2095" s="170">
        <v>45090</v>
      </c>
      <c r="M2095" s="116">
        <v>3243.7</v>
      </c>
      <c r="N2095" s="116">
        <v>3265</v>
      </c>
      <c r="O2095" s="116">
        <v>3239</v>
      </c>
      <c r="P2095" s="116">
        <v>3260</v>
      </c>
      <c r="Q2095" s="116">
        <v>3243.7</v>
      </c>
      <c r="R2095">
        <v>1371928</v>
      </c>
    </row>
    <row r="2096" spans="1:18" x14ac:dyDescent="0.25">
      <c r="A2096" s="170">
        <v>45091</v>
      </c>
      <c r="B2096" s="116">
        <v>3255.75</v>
      </c>
      <c r="C2096" s="116">
        <v>3251.75</v>
      </c>
      <c r="D2096" s="116">
        <v>3226</v>
      </c>
      <c r="E2096" s="116">
        <v>3241.05</v>
      </c>
      <c r="F2096" s="116">
        <v>3251.75</v>
      </c>
      <c r="G2096">
        <v>120224</v>
      </c>
      <c r="H2096" s="116"/>
      <c r="I2096" s="116"/>
      <c r="L2096" s="170">
        <v>45091</v>
      </c>
      <c r="M2096" s="116">
        <v>3251.05</v>
      </c>
      <c r="N2096" s="116">
        <v>3255.85</v>
      </c>
      <c r="O2096" s="116">
        <v>3225.85</v>
      </c>
      <c r="P2096" s="116">
        <v>3243.7</v>
      </c>
      <c r="Q2096" s="116">
        <v>3251.05</v>
      </c>
      <c r="R2096">
        <v>1658544</v>
      </c>
    </row>
    <row r="2097" spans="1:18" x14ac:dyDescent="0.25">
      <c r="A2097" s="170">
        <v>45092</v>
      </c>
      <c r="B2097" s="116">
        <v>3245.45</v>
      </c>
      <c r="C2097" s="116">
        <v>3216.25</v>
      </c>
      <c r="D2097" s="116">
        <v>3211</v>
      </c>
      <c r="E2097" s="116">
        <v>3240.05</v>
      </c>
      <c r="F2097" s="116">
        <v>3216.25</v>
      </c>
      <c r="G2097">
        <v>133137</v>
      </c>
      <c r="H2097" s="116"/>
      <c r="I2097" s="116"/>
      <c r="L2097" s="170">
        <v>45092</v>
      </c>
      <c r="M2097" s="116">
        <v>3216.3</v>
      </c>
      <c r="N2097" s="116">
        <v>3247.45</v>
      </c>
      <c r="O2097" s="116">
        <v>3210</v>
      </c>
      <c r="P2097" s="116">
        <v>3245.3</v>
      </c>
      <c r="Q2097" s="116">
        <v>3216.3</v>
      </c>
      <c r="R2097">
        <v>2273810</v>
      </c>
    </row>
    <row r="2098" spans="1:18" x14ac:dyDescent="0.25">
      <c r="A2098" s="170">
        <v>45093</v>
      </c>
      <c r="B2098" s="116">
        <v>3203.95</v>
      </c>
      <c r="C2098" s="116">
        <v>3175.25</v>
      </c>
      <c r="D2098" s="116">
        <v>3156.2</v>
      </c>
      <c r="E2098" s="116">
        <v>3203.95</v>
      </c>
      <c r="F2098" s="116">
        <v>3175.25</v>
      </c>
      <c r="G2098">
        <v>151310</v>
      </c>
      <c r="H2098" s="116"/>
      <c r="I2098" s="116"/>
      <c r="L2098" s="170">
        <v>45093</v>
      </c>
      <c r="M2098" s="116">
        <v>3174.9</v>
      </c>
      <c r="N2098" s="116">
        <v>3199.4</v>
      </c>
      <c r="O2098" s="116">
        <v>3156</v>
      </c>
      <c r="P2098" s="116">
        <v>3197</v>
      </c>
      <c r="Q2098" s="116">
        <v>3174.9</v>
      </c>
      <c r="R2098">
        <v>4156189</v>
      </c>
    </row>
    <row r="2099" spans="1:18" x14ac:dyDescent="0.25">
      <c r="A2099" s="170">
        <v>45096</v>
      </c>
      <c r="B2099" s="116">
        <v>3215</v>
      </c>
      <c r="C2099" s="116">
        <v>3209.65</v>
      </c>
      <c r="D2099" s="116">
        <v>3173</v>
      </c>
      <c r="E2099" s="116">
        <v>3175.3</v>
      </c>
      <c r="F2099" s="116">
        <v>3209.65</v>
      </c>
      <c r="G2099">
        <v>88241</v>
      </c>
      <c r="H2099" s="116"/>
      <c r="I2099" s="116"/>
      <c r="L2099" s="170">
        <v>45096</v>
      </c>
      <c r="M2099" s="116">
        <v>3210.4</v>
      </c>
      <c r="N2099" s="116">
        <v>3214.9</v>
      </c>
      <c r="O2099" s="116">
        <v>3175</v>
      </c>
      <c r="P2099" s="116">
        <v>3190</v>
      </c>
      <c r="Q2099" s="116">
        <v>3210.4</v>
      </c>
      <c r="R2099">
        <v>1468186</v>
      </c>
    </row>
    <row r="2100" spans="1:18" x14ac:dyDescent="0.25">
      <c r="A2100" s="170">
        <v>45097</v>
      </c>
      <c r="B2100" s="116">
        <v>3232</v>
      </c>
      <c r="C2100" s="116">
        <v>3227.2</v>
      </c>
      <c r="D2100" s="116">
        <v>3201.6</v>
      </c>
      <c r="E2100" s="116">
        <v>3214</v>
      </c>
      <c r="F2100" s="116">
        <v>3227.2</v>
      </c>
      <c r="G2100">
        <v>55192</v>
      </c>
      <c r="H2100" s="116"/>
      <c r="I2100" s="116"/>
      <c r="L2100" s="170">
        <v>45097</v>
      </c>
      <c r="M2100" s="116">
        <v>3227.7</v>
      </c>
      <c r="N2100" s="116">
        <v>3232.5</v>
      </c>
      <c r="O2100" s="116">
        <v>3201.05</v>
      </c>
      <c r="P2100" s="116">
        <v>3214</v>
      </c>
      <c r="Q2100" s="116">
        <v>3227.7</v>
      </c>
      <c r="R2100">
        <v>1528452</v>
      </c>
    </row>
    <row r="2101" spans="1:18" x14ac:dyDescent="0.25">
      <c r="A2101" s="170">
        <v>45098</v>
      </c>
      <c r="B2101" s="116">
        <v>3261</v>
      </c>
      <c r="C2101" s="116">
        <v>3257.45</v>
      </c>
      <c r="D2101" s="116">
        <v>3224.5</v>
      </c>
      <c r="E2101" s="116">
        <v>3240.05</v>
      </c>
      <c r="F2101" s="116">
        <v>3257.45</v>
      </c>
      <c r="G2101">
        <v>34640</v>
      </c>
      <c r="H2101" s="116"/>
      <c r="I2101" s="116"/>
      <c r="L2101" s="170">
        <v>45098</v>
      </c>
      <c r="M2101" s="116">
        <v>3258.2</v>
      </c>
      <c r="N2101" s="116">
        <v>3261.4</v>
      </c>
      <c r="O2101" s="116">
        <v>3223.95</v>
      </c>
      <c r="P2101" s="116">
        <v>3250</v>
      </c>
      <c r="Q2101" s="116">
        <v>3258.2</v>
      </c>
      <c r="R2101">
        <v>1645987</v>
      </c>
    </row>
    <row r="2102" spans="1:18" x14ac:dyDescent="0.25">
      <c r="A2102" s="170">
        <v>45099</v>
      </c>
      <c r="B2102" s="116">
        <v>3267</v>
      </c>
      <c r="C2102" s="116">
        <v>3238.85</v>
      </c>
      <c r="D2102" s="116">
        <v>3231.85</v>
      </c>
      <c r="E2102" s="116">
        <v>3265.95</v>
      </c>
      <c r="F2102" s="116">
        <v>3238.85</v>
      </c>
      <c r="G2102">
        <v>85493</v>
      </c>
      <c r="H2102" s="116"/>
      <c r="I2102" s="116"/>
      <c r="L2102" s="170">
        <v>45099</v>
      </c>
      <c r="M2102" s="116">
        <v>3238.5</v>
      </c>
      <c r="N2102" s="116">
        <v>3267.65</v>
      </c>
      <c r="O2102" s="116">
        <v>3230.1</v>
      </c>
      <c r="P2102" s="116">
        <v>3260</v>
      </c>
      <c r="Q2102" s="116">
        <v>3238.5</v>
      </c>
      <c r="R2102">
        <v>1529603</v>
      </c>
    </row>
    <row r="2103" spans="1:18" x14ac:dyDescent="0.25">
      <c r="A2103" s="170">
        <v>45100</v>
      </c>
      <c r="B2103" s="116">
        <v>3247</v>
      </c>
      <c r="C2103" s="116">
        <v>3217.45</v>
      </c>
      <c r="D2103" s="116">
        <v>3209</v>
      </c>
      <c r="E2103" s="116">
        <v>3236</v>
      </c>
      <c r="F2103" s="116">
        <v>3217.45</v>
      </c>
      <c r="G2103">
        <v>169294</v>
      </c>
      <c r="H2103" s="116"/>
      <c r="I2103" s="116"/>
      <c r="L2103" s="170">
        <v>45100</v>
      </c>
      <c r="M2103" s="116">
        <v>3216.35</v>
      </c>
      <c r="N2103" s="116">
        <v>3249.4</v>
      </c>
      <c r="O2103" s="116">
        <v>3209.15</v>
      </c>
      <c r="P2103" s="116">
        <v>3237.3</v>
      </c>
      <c r="Q2103" s="116">
        <v>3216.35</v>
      </c>
      <c r="R2103">
        <v>1119505</v>
      </c>
    </row>
    <row r="2104" spans="1:18" x14ac:dyDescent="0.25">
      <c r="A2104" s="170">
        <v>45103</v>
      </c>
      <c r="B2104" s="116">
        <v>3210.25</v>
      </c>
      <c r="C2104" s="116">
        <v>3189.9</v>
      </c>
      <c r="D2104" s="116">
        <v>3172.45</v>
      </c>
      <c r="E2104" s="116">
        <v>3202</v>
      </c>
      <c r="F2104" s="116">
        <v>3189.9</v>
      </c>
      <c r="G2104">
        <v>115935</v>
      </c>
      <c r="H2104" s="116"/>
      <c r="I2104" s="116"/>
      <c r="L2104" s="170">
        <v>45103</v>
      </c>
      <c r="M2104" s="116">
        <v>3189.65</v>
      </c>
      <c r="N2104" s="116">
        <v>3213.9</v>
      </c>
      <c r="O2104" s="116">
        <v>3173</v>
      </c>
      <c r="P2104" s="116">
        <v>3205</v>
      </c>
      <c r="Q2104" s="116">
        <v>3189.65</v>
      </c>
      <c r="R2104">
        <v>1978803</v>
      </c>
    </row>
    <row r="2105" spans="1:18" x14ac:dyDescent="0.25">
      <c r="A2105" s="170">
        <v>45104</v>
      </c>
      <c r="B2105" s="116">
        <v>3209.7</v>
      </c>
      <c r="C2105" s="116">
        <v>3196.6</v>
      </c>
      <c r="D2105" s="116">
        <v>3183</v>
      </c>
      <c r="E2105" s="116">
        <v>3200</v>
      </c>
      <c r="F2105" s="116">
        <v>3196.6</v>
      </c>
      <c r="G2105">
        <v>66914</v>
      </c>
      <c r="H2105" s="116"/>
      <c r="I2105" s="116"/>
      <c r="L2105" s="170">
        <v>45104</v>
      </c>
      <c r="M2105" s="116">
        <v>3197.35</v>
      </c>
      <c r="N2105" s="116">
        <v>3209.65</v>
      </c>
      <c r="O2105" s="116">
        <v>3182.3</v>
      </c>
      <c r="P2105" s="116">
        <v>3202</v>
      </c>
      <c r="Q2105" s="116">
        <v>3197.35</v>
      </c>
      <c r="R2105">
        <v>863542</v>
      </c>
    </row>
    <row r="2106" spans="1:18" x14ac:dyDescent="0.25">
      <c r="A2106" s="170">
        <v>45105</v>
      </c>
      <c r="B2106" s="116">
        <v>3231</v>
      </c>
      <c r="C2106" s="116">
        <v>3214.75</v>
      </c>
      <c r="D2106" s="116">
        <v>3193.2</v>
      </c>
      <c r="E2106" s="116">
        <v>3203.05</v>
      </c>
      <c r="F2106" s="116">
        <v>3214.75</v>
      </c>
      <c r="G2106">
        <v>46412</v>
      </c>
      <c r="H2106" s="116"/>
      <c r="I2106" s="116"/>
      <c r="L2106" s="170">
        <v>45105</v>
      </c>
      <c r="M2106" s="116">
        <v>3215.45</v>
      </c>
      <c r="N2106" s="116">
        <v>3230.95</v>
      </c>
      <c r="O2106" s="116">
        <v>3193.4</v>
      </c>
      <c r="P2106" s="116">
        <v>3208</v>
      </c>
      <c r="Q2106" s="116">
        <v>3215.45</v>
      </c>
      <c r="R2106">
        <v>1575872</v>
      </c>
    </row>
    <row r="2107" spans="1:18" x14ac:dyDescent="0.25">
      <c r="A2107" s="170">
        <v>45107</v>
      </c>
      <c r="B2107" s="116">
        <v>3309.6</v>
      </c>
      <c r="C2107" s="116">
        <v>3300.5</v>
      </c>
      <c r="D2107" s="116">
        <v>3215</v>
      </c>
      <c r="E2107" s="116">
        <v>3215</v>
      </c>
      <c r="F2107" s="116">
        <v>3300.5</v>
      </c>
      <c r="G2107">
        <v>128775</v>
      </c>
      <c r="H2107" s="116"/>
      <c r="I2107" s="116"/>
      <c r="L2107" s="170">
        <v>45107</v>
      </c>
      <c r="M2107" s="116">
        <v>3302.25</v>
      </c>
      <c r="N2107" s="116">
        <v>3310</v>
      </c>
      <c r="O2107" s="116">
        <v>3214.1</v>
      </c>
      <c r="P2107" s="116">
        <v>3220</v>
      </c>
      <c r="Q2107" s="116">
        <v>3302.25</v>
      </c>
      <c r="R2107">
        <v>2672406</v>
      </c>
    </row>
    <row r="2108" spans="1:18" x14ac:dyDescent="0.25">
      <c r="A2108" s="170">
        <v>45110</v>
      </c>
      <c r="B2108" s="116">
        <v>3318.65</v>
      </c>
      <c r="C2108" s="116">
        <v>3271.4</v>
      </c>
      <c r="D2108" s="116">
        <v>3267</v>
      </c>
      <c r="E2108" s="116">
        <v>3306.7</v>
      </c>
      <c r="F2108" s="116">
        <v>3271.4</v>
      </c>
      <c r="G2108">
        <v>45336</v>
      </c>
      <c r="H2108" s="116"/>
      <c r="I2108" s="116"/>
      <c r="L2108" s="170">
        <v>45110</v>
      </c>
      <c r="M2108" s="116">
        <v>3272.3</v>
      </c>
      <c r="N2108" s="116">
        <v>3318.8</v>
      </c>
      <c r="O2108" s="116">
        <v>3268.75</v>
      </c>
      <c r="P2108" s="116">
        <v>3314.3</v>
      </c>
      <c r="Q2108" s="116">
        <v>3272.3</v>
      </c>
      <c r="R2108">
        <v>1687264</v>
      </c>
    </row>
    <row r="2109" spans="1:18" x14ac:dyDescent="0.25">
      <c r="A2109" s="170">
        <v>45111</v>
      </c>
      <c r="B2109" s="116">
        <v>3314.85</v>
      </c>
      <c r="C2109" s="116">
        <v>3308</v>
      </c>
      <c r="D2109" s="116">
        <v>3275</v>
      </c>
      <c r="E2109" s="116">
        <v>3294</v>
      </c>
      <c r="F2109" s="116">
        <v>3308</v>
      </c>
      <c r="G2109">
        <v>37920</v>
      </c>
      <c r="H2109" s="116"/>
      <c r="I2109" s="116"/>
      <c r="L2109" s="170">
        <v>45111</v>
      </c>
      <c r="M2109" s="116">
        <v>3308.85</v>
      </c>
      <c r="N2109" s="116">
        <v>3315</v>
      </c>
      <c r="O2109" s="116">
        <v>3277.3</v>
      </c>
      <c r="P2109" s="116">
        <v>3290</v>
      </c>
      <c r="Q2109" s="116">
        <v>3308.85</v>
      </c>
      <c r="R2109">
        <v>1656681</v>
      </c>
    </row>
    <row r="2110" spans="1:18" x14ac:dyDescent="0.25">
      <c r="A2110" s="170">
        <v>45112</v>
      </c>
      <c r="B2110" s="116">
        <v>3329</v>
      </c>
      <c r="C2110" s="116">
        <v>3320.5</v>
      </c>
      <c r="D2110" s="116">
        <v>3305</v>
      </c>
      <c r="E2110" s="116">
        <v>3312.05</v>
      </c>
      <c r="F2110" s="116">
        <v>3320.5</v>
      </c>
      <c r="G2110">
        <v>27434</v>
      </c>
      <c r="H2110" s="116"/>
      <c r="I2110" s="116"/>
      <c r="L2110" s="170">
        <v>45112</v>
      </c>
      <c r="M2110" s="116">
        <v>3319.95</v>
      </c>
      <c r="N2110" s="116">
        <v>3329</v>
      </c>
      <c r="O2110" s="116">
        <v>3305</v>
      </c>
      <c r="P2110" s="116">
        <v>3320</v>
      </c>
      <c r="Q2110" s="116">
        <v>3319.95</v>
      </c>
      <c r="R2110">
        <v>1453008</v>
      </c>
    </row>
    <row r="2111" spans="1:18" x14ac:dyDescent="0.25">
      <c r="A2111" s="170">
        <v>45113</v>
      </c>
      <c r="B2111" s="116">
        <v>3327</v>
      </c>
      <c r="C2111" s="116">
        <v>3322.85</v>
      </c>
      <c r="D2111" s="116">
        <v>3300</v>
      </c>
      <c r="E2111" s="116">
        <v>3300</v>
      </c>
      <c r="F2111" s="116">
        <v>3322.85</v>
      </c>
      <c r="G2111">
        <v>60702</v>
      </c>
      <c r="H2111" s="116"/>
      <c r="I2111" s="116"/>
      <c r="L2111" s="170">
        <v>45113</v>
      </c>
      <c r="M2111" s="116">
        <v>3322.9</v>
      </c>
      <c r="N2111" s="116">
        <v>3328.45</v>
      </c>
      <c r="O2111" s="116">
        <v>3302</v>
      </c>
      <c r="P2111" s="116">
        <v>3306.55</v>
      </c>
      <c r="Q2111" s="116">
        <v>3322.9</v>
      </c>
      <c r="R2111">
        <v>1848238</v>
      </c>
    </row>
    <row r="2112" spans="1:18" x14ac:dyDescent="0.25">
      <c r="A2112" s="170">
        <v>45114</v>
      </c>
      <c r="B2112" s="116">
        <v>3356.4</v>
      </c>
      <c r="C2112" s="116">
        <v>3325.7</v>
      </c>
      <c r="D2112" s="116">
        <v>3300.85</v>
      </c>
      <c r="E2112" s="116">
        <v>3300.85</v>
      </c>
      <c r="F2112" s="116">
        <v>3325.7</v>
      </c>
      <c r="G2112">
        <v>60304</v>
      </c>
      <c r="H2112" s="116"/>
      <c r="I2112" s="116"/>
      <c r="L2112" s="170">
        <v>45114</v>
      </c>
      <c r="M2112" s="116">
        <v>3329.25</v>
      </c>
      <c r="N2112" s="116">
        <v>3356.9</v>
      </c>
      <c r="O2112" s="116">
        <v>3302</v>
      </c>
      <c r="P2112" s="116">
        <v>3302</v>
      </c>
      <c r="Q2112" s="116">
        <v>3329.25</v>
      </c>
      <c r="R2112">
        <v>1789326</v>
      </c>
    </row>
    <row r="2113" spans="1:18" x14ac:dyDescent="0.25">
      <c r="A2113" s="170">
        <v>45117</v>
      </c>
      <c r="B2113" s="116">
        <v>3326.1</v>
      </c>
      <c r="C2113" s="116">
        <v>3272.3</v>
      </c>
      <c r="D2113" s="116">
        <v>3265</v>
      </c>
      <c r="E2113" s="116">
        <v>3326.1</v>
      </c>
      <c r="F2113" s="116">
        <v>3272.3</v>
      </c>
      <c r="G2113">
        <v>37435</v>
      </c>
      <c r="H2113" s="116"/>
      <c r="I2113" s="116"/>
      <c r="L2113" s="170">
        <v>45117</v>
      </c>
      <c r="M2113" s="116">
        <v>3271.95</v>
      </c>
      <c r="N2113" s="116">
        <v>3324.75</v>
      </c>
      <c r="O2113" s="116">
        <v>3265.2</v>
      </c>
      <c r="P2113" s="116">
        <v>3324.75</v>
      </c>
      <c r="Q2113" s="116">
        <v>3271.95</v>
      </c>
      <c r="R2113">
        <v>1407431</v>
      </c>
    </row>
    <row r="2114" spans="1:18" x14ac:dyDescent="0.25">
      <c r="A2114" s="170">
        <v>45118</v>
      </c>
      <c r="B2114" s="116">
        <v>3294</v>
      </c>
      <c r="C2114" s="116">
        <v>3271.85</v>
      </c>
      <c r="D2114" s="116">
        <v>3261</v>
      </c>
      <c r="E2114" s="116">
        <v>3294</v>
      </c>
      <c r="F2114" s="116">
        <v>3271.85</v>
      </c>
      <c r="G2114">
        <v>82603</v>
      </c>
      <c r="H2114" s="116"/>
      <c r="I2114" s="116"/>
      <c r="L2114" s="170">
        <v>45118</v>
      </c>
      <c r="M2114" s="116">
        <v>3272.4</v>
      </c>
      <c r="N2114" s="116">
        <v>3295</v>
      </c>
      <c r="O2114" s="116">
        <v>3260.8</v>
      </c>
      <c r="P2114" s="116">
        <v>3295</v>
      </c>
      <c r="Q2114" s="116">
        <v>3272.4</v>
      </c>
      <c r="R2114">
        <v>1110172</v>
      </c>
    </row>
    <row r="2115" spans="1:18" x14ac:dyDescent="0.25">
      <c r="A2115" s="170">
        <v>45119</v>
      </c>
      <c r="B2115" s="116">
        <v>3290.35</v>
      </c>
      <c r="C2115" s="116">
        <v>3260.2</v>
      </c>
      <c r="D2115" s="116">
        <v>3250</v>
      </c>
      <c r="E2115" s="116">
        <v>3275.15</v>
      </c>
      <c r="F2115" s="116">
        <v>3260.2</v>
      </c>
      <c r="G2115">
        <v>31535</v>
      </c>
      <c r="H2115" s="116"/>
      <c r="I2115" s="116"/>
      <c r="L2115" s="170">
        <v>45119</v>
      </c>
      <c r="M2115" s="116">
        <v>3259.9</v>
      </c>
      <c r="N2115" s="116">
        <v>3289.15</v>
      </c>
      <c r="O2115" s="116">
        <v>3250.1</v>
      </c>
      <c r="P2115" s="116">
        <v>3280.95</v>
      </c>
      <c r="Q2115" s="116">
        <v>3259.9</v>
      </c>
      <c r="R2115">
        <v>1515240</v>
      </c>
    </row>
    <row r="2116" spans="1:18" x14ac:dyDescent="0.25">
      <c r="A2116" s="170">
        <v>45120</v>
      </c>
      <c r="B2116" s="116">
        <v>3366</v>
      </c>
      <c r="C2116" s="116">
        <v>3340.65</v>
      </c>
      <c r="D2116" s="116">
        <v>3273.05</v>
      </c>
      <c r="E2116" s="116">
        <v>3276</v>
      </c>
      <c r="F2116" s="116">
        <v>3340.65</v>
      </c>
      <c r="G2116">
        <v>268661</v>
      </c>
      <c r="H2116" s="116"/>
      <c r="I2116" s="116"/>
      <c r="L2116" s="170">
        <v>45120</v>
      </c>
      <c r="M2116" s="116">
        <v>3340.55</v>
      </c>
      <c r="N2116" s="116">
        <v>3367.45</v>
      </c>
      <c r="O2116" s="116">
        <v>3272.75</v>
      </c>
      <c r="P2116" s="116">
        <v>3284</v>
      </c>
      <c r="Q2116" s="116">
        <v>3340.55</v>
      </c>
      <c r="R2116">
        <v>4585146</v>
      </c>
    </row>
    <row r="2117" spans="1:18" x14ac:dyDescent="0.25">
      <c r="A2117" s="170">
        <v>45121</v>
      </c>
      <c r="B2117" s="116">
        <v>3524</v>
      </c>
      <c r="C2117" s="116">
        <v>3512</v>
      </c>
      <c r="D2117" s="116">
        <v>3352.05</v>
      </c>
      <c r="E2117" s="116">
        <v>3360.3</v>
      </c>
      <c r="F2117" s="116">
        <v>3512</v>
      </c>
      <c r="G2117">
        <v>392060</v>
      </c>
      <c r="H2117" s="116"/>
      <c r="I2117" s="116"/>
      <c r="L2117" s="170">
        <v>45121</v>
      </c>
      <c r="M2117" s="116">
        <v>3514.65</v>
      </c>
      <c r="N2117" s="116">
        <v>3524.85</v>
      </c>
      <c r="O2117" s="116">
        <v>3352</v>
      </c>
      <c r="P2117" s="116">
        <v>3365</v>
      </c>
      <c r="Q2117" s="116">
        <v>3514.65</v>
      </c>
      <c r="R2117">
        <v>6306101</v>
      </c>
    </row>
    <row r="2118" spans="1:18" x14ac:dyDescent="0.25">
      <c r="A2118" s="170">
        <v>45124</v>
      </c>
      <c r="B2118" s="116">
        <v>3549</v>
      </c>
      <c r="C2118" s="116">
        <v>3491.95</v>
      </c>
      <c r="D2118" s="116">
        <v>3477.5</v>
      </c>
      <c r="E2118" s="116">
        <v>3512</v>
      </c>
      <c r="F2118" s="116">
        <v>3491.95</v>
      </c>
      <c r="G2118">
        <v>76509</v>
      </c>
      <c r="H2118" s="116"/>
      <c r="I2118" s="116"/>
      <c r="L2118" s="170">
        <v>45124</v>
      </c>
      <c r="M2118" s="116">
        <v>3491.7</v>
      </c>
      <c r="N2118" s="116">
        <v>3549.9</v>
      </c>
      <c r="O2118" s="116">
        <v>3477.05</v>
      </c>
      <c r="P2118" s="116">
        <v>3510</v>
      </c>
      <c r="Q2118" s="116">
        <v>3491.7</v>
      </c>
      <c r="R2118">
        <v>2743228</v>
      </c>
    </row>
    <row r="2119" spans="1:18" x14ac:dyDescent="0.25">
      <c r="A2119" s="170">
        <v>45125</v>
      </c>
      <c r="B2119" s="116">
        <v>3525</v>
      </c>
      <c r="C2119" s="116">
        <v>3499.8</v>
      </c>
      <c r="D2119" s="116">
        <v>3464</v>
      </c>
      <c r="E2119" s="116">
        <v>3486</v>
      </c>
      <c r="F2119" s="116">
        <v>3499.8</v>
      </c>
      <c r="G2119">
        <v>81733</v>
      </c>
      <c r="H2119" s="116"/>
      <c r="I2119" s="116"/>
      <c r="L2119" s="170">
        <v>45125</v>
      </c>
      <c r="M2119" s="116">
        <v>3496.85</v>
      </c>
      <c r="N2119" s="116">
        <v>3524</v>
      </c>
      <c r="O2119" s="116">
        <v>3465</v>
      </c>
      <c r="P2119" s="116">
        <v>3476</v>
      </c>
      <c r="Q2119" s="116">
        <v>3496.85</v>
      </c>
      <c r="R2119">
        <v>2600090</v>
      </c>
    </row>
    <row r="2120" spans="1:18" x14ac:dyDescent="0.25">
      <c r="A2120" s="170">
        <v>45126</v>
      </c>
      <c r="B2120" s="116">
        <v>3516</v>
      </c>
      <c r="C2120" s="116">
        <v>3471</v>
      </c>
      <c r="D2120" s="116">
        <v>3446.2</v>
      </c>
      <c r="E2120" s="116">
        <v>3495.05</v>
      </c>
      <c r="F2120" s="116">
        <v>3471</v>
      </c>
      <c r="G2120">
        <v>94660</v>
      </c>
      <c r="H2120" s="116"/>
      <c r="I2120" s="116"/>
      <c r="L2120" s="170">
        <v>45126</v>
      </c>
      <c r="M2120" s="116">
        <v>3470.05</v>
      </c>
      <c r="N2120" s="116">
        <v>3516.85</v>
      </c>
      <c r="O2120" s="116">
        <v>3445.65</v>
      </c>
      <c r="P2120" s="116">
        <v>3500</v>
      </c>
      <c r="Q2120" s="116">
        <v>3470.05</v>
      </c>
      <c r="R2120">
        <v>2405370</v>
      </c>
    </row>
    <row r="2121" spans="1:18" x14ac:dyDescent="0.25">
      <c r="A2121" s="170">
        <v>45127</v>
      </c>
      <c r="B2121" s="116">
        <v>3478.5</v>
      </c>
      <c r="C2121" s="116">
        <v>3462.35</v>
      </c>
      <c r="D2121" s="116">
        <v>3436</v>
      </c>
      <c r="E2121" s="116">
        <v>3457</v>
      </c>
      <c r="F2121" s="116">
        <v>3462.35</v>
      </c>
      <c r="G2121">
        <v>72310</v>
      </c>
      <c r="H2121" s="116"/>
      <c r="I2121" s="116"/>
      <c r="L2121" s="170">
        <v>45127</v>
      </c>
      <c r="M2121" s="116">
        <v>3463.3</v>
      </c>
      <c r="N2121" s="116">
        <v>3478.9</v>
      </c>
      <c r="O2121" s="116">
        <v>3436.05</v>
      </c>
      <c r="P2121" s="116">
        <v>3453.1</v>
      </c>
      <c r="Q2121" s="116">
        <v>3463.3</v>
      </c>
      <c r="R2121">
        <v>1715404</v>
      </c>
    </row>
    <row r="2122" spans="1:18" x14ac:dyDescent="0.25">
      <c r="A2122" s="170">
        <v>45128</v>
      </c>
      <c r="B2122" s="116">
        <v>3435</v>
      </c>
      <c r="C2122" s="116">
        <v>3369.6</v>
      </c>
      <c r="D2122" s="116">
        <v>3357.7</v>
      </c>
      <c r="E2122" s="116">
        <v>3423.95</v>
      </c>
      <c r="F2122" s="116">
        <v>3369.6</v>
      </c>
      <c r="G2122">
        <v>88718</v>
      </c>
      <c r="H2122" s="116"/>
      <c r="I2122" s="116"/>
      <c r="L2122" s="170">
        <v>45128</v>
      </c>
      <c r="M2122" s="116">
        <v>3368.3</v>
      </c>
      <c r="N2122" s="116">
        <v>3434.9</v>
      </c>
      <c r="O2122" s="116">
        <v>3359.05</v>
      </c>
      <c r="P2122" s="116">
        <v>3404.05</v>
      </c>
      <c r="Q2122" s="116">
        <v>3368.3</v>
      </c>
      <c r="R2122">
        <v>3770223</v>
      </c>
    </row>
    <row r="2123" spans="1:18" x14ac:dyDescent="0.25">
      <c r="A2123" s="170">
        <v>45131</v>
      </c>
      <c r="B2123" s="116">
        <v>3413.4</v>
      </c>
      <c r="C2123" s="116">
        <v>3394.2</v>
      </c>
      <c r="D2123" s="116">
        <v>3371</v>
      </c>
      <c r="E2123" s="116">
        <v>3374</v>
      </c>
      <c r="F2123" s="116">
        <v>3394.2</v>
      </c>
      <c r="G2123">
        <v>71143</v>
      </c>
      <c r="H2123" s="116"/>
      <c r="I2123" s="116"/>
      <c r="L2123" s="170">
        <v>45131</v>
      </c>
      <c r="M2123" s="116">
        <v>3394.75</v>
      </c>
      <c r="N2123" s="116">
        <v>3413.45</v>
      </c>
      <c r="O2123" s="116">
        <v>3372.1</v>
      </c>
      <c r="P2123" s="116">
        <v>3381</v>
      </c>
      <c r="Q2123" s="116">
        <v>3394.75</v>
      </c>
      <c r="R2123">
        <v>1680132</v>
      </c>
    </row>
    <row r="2124" spans="1:18" x14ac:dyDescent="0.25">
      <c r="A2124" s="170">
        <v>45132</v>
      </c>
      <c r="B2124" s="116">
        <v>3406.75</v>
      </c>
      <c r="C2124" s="116">
        <v>3399.05</v>
      </c>
      <c r="D2124" s="116">
        <v>3382</v>
      </c>
      <c r="E2124" s="116">
        <v>3394.2</v>
      </c>
      <c r="F2124" s="116">
        <v>3399.05</v>
      </c>
      <c r="G2124">
        <v>17319</v>
      </c>
      <c r="H2124" s="116"/>
      <c r="I2124" s="116"/>
      <c r="L2124" s="170">
        <v>45132</v>
      </c>
      <c r="M2124" s="116">
        <v>3399.15</v>
      </c>
      <c r="N2124" s="116">
        <v>3406.8</v>
      </c>
      <c r="O2124" s="116">
        <v>3380.2</v>
      </c>
      <c r="P2124" s="116">
        <v>3397.5</v>
      </c>
      <c r="Q2124" s="116">
        <v>3399.15</v>
      </c>
      <c r="R2124">
        <v>1272980</v>
      </c>
    </row>
    <row r="2125" spans="1:18" x14ac:dyDescent="0.25">
      <c r="A2125" s="170">
        <v>45133</v>
      </c>
      <c r="B2125" s="116">
        <v>3421.75</v>
      </c>
      <c r="C2125" s="116">
        <v>3387</v>
      </c>
      <c r="D2125" s="116">
        <v>3384.9</v>
      </c>
      <c r="E2125" s="116">
        <v>3385.05</v>
      </c>
      <c r="F2125" s="116">
        <v>3387</v>
      </c>
      <c r="G2125">
        <v>21902</v>
      </c>
      <c r="H2125" s="116"/>
      <c r="I2125" s="116"/>
      <c r="L2125" s="170">
        <v>45133</v>
      </c>
      <c r="M2125" s="116">
        <v>3388.3</v>
      </c>
      <c r="N2125" s="116">
        <v>3420.85</v>
      </c>
      <c r="O2125" s="116">
        <v>3385</v>
      </c>
      <c r="P2125" s="116">
        <v>3400.35</v>
      </c>
      <c r="Q2125" s="116">
        <v>3388.3</v>
      </c>
      <c r="R2125">
        <v>1066803</v>
      </c>
    </row>
    <row r="2126" spans="1:18" x14ac:dyDescent="0.25">
      <c r="A2126" s="170">
        <v>45134</v>
      </c>
      <c r="B2126" s="116">
        <v>3410.75</v>
      </c>
      <c r="C2126" s="116">
        <v>3396.15</v>
      </c>
      <c r="D2126" s="116">
        <v>3385.05</v>
      </c>
      <c r="E2126" s="116">
        <v>3385.05</v>
      </c>
      <c r="F2126" s="116">
        <v>3396.15</v>
      </c>
      <c r="G2126">
        <v>36192</v>
      </c>
      <c r="H2126" s="116"/>
      <c r="I2126" s="116"/>
      <c r="L2126" s="170">
        <v>45134</v>
      </c>
      <c r="M2126" s="116">
        <v>3396.9</v>
      </c>
      <c r="N2126" s="116">
        <v>3411.65</v>
      </c>
      <c r="O2126" s="116">
        <v>3385.05</v>
      </c>
      <c r="P2126" s="116">
        <v>3394.95</v>
      </c>
      <c r="Q2126" s="116">
        <v>3396.9</v>
      </c>
      <c r="R2126">
        <v>1701769</v>
      </c>
    </row>
    <row r="2127" spans="1:18" x14ac:dyDescent="0.25">
      <c r="A2127" s="170">
        <v>45135</v>
      </c>
      <c r="B2127" s="116">
        <v>3389.85</v>
      </c>
      <c r="C2127" s="116">
        <v>3355.35</v>
      </c>
      <c r="D2127" s="116">
        <v>3331</v>
      </c>
      <c r="E2127" s="116">
        <v>3389.85</v>
      </c>
      <c r="F2127" s="116">
        <v>3355.35</v>
      </c>
      <c r="G2127">
        <v>97335</v>
      </c>
      <c r="H2127" s="116"/>
      <c r="I2127" s="116"/>
      <c r="L2127" s="170">
        <v>45135</v>
      </c>
      <c r="M2127" s="116">
        <v>3355.4</v>
      </c>
      <c r="N2127" s="116">
        <v>3393.7</v>
      </c>
      <c r="O2127" s="116">
        <v>3331</v>
      </c>
      <c r="P2127" s="116">
        <v>3385</v>
      </c>
      <c r="Q2127" s="116">
        <v>3355.4</v>
      </c>
      <c r="R2127">
        <v>2599831</v>
      </c>
    </row>
    <row r="2128" spans="1:18" x14ac:dyDescent="0.25">
      <c r="A2128" s="170">
        <v>45138</v>
      </c>
      <c r="B2128" s="116">
        <v>3426</v>
      </c>
      <c r="C2128" s="116">
        <v>3421.1</v>
      </c>
      <c r="D2128" s="116">
        <v>3356.05</v>
      </c>
      <c r="E2128" s="116">
        <v>3356.05</v>
      </c>
      <c r="F2128" s="116">
        <v>3421.1</v>
      </c>
      <c r="G2128">
        <v>29183</v>
      </c>
      <c r="H2128" s="116"/>
      <c r="I2128" s="116"/>
      <c r="L2128" s="170">
        <v>45138</v>
      </c>
      <c r="M2128" s="116">
        <v>3421.45</v>
      </c>
      <c r="N2128" s="116">
        <v>3426.65</v>
      </c>
      <c r="O2128" s="116">
        <v>3360.9</v>
      </c>
      <c r="P2128" s="116">
        <v>3364.4</v>
      </c>
      <c r="Q2128" s="116">
        <v>3421.45</v>
      </c>
      <c r="R2128">
        <v>2743678</v>
      </c>
    </row>
    <row r="2129" spans="1:18" x14ac:dyDescent="0.25">
      <c r="A2129" s="170">
        <v>45139</v>
      </c>
      <c r="B2129" s="116">
        <v>3461</v>
      </c>
      <c r="C2129" s="116">
        <v>3450.85</v>
      </c>
      <c r="D2129" s="116">
        <v>3408.15</v>
      </c>
      <c r="E2129" s="116">
        <v>3408.15</v>
      </c>
      <c r="F2129" s="116">
        <v>3450.85</v>
      </c>
      <c r="G2129">
        <v>28181</v>
      </c>
      <c r="H2129" s="116"/>
      <c r="I2129" s="116"/>
      <c r="L2129" s="170">
        <v>45139</v>
      </c>
      <c r="M2129" s="116">
        <v>3452.05</v>
      </c>
      <c r="N2129" s="116">
        <v>3460</v>
      </c>
      <c r="O2129" s="116">
        <v>3415</v>
      </c>
      <c r="P2129" s="116">
        <v>3415</v>
      </c>
      <c r="Q2129" s="116">
        <v>3452.05</v>
      </c>
      <c r="R2129">
        <v>1956167</v>
      </c>
    </row>
    <row r="2130" spans="1:18" x14ac:dyDescent="0.25">
      <c r="A2130" s="170">
        <v>45140</v>
      </c>
      <c r="B2130" s="116">
        <v>3446.7</v>
      </c>
      <c r="C2130" s="116">
        <v>3440.65</v>
      </c>
      <c r="D2130" s="116">
        <v>3415</v>
      </c>
      <c r="E2130" s="116">
        <v>3417.6</v>
      </c>
      <c r="F2130" s="116">
        <v>3440.65</v>
      </c>
      <c r="G2130">
        <v>59774</v>
      </c>
      <c r="H2130" s="116"/>
      <c r="I2130" s="116"/>
      <c r="L2130" s="170">
        <v>45140</v>
      </c>
      <c r="M2130" s="116">
        <v>3440.65</v>
      </c>
      <c r="N2130" s="116">
        <v>3446.4</v>
      </c>
      <c r="O2130" s="116">
        <v>3413.6</v>
      </c>
      <c r="P2130" s="116">
        <v>3434.95</v>
      </c>
      <c r="Q2130" s="116">
        <v>3440.65</v>
      </c>
      <c r="R2130">
        <v>1914899</v>
      </c>
    </row>
    <row r="2131" spans="1:18" x14ac:dyDescent="0.25">
      <c r="A2131" s="170">
        <v>45141</v>
      </c>
      <c r="B2131" s="116">
        <v>3432.7</v>
      </c>
      <c r="C2131" s="116">
        <v>3399.7</v>
      </c>
      <c r="D2131" s="116">
        <v>3367.3</v>
      </c>
      <c r="E2131" s="116">
        <v>3425</v>
      </c>
      <c r="F2131" s="116">
        <v>3399.7</v>
      </c>
      <c r="G2131">
        <v>89034</v>
      </c>
      <c r="H2131" s="116"/>
      <c r="I2131" s="116"/>
      <c r="L2131" s="170">
        <v>45141</v>
      </c>
      <c r="M2131" s="116">
        <v>3399.95</v>
      </c>
      <c r="N2131" s="116">
        <v>3433.25</v>
      </c>
      <c r="O2131" s="116">
        <v>3368</v>
      </c>
      <c r="P2131" s="116">
        <v>3420</v>
      </c>
      <c r="Q2131" s="116">
        <v>3399.95</v>
      </c>
      <c r="R2131">
        <v>2026351</v>
      </c>
    </row>
    <row r="2132" spans="1:18" x14ac:dyDescent="0.25">
      <c r="A2132" s="170">
        <v>45142</v>
      </c>
      <c r="B2132" s="116">
        <v>3470.15</v>
      </c>
      <c r="C2132" s="116">
        <v>3442.3</v>
      </c>
      <c r="D2132" s="116">
        <v>3391.1</v>
      </c>
      <c r="E2132" s="116">
        <v>3391.1</v>
      </c>
      <c r="F2132" s="116">
        <v>3442.3</v>
      </c>
      <c r="G2132">
        <v>73311</v>
      </c>
      <c r="H2132" s="116"/>
      <c r="I2132" s="116"/>
      <c r="L2132" s="170">
        <v>45142</v>
      </c>
      <c r="M2132" s="116">
        <v>3443.55</v>
      </c>
      <c r="N2132" s="116">
        <v>3471</v>
      </c>
      <c r="O2132" s="116">
        <v>3401.25</v>
      </c>
      <c r="P2132" s="116">
        <v>3401.25</v>
      </c>
      <c r="Q2132" s="116">
        <v>3443.55</v>
      </c>
      <c r="R2132">
        <v>2248493</v>
      </c>
    </row>
    <row r="2133" spans="1:18" x14ac:dyDescent="0.25">
      <c r="A2133" s="170">
        <v>45145</v>
      </c>
      <c r="B2133" s="116">
        <v>3487.75</v>
      </c>
      <c r="C2133" s="116">
        <v>3483.75</v>
      </c>
      <c r="D2133" s="116">
        <v>3442</v>
      </c>
      <c r="E2133" s="116">
        <v>3443</v>
      </c>
      <c r="F2133" s="116">
        <v>3483.75</v>
      </c>
      <c r="G2133">
        <v>48564</v>
      </c>
      <c r="H2133" s="116"/>
      <c r="I2133" s="116"/>
      <c r="L2133" s="170">
        <v>45145</v>
      </c>
      <c r="M2133" s="116">
        <v>3484.05</v>
      </c>
      <c r="N2133" s="116">
        <v>3488</v>
      </c>
      <c r="O2133" s="116">
        <v>3441.25</v>
      </c>
      <c r="P2133" s="116">
        <v>3453.95</v>
      </c>
      <c r="Q2133" s="116">
        <v>3484.05</v>
      </c>
      <c r="R2133">
        <v>1853889</v>
      </c>
    </row>
    <row r="2134" spans="1:18" x14ac:dyDescent="0.25">
      <c r="A2134" s="170">
        <v>45146</v>
      </c>
      <c r="B2134" s="116">
        <v>3487.5</v>
      </c>
      <c r="C2134" s="116">
        <v>3469.85</v>
      </c>
      <c r="D2134" s="116">
        <v>3457.1</v>
      </c>
      <c r="E2134" s="116">
        <v>3483.85</v>
      </c>
      <c r="F2134" s="116">
        <v>3469.85</v>
      </c>
      <c r="G2134">
        <v>81770</v>
      </c>
      <c r="H2134" s="116"/>
      <c r="I2134" s="116"/>
      <c r="L2134" s="170">
        <v>45146</v>
      </c>
      <c r="M2134" s="116">
        <v>3470.6</v>
      </c>
      <c r="N2134" s="116">
        <v>3489.95</v>
      </c>
      <c r="O2134" s="116">
        <v>3456.6</v>
      </c>
      <c r="P2134" s="116">
        <v>3484.05</v>
      </c>
      <c r="Q2134" s="116">
        <v>3470.6</v>
      </c>
      <c r="R2134">
        <v>1634225</v>
      </c>
    </row>
    <row r="2135" spans="1:18" x14ac:dyDescent="0.25">
      <c r="A2135" s="170">
        <v>45147</v>
      </c>
      <c r="B2135" s="116">
        <v>3469</v>
      </c>
      <c r="C2135" s="116">
        <v>3464</v>
      </c>
      <c r="D2135" s="116">
        <v>3425</v>
      </c>
      <c r="E2135" s="116">
        <v>3469</v>
      </c>
      <c r="F2135" s="116">
        <v>3464</v>
      </c>
      <c r="G2135">
        <v>53047</v>
      </c>
      <c r="H2135" s="116"/>
      <c r="I2135" s="116"/>
      <c r="L2135" s="170">
        <v>45147</v>
      </c>
      <c r="M2135" s="116">
        <v>3462.5</v>
      </c>
      <c r="N2135" s="116">
        <v>3467</v>
      </c>
      <c r="O2135" s="116">
        <v>3425.05</v>
      </c>
      <c r="P2135" s="116">
        <v>3464.9</v>
      </c>
      <c r="Q2135" s="116">
        <v>3462.5</v>
      </c>
      <c r="R2135">
        <v>1794589</v>
      </c>
    </row>
    <row r="2136" spans="1:18" x14ac:dyDescent="0.25">
      <c r="A2136" s="170">
        <v>45148</v>
      </c>
      <c r="B2136" s="116">
        <v>3455</v>
      </c>
      <c r="C2136" s="116">
        <v>3443.45</v>
      </c>
      <c r="D2136" s="116">
        <v>3431</v>
      </c>
      <c r="E2136" s="116">
        <v>3444.05</v>
      </c>
      <c r="F2136" s="116">
        <v>3443.45</v>
      </c>
      <c r="G2136">
        <v>85997</v>
      </c>
      <c r="H2136" s="116"/>
      <c r="I2136" s="116"/>
      <c r="L2136" s="170">
        <v>45148</v>
      </c>
      <c r="M2136" s="116">
        <v>3442.1</v>
      </c>
      <c r="N2136" s="116">
        <v>3464.9</v>
      </c>
      <c r="O2136" s="116">
        <v>3430.05</v>
      </c>
      <c r="P2136" s="116">
        <v>3450</v>
      </c>
      <c r="Q2136" s="116">
        <v>3442.1</v>
      </c>
      <c r="R2136">
        <v>1096701</v>
      </c>
    </row>
    <row r="2137" spans="1:18" x14ac:dyDescent="0.25">
      <c r="A2137" s="170">
        <v>45149</v>
      </c>
      <c r="B2137" s="116">
        <v>3466.4</v>
      </c>
      <c r="C2137" s="116">
        <v>3449.35</v>
      </c>
      <c r="D2137" s="116">
        <v>3415</v>
      </c>
      <c r="E2137" s="116">
        <v>3440</v>
      </c>
      <c r="F2137" s="116">
        <v>3449.35</v>
      </c>
      <c r="G2137">
        <v>121004</v>
      </c>
      <c r="H2137" s="116"/>
      <c r="I2137" s="116"/>
      <c r="L2137" s="170">
        <v>45149</v>
      </c>
      <c r="M2137" s="116">
        <v>3448.8</v>
      </c>
      <c r="N2137" s="116">
        <v>3466.65</v>
      </c>
      <c r="O2137" s="116">
        <v>3414</v>
      </c>
      <c r="P2137" s="116">
        <v>3438.1</v>
      </c>
      <c r="Q2137" s="116">
        <v>3448.8</v>
      </c>
      <c r="R2137">
        <v>1679974</v>
      </c>
    </row>
    <row r="2138" spans="1:18" x14ac:dyDescent="0.25">
      <c r="A2138" s="170">
        <v>45152</v>
      </c>
      <c r="B2138" s="116">
        <v>3454.5</v>
      </c>
      <c r="C2138" s="116">
        <v>3449.85</v>
      </c>
      <c r="D2138" s="116">
        <v>3410.3</v>
      </c>
      <c r="E2138" s="116">
        <v>3425.05</v>
      </c>
      <c r="F2138" s="116">
        <v>3449.85</v>
      </c>
      <c r="G2138">
        <v>88531</v>
      </c>
      <c r="H2138" s="116"/>
      <c r="I2138" s="116"/>
      <c r="L2138" s="170">
        <v>45152</v>
      </c>
      <c r="M2138" s="116">
        <v>3449.85</v>
      </c>
      <c r="N2138" s="116">
        <v>3455</v>
      </c>
      <c r="O2138" s="116">
        <v>3411</v>
      </c>
      <c r="P2138" s="116">
        <v>3440.7</v>
      </c>
      <c r="Q2138" s="116">
        <v>3449.85</v>
      </c>
      <c r="R2138">
        <v>1190425</v>
      </c>
    </row>
    <row r="2139" spans="1:18" x14ac:dyDescent="0.25">
      <c r="A2139" s="170">
        <v>45154</v>
      </c>
      <c r="B2139" s="116">
        <v>3465.05</v>
      </c>
      <c r="C2139" s="116">
        <v>3457.55</v>
      </c>
      <c r="D2139" s="116">
        <v>3434</v>
      </c>
      <c r="E2139" s="116">
        <v>3455</v>
      </c>
      <c r="F2139" s="116">
        <v>3457.55</v>
      </c>
      <c r="G2139">
        <v>38718</v>
      </c>
      <c r="H2139" s="116"/>
      <c r="I2139" s="116"/>
      <c r="L2139" s="170">
        <v>45154</v>
      </c>
      <c r="M2139" s="116">
        <v>3458.4</v>
      </c>
      <c r="N2139" s="116">
        <v>3466</v>
      </c>
      <c r="O2139" s="116">
        <v>3435.2</v>
      </c>
      <c r="P2139" s="116">
        <v>3450</v>
      </c>
      <c r="Q2139" s="116">
        <v>3458.4</v>
      </c>
      <c r="R2139">
        <v>1328445</v>
      </c>
    </row>
    <row r="2140" spans="1:18" x14ac:dyDescent="0.25">
      <c r="A2140" s="170">
        <v>45155</v>
      </c>
      <c r="B2140" s="116">
        <v>3461</v>
      </c>
      <c r="C2140" s="116">
        <v>3441.35</v>
      </c>
      <c r="D2140" s="116">
        <v>3414</v>
      </c>
      <c r="E2140" s="116">
        <v>3457.55</v>
      </c>
      <c r="F2140" s="116">
        <v>3441.35</v>
      </c>
      <c r="G2140">
        <v>62318</v>
      </c>
      <c r="H2140" s="116"/>
      <c r="I2140" s="116"/>
      <c r="L2140" s="170">
        <v>45155</v>
      </c>
      <c r="M2140" s="116">
        <v>3435.75</v>
      </c>
      <c r="N2140" s="116">
        <v>3460.8</v>
      </c>
      <c r="O2140" s="116">
        <v>3413.2</v>
      </c>
      <c r="P2140" s="116">
        <v>3455</v>
      </c>
      <c r="Q2140" s="116">
        <v>3435.75</v>
      </c>
      <c r="R2140">
        <v>1843241</v>
      </c>
    </row>
    <row r="2141" spans="1:18" x14ac:dyDescent="0.25">
      <c r="A2141" s="170">
        <v>45156</v>
      </c>
      <c r="B2141" s="116">
        <v>3412.5</v>
      </c>
      <c r="C2141" s="116">
        <v>3367.65</v>
      </c>
      <c r="D2141" s="116">
        <v>3350</v>
      </c>
      <c r="E2141" s="116">
        <v>3411.3</v>
      </c>
      <c r="F2141" s="116">
        <v>3367.65</v>
      </c>
      <c r="G2141">
        <v>584952</v>
      </c>
      <c r="H2141" s="116"/>
      <c r="I2141" s="116"/>
      <c r="L2141" s="170">
        <v>45156</v>
      </c>
      <c r="M2141" s="116">
        <v>3367.1</v>
      </c>
      <c r="N2141" s="116">
        <v>3410</v>
      </c>
      <c r="O2141" s="116">
        <v>3356.5</v>
      </c>
      <c r="P2141" s="116">
        <v>3410</v>
      </c>
      <c r="Q2141" s="116">
        <v>3367.1</v>
      </c>
      <c r="R2141">
        <v>2526749</v>
      </c>
    </row>
    <row r="2142" spans="1:18" x14ac:dyDescent="0.25">
      <c r="A2142" s="170">
        <v>45159</v>
      </c>
      <c r="B2142" s="116">
        <v>3409</v>
      </c>
      <c r="C2142" s="116">
        <v>3401.75</v>
      </c>
      <c r="D2142" s="116">
        <v>3366.95</v>
      </c>
      <c r="E2142" s="116">
        <v>3367</v>
      </c>
      <c r="F2142" s="116">
        <v>3401.75</v>
      </c>
      <c r="G2142">
        <v>62020</v>
      </c>
      <c r="H2142" s="116"/>
      <c r="I2142" s="116"/>
      <c r="L2142" s="170">
        <v>45159</v>
      </c>
      <c r="M2142" s="116">
        <v>3401.65</v>
      </c>
      <c r="N2142" s="116">
        <v>3409.75</v>
      </c>
      <c r="O2142" s="116">
        <v>3372</v>
      </c>
      <c r="P2142" s="116">
        <v>3375</v>
      </c>
      <c r="Q2142" s="116">
        <v>3401.65</v>
      </c>
      <c r="R2142">
        <v>1375579</v>
      </c>
    </row>
    <row r="2143" spans="1:18" x14ac:dyDescent="0.25">
      <c r="A2143" s="170">
        <v>45160</v>
      </c>
      <c r="B2143" s="116">
        <v>3410</v>
      </c>
      <c r="C2143" s="116">
        <v>3383.25</v>
      </c>
      <c r="D2143" s="116">
        <v>3366</v>
      </c>
      <c r="E2143" s="116">
        <v>3401.75</v>
      </c>
      <c r="F2143" s="116">
        <v>3383.25</v>
      </c>
      <c r="G2143">
        <v>69816</v>
      </c>
      <c r="H2143" s="116"/>
      <c r="I2143" s="116"/>
      <c r="L2143" s="170">
        <v>45160</v>
      </c>
      <c r="M2143" s="116">
        <v>3382.15</v>
      </c>
      <c r="N2143" s="116">
        <v>3411</v>
      </c>
      <c r="O2143" s="116">
        <v>3365.05</v>
      </c>
      <c r="P2143" s="116">
        <v>3400</v>
      </c>
      <c r="Q2143" s="116">
        <v>3382.15</v>
      </c>
      <c r="R2143">
        <v>1222012</v>
      </c>
    </row>
    <row r="2144" spans="1:18" x14ac:dyDescent="0.25">
      <c r="A2144" s="170">
        <v>45161</v>
      </c>
      <c r="B2144" s="116">
        <v>3401.9</v>
      </c>
      <c r="C2144" s="116">
        <v>3399.45</v>
      </c>
      <c r="D2144" s="116">
        <v>3375.9</v>
      </c>
      <c r="E2144" s="116">
        <v>3383.3</v>
      </c>
      <c r="F2144" s="116">
        <v>3399.45</v>
      </c>
      <c r="G2144">
        <v>130854</v>
      </c>
      <c r="H2144" s="116"/>
      <c r="I2144" s="116"/>
      <c r="L2144" s="170">
        <v>45161</v>
      </c>
      <c r="M2144" s="116">
        <v>3398.25</v>
      </c>
      <c r="N2144" s="116">
        <v>3402</v>
      </c>
      <c r="O2144" s="116">
        <v>3376</v>
      </c>
      <c r="P2144" s="116">
        <v>3388</v>
      </c>
      <c r="Q2144" s="116">
        <v>3398.25</v>
      </c>
      <c r="R2144">
        <v>1330046</v>
      </c>
    </row>
    <row r="2145" spans="1:18" x14ac:dyDescent="0.25">
      <c r="A2145" s="170">
        <v>45162</v>
      </c>
      <c r="B2145" s="116">
        <v>3413.55</v>
      </c>
      <c r="C2145" s="116">
        <v>3388.8</v>
      </c>
      <c r="D2145" s="116">
        <v>3378.35</v>
      </c>
      <c r="E2145" s="116">
        <v>3405</v>
      </c>
      <c r="F2145" s="116">
        <v>3388.8</v>
      </c>
      <c r="G2145">
        <v>101202</v>
      </c>
      <c r="H2145" s="116"/>
      <c r="I2145" s="116"/>
      <c r="L2145" s="170">
        <v>45162</v>
      </c>
      <c r="M2145" s="116">
        <v>3387.75</v>
      </c>
      <c r="N2145" s="116">
        <v>3413.05</v>
      </c>
      <c r="O2145" s="116">
        <v>3378.1</v>
      </c>
      <c r="P2145" s="116">
        <v>3408</v>
      </c>
      <c r="Q2145" s="116">
        <v>3387.75</v>
      </c>
      <c r="R2145">
        <v>1152881</v>
      </c>
    </row>
    <row r="2146" spans="1:18" x14ac:dyDescent="0.25">
      <c r="A2146" s="170">
        <v>45163</v>
      </c>
      <c r="B2146" s="116">
        <v>3385</v>
      </c>
      <c r="C2146" s="116">
        <v>3380.6</v>
      </c>
      <c r="D2146" s="116">
        <v>3350</v>
      </c>
      <c r="E2146" s="116">
        <v>3375</v>
      </c>
      <c r="F2146" s="116">
        <v>3380.6</v>
      </c>
      <c r="G2146">
        <v>155554</v>
      </c>
      <c r="H2146" s="116"/>
      <c r="I2146" s="116"/>
      <c r="L2146" s="170">
        <v>45163</v>
      </c>
      <c r="M2146" s="116">
        <v>3381.3</v>
      </c>
      <c r="N2146" s="116">
        <v>3385.8</v>
      </c>
      <c r="O2146" s="116">
        <v>3350.25</v>
      </c>
      <c r="P2146" s="116">
        <v>3375</v>
      </c>
      <c r="Q2146" s="116">
        <v>3381.3</v>
      </c>
      <c r="R2146">
        <v>1158046</v>
      </c>
    </row>
    <row r="2147" spans="1:18" x14ac:dyDescent="0.25">
      <c r="A2147" s="170">
        <v>45166</v>
      </c>
      <c r="B2147" s="116">
        <v>3391.8</v>
      </c>
      <c r="C2147" s="116">
        <v>3375</v>
      </c>
      <c r="D2147" s="116">
        <v>3360</v>
      </c>
      <c r="E2147" s="116">
        <v>3386.05</v>
      </c>
      <c r="F2147" s="116">
        <v>3375</v>
      </c>
      <c r="G2147">
        <v>82413</v>
      </c>
      <c r="H2147" s="116"/>
      <c r="I2147" s="116"/>
      <c r="L2147" s="170">
        <v>45166</v>
      </c>
      <c r="M2147" s="116">
        <v>3375.55</v>
      </c>
      <c r="N2147" s="116">
        <v>3394</v>
      </c>
      <c r="O2147" s="116">
        <v>3360.1</v>
      </c>
      <c r="P2147" s="116">
        <v>3394</v>
      </c>
      <c r="Q2147" s="116">
        <v>3375.55</v>
      </c>
      <c r="R2147">
        <v>1037485</v>
      </c>
    </row>
    <row r="2148" spans="1:18" x14ac:dyDescent="0.25">
      <c r="A2148" s="170">
        <v>45167</v>
      </c>
      <c r="B2148" s="116">
        <v>3389.4</v>
      </c>
      <c r="C2148" s="116">
        <v>3377.65</v>
      </c>
      <c r="D2148" s="116">
        <v>3366</v>
      </c>
      <c r="E2148" s="116">
        <v>3376.05</v>
      </c>
      <c r="F2148" s="116">
        <v>3377.65</v>
      </c>
      <c r="G2148">
        <v>63180</v>
      </c>
      <c r="H2148" s="116"/>
      <c r="I2148" s="116"/>
      <c r="L2148" s="170">
        <v>45167</v>
      </c>
      <c r="M2148" s="116">
        <v>3376.15</v>
      </c>
      <c r="N2148" s="116">
        <v>3389.55</v>
      </c>
      <c r="O2148" s="116">
        <v>3365</v>
      </c>
      <c r="P2148" s="116">
        <v>3381.05</v>
      </c>
      <c r="Q2148" s="116">
        <v>3376.15</v>
      </c>
      <c r="R2148">
        <v>944517</v>
      </c>
    </row>
    <row r="2149" spans="1:18" x14ac:dyDescent="0.25">
      <c r="A2149" s="170">
        <v>45168</v>
      </c>
      <c r="B2149" s="116">
        <v>3408.65</v>
      </c>
      <c r="C2149" s="116">
        <v>3390.05</v>
      </c>
      <c r="D2149" s="116">
        <v>3382.05</v>
      </c>
      <c r="E2149" s="116">
        <v>3390</v>
      </c>
      <c r="F2149" s="116">
        <v>3390.05</v>
      </c>
      <c r="G2149">
        <v>116058</v>
      </c>
      <c r="H2149" s="116"/>
      <c r="I2149" s="116"/>
      <c r="L2149" s="170">
        <v>45168</v>
      </c>
      <c r="M2149" s="116">
        <v>3390.95</v>
      </c>
      <c r="N2149" s="116">
        <v>3408.1</v>
      </c>
      <c r="O2149" s="116">
        <v>3383.05</v>
      </c>
      <c r="P2149" s="116">
        <v>3398</v>
      </c>
      <c r="Q2149" s="116">
        <v>3390.95</v>
      </c>
      <c r="R2149">
        <v>1188200</v>
      </c>
    </row>
    <row r="2150" spans="1:18" x14ac:dyDescent="0.25">
      <c r="A2150" s="170">
        <v>45169</v>
      </c>
      <c r="B2150" s="116">
        <v>3416.5</v>
      </c>
      <c r="C2150" s="116">
        <v>3357.05</v>
      </c>
      <c r="D2150" s="116">
        <v>3345</v>
      </c>
      <c r="E2150" s="116">
        <v>3392.2</v>
      </c>
      <c r="F2150" s="116">
        <v>3357.05</v>
      </c>
      <c r="G2150">
        <v>25911</v>
      </c>
      <c r="H2150" s="116"/>
      <c r="I2150" s="116"/>
      <c r="L2150" s="170">
        <v>45169</v>
      </c>
      <c r="M2150" s="116">
        <v>3356.8</v>
      </c>
      <c r="N2150" s="116">
        <v>3417.4</v>
      </c>
      <c r="O2150" s="116">
        <v>3343.65</v>
      </c>
      <c r="P2150" s="116">
        <v>3401</v>
      </c>
      <c r="Q2150" s="116">
        <v>3356.8</v>
      </c>
      <c r="R2150">
        <v>3417652</v>
      </c>
    </row>
    <row r="2151" spans="1:18" x14ac:dyDescent="0.25">
      <c r="A2151" s="170">
        <v>45170</v>
      </c>
      <c r="B2151" s="116">
        <v>3389</v>
      </c>
      <c r="C2151" s="116">
        <v>3379.2</v>
      </c>
      <c r="D2151" s="116">
        <v>3357.05</v>
      </c>
      <c r="E2151" s="116">
        <v>3359.05</v>
      </c>
      <c r="F2151" s="116">
        <v>3379.2</v>
      </c>
      <c r="G2151">
        <v>47394</v>
      </c>
      <c r="H2151" s="116"/>
      <c r="I2151" s="116"/>
      <c r="L2151" s="170">
        <v>45170</v>
      </c>
      <c r="M2151" s="116">
        <v>3379.2</v>
      </c>
      <c r="N2151" s="116">
        <v>3389</v>
      </c>
      <c r="O2151" s="116">
        <v>3356.8</v>
      </c>
      <c r="P2151" s="116">
        <v>3366</v>
      </c>
      <c r="Q2151" s="116">
        <v>3379.2</v>
      </c>
      <c r="R2151">
        <v>1277950</v>
      </c>
    </row>
    <row r="2152" spans="1:18" x14ac:dyDescent="0.25">
      <c r="A2152" s="170">
        <v>45173</v>
      </c>
      <c r="B2152" s="116">
        <v>3432.55</v>
      </c>
      <c r="C2152" s="116">
        <v>3417.85</v>
      </c>
      <c r="D2152" s="116">
        <v>3370.05</v>
      </c>
      <c r="E2152" s="116">
        <v>3371.05</v>
      </c>
      <c r="F2152" s="116">
        <v>3417.85</v>
      </c>
      <c r="G2152">
        <v>36795</v>
      </c>
      <c r="H2152" s="116"/>
      <c r="I2152" s="116"/>
      <c r="L2152" s="170">
        <v>45173</v>
      </c>
      <c r="M2152" s="116">
        <v>3418.5</v>
      </c>
      <c r="N2152" s="116">
        <v>3432.85</v>
      </c>
      <c r="O2152" s="116">
        <v>3370.05</v>
      </c>
      <c r="P2152" s="116">
        <v>3378</v>
      </c>
      <c r="Q2152" s="116">
        <v>3418.5</v>
      </c>
      <c r="R2152">
        <v>1828332</v>
      </c>
    </row>
    <row r="2153" spans="1:18" x14ac:dyDescent="0.25">
      <c r="A2153" s="170">
        <v>45174</v>
      </c>
      <c r="B2153" s="116">
        <v>3447</v>
      </c>
      <c r="C2153" s="116">
        <v>3427.85</v>
      </c>
      <c r="D2153" s="116">
        <v>3406</v>
      </c>
      <c r="E2153" s="116">
        <v>3417.85</v>
      </c>
      <c r="F2153" s="116">
        <v>3427.85</v>
      </c>
      <c r="G2153">
        <v>41368</v>
      </c>
      <c r="H2153" s="116"/>
      <c r="I2153" s="116"/>
      <c r="L2153" s="170">
        <v>45174</v>
      </c>
      <c r="M2153" s="116">
        <v>3429.35</v>
      </c>
      <c r="N2153" s="116">
        <v>3447</v>
      </c>
      <c r="O2153" s="116">
        <v>3405.15</v>
      </c>
      <c r="P2153" s="116">
        <v>3420</v>
      </c>
      <c r="Q2153" s="116">
        <v>3429.35</v>
      </c>
      <c r="R2153">
        <v>1501842</v>
      </c>
    </row>
    <row r="2154" spans="1:18" x14ac:dyDescent="0.25">
      <c r="A2154" s="170">
        <v>45175</v>
      </c>
      <c r="B2154" s="116">
        <v>3443.6</v>
      </c>
      <c r="C2154" s="116">
        <v>3429.85</v>
      </c>
      <c r="D2154" s="116">
        <v>3400</v>
      </c>
      <c r="E2154" s="116">
        <v>3429.55</v>
      </c>
      <c r="F2154" s="116">
        <v>3429.85</v>
      </c>
      <c r="G2154">
        <v>36225</v>
      </c>
      <c r="H2154" s="116"/>
      <c r="I2154" s="116"/>
      <c r="L2154" s="170">
        <v>45175</v>
      </c>
      <c r="M2154" s="116">
        <v>3429.9</v>
      </c>
      <c r="N2154" s="116">
        <v>3443.9</v>
      </c>
      <c r="O2154" s="116">
        <v>3398.1</v>
      </c>
      <c r="P2154" s="116">
        <v>3434</v>
      </c>
      <c r="Q2154" s="116">
        <v>3429.9</v>
      </c>
      <c r="R2154">
        <v>1314818</v>
      </c>
    </row>
    <row r="2155" spans="1:18" x14ac:dyDescent="0.25">
      <c r="A2155" s="170">
        <v>45176</v>
      </c>
      <c r="B2155" s="116">
        <v>3462</v>
      </c>
      <c r="C2155" s="116">
        <v>3455.55</v>
      </c>
      <c r="D2155" s="116">
        <v>3423</v>
      </c>
      <c r="E2155" s="116">
        <v>3445.95</v>
      </c>
      <c r="F2155" s="116">
        <v>3455.55</v>
      </c>
      <c r="G2155">
        <v>37771</v>
      </c>
      <c r="H2155" s="116"/>
      <c r="I2155" s="116"/>
      <c r="L2155" s="170">
        <v>45176</v>
      </c>
      <c r="M2155" s="116">
        <v>3455.25</v>
      </c>
      <c r="N2155" s="116">
        <v>3460</v>
      </c>
      <c r="O2155" s="116">
        <v>3422.3</v>
      </c>
      <c r="P2155" s="116">
        <v>3430.8</v>
      </c>
      <c r="Q2155" s="116">
        <v>3455.25</v>
      </c>
      <c r="R2155">
        <v>1885092</v>
      </c>
    </row>
    <row r="2156" spans="1:18" x14ac:dyDescent="0.25">
      <c r="A2156" s="170">
        <v>45177</v>
      </c>
      <c r="B2156" s="116">
        <v>3463.5</v>
      </c>
      <c r="C2156" s="116">
        <v>3443.25</v>
      </c>
      <c r="D2156" s="116">
        <v>3435.1</v>
      </c>
      <c r="E2156" s="116">
        <v>3445.05</v>
      </c>
      <c r="F2156" s="116">
        <v>3443.25</v>
      </c>
      <c r="G2156">
        <v>189880</v>
      </c>
      <c r="H2156" s="116"/>
      <c r="I2156" s="116"/>
      <c r="L2156" s="170">
        <v>45177</v>
      </c>
      <c r="M2156" s="116">
        <v>3441.9</v>
      </c>
      <c r="N2156" s="116">
        <v>3465</v>
      </c>
      <c r="O2156" s="116">
        <v>3435.05</v>
      </c>
      <c r="P2156" s="116">
        <v>3455.25</v>
      </c>
      <c r="Q2156" s="116">
        <v>3441.9</v>
      </c>
      <c r="R2156">
        <v>1518917</v>
      </c>
    </row>
    <row r="2157" spans="1:18" x14ac:dyDescent="0.25">
      <c r="A2157" s="170">
        <v>45180</v>
      </c>
      <c r="B2157" s="116">
        <v>3484.5</v>
      </c>
      <c r="C2157" s="116">
        <v>3479.35</v>
      </c>
      <c r="D2157" s="116">
        <v>3445.1</v>
      </c>
      <c r="E2157" s="116">
        <v>3451.15</v>
      </c>
      <c r="F2157" s="116">
        <v>3479.35</v>
      </c>
      <c r="G2157">
        <v>93745</v>
      </c>
      <c r="H2157" s="116"/>
      <c r="I2157" s="116"/>
      <c r="L2157" s="170">
        <v>45180</v>
      </c>
      <c r="M2157" s="116">
        <v>3480.65</v>
      </c>
      <c r="N2157" s="116">
        <v>3485.7</v>
      </c>
      <c r="O2157" s="116">
        <v>3445</v>
      </c>
      <c r="P2157" s="116">
        <v>3462</v>
      </c>
      <c r="Q2157" s="116">
        <v>3480.65</v>
      </c>
      <c r="R2157">
        <v>1783604</v>
      </c>
    </row>
    <row r="2158" spans="1:18" x14ac:dyDescent="0.25">
      <c r="A2158" s="170">
        <v>45181</v>
      </c>
      <c r="B2158" s="116">
        <v>3589.85</v>
      </c>
      <c r="C2158" s="116">
        <v>3580.6</v>
      </c>
      <c r="D2158" s="116">
        <v>3484.05</v>
      </c>
      <c r="E2158" s="116">
        <v>3485.05</v>
      </c>
      <c r="F2158" s="116">
        <v>3580.6</v>
      </c>
      <c r="G2158">
        <v>102261</v>
      </c>
      <c r="H2158" s="116"/>
      <c r="I2158" s="116"/>
      <c r="L2158" s="170">
        <v>45181</v>
      </c>
      <c r="M2158" s="116">
        <v>3580.8</v>
      </c>
      <c r="N2158" s="116">
        <v>3589.9</v>
      </c>
      <c r="O2158" s="116">
        <v>3483</v>
      </c>
      <c r="P2158" s="116">
        <v>3492</v>
      </c>
      <c r="Q2158" s="116">
        <v>3580.8</v>
      </c>
      <c r="R2158">
        <v>4476016</v>
      </c>
    </row>
    <row r="2159" spans="1:18" x14ac:dyDescent="0.25">
      <c r="A2159" s="170">
        <v>45182</v>
      </c>
      <c r="B2159" s="116">
        <v>3588</v>
      </c>
      <c r="C2159" s="116">
        <v>3565.55</v>
      </c>
      <c r="D2159" s="116">
        <v>3545.05</v>
      </c>
      <c r="E2159" s="116">
        <v>3562.55</v>
      </c>
      <c r="F2159" s="116">
        <v>3565.55</v>
      </c>
      <c r="G2159">
        <v>36826</v>
      </c>
      <c r="H2159" s="116"/>
      <c r="I2159" s="116"/>
      <c r="L2159" s="170">
        <v>45182</v>
      </c>
      <c r="M2159" s="116">
        <v>3567.85</v>
      </c>
      <c r="N2159" s="116">
        <v>3588.85</v>
      </c>
      <c r="O2159" s="116">
        <v>3545</v>
      </c>
      <c r="P2159" s="116">
        <v>3571.1</v>
      </c>
      <c r="Q2159" s="116">
        <v>3567.85</v>
      </c>
      <c r="R2159">
        <v>1754929</v>
      </c>
    </row>
    <row r="2160" spans="1:18" x14ac:dyDescent="0.25">
      <c r="A2160" s="170">
        <v>45183</v>
      </c>
      <c r="B2160" s="116">
        <v>3597.65</v>
      </c>
      <c r="C2160" s="116">
        <v>3559.15</v>
      </c>
      <c r="D2160" s="116">
        <v>3546.05</v>
      </c>
      <c r="E2160" s="116">
        <v>3567.85</v>
      </c>
      <c r="F2160" s="116">
        <v>3559.15</v>
      </c>
      <c r="G2160">
        <v>24854</v>
      </c>
      <c r="H2160" s="116"/>
      <c r="I2160" s="116"/>
      <c r="L2160" s="170">
        <v>45183</v>
      </c>
      <c r="M2160" s="116">
        <v>3560.05</v>
      </c>
      <c r="N2160" s="116">
        <v>3597.7</v>
      </c>
      <c r="O2160" s="116">
        <v>3545.6</v>
      </c>
      <c r="P2160" s="116">
        <v>3570.05</v>
      </c>
      <c r="Q2160" s="116">
        <v>3560.05</v>
      </c>
      <c r="R2160">
        <v>2604721</v>
      </c>
    </row>
    <row r="2161" spans="1:18" x14ac:dyDescent="0.25">
      <c r="A2161" s="170">
        <v>45184</v>
      </c>
      <c r="B2161" s="116">
        <v>3606.5</v>
      </c>
      <c r="C2161" s="116">
        <v>3599.85</v>
      </c>
      <c r="D2161" s="116">
        <v>3562</v>
      </c>
      <c r="E2161" s="116">
        <v>3562</v>
      </c>
      <c r="F2161" s="116">
        <v>3599.85</v>
      </c>
      <c r="G2161">
        <v>49097</v>
      </c>
      <c r="H2161" s="116"/>
      <c r="I2161" s="116"/>
      <c r="L2161" s="170">
        <v>45184</v>
      </c>
      <c r="M2161" s="116">
        <v>3598.3</v>
      </c>
      <c r="N2161" s="116">
        <v>3607.35</v>
      </c>
      <c r="O2161" s="116">
        <v>3562.45</v>
      </c>
      <c r="P2161" s="116">
        <v>3567.85</v>
      </c>
      <c r="Q2161" s="116">
        <v>3598.3</v>
      </c>
      <c r="R2161">
        <v>2952897</v>
      </c>
    </row>
    <row r="2162" spans="1:18" x14ac:dyDescent="0.25">
      <c r="A2162" s="170">
        <v>45187</v>
      </c>
      <c r="B2162" s="116">
        <v>3618.95</v>
      </c>
      <c r="C2162" s="116">
        <v>3604.9</v>
      </c>
      <c r="D2162" s="116">
        <v>3574.05</v>
      </c>
      <c r="E2162" s="116">
        <v>3583.95</v>
      </c>
      <c r="F2162" s="116">
        <v>3604.9</v>
      </c>
      <c r="G2162">
        <v>85875</v>
      </c>
      <c r="H2162" s="116"/>
      <c r="I2162" s="116"/>
      <c r="L2162" s="170">
        <v>45187</v>
      </c>
      <c r="M2162" s="116">
        <v>3606.15</v>
      </c>
      <c r="N2162" s="116">
        <v>3619.3</v>
      </c>
      <c r="O2162" s="116">
        <v>3575.25</v>
      </c>
      <c r="P2162" s="116">
        <v>3580.05</v>
      </c>
      <c r="Q2162" s="116">
        <v>3606.15</v>
      </c>
      <c r="R2162">
        <v>1395753</v>
      </c>
    </row>
    <row r="2163" spans="1:18" x14ac:dyDescent="0.25">
      <c r="A2163" s="170">
        <v>45189</v>
      </c>
      <c r="B2163" s="116">
        <v>3625</v>
      </c>
      <c r="C2163" s="116">
        <v>3606.55</v>
      </c>
      <c r="D2163" s="116">
        <v>3561.05</v>
      </c>
      <c r="E2163" s="116">
        <v>3561.05</v>
      </c>
      <c r="F2163" s="116">
        <v>3606.55</v>
      </c>
      <c r="G2163">
        <v>32742</v>
      </c>
      <c r="H2163" s="116"/>
      <c r="I2163" s="116"/>
      <c r="L2163" s="170">
        <v>45189</v>
      </c>
      <c r="M2163" s="116">
        <v>3606.05</v>
      </c>
      <c r="N2163" s="116">
        <v>3625</v>
      </c>
      <c r="O2163" s="116">
        <v>3580</v>
      </c>
      <c r="P2163" s="116">
        <v>3580</v>
      </c>
      <c r="Q2163" s="116">
        <v>3606.05</v>
      </c>
      <c r="R2163">
        <v>1649396</v>
      </c>
    </row>
    <row r="2164" spans="1:18" x14ac:dyDescent="0.25">
      <c r="A2164" s="170">
        <v>45190</v>
      </c>
      <c r="B2164" s="116">
        <v>3604.25</v>
      </c>
      <c r="C2164" s="116">
        <v>3583.95</v>
      </c>
      <c r="D2164" s="116">
        <v>3528.1</v>
      </c>
      <c r="E2164" s="116">
        <v>3590</v>
      </c>
      <c r="F2164" s="116">
        <v>3583.95</v>
      </c>
      <c r="G2164">
        <v>103196</v>
      </c>
      <c r="H2164" s="116"/>
      <c r="I2164" s="116"/>
      <c r="L2164" s="170">
        <v>45190</v>
      </c>
      <c r="M2164" s="116">
        <v>3585.3</v>
      </c>
      <c r="N2164" s="116">
        <v>3605</v>
      </c>
      <c r="O2164" s="116">
        <v>3528</v>
      </c>
      <c r="P2164" s="116">
        <v>3588.55</v>
      </c>
      <c r="Q2164" s="116">
        <v>3585.3</v>
      </c>
      <c r="R2164">
        <v>2004073</v>
      </c>
    </row>
    <row r="2165" spans="1:18" x14ac:dyDescent="0.25">
      <c r="A2165" s="170">
        <v>45191</v>
      </c>
      <c r="B2165" s="116">
        <v>3633.05</v>
      </c>
      <c r="C2165" s="116">
        <v>3602.65</v>
      </c>
      <c r="D2165" s="116">
        <v>3564.55</v>
      </c>
      <c r="E2165" s="116">
        <v>3580.05</v>
      </c>
      <c r="F2165" s="116">
        <v>3602.65</v>
      </c>
      <c r="G2165">
        <v>32498</v>
      </c>
      <c r="H2165" s="116"/>
      <c r="I2165" s="116"/>
      <c r="L2165" s="170">
        <v>45191</v>
      </c>
      <c r="M2165" s="116">
        <v>3603.65</v>
      </c>
      <c r="N2165" s="116">
        <v>3633.75</v>
      </c>
      <c r="O2165" s="116">
        <v>3565.05</v>
      </c>
      <c r="P2165" s="116">
        <v>3584</v>
      </c>
      <c r="Q2165" s="116">
        <v>3603.65</v>
      </c>
      <c r="R2165">
        <v>1989083</v>
      </c>
    </row>
    <row r="2166" spans="1:18" x14ac:dyDescent="0.25">
      <c r="A2166" s="170">
        <v>45194</v>
      </c>
      <c r="B2166" s="116">
        <v>3611</v>
      </c>
      <c r="C2166" s="116">
        <v>3577.45</v>
      </c>
      <c r="D2166" s="116">
        <v>3560.05</v>
      </c>
      <c r="E2166" s="116">
        <v>3599.9</v>
      </c>
      <c r="F2166" s="116">
        <v>3577.45</v>
      </c>
      <c r="G2166">
        <v>84429</v>
      </c>
      <c r="H2166" s="116"/>
      <c r="I2166" s="116"/>
      <c r="L2166" s="170">
        <v>45194</v>
      </c>
      <c r="M2166" s="116">
        <v>3577.15</v>
      </c>
      <c r="N2166" s="116">
        <v>3620</v>
      </c>
      <c r="O2166" s="116">
        <v>3558.65</v>
      </c>
      <c r="P2166" s="116">
        <v>3602.5</v>
      </c>
      <c r="Q2166" s="116">
        <v>3577.15</v>
      </c>
      <c r="R2166">
        <v>1238778</v>
      </c>
    </row>
    <row r="2167" spans="1:18" x14ac:dyDescent="0.25">
      <c r="A2167" s="170">
        <v>45195</v>
      </c>
      <c r="B2167" s="116">
        <v>3593.1</v>
      </c>
      <c r="C2167" s="116">
        <v>3583.15</v>
      </c>
      <c r="D2167" s="116">
        <v>3536.35</v>
      </c>
      <c r="E2167" s="116">
        <v>3577.4</v>
      </c>
      <c r="F2167" s="116">
        <v>3583.15</v>
      </c>
      <c r="G2167">
        <v>113520</v>
      </c>
      <c r="H2167" s="116"/>
      <c r="I2167" s="116"/>
      <c r="L2167" s="170">
        <v>45195</v>
      </c>
      <c r="M2167" s="116">
        <v>3585.7</v>
      </c>
      <c r="N2167" s="116">
        <v>3594.95</v>
      </c>
      <c r="O2167" s="116">
        <v>3536</v>
      </c>
      <c r="P2167" s="116">
        <v>3567.6</v>
      </c>
      <c r="Q2167" s="116">
        <v>3585.7</v>
      </c>
      <c r="R2167">
        <v>1726062</v>
      </c>
    </row>
    <row r="2168" spans="1:18" x14ac:dyDescent="0.25">
      <c r="A2168" s="170">
        <v>45196</v>
      </c>
      <c r="B2168" s="116">
        <v>3613</v>
      </c>
      <c r="C2168" s="116">
        <v>3587.65</v>
      </c>
      <c r="D2168" s="116">
        <v>3555.6</v>
      </c>
      <c r="E2168" s="116">
        <v>3595.95</v>
      </c>
      <c r="F2168" s="116">
        <v>3587.65</v>
      </c>
      <c r="G2168">
        <v>26350</v>
      </c>
      <c r="H2168" s="116"/>
      <c r="I2168" s="116"/>
      <c r="L2168" s="170">
        <v>45196</v>
      </c>
      <c r="M2168" s="116">
        <v>3589.3</v>
      </c>
      <c r="N2168" s="116">
        <v>3614</v>
      </c>
      <c r="O2168" s="116">
        <v>3555.7</v>
      </c>
      <c r="P2168" s="116">
        <v>3590</v>
      </c>
      <c r="Q2168" s="116">
        <v>3589.3</v>
      </c>
      <c r="R2168">
        <v>1541134</v>
      </c>
    </row>
    <row r="2169" spans="1:18" x14ac:dyDescent="0.25">
      <c r="A2169" s="170">
        <v>45197</v>
      </c>
      <c r="B2169" s="116">
        <v>3602.55</v>
      </c>
      <c r="C2169" s="116">
        <v>3537.25</v>
      </c>
      <c r="D2169" s="116">
        <v>3528.8</v>
      </c>
      <c r="E2169" s="116">
        <v>3599.95</v>
      </c>
      <c r="F2169" s="116">
        <v>3537.25</v>
      </c>
      <c r="G2169">
        <v>374575</v>
      </c>
      <c r="H2169" s="116"/>
      <c r="I2169" s="116"/>
      <c r="L2169" s="170">
        <v>45197</v>
      </c>
      <c r="M2169" s="116">
        <v>3536.75</v>
      </c>
      <c r="N2169" s="116">
        <v>3602.8</v>
      </c>
      <c r="O2169" s="116">
        <v>3527.35</v>
      </c>
      <c r="P2169" s="116">
        <v>3600</v>
      </c>
      <c r="Q2169" s="116">
        <v>3536.75</v>
      </c>
      <c r="R2169">
        <v>1755753</v>
      </c>
    </row>
    <row r="2170" spans="1:18" x14ac:dyDescent="0.25">
      <c r="A2170" s="170">
        <v>45198</v>
      </c>
      <c r="B2170" s="116">
        <v>3568</v>
      </c>
      <c r="C2170" s="116">
        <v>3530.75</v>
      </c>
      <c r="D2170" s="116">
        <v>3506</v>
      </c>
      <c r="E2170" s="116">
        <v>3535</v>
      </c>
      <c r="F2170" s="116">
        <v>3530.75</v>
      </c>
      <c r="G2170">
        <v>83502</v>
      </c>
      <c r="H2170" s="116"/>
      <c r="I2170" s="116"/>
      <c r="L2170" s="170">
        <v>45198</v>
      </c>
      <c r="M2170" s="116">
        <v>3528.6</v>
      </c>
      <c r="N2170" s="116">
        <v>3568.45</v>
      </c>
      <c r="O2170" s="116">
        <v>3505.55</v>
      </c>
      <c r="P2170" s="116">
        <v>3537.2</v>
      </c>
      <c r="Q2170" s="116">
        <v>3528.6</v>
      </c>
      <c r="R2170">
        <v>2243791</v>
      </c>
    </row>
    <row r="2171" spans="1:18" x14ac:dyDescent="0.25">
      <c r="A2171" s="170">
        <v>45202</v>
      </c>
      <c r="B2171" s="116">
        <v>3534.75</v>
      </c>
      <c r="C2171" s="116">
        <v>3515.25</v>
      </c>
      <c r="D2171" s="116">
        <v>3480</v>
      </c>
      <c r="E2171" s="116">
        <v>3531.05</v>
      </c>
      <c r="F2171" s="116">
        <v>3515.25</v>
      </c>
      <c r="G2171">
        <v>110749</v>
      </c>
      <c r="H2171" s="116"/>
      <c r="I2171" s="116"/>
      <c r="L2171" s="170">
        <v>45202</v>
      </c>
      <c r="M2171" s="116">
        <v>3513.85</v>
      </c>
      <c r="N2171" s="116">
        <v>3534.2</v>
      </c>
      <c r="O2171" s="116">
        <v>3480.1</v>
      </c>
      <c r="P2171" s="116">
        <v>3534.2</v>
      </c>
      <c r="Q2171" s="116">
        <v>3513.85</v>
      </c>
      <c r="R2171">
        <v>1948148</v>
      </c>
    </row>
    <row r="2172" spans="1:18" x14ac:dyDescent="0.25">
      <c r="A2172" s="170">
        <v>45203</v>
      </c>
      <c r="B2172" s="116">
        <v>3546</v>
      </c>
      <c r="C2172" s="116">
        <v>3536.65</v>
      </c>
      <c r="D2172" s="116">
        <v>3477</v>
      </c>
      <c r="E2172" s="116">
        <v>3485.6</v>
      </c>
      <c r="F2172" s="116">
        <v>3536.65</v>
      </c>
      <c r="G2172">
        <v>282695</v>
      </c>
      <c r="H2172" s="116"/>
      <c r="I2172" s="116"/>
      <c r="L2172" s="170">
        <v>45203</v>
      </c>
      <c r="M2172" s="116">
        <v>3537.75</v>
      </c>
      <c r="N2172" s="116">
        <v>3548</v>
      </c>
      <c r="O2172" s="116">
        <v>3477.3</v>
      </c>
      <c r="P2172" s="116">
        <v>3486.3</v>
      </c>
      <c r="Q2172" s="116">
        <v>3537.75</v>
      </c>
      <c r="R2172">
        <v>1788138</v>
      </c>
    </row>
    <row r="2173" spans="1:18" x14ac:dyDescent="0.25">
      <c r="A2173" s="170">
        <v>45204</v>
      </c>
      <c r="B2173" s="116">
        <v>3624</v>
      </c>
      <c r="C2173" s="116">
        <v>3589.1</v>
      </c>
      <c r="D2173" s="116">
        <v>3553.65</v>
      </c>
      <c r="E2173" s="116">
        <v>3557.95</v>
      </c>
      <c r="F2173" s="116">
        <v>3589.1</v>
      </c>
      <c r="G2173">
        <v>64884</v>
      </c>
      <c r="H2173" s="116"/>
      <c r="I2173" s="116"/>
      <c r="L2173" s="170">
        <v>45204</v>
      </c>
      <c r="M2173" s="116">
        <v>3589.35</v>
      </c>
      <c r="N2173" s="116">
        <v>3624</v>
      </c>
      <c r="O2173" s="116">
        <v>3551.2</v>
      </c>
      <c r="P2173" s="116">
        <v>3554</v>
      </c>
      <c r="Q2173" s="116">
        <v>3589.35</v>
      </c>
      <c r="R2173">
        <v>2990768</v>
      </c>
    </row>
    <row r="2174" spans="1:18" x14ac:dyDescent="0.25">
      <c r="A2174" s="170">
        <v>45205</v>
      </c>
      <c r="B2174" s="116">
        <v>3634.25</v>
      </c>
      <c r="C2174" s="116">
        <v>3620.2</v>
      </c>
      <c r="D2174" s="116">
        <v>3576.95</v>
      </c>
      <c r="E2174" s="116">
        <v>3590</v>
      </c>
      <c r="F2174" s="116">
        <v>3620.2</v>
      </c>
      <c r="G2174">
        <v>251185</v>
      </c>
      <c r="H2174" s="116"/>
      <c r="I2174" s="116"/>
      <c r="L2174" s="170">
        <v>45205</v>
      </c>
      <c r="M2174" s="116">
        <v>3621.4</v>
      </c>
      <c r="N2174" s="116">
        <v>3634.95</v>
      </c>
      <c r="O2174" s="116">
        <v>3575.05</v>
      </c>
      <c r="P2174" s="116">
        <v>3591</v>
      </c>
      <c r="Q2174" s="116">
        <v>3621.4</v>
      </c>
      <c r="R2174">
        <v>2075691</v>
      </c>
    </row>
    <row r="2175" spans="1:18" x14ac:dyDescent="0.25">
      <c r="A2175" s="170">
        <v>45208</v>
      </c>
      <c r="B2175" s="116">
        <v>3680</v>
      </c>
      <c r="C2175" s="116">
        <v>3637.25</v>
      </c>
      <c r="D2175" s="116">
        <v>3630</v>
      </c>
      <c r="E2175" s="116">
        <v>3654</v>
      </c>
      <c r="F2175" s="116">
        <v>3637.25</v>
      </c>
      <c r="G2175">
        <v>136192</v>
      </c>
      <c r="H2175" s="116"/>
      <c r="I2175" s="116"/>
      <c r="L2175" s="170">
        <v>45208</v>
      </c>
      <c r="M2175" s="116">
        <v>3638.35</v>
      </c>
      <c r="N2175" s="116">
        <v>3679</v>
      </c>
      <c r="O2175" s="116">
        <v>3631</v>
      </c>
      <c r="P2175" s="116">
        <v>3645.05</v>
      </c>
      <c r="Q2175" s="116">
        <v>3638.35</v>
      </c>
      <c r="R2175">
        <v>4233074</v>
      </c>
    </row>
    <row r="2176" spans="1:18" x14ac:dyDescent="0.25">
      <c r="A2176" s="170">
        <v>45209</v>
      </c>
      <c r="B2176" s="116">
        <v>3650</v>
      </c>
      <c r="C2176" s="116">
        <v>3629.2</v>
      </c>
      <c r="D2176" s="116">
        <v>3601.9</v>
      </c>
      <c r="E2176" s="116">
        <v>3639.95</v>
      </c>
      <c r="F2176" s="116">
        <v>3629.2</v>
      </c>
      <c r="G2176">
        <v>57937</v>
      </c>
      <c r="H2176" s="116"/>
      <c r="I2176" s="116"/>
      <c r="L2176" s="170">
        <v>45209</v>
      </c>
      <c r="M2176" s="116">
        <v>3628.9</v>
      </c>
      <c r="N2176" s="116">
        <v>3648</v>
      </c>
      <c r="O2176" s="116">
        <v>3601.35</v>
      </c>
      <c r="P2176" s="116">
        <v>3640.05</v>
      </c>
      <c r="Q2176" s="116">
        <v>3628.9</v>
      </c>
      <c r="R2176">
        <v>1848148</v>
      </c>
    </row>
    <row r="2177" spans="1:18" x14ac:dyDescent="0.25">
      <c r="A2177" s="170">
        <v>45210</v>
      </c>
      <c r="B2177" s="116">
        <v>3664</v>
      </c>
      <c r="C2177" s="116">
        <v>3610.2</v>
      </c>
      <c r="D2177" s="116">
        <v>3606</v>
      </c>
      <c r="E2177" s="116">
        <v>3664</v>
      </c>
      <c r="F2177" s="116">
        <v>3610.2</v>
      </c>
      <c r="G2177">
        <v>530680</v>
      </c>
      <c r="H2177" s="116"/>
      <c r="I2177" s="116"/>
      <c r="L2177" s="170">
        <v>45210</v>
      </c>
      <c r="M2177" s="116">
        <v>3609.9</v>
      </c>
      <c r="N2177" s="116">
        <v>3650</v>
      </c>
      <c r="O2177" s="116">
        <v>3605</v>
      </c>
      <c r="P2177" s="116">
        <v>3650</v>
      </c>
      <c r="Q2177" s="116">
        <v>3609.9</v>
      </c>
      <c r="R2177">
        <v>2426417</v>
      </c>
    </row>
    <row r="2178" spans="1:18" x14ac:dyDescent="0.25">
      <c r="A2178" s="170">
        <v>45211</v>
      </c>
      <c r="B2178" s="116">
        <v>3588.75</v>
      </c>
      <c r="C2178" s="116">
        <v>3542.25</v>
      </c>
      <c r="D2178" s="116">
        <v>3539</v>
      </c>
      <c r="E2178" s="116">
        <v>3585</v>
      </c>
      <c r="F2178" s="116">
        <v>3542.25</v>
      </c>
      <c r="G2178">
        <v>205521</v>
      </c>
      <c r="H2178" s="116"/>
      <c r="I2178" s="116"/>
      <c r="L2178" s="170">
        <v>45211</v>
      </c>
      <c r="M2178" s="116">
        <v>3542.55</v>
      </c>
      <c r="N2178" s="116">
        <v>3588.65</v>
      </c>
      <c r="O2178" s="116">
        <v>3538.1</v>
      </c>
      <c r="P2178" s="116">
        <v>3575</v>
      </c>
      <c r="Q2178" s="116">
        <v>3542.55</v>
      </c>
      <c r="R2178">
        <v>4241281</v>
      </c>
    </row>
    <row r="2179" spans="1:18" x14ac:dyDescent="0.25">
      <c r="A2179" s="170">
        <v>45212</v>
      </c>
      <c r="B2179" s="116">
        <v>3579.2</v>
      </c>
      <c r="C2179" s="116">
        <v>3570.3</v>
      </c>
      <c r="D2179" s="116">
        <v>3525</v>
      </c>
      <c r="E2179" s="116">
        <v>3529.95</v>
      </c>
      <c r="F2179" s="116">
        <v>3570.3</v>
      </c>
      <c r="G2179">
        <v>326628</v>
      </c>
      <c r="H2179" s="116"/>
      <c r="I2179" s="116"/>
      <c r="L2179" s="170">
        <v>45212</v>
      </c>
      <c r="M2179" s="116">
        <v>3570.85</v>
      </c>
      <c r="N2179" s="116">
        <v>3577</v>
      </c>
      <c r="O2179" s="116">
        <v>3525</v>
      </c>
      <c r="P2179" s="116">
        <v>3530</v>
      </c>
      <c r="Q2179" s="116">
        <v>3570.85</v>
      </c>
      <c r="R2179">
        <v>2890357</v>
      </c>
    </row>
    <row r="2180" spans="1:18" x14ac:dyDescent="0.25">
      <c r="A2180" s="170">
        <v>45215</v>
      </c>
      <c r="B2180" s="116">
        <v>3574.95</v>
      </c>
      <c r="C2180" s="116">
        <v>3524.15</v>
      </c>
      <c r="D2180" s="116">
        <v>3517.75</v>
      </c>
      <c r="E2180" s="116">
        <v>3564.95</v>
      </c>
      <c r="F2180" s="116">
        <v>3524.15</v>
      </c>
      <c r="G2180">
        <v>41613</v>
      </c>
      <c r="H2180" s="116"/>
      <c r="I2180" s="116"/>
      <c r="L2180" s="170">
        <v>45215</v>
      </c>
      <c r="M2180" s="116">
        <v>3524.05</v>
      </c>
      <c r="N2180" s="116">
        <v>3574.65</v>
      </c>
      <c r="O2180" s="116">
        <v>3519.1</v>
      </c>
      <c r="P2180" s="116">
        <v>3566</v>
      </c>
      <c r="Q2180" s="116">
        <v>3524.05</v>
      </c>
      <c r="R2180">
        <v>1671104</v>
      </c>
    </row>
    <row r="2181" spans="1:18" x14ac:dyDescent="0.25">
      <c r="A2181" s="170">
        <v>45216</v>
      </c>
      <c r="B2181" s="116">
        <v>3536.95</v>
      </c>
      <c r="C2181" s="116">
        <v>3506.65</v>
      </c>
      <c r="D2181" s="116">
        <v>3503.35</v>
      </c>
      <c r="E2181" s="116">
        <v>3536.95</v>
      </c>
      <c r="F2181" s="116">
        <v>3506.65</v>
      </c>
      <c r="G2181">
        <v>79395</v>
      </c>
      <c r="H2181" s="116"/>
      <c r="I2181" s="116"/>
      <c r="L2181" s="170">
        <v>45216</v>
      </c>
      <c r="M2181" s="116">
        <v>3507.05</v>
      </c>
      <c r="N2181" s="116">
        <v>3534.15</v>
      </c>
      <c r="O2181" s="116">
        <v>3503.35</v>
      </c>
      <c r="P2181" s="116">
        <v>3530</v>
      </c>
      <c r="Q2181" s="116">
        <v>3507.05</v>
      </c>
      <c r="R2181">
        <v>1672065</v>
      </c>
    </row>
    <row r="2182" spans="1:18" x14ac:dyDescent="0.25">
      <c r="A2182" s="170">
        <v>45217</v>
      </c>
      <c r="B2182" s="116">
        <v>3523.55</v>
      </c>
      <c r="C2182" s="116">
        <v>3487.15</v>
      </c>
      <c r="D2182" s="116">
        <v>3485</v>
      </c>
      <c r="E2182" s="116">
        <v>3507.1</v>
      </c>
      <c r="F2182" s="116">
        <v>3487.15</v>
      </c>
      <c r="G2182">
        <v>35991</v>
      </c>
      <c r="H2182" s="116"/>
      <c r="I2182" s="116"/>
      <c r="L2182" s="170">
        <v>45217</v>
      </c>
      <c r="M2182" s="116">
        <v>3487.25</v>
      </c>
      <c r="N2182" s="116">
        <v>3522.7</v>
      </c>
      <c r="O2182" s="116">
        <v>3484</v>
      </c>
      <c r="P2182" s="116">
        <v>3511</v>
      </c>
      <c r="Q2182" s="116">
        <v>3487.25</v>
      </c>
      <c r="R2182">
        <v>1408245</v>
      </c>
    </row>
    <row r="2183" spans="1:18" x14ac:dyDescent="0.25">
      <c r="A2183" s="170">
        <v>45218</v>
      </c>
      <c r="B2183" s="116">
        <v>3478.35</v>
      </c>
      <c r="C2183" s="116">
        <v>3454.75</v>
      </c>
      <c r="D2183" s="116">
        <v>3451.85</v>
      </c>
      <c r="E2183" s="116">
        <v>3473.95</v>
      </c>
      <c r="F2183" s="116">
        <v>3454.75</v>
      </c>
      <c r="G2183">
        <v>216685</v>
      </c>
      <c r="H2183" s="116"/>
      <c r="I2183" s="116"/>
      <c r="L2183" s="170">
        <v>45218</v>
      </c>
      <c r="M2183" s="116">
        <v>3455.65</v>
      </c>
      <c r="N2183" s="116">
        <v>3476.85</v>
      </c>
      <c r="O2183" s="116">
        <v>3451.9</v>
      </c>
      <c r="P2183" s="116">
        <v>3469.5</v>
      </c>
      <c r="Q2183" s="116">
        <v>3455.65</v>
      </c>
      <c r="R2183">
        <v>1514545</v>
      </c>
    </row>
    <row r="2184" spans="1:18" x14ac:dyDescent="0.25">
      <c r="A2184" s="170">
        <v>45219</v>
      </c>
      <c r="B2184" s="116">
        <v>3500.45</v>
      </c>
      <c r="C2184" s="116">
        <v>3494.25</v>
      </c>
      <c r="D2184" s="116">
        <v>3444.05</v>
      </c>
      <c r="E2184" s="116">
        <v>3454.7</v>
      </c>
      <c r="F2184" s="116">
        <v>3494.25</v>
      </c>
      <c r="G2184">
        <v>391507</v>
      </c>
      <c r="H2184" s="116"/>
      <c r="I2184" s="116"/>
      <c r="L2184" s="170">
        <v>45219</v>
      </c>
      <c r="M2184" s="116">
        <v>3494.55</v>
      </c>
      <c r="N2184" s="116">
        <v>3499.5</v>
      </c>
      <c r="O2184" s="116">
        <v>3444.05</v>
      </c>
      <c r="P2184" s="116">
        <v>3450.4</v>
      </c>
      <c r="Q2184" s="116">
        <v>3494.55</v>
      </c>
      <c r="R2184">
        <v>1481211</v>
      </c>
    </row>
    <row r="2185" spans="1:18" x14ac:dyDescent="0.25">
      <c r="A2185" s="170">
        <v>45222</v>
      </c>
      <c r="B2185" s="116">
        <v>3480.1</v>
      </c>
      <c r="C2185" s="116">
        <v>3409</v>
      </c>
      <c r="D2185" s="116">
        <v>3401.7</v>
      </c>
      <c r="E2185" s="116">
        <v>3475</v>
      </c>
      <c r="F2185" s="116">
        <v>3409</v>
      </c>
      <c r="G2185">
        <v>26553</v>
      </c>
      <c r="H2185" s="116"/>
      <c r="I2185" s="116"/>
      <c r="L2185" s="170">
        <v>45222</v>
      </c>
      <c r="M2185" s="116">
        <v>3410.15</v>
      </c>
      <c r="N2185" s="116">
        <v>3478.95</v>
      </c>
      <c r="O2185" s="116">
        <v>3401.3</v>
      </c>
      <c r="P2185" s="116">
        <v>3473</v>
      </c>
      <c r="Q2185" s="116">
        <v>3410.15</v>
      </c>
      <c r="R2185">
        <v>1106272</v>
      </c>
    </row>
    <row r="2186" spans="1:18" x14ac:dyDescent="0.25">
      <c r="A2186" s="170">
        <v>45224</v>
      </c>
      <c r="B2186" s="116">
        <v>3425.9</v>
      </c>
      <c r="C2186" s="116">
        <v>3389.85</v>
      </c>
      <c r="D2186" s="116">
        <v>3377</v>
      </c>
      <c r="E2186" s="116">
        <v>3399.95</v>
      </c>
      <c r="F2186" s="116">
        <v>3389.85</v>
      </c>
      <c r="G2186">
        <v>32271</v>
      </c>
      <c r="H2186" s="116"/>
      <c r="I2186" s="116"/>
      <c r="L2186" s="170">
        <v>45224</v>
      </c>
      <c r="M2186" s="116">
        <v>3390.1</v>
      </c>
      <c r="N2186" s="116">
        <v>3425</v>
      </c>
      <c r="O2186" s="116">
        <v>3377.2</v>
      </c>
      <c r="P2186" s="116">
        <v>3390.5</v>
      </c>
      <c r="Q2186" s="116">
        <v>3390.1</v>
      </c>
      <c r="R2186">
        <v>1518537</v>
      </c>
    </row>
    <row r="2187" spans="1:18" x14ac:dyDescent="0.25">
      <c r="A2187" s="170">
        <v>45225</v>
      </c>
      <c r="B2187" s="116">
        <v>3372.5</v>
      </c>
      <c r="C2187" s="116">
        <v>3337.75</v>
      </c>
      <c r="D2187" s="116">
        <v>3330.4</v>
      </c>
      <c r="E2187" s="116">
        <v>3369.85</v>
      </c>
      <c r="F2187" s="116">
        <v>3337.75</v>
      </c>
      <c r="G2187">
        <v>155481</v>
      </c>
      <c r="H2187" s="116"/>
      <c r="I2187" s="116"/>
      <c r="L2187" s="170">
        <v>45225</v>
      </c>
      <c r="M2187" s="116">
        <v>3336.75</v>
      </c>
      <c r="N2187" s="116">
        <v>3373.7</v>
      </c>
      <c r="O2187" s="116">
        <v>3330</v>
      </c>
      <c r="P2187" s="116">
        <v>3368.05</v>
      </c>
      <c r="Q2187" s="116">
        <v>3336.75</v>
      </c>
      <c r="R2187">
        <v>1984471</v>
      </c>
    </row>
    <row r="2188" spans="1:18" x14ac:dyDescent="0.25">
      <c r="A2188" s="170">
        <v>45226</v>
      </c>
      <c r="B2188" s="116">
        <v>3363.05</v>
      </c>
      <c r="C2188" s="116">
        <v>3350.55</v>
      </c>
      <c r="D2188" s="116">
        <v>3338.5</v>
      </c>
      <c r="E2188" s="116">
        <v>3357.9</v>
      </c>
      <c r="F2188" s="116">
        <v>3350.55</v>
      </c>
      <c r="G2188">
        <v>342615</v>
      </c>
      <c r="H2188" s="116"/>
      <c r="I2188" s="116"/>
      <c r="L2188" s="170">
        <v>45226</v>
      </c>
      <c r="M2188" s="116">
        <v>3350.95</v>
      </c>
      <c r="N2188" s="116">
        <v>3362</v>
      </c>
      <c r="O2188" s="116">
        <v>3337</v>
      </c>
      <c r="P2188" s="116">
        <v>3350</v>
      </c>
      <c r="Q2188" s="116">
        <v>3350.95</v>
      </c>
      <c r="R2188">
        <v>1108851</v>
      </c>
    </row>
    <row r="2189" spans="1:18" x14ac:dyDescent="0.25">
      <c r="A2189" s="170">
        <v>45229</v>
      </c>
      <c r="B2189" s="116">
        <v>3382.9</v>
      </c>
      <c r="C2189" s="116">
        <v>3378.95</v>
      </c>
      <c r="D2189" s="116">
        <v>3333.25</v>
      </c>
      <c r="E2189" s="116">
        <v>3354</v>
      </c>
      <c r="F2189" s="116">
        <v>3378.95</v>
      </c>
      <c r="G2189">
        <v>17188</v>
      </c>
      <c r="H2189" s="116"/>
      <c r="I2189" s="116"/>
      <c r="L2189" s="170">
        <v>45229</v>
      </c>
      <c r="M2189" s="116">
        <v>3378.55</v>
      </c>
      <c r="N2189" s="116">
        <v>3382.85</v>
      </c>
      <c r="O2189" s="116">
        <v>3333.75</v>
      </c>
      <c r="P2189" s="116">
        <v>3350</v>
      </c>
      <c r="Q2189" s="116">
        <v>3378.55</v>
      </c>
      <c r="R2189">
        <v>910972</v>
      </c>
    </row>
    <row r="2190" spans="1:18" x14ac:dyDescent="0.25">
      <c r="A2190" s="170">
        <v>45230</v>
      </c>
      <c r="B2190" s="116">
        <v>3398.3</v>
      </c>
      <c r="C2190" s="116">
        <v>3368.2</v>
      </c>
      <c r="D2190" s="116">
        <v>3350.55</v>
      </c>
      <c r="E2190" s="116">
        <v>3386.05</v>
      </c>
      <c r="F2190" s="116">
        <v>3368.2</v>
      </c>
      <c r="G2190">
        <v>47077</v>
      </c>
      <c r="H2190" s="116"/>
      <c r="I2190" s="116"/>
      <c r="L2190" s="170">
        <v>45230</v>
      </c>
      <c r="M2190" s="116">
        <v>3368.75</v>
      </c>
      <c r="N2190" s="116">
        <v>3399</v>
      </c>
      <c r="O2190" s="116">
        <v>3350.05</v>
      </c>
      <c r="P2190" s="116">
        <v>3399</v>
      </c>
      <c r="Q2190" s="116">
        <v>3368.75</v>
      </c>
      <c r="R2190">
        <v>999811</v>
      </c>
    </row>
    <row r="2191" spans="1:18" x14ac:dyDescent="0.25">
      <c r="A2191" s="170">
        <v>45231</v>
      </c>
      <c r="B2191" s="116">
        <v>3371.9</v>
      </c>
      <c r="C2191" s="116">
        <v>3332.55</v>
      </c>
      <c r="D2191" s="116">
        <v>3313</v>
      </c>
      <c r="E2191" s="116">
        <v>3354.75</v>
      </c>
      <c r="F2191" s="116">
        <v>3332.55</v>
      </c>
      <c r="G2191">
        <v>16067</v>
      </c>
      <c r="H2191" s="116"/>
      <c r="I2191" s="116"/>
      <c r="L2191" s="170">
        <v>45231</v>
      </c>
      <c r="M2191" s="116">
        <v>3330.65</v>
      </c>
      <c r="N2191" s="116">
        <v>3371.6</v>
      </c>
      <c r="O2191" s="116">
        <v>3311</v>
      </c>
      <c r="P2191" s="116">
        <v>3355</v>
      </c>
      <c r="Q2191" s="116">
        <v>3330.65</v>
      </c>
      <c r="R2191">
        <v>1563475</v>
      </c>
    </row>
    <row r="2192" spans="1:18" x14ac:dyDescent="0.25">
      <c r="A2192" s="170">
        <v>45232</v>
      </c>
      <c r="B2192" s="116">
        <v>3375</v>
      </c>
      <c r="C2192" s="116">
        <v>3359.95</v>
      </c>
      <c r="D2192" s="116">
        <v>3341.55</v>
      </c>
      <c r="E2192" s="116">
        <v>3341.55</v>
      </c>
      <c r="F2192" s="116">
        <v>3359.95</v>
      </c>
      <c r="G2192">
        <v>39442</v>
      </c>
      <c r="H2192" s="116"/>
      <c r="I2192" s="116"/>
      <c r="L2192" s="170">
        <v>45232</v>
      </c>
      <c r="M2192" s="116">
        <v>3360.1</v>
      </c>
      <c r="N2192" s="116">
        <v>3375.95</v>
      </c>
      <c r="O2192" s="116">
        <v>3343.2</v>
      </c>
      <c r="P2192" s="116">
        <v>3343.2</v>
      </c>
      <c r="Q2192" s="116">
        <v>3360.1</v>
      </c>
      <c r="R2192">
        <v>1245384</v>
      </c>
    </row>
    <row r="2193" spans="1:18" x14ac:dyDescent="0.25">
      <c r="A2193" s="170">
        <v>45233</v>
      </c>
      <c r="B2193" s="116">
        <v>3387.4</v>
      </c>
      <c r="C2193" s="116">
        <v>3350.85</v>
      </c>
      <c r="D2193" s="116">
        <v>3345.95</v>
      </c>
      <c r="E2193" s="116">
        <v>3387.4</v>
      </c>
      <c r="F2193" s="116">
        <v>3350.85</v>
      </c>
      <c r="G2193">
        <v>124559</v>
      </c>
      <c r="H2193" s="116"/>
      <c r="I2193" s="116"/>
      <c r="L2193" s="170">
        <v>45233</v>
      </c>
      <c r="M2193" s="116">
        <v>3350.9</v>
      </c>
      <c r="N2193" s="116">
        <v>3387.9</v>
      </c>
      <c r="O2193" s="116">
        <v>3344.3</v>
      </c>
      <c r="P2193" s="116">
        <v>3382</v>
      </c>
      <c r="Q2193" s="116">
        <v>3350.9</v>
      </c>
      <c r="R2193">
        <v>1402598</v>
      </c>
    </row>
    <row r="2194" spans="1:18" x14ac:dyDescent="0.25">
      <c r="A2194" s="170">
        <v>45236</v>
      </c>
      <c r="B2194" s="116">
        <v>3393.65</v>
      </c>
      <c r="C2194" s="116">
        <v>3385.35</v>
      </c>
      <c r="D2194" s="116">
        <v>3360</v>
      </c>
      <c r="E2194" s="116">
        <v>3364</v>
      </c>
      <c r="F2194" s="116">
        <v>3385.35</v>
      </c>
      <c r="G2194">
        <v>14209</v>
      </c>
      <c r="H2194" s="116"/>
      <c r="I2194" s="116"/>
      <c r="L2194" s="170">
        <v>45236</v>
      </c>
      <c r="M2194" s="116">
        <v>3380.25</v>
      </c>
      <c r="N2194" s="116">
        <v>3392.3</v>
      </c>
      <c r="O2194" s="116">
        <v>3359</v>
      </c>
      <c r="P2194" s="116">
        <v>3375</v>
      </c>
      <c r="Q2194" s="116">
        <v>3380.25</v>
      </c>
      <c r="R2194">
        <v>1099852</v>
      </c>
    </row>
    <row r="2195" spans="1:18" x14ac:dyDescent="0.25">
      <c r="A2195" s="170">
        <v>45237</v>
      </c>
      <c r="B2195" s="116">
        <v>3404.55</v>
      </c>
      <c r="C2195" s="116">
        <v>3370.1</v>
      </c>
      <c r="D2195" s="116">
        <v>3366.05</v>
      </c>
      <c r="E2195" s="116">
        <v>3385</v>
      </c>
      <c r="F2195" s="116">
        <v>3370.1</v>
      </c>
      <c r="G2195">
        <v>38446</v>
      </c>
      <c r="H2195" s="116"/>
      <c r="I2195" s="116"/>
      <c r="L2195" s="170">
        <v>45237</v>
      </c>
      <c r="M2195" s="116">
        <v>3370.45</v>
      </c>
      <c r="N2195" s="116">
        <v>3404.15</v>
      </c>
      <c r="O2195" s="116">
        <v>3366</v>
      </c>
      <c r="P2195" s="116">
        <v>3378</v>
      </c>
      <c r="Q2195" s="116">
        <v>3370.45</v>
      </c>
      <c r="R2195">
        <v>1191144</v>
      </c>
    </row>
    <row r="2196" spans="1:18" x14ac:dyDescent="0.25">
      <c r="A2196" s="170">
        <v>45238</v>
      </c>
      <c r="B2196" s="116">
        <v>3402</v>
      </c>
      <c r="C2196" s="116">
        <v>3380.75</v>
      </c>
      <c r="D2196" s="116">
        <v>3371.85</v>
      </c>
      <c r="E2196" s="116">
        <v>3377.95</v>
      </c>
      <c r="F2196" s="116">
        <v>3380.75</v>
      </c>
      <c r="G2196">
        <v>68334</v>
      </c>
      <c r="H2196" s="116"/>
      <c r="I2196" s="116"/>
      <c r="L2196" s="170">
        <v>45238</v>
      </c>
      <c r="M2196" s="116">
        <v>3381.55</v>
      </c>
      <c r="N2196" s="116">
        <v>3401.95</v>
      </c>
      <c r="O2196" s="116">
        <v>3369.55</v>
      </c>
      <c r="P2196" s="116">
        <v>3371.45</v>
      </c>
      <c r="Q2196" s="116">
        <v>3381.55</v>
      </c>
      <c r="R2196">
        <v>992899</v>
      </c>
    </row>
    <row r="2197" spans="1:18" x14ac:dyDescent="0.25">
      <c r="A2197" s="170">
        <v>45239</v>
      </c>
      <c r="B2197" s="116">
        <v>3392.5</v>
      </c>
      <c r="C2197" s="116">
        <v>3348.25</v>
      </c>
      <c r="D2197" s="116">
        <v>3343</v>
      </c>
      <c r="E2197" s="116">
        <v>3391</v>
      </c>
      <c r="F2197" s="116">
        <v>3348.25</v>
      </c>
      <c r="G2197">
        <v>35061</v>
      </c>
      <c r="H2197" s="116"/>
      <c r="I2197" s="116"/>
      <c r="L2197" s="170">
        <v>45239</v>
      </c>
      <c r="M2197" s="116">
        <v>3347.45</v>
      </c>
      <c r="N2197" s="116">
        <v>3391.5</v>
      </c>
      <c r="O2197" s="116">
        <v>3342.05</v>
      </c>
      <c r="P2197" s="116">
        <v>3390.1</v>
      </c>
      <c r="Q2197" s="116">
        <v>3347.45</v>
      </c>
      <c r="R2197">
        <v>2112352</v>
      </c>
    </row>
    <row r="2198" spans="1:18" x14ac:dyDescent="0.25">
      <c r="A2198" s="170">
        <v>45240</v>
      </c>
      <c r="B2198" s="116">
        <v>3347</v>
      </c>
      <c r="C2198" s="116">
        <v>3332.8</v>
      </c>
      <c r="D2198" s="116">
        <v>3322.35</v>
      </c>
      <c r="E2198" s="116">
        <v>3343.95</v>
      </c>
      <c r="F2198" s="116">
        <v>3332.8</v>
      </c>
      <c r="G2198">
        <v>253510</v>
      </c>
      <c r="H2198" s="116"/>
      <c r="I2198" s="116"/>
      <c r="L2198" s="170">
        <v>45240</v>
      </c>
      <c r="M2198" s="116">
        <v>3333.45</v>
      </c>
      <c r="N2198" s="116">
        <v>3347.45</v>
      </c>
      <c r="O2198" s="116">
        <v>3322.35</v>
      </c>
      <c r="P2198" s="116">
        <v>3338</v>
      </c>
      <c r="Q2198" s="116">
        <v>3333.45</v>
      </c>
      <c r="R2198">
        <v>1338557</v>
      </c>
    </row>
    <row r="2199" spans="1:18" x14ac:dyDescent="0.25">
      <c r="A2199" s="170">
        <v>45242</v>
      </c>
      <c r="B2199" s="116">
        <v>3360</v>
      </c>
      <c r="C2199" s="116">
        <v>3358.25</v>
      </c>
      <c r="D2199" s="116">
        <v>3340</v>
      </c>
      <c r="E2199" s="116">
        <v>3359.95</v>
      </c>
      <c r="F2199" s="116">
        <v>3358.25</v>
      </c>
      <c r="G2199">
        <v>8197</v>
      </c>
      <c r="H2199" s="116"/>
      <c r="I2199" s="116"/>
      <c r="L2199" s="170">
        <v>45242</v>
      </c>
      <c r="M2199" s="116">
        <v>3357.3</v>
      </c>
      <c r="N2199" s="116">
        <v>3359</v>
      </c>
      <c r="O2199" s="116">
        <v>3345</v>
      </c>
      <c r="P2199" s="116">
        <v>3350</v>
      </c>
      <c r="Q2199" s="116">
        <v>3357.3</v>
      </c>
      <c r="R2199">
        <v>173346</v>
      </c>
    </row>
    <row r="2200" spans="1:18" x14ac:dyDescent="0.25">
      <c r="A2200" s="170">
        <v>45243</v>
      </c>
      <c r="B2200" s="116">
        <v>3357</v>
      </c>
      <c r="C2200" s="116">
        <v>3331.7</v>
      </c>
      <c r="D2200" s="116">
        <v>3327</v>
      </c>
      <c r="E2200" s="116">
        <v>3350</v>
      </c>
      <c r="F2200" s="116">
        <v>3331.7</v>
      </c>
      <c r="G2200">
        <v>32989</v>
      </c>
      <c r="H2200" s="116"/>
      <c r="I2200" s="116"/>
      <c r="L2200" s="170">
        <v>45243</v>
      </c>
      <c r="M2200" s="116">
        <v>3331.55</v>
      </c>
      <c r="N2200" s="116">
        <v>3356</v>
      </c>
      <c r="O2200" s="116">
        <v>3327</v>
      </c>
      <c r="P2200" s="116">
        <v>3356</v>
      </c>
      <c r="Q2200" s="116">
        <v>3331.55</v>
      </c>
      <c r="R2200">
        <v>1030990</v>
      </c>
    </row>
    <row r="2201" spans="1:18" x14ac:dyDescent="0.25">
      <c r="A2201" s="170">
        <v>45245</v>
      </c>
      <c r="B2201" s="116">
        <v>3413</v>
      </c>
      <c r="C2201" s="116">
        <v>3399.3</v>
      </c>
      <c r="D2201" s="116">
        <v>3360</v>
      </c>
      <c r="E2201" s="116">
        <v>3385.1</v>
      </c>
      <c r="F2201" s="116">
        <v>3399.3</v>
      </c>
      <c r="G2201">
        <v>128174</v>
      </c>
      <c r="H2201" s="116"/>
      <c r="I2201" s="116"/>
      <c r="L2201" s="170">
        <v>45245</v>
      </c>
      <c r="M2201" s="116">
        <v>3404.3</v>
      </c>
      <c r="N2201" s="116">
        <v>3413</v>
      </c>
      <c r="O2201" s="116">
        <v>3356.05</v>
      </c>
      <c r="P2201" s="116">
        <v>3383.1</v>
      </c>
      <c r="Q2201" s="116">
        <v>3404.3</v>
      </c>
      <c r="R2201">
        <v>2059802</v>
      </c>
    </row>
    <row r="2202" spans="1:18" x14ac:dyDescent="0.25">
      <c r="A2202" s="170">
        <v>45246</v>
      </c>
      <c r="B2202" s="116">
        <v>3529</v>
      </c>
      <c r="C2202" s="116">
        <v>3498</v>
      </c>
      <c r="D2202" s="116">
        <v>3415.5</v>
      </c>
      <c r="E2202" s="116">
        <v>3467</v>
      </c>
      <c r="F2202" s="116">
        <v>3498</v>
      </c>
      <c r="G2202">
        <v>169895</v>
      </c>
      <c r="H2202" s="116"/>
      <c r="I2202" s="116"/>
      <c r="L2202" s="170">
        <v>45246</v>
      </c>
      <c r="M2202" s="116">
        <v>3497.85</v>
      </c>
      <c r="N2202" s="116">
        <v>3529.35</v>
      </c>
      <c r="O2202" s="116">
        <v>3414.2</v>
      </c>
      <c r="P2202" s="116">
        <v>3430.05</v>
      </c>
      <c r="Q2202" s="116">
        <v>3497.85</v>
      </c>
      <c r="R2202">
        <v>3951984</v>
      </c>
    </row>
    <row r="2203" spans="1:18" x14ac:dyDescent="0.25">
      <c r="A2203" s="170">
        <v>45247</v>
      </c>
      <c r="B2203" s="116">
        <v>3524.5</v>
      </c>
      <c r="C2203" s="116">
        <v>3502.65</v>
      </c>
      <c r="D2203" s="116">
        <v>3494.05</v>
      </c>
      <c r="E2203" s="116">
        <v>3518.95</v>
      </c>
      <c r="F2203" s="116">
        <v>3502.65</v>
      </c>
      <c r="G2203">
        <v>271375</v>
      </c>
      <c r="H2203" s="116"/>
      <c r="I2203" s="116"/>
      <c r="L2203" s="170">
        <v>45247</v>
      </c>
      <c r="M2203" s="116">
        <v>3502.45</v>
      </c>
      <c r="N2203" s="116">
        <v>3524.5</v>
      </c>
      <c r="O2203" s="116">
        <v>3492.55</v>
      </c>
      <c r="P2203" s="116">
        <v>3497.85</v>
      </c>
      <c r="Q2203" s="116">
        <v>3502.45</v>
      </c>
      <c r="R2203">
        <v>2021292</v>
      </c>
    </row>
    <row r="2204" spans="1:18" x14ac:dyDescent="0.25">
      <c r="A2204" s="170">
        <v>45250</v>
      </c>
      <c r="B2204" s="116">
        <v>3533.1</v>
      </c>
      <c r="C2204" s="116">
        <v>3519.3</v>
      </c>
      <c r="D2204" s="116">
        <v>3493</v>
      </c>
      <c r="E2204" s="116">
        <v>3493.95</v>
      </c>
      <c r="F2204" s="116">
        <v>3519.3</v>
      </c>
      <c r="G2204">
        <v>80442</v>
      </c>
      <c r="H2204" s="116"/>
      <c r="I2204" s="116"/>
      <c r="L2204" s="170">
        <v>45250</v>
      </c>
      <c r="M2204" s="116">
        <v>3519.6</v>
      </c>
      <c r="N2204" s="116">
        <v>3533.9</v>
      </c>
      <c r="O2204" s="116">
        <v>3491.25</v>
      </c>
      <c r="P2204" s="116">
        <v>3491.25</v>
      </c>
      <c r="Q2204" s="116">
        <v>3519.6</v>
      </c>
      <c r="R2204">
        <v>1475621</v>
      </c>
    </row>
    <row r="2205" spans="1:18" x14ac:dyDescent="0.25">
      <c r="A2205" s="170">
        <v>45251</v>
      </c>
      <c r="B2205" s="116">
        <v>3539.4</v>
      </c>
      <c r="C2205" s="116">
        <v>3510.3</v>
      </c>
      <c r="D2205" s="116">
        <v>3502</v>
      </c>
      <c r="E2205" s="116">
        <v>3523</v>
      </c>
      <c r="F2205" s="116">
        <v>3510.3</v>
      </c>
      <c r="G2205">
        <v>48656</v>
      </c>
      <c r="H2205" s="116"/>
      <c r="I2205" s="116"/>
      <c r="L2205" s="170">
        <v>45251</v>
      </c>
      <c r="M2205" s="116">
        <v>3510.2</v>
      </c>
      <c r="N2205" s="116">
        <v>3539.05</v>
      </c>
      <c r="O2205" s="116">
        <v>3501</v>
      </c>
      <c r="P2205" s="116">
        <v>3519.6</v>
      </c>
      <c r="Q2205" s="116">
        <v>3510.2</v>
      </c>
      <c r="R2205">
        <v>1807236</v>
      </c>
    </row>
    <row r="2206" spans="1:18" x14ac:dyDescent="0.25">
      <c r="A2206" s="170">
        <v>45252</v>
      </c>
      <c r="B2206" s="116">
        <v>3532.45</v>
      </c>
      <c r="C2206" s="116">
        <v>3529.85</v>
      </c>
      <c r="D2206" s="116">
        <v>3481</v>
      </c>
      <c r="E2206" s="116">
        <v>3492.05</v>
      </c>
      <c r="F2206" s="116">
        <v>3529.85</v>
      </c>
      <c r="G2206">
        <v>114862</v>
      </c>
      <c r="H2206" s="116"/>
      <c r="I2206" s="116"/>
      <c r="L2206" s="170">
        <v>45252</v>
      </c>
      <c r="M2206" s="116">
        <v>3530.15</v>
      </c>
      <c r="N2206" s="116">
        <v>3532.65</v>
      </c>
      <c r="O2206" s="116">
        <v>3481.1</v>
      </c>
      <c r="P2206" s="116">
        <v>3500</v>
      </c>
      <c r="Q2206" s="116">
        <v>3530.15</v>
      </c>
      <c r="R2206">
        <v>1798051</v>
      </c>
    </row>
    <row r="2207" spans="1:18" x14ac:dyDescent="0.25">
      <c r="A2207" s="170">
        <v>45253</v>
      </c>
      <c r="B2207" s="116">
        <v>3543.4</v>
      </c>
      <c r="C2207" s="116">
        <v>3508.95</v>
      </c>
      <c r="D2207" s="116">
        <v>3499</v>
      </c>
      <c r="E2207" s="116">
        <v>3539.75</v>
      </c>
      <c r="F2207" s="116">
        <v>3508.95</v>
      </c>
      <c r="G2207">
        <v>196038</v>
      </c>
      <c r="H2207" s="116"/>
      <c r="I2207" s="116"/>
      <c r="L2207" s="170">
        <v>45253</v>
      </c>
      <c r="M2207" s="116">
        <v>3508.25</v>
      </c>
      <c r="N2207" s="116">
        <v>3544</v>
      </c>
      <c r="O2207" s="116">
        <v>3500</v>
      </c>
      <c r="P2207" s="116">
        <v>3530</v>
      </c>
      <c r="Q2207" s="116">
        <v>3508.25</v>
      </c>
      <c r="R2207">
        <v>2729804</v>
      </c>
    </row>
    <row r="2208" spans="1:18" x14ac:dyDescent="0.25">
      <c r="A2208" s="170">
        <v>45254</v>
      </c>
      <c r="B2208" s="116">
        <v>3504.9</v>
      </c>
      <c r="C2208" s="116">
        <v>3457.6</v>
      </c>
      <c r="D2208" s="116">
        <v>3452.25</v>
      </c>
      <c r="E2208" s="116">
        <v>3499</v>
      </c>
      <c r="F2208" s="116">
        <v>3457.6</v>
      </c>
      <c r="G2208">
        <v>365537</v>
      </c>
      <c r="H2208" s="116"/>
      <c r="I2208" s="116"/>
      <c r="L2208" s="170">
        <v>45254</v>
      </c>
      <c r="M2208" s="116">
        <v>3457.1</v>
      </c>
      <c r="N2208" s="116">
        <v>3504.55</v>
      </c>
      <c r="O2208" s="116">
        <v>3453</v>
      </c>
      <c r="P2208" s="116">
        <v>3494.25</v>
      </c>
      <c r="Q2208" s="116">
        <v>3457.1</v>
      </c>
      <c r="R2208">
        <v>1989733</v>
      </c>
    </row>
    <row r="2209" spans="1:18" x14ac:dyDescent="0.25">
      <c r="A2209" s="170">
        <v>45258</v>
      </c>
      <c r="B2209" s="116">
        <v>3480</v>
      </c>
      <c r="C2209" s="116">
        <v>3470.45</v>
      </c>
      <c r="D2209" s="116">
        <v>3431.6</v>
      </c>
      <c r="E2209" s="116">
        <v>3453</v>
      </c>
      <c r="F2209" s="116">
        <v>3470.45</v>
      </c>
      <c r="G2209">
        <v>58924</v>
      </c>
      <c r="H2209" s="116"/>
      <c r="I2209" s="116"/>
      <c r="L2209" s="170">
        <v>45258</v>
      </c>
      <c r="M2209" s="116">
        <v>3470.15</v>
      </c>
      <c r="N2209" s="116">
        <v>3481.25</v>
      </c>
      <c r="O2209" s="116">
        <v>3433</v>
      </c>
      <c r="P2209" s="116">
        <v>3457.1</v>
      </c>
      <c r="Q2209" s="116">
        <v>3470.15</v>
      </c>
      <c r="R2209">
        <v>1689195</v>
      </c>
    </row>
    <row r="2210" spans="1:18" x14ac:dyDescent="0.25">
      <c r="A2210" s="170">
        <v>45259</v>
      </c>
      <c r="B2210" s="116">
        <v>3517</v>
      </c>
      <c r="C2210" s="116">
        <v>3513.1</v>
      </c>
      <c r="D2210" s="116">
        <v>3475.15</v>
      </c>
      <c r="E2210" s="116">
        <v>3475.15</v>
      </c>
      <c r="F2210" s="116">
        <v>3513.1</v>
      </c>
      <c r="G2210">
        <v>98285</v>
      </c>
      <c r="H2210" s="116"/>
      <c r="I2210" s="116"/>
      <c r="L2210" s="170">
        <v>45259</v>
      </c>
      <c r="M2210" s="116">
        <v>3513.75</v>
      </c>
      <c r="N2210" s="116">
        <v>3518</v>
      </c>
      <c r="O2210" s="116">
        <v>3475.8</v>
      </c>
      <c r="P2210" s="116">
        <v>3481</v>
      </c>
      <c r="Q2210" s="116">
        <v>3513.75</v>
      </c>
      <c r="R2210">
        <v>1441634</v>
      </c>
    </row>
    <row r="2211" spans="1:18" x14ac:dyDescent="0.25">
      <c r="A2211" s="170">
        <v>45260</v>
      </c>
      <c r="B2211" s="116">
        <v>3515</v>
      </c>
      <c r="C2211" s="116">
        <v>3493.4</v>
      </c>
      <c r="D2211" s="116">
        <v>3481.3</v>
      </c>
      <c r="E2211" s="116">
        <v>3507.45</v>
      </c>
      <c r="F2211" s="116">
        <v>3493.4</v>
      </c>
      <c r="G2211">
        <v>46364</v>
      </c>
      <c r="H2211" s="116"/>
      <c r="I2211" s="116"/>
      <c r="L2211" s="170">
        <v>45260</v>
      </c>
      <c r="M2211" s="116">
        <v>3487.6</v>
      </c>
      <c r="N2211" s="116">
        <v>3516.65</v>
      </c>
      <c r="O2211" s="116">
        <v>3481</v>
      </c>
      <c r="P2211" s="116">
        <v>3499.45</v>
      </c>
      <c r="Q2211" s="116">
        <v>3487.6</v>
      </c>
      <c r="R2211">
        <v>3266235</v>
      </c>
    </row>
    <row r="2212" spans="1:18" x14ac:dyDescent="0.25">
      <c r="A2212" s="170">
        <v>45261</v>
      </c>
      <c r="B2212" s="116">
        <v>3517.15</v>
      </c>
      <c r="C2212" s="116">
        <v>3509.6</v>
      </c>
      <c r="D2212" s="116">
        <v>3490</v>
      </c>
      <c r="E2212" s="116">
        <v>3495.1</v>
      </c>
      <c r="F2212" s="116">
        <v>3509.6</v>
      </c>
      <c r="G2212">
        <v>441821</v>
      </c>
      <c r="H2212" s="116"/>
      <c r="I2212" s="116"/>
      <c r="L2212" s="170">
        <v>45261</v>
      </c>
      <c r="M2212" s="116">
        <v>3511.65</v>
      </c>
      <c r="N2212" s="116">
        <v>3516.95</v>
      </c>
      <c r="O2212" s="116">
        <v>3490.05</v>
      </c>
      <c r="P2212" s="116">
        <v>3500</v>
      </c>
      <c r="Q2212" s="116">
        <v>3511.65</v>
      </c>
      <c r="R2212">
        <v>1172141</v>
      </c>
    </row>
    <row r="2213" spans="1:18" x14ac:dyDescent="0.25">
      <c r="A2213" s="170">
        <v>45264</v>
      </c>
      <c r="B2213" s="116">
        <v>3545</v>
      </c>
      <c r="C2213" s="116">
        <v>3509.65</v>
      </c>
      <c r="D2213" s="116">
        <v>3499</v>
      </c>
      <c r="E2213" s="116">
        <v>3533.05</v>
      </c>
      <c r="F2213" s="116">
        <v>3509.65</v>
      </c>
      <c r="G2213">
        <v>48292</v>
      </c>
      <c r="H2213" s="116"/>
      <c r="I2213" s="116"/>
      <c r="L2213" s="170">
        <v>45264</v>
      </c>
      <c r="M2213" s="116">
        <v>3512.45</v>
      </c>
      <c r="N2213" s="116">
        <v>3547.8</v>
      </c>
      <c r="O2213" s="116">
        <v>3498</v>
      </c>
      <c r="P2213" s="116">
        <v>3544.65</v>
      </c>
      <c r="Q2213" s="116">
        <v>3512.45</v>
      </c>
      <c r="R2213">
        <v>1625213</v>
      </c>
    </row>
    <row r="2214" spans="1:18" x14ac:dyDescent="0.25">
      <c r="A2214" s="170">
        <v>45265</v>
      </c>
      <c r="B2214" s="116">
        <v>3537</v>
      </c>
      <c r="C2214" s="116">
        <v>3529.9</v>
      </c>
      <c r="D2214" s="116">
        <v>3503</v>
      </c>
      <c r="E2214" s="116">
        <v>3537</v>
      </c>
      <c r="F2214" s="116">
        <v>3529.9</v>
      </c>
      <c r="G2214">
        <v>77724</v>
      </c>
      <c r="H2214" s="116"/>
      <c r="I2214" s="116"/>
      <c r="L2214" s="170">
        <v>45265</v>
      </c>
      <c r="M2214" s="116">
        <v>3531.6</v>
      </c>
      <c r="N2214" s="116">
        <v>3538</v>
      </c>
      <c r="O2214" s="116">
        <v>3502.8</v>
      </c>
      <c r="P2214" s="116">
        <v>3538</v>
      </c>
      <c r="Q2214" s="116">
        <v>3531.6</v>
      </c>
      <c r="R2214">
        <v>1377656</v>
      </c>
    </row>
    <row r="2215" spans="1:18" x14ac:dyDescent="0.25">
      <c r="A2215" s="170">
        <v>45266</v>
      </c>
      <c r="B2215" s="116">
        <v>3612.4</v>
      </c>
      <c r="C2215" s="116">
        <v>3603.35</v>
      </c>
      <c r="D2215" s="116">
        <v>3526.9</v>
      </c>
      <c r="E2215" s="116">
        <v>3530.45</v>
      </c>
      <c r="F2215" s="116">
        <v>3603.35</v>
      </c>
      <c r="G2215">
        <v>48863</v>
      </c>
      <c r="H2215" s="116"/>
      <c r="I2215" s="116"/>
      <c r="L2215" s="170">
        <v>45266</v>
      </c>
      <c r="M2215" s="116">
        <v>3604.1</v>
      </c>
      <c r="N2215" s="116">
        <v>3612.85</v>
      </c>
      <c r="O2215" s="116">
        <v>3525.15</v>
      </c>
      <c r="P2215" s="116">
        <v>3532.6</v>
      </c>
      <c r="Q2215" s="116">
        <v>3604.1</v>
      </c>
      <c r="R2215">
        <v>1896572</v>
      </c>
    </row>
    <row r="2216" spans="1:18" x14ac:dyDescent="0.25">
      <c r="A2216" s="170">
        <v>45267</v>
      </c>
      <c r="B2216" s="116">
        <v>3631</v>
      </c>
      <c r="C2216" s="116">
        <v>3616.7</v>
      </c>
      <c r="D2216" s="116">
        <v>3592.35</v>
      </c>
      <c r="E2216" s="116">
        <v>3616.95</v>
      </c>
      <c r="F2216" s="116">
        <v>3616.7</v>
      </c>
      <c r="G2216">
        <v>37043</v>
      </c>
      <c r="H2216" s="116"/>
      <c r="I2216" s="116"/>
      <c r="L2216" s="170">
        <v>45267</v>
      </c>
      <c r="M2216" s="116">
        <v>3614.9</v>
      </c>
      <c r="N2216" s="116">
        <v>3630.55</v>
      </c>
      <c r="O2216" s="116">
        <v>3591.7</v>
      </c>
      <c r="P2216" s="116">
        <v>3605</v>
      </c>
      <c r="Q2216" s="116">
        <v>3614.9</v>
      </c>
      <c r="R2216">
        <v>1967653</v>
      </c>
    </row>
    <row r="2217" spans="1:18" x14ac:dyDescent="0.25">
      <c r="A2217" s="170">
        <v>45268</v>
      </c>
      <c r="B2217" s="116">
        <v>3644</v>
      </c>
      <c r="C2217" s="116">
        <v>3626.4</v>
      </c>
      <c r="D2217" s="116">
        <v>3601.15</v>
      </c>
      <c r="E2217" s="116">
        <v>3620.15</v>
      </c>
      <c r="F2217" s="116">
        <v>3626.4</v>
      </c>
      <c r="G2217">
        <v>274344</v>
      </c>
      <c r="H2217" s="116"/>
      <c r="I2217" s="116"/>
      <c r="L2217" s="170">
        <v>45268</v>
      </c>
      <c r="M2217" s="116">
        <v>3626.7</v>
      </c>
      <c r="N2217" s="116">
        <v>3645</v>
      </c>
      <c r="O2217" s="116">
        <v>3602.05</v>
      </c>
      <c r="P2217" s="116">
        <v>3633</v>
      </c>
      <c r="Q2217" s="116">
        <v>3626.7</v>
      </c>
      <c r="R2217">
        <v>1641155</v>
      </c>
    </row>
    <row r="2218" spans="1:18" x14ac:dyDescent="0.25">
      <c r="A2218" s="170">
        <v>45271</v>
      </c>
      <c r="B2218" s="116">
        <v>3652.7</v>
      </c>
      <c r="C2218" s="116">
        <v>3642.2</v>
      </c>
      <c r="D2218" s="116">
        <v>3623</v>
      </c>
      <c r="E2218" s="116">
        <v>3626.4</v>
      </c>
      <c r="F2218" s="116">
        <v>3642.2</v>
      </c>
      <c r="G2218">
        <v>22168</v>
      </c>
      <c r="H2218" s="116"/>
      <c r="I2218" s="116"/>
      <c r="L2218" s="170">
        <v>45271</v>
      </c>
      <c r="M2218" s="116">
        <v>3642.9</v>
      </c>
      <c r="N2218" s="116">
        <v>3653</v>
      </c>
      <c r="O2218" s="116">
        <v>3615</v>
      </c>
      <c r="P2218" s="116">
        <v>3622.9</v>
      </c>
      <c r="Q2218" s="116">
        <v>3642.9</v>
      </c>
      <c r="R2218">
        <v>1102503</v>
      </c>
    </row>
    <row r="2219" spans="1:18" x14ac:dyDescent="0.25">
      <c r="A2219" s="170">
        <v>45272</v>
      </c>
      <c r="B2219" s="116">
        <v>3699</v>
      </c>
      <c r="C2219" s="116">
        <v>3672.05</v>
      </c>
      <c r="D2219" s="116">
        <v>3632.2</v>
      </c>
      <c r="E2219" s="116">
        <v>3640</v>
      </c>
      <c r="F2219" s="116">
        <v>3672.05</v>
      </c>
      <c r="G2219">
        <v>77392</v>
      </c>
      <c r="H2219" s="116"/>
      <c r="I2219" s="116"/>
      <c r="L2219" s="170">
        <v>45272</v>
      </c>
      <c r="M2219" s="116">
        <v>3672.1</v>
      </c>
      <c r="N2219" s="116">
        <v>3698.4</v>
      </c>
      <c r="O2219" s="116">
        <v>3631</v>
      </c>
      <c r="P2219" s="116">
        <v>3638.95</v>
      </c>
      <c r="Q2219" s="116">
        <v>3672.1</v>
      </c>
      <c r="R2219">
        <v>2236866</v>
      </c>
    </row>
    <row r="2220" spans="1:18" x14ac:dyDescent="0.25">
      <c r="A2220" s="170">
        <v>45273</v>
      </c>
      <c r="B2220" s="116">
        <v>3650</v>
      </c>
      <c r="C2220" s="116">
        <v>3593.75</v>
      </c>
      <c r="D2220" s="116">
        <v>3563.05</v>
      </c>
      <c r="E2220" s="116">
        <v>3641</v>
      </c>
      <c r="F2220" s="116">
        <v>3593.75</v>
      </c>
      <c r="G2220">
        <v>115769</v>
      </c>
      <c r="H2220" s="116"/>
      <c r="I2220" s="116"/>
      <c r="L2220" s="170">
        <v>45273</v>
      </c>
      <c r="M2220" s="116">
        <v>3593.55</v>
      </c>
      <c r="N2220" s="116">
        <v>3650</v>
      </c>
      <c r="O2220" s="116">
        <v>3563</v>
      </c>
      <c r="P2220" s="116">
        <v>3643.55</v>
      </c>
      <c r="Q2220" s="116">
        <v>3593.55</v>
      </c>
      <c r="R2220">
        <v>3850968</v>
      </c>
    </row>
    <row r="2221" spans="1:18" x14ac:dyDescent="0.25">
      <c r="A2221" s="170">
        <v>45274</v>
      </c>
      <c r="B2221" s="116">
        <v>3676.35</v>
      </c>
      <c r="C2221" s="116">
        <v>3666.6</v>
      </c>
      <c r="D2221" s="116">
        <v>3620.25</v>
      </c>
      <c r="E2221" s="116">
        <v>3620.25</v>
      </c>
      <c r="F2221" s="116">
        <v>3666.6</v>
      </c>
      <c r="G2221">
        <v>246373</v>
      </c>
      <c r="H2221" s="116"/>
      <c r="I2221" s="116"/>
      <c r="L2221" s="170">
        <v>45274</v>
      </c>
      <c r="M2221" s="116">
        <v>3667.25</v>
      </c>
      <c r="N2221" s="116">
        <v>3678</v>
      </c>
      <c r="O2221" s="116">
        <v>3627.6</v>
      </c>
      <c r="P2221" s="116">
        <v>3630</v>
      </c>
      <c r="Q2221" s="116">
        <v>3667.25</v>
      </c>
      <c r="R2221">
        <v>3290396</v>
      </c>
    </row>
    <row r="2222" spans="1:18" x14ac:dyDescent="0.25">
      <c r="A2222" s="170">
        <v>45275</v>
      </c>
      <c r="B2222" s="116">
        <v>3894.05</v>
      </c>
      <c r="C2222" s="116">
        <v>3860.05</v>
      </c>
      <c r="D2222" s="116">
        <v>3660.2</v>
      </c>
      <c r="E2222" s="116">
        <v>3660.2</v>
      </c>
      <c r="F2222" s="116">
        <v>3860.05</v>
      </c>
      <c r="G2222">
        <v>272428</v>
      </c>
      <c r="H2222" s="116"/>
      <c r="I2222" s="116"/>
      <c r="L2222" s="170">
        <v>45275</v>
      </c>
      <c r="M2222" s="116">
        <v>3861</v>
      </c>
      <c r="N2222" s="116">
        <v>3895.95</v>
      </c>
      <c r="O2222" s="116">
        <v>3666.7</v>
      </c>
      <c r="P2222" s="116">
        <v>3666.7</v>
      </c>
      <c r="Q2222" s="116">
        <v>3861</v>
      </c>
      <c r="R2222">
        <v>8531230</v>
      </c>
    </row>
    <row r="2223" spans="1:18" x14ac:dyDescent="0.25">
      <c r="A2223" s="170">
        <v>45278</v>
      </c>
      <c r="B2223" s="116">
        <v>3928.95</v>
      </c>
      <c r="C2223" s="116">
        <v>3858</v>
      </c>
      <c r="D2223" s="116">
        <v>3831.2</v>
      </c>
      <c r="E2223" s="116">
        <v>3860</v>
      </c>
      <c r="F2223" s="116">
        <v>3858</v>
      </c>
      <c r="G2223">
        <v>73334</v>
      </c>
      <c r="H2223" s="116"/>
      <c r="I2223" s="116"/>
      <c r="L2223" s="170">
        <v>45278</v>
      </c>
      <c r="M2223" s="116">
        <v>3859.2</v>
      </c>
      <c r="N2223" s="116">
        <v>3929</v>
      </c>
      <c r="O2223" s="116">
        <v>3830.15</v>
      </c>
      <c r="P2223" s="116">
        <v>3858.1</v>
      </c>
      <c r="Q2223" s="116">
        <v>3859.2</v>
      </c>
      <c r="R2223">
        <v>2521612</v>
      </c>
    </row>
    <row r="2224" spans="1:18" x14ac:dyDescent="0.25">
      <c r="A2224" s="170">
        <v>45279</v>
      </c>
      <c r="B2224" s="116">
        <v>3852</v>
      </c>
      <c r="C2224" s="116">
        <v>3812.1</v>
      </c>
      <c r="D2224" s="116">
        <v>3791</v>
      </c>
      <c r="E2224" s="116">
        <v>3841.4</v>
      </c>
      <c r="F2224" s="116">
        <v>3812.1</v>
      </c>
      <c r="G2224">
        <v>54142</v>
      </c>
      <c r="H2224" s="116"/>
      <c r="I2224" s="116"/>
      <c r="L2224" s="170">
        <v>45279</v>
      </c>
      <c r="M2224" s="116">
        <v>3816.2</v>
      </c>
      <c r="N2224" s="116">
        <v>3855.1</v>
      </c>
      <c r="O2224" s="116">
        <v>3790</v>
      </c>
      <c r="P2224" s="116">
        <v>3845</v>
      </c>
      <c r="Q2224" s="116">
        <v>3816.2</v>
      </c>
      <c r="R2224">
        <v>2004435</v>
      </c>
    </row>
    <row r="2225" spans="1:18" x14ac:dyDescent="0.25">
      <c r="A2225" s="170">
        <v>45280</v>
      </c>
      <c r="B2225" s="116">
        <v>3898.85</v>
      </c>
      <c r="C2225" s="116">
        <v>3780.35</v>
      </c>
      <c r="D2225" s="116">
        <v>3768</v>
      </c>
      <c r="E2225" s="116">
        <v>3821.6</v>
      </c>
      <c r="F2225" s="116">
        <v>3780.35</v>
      </c>
      <c r="G2225">
        <v>60720</v>
      </c>
      <c r="H2225" s="116"/>
      <c r="I2225" s="116"/>
      <c r="L2225" s="170">
        <v>45280</v>
      </c>
      <c r="M2225" s="116">
        <v>3780.05</v>
      </c>
      <c r="N2225" s="116">
        <v>3898.8</v>
      </c>
      <c r="O2225" s="116">
        <v>3766.55</v>
      </c>
      <c r="P2225" s="116">
        <v>3827.25</v>
      </c>
      <c r="Q2225" s="116">
        <v>3780.05</v>
      </c>
      <c r="R2225">
        <v>2586083</v>
      </c>
    </row>
    <row r="2226" spans="1:18" x14ac:dyDescent="0.25">
      <c r="A2226" s="170">
        <v>45281</v>
      </c>
      <c r="B2226" s="116">
        <v>3805</v>
      </c>
      <c r="C2226" s="116">
        <v>3789.45</v>
      </c>
      <c r="D2226" s="116">
        <v>3734.4</v>
      </c>
      <c r="E2226" s="116">
        <v>3734.4</v>
      </c>
      <c r="F2226" s="116">
        <v>3789.45</v>
      </c>
      <c r="G2226">
        <v>90556</v>
      </c>
      <c r="H2226" s="116"/>
      <c r="I2226" s="116"/>
      <c r="L2226" s="170">
        <v>45281</v>
      </c>
      <c r="M2226" s="116">
        <v>3787.5</v>
      </c>
      <c r="N2226" s="116">
        <v>3806.7</v>
      </c>
      <c r="O2226" s="116">
        <v>3743.35</v>
      </c>
      <c r="P2226" s="116">
        <v>3756.25</v>
      </c>
      <c r="Q2226" s="116">
        <v>3787.5</v>
      </c>
      <c r="R2226">
        <v>1517562</v>
      </c>
    </row>
    <row r="2227" spans="1:18" x14ac:dyDescent="0.25">
      <c r="A2227" s="170">
        <v>45282</v>
      </c>
      <c r="B2227" s="116">
        <v>3845.95</v>
      </c>
      <c r="C2227" s="116">
        <v>3825.3</v>
      </c>
      <c r="D2227" s="116">
        <v>3762.7</v>
      </c>
      <c r="E2227" s="116">
        <v>3796.3</v>
      </c>
      <c r="F2227" s="116">
        <v>3825.3</v>
      </c>
      <c r="G2227">
        <v>127163</v>
      </c>
      <c r="H2227" s="116"/>
      <c r="I2227" s="116"/>
      <c r="L2227" s="170">
        <v>45282</v>
      </c>
      <c r="M2227" s="116">
        <v>3824</v>
      </c>
      <c r="N2227" s="116">
        <v>3845.95</v>
      </c>
      <c r="O2227" s="116">
        <v>3762</v>
      </c>
      <c r="P2227" s="116">
        <v>3800</v>
      </c>
      <c r="Q2227" s="116">
        <v>3824</v>
      </c>
      <c r="R2227">
        <v>2413058</v>
      </c>
    </row>
    <row r="2228" spans="1:18" x14ac:dyDescent="0.25">
      <c r="A2228" s="170">
        <v>45286</v>
      </c>
      <c r="B2228" s="116">
        <v>3833.85</v>
      </c>
      <c r="C2228" s="116">
        <v>3794.6</v>
      </c>
      <c r="D2228" s="116">
        <v>3780.1</v>
      </c>
      <c r="E2228" s="116">
        <v>3780.1</v>
      </c>
      <c r="F2228" s="116">
        <v>3794.6</v>
      </c>
      <c r="G2228">
        <v>70216</v>
      </c>
      <c r="H2228" s="116"/>
      <c r="I2228" s="116"/>
      <c r="L2228" s="170">
        <v>45286</v>
      </c>
      <c r="M2228" s="116">
        <v>3795.55</v>
      </c>
      <c r="N2228" s="116">
        <v>3834</v>
      </c>
      <c r="O2228" s="116">
        <v>3790.15</v>
      </c>
      <c r="P2228" s="116">
        <v>3819.85</v>
      </c>
      <c r="Q2228" s="116">
        <v>3795.55</v>
      </c>
      <c r="R2228">
        <v>1285231</v>
      </c>
    </row>
    <row r="2229" spans="1:18" x14ac:dyDescent="0.25">
      <c r="A2229" s="170">
        <v>45287</v>
      </c>
      <c r="B2229" s="116">
        <v>3818</v>
      </c>
      <c r="C2229" s="116">
        <v>3810.8</v>
      </c>
      <c r="D2229" s="116">
        <v>3768.1</v>
      </c>
      <c r="E2229" s="116">
        <v>3795.55</v>
      </c>
      <c r="F2229" s="116">
        <v>3810.8</v>
      </c>
      <c r="G2229">
        <v>28290</v>
      </c>
      <c r="H2229" s="116"/>
      <c r="I2229" s="116"/>
      <c r="L2229" s="170">
        <v>45287</v>
      </c>
      <c r="M2229" s="116">
        <v>3811.2</v>
      </c>
      <c r="N2229" s="116">
        <v>3818.2</v>
      </c>
      <c r="O2229" s="116">
        <v>3768</v>
      </c>
      <c r="P2229" s="116">
        <v>3799</v>
      </c>
      <c r="Q2229" s="116">
        <v>3811.2</v>
      </c>
      <c r="R2229">
        <v>1293976</v>
      </c>
    </row>
    <row r="2230" spans="1:18" x14ac:dyDescent="0.25">
      <c r="A2230" s="170">
        <v>45288</v>
      </c>
      <c r="B2230" s="116">
        <v>3838.25</v>
      </c>
      <c r="C2230" s="116">
        <v>3801.05</v>
      </c>
      <c r="D2230" s="116">
        <v>3793.75</v>
      </c>
      <c r="E2230" s="116">
        <v>3822.1</v>
      </c>
      <c r="F2230" s="116">
        <v>3801.05</v>
      </c>
      <c r="G2230">
        <v>29256</v>
      </c>
      <c r="H2230" s="116"/>
      <c r="I2230" s="116"/>
      <c r="L2230" s="170">
        <v>45288</v>
      </c>
      <c r="M2230" s="116">
        <v>3799.9</v>
      </c>
      <c r="N2230" s="116">
        <v>3838</v>
      </c>
      <c r="O2230" s="116">
        <v>3792.1</v>
      </c>
      <c r="P2230" s="116">
        <v>3824</v>
      </c>
      <c r="Q2230" s="116">
        <v>3799.9</v>
      </c>
      <c r="R2230">
        <v>1682889</v>
      </c>
    </row>
    <row r="2231" spans="1:18" x14ac:dyDescent="0.25">
      <c r="A2231" s="170">
        <v>45289</v>
      </c>
      <c r="B2231" s="116">
        <v>3822.95</v>
      </c>
      <c r="C2231" s="116">
        <v>3794.95</v>
      </c>
      <c r="D2231" s="116">
        <v>3766.05</v>
      </c>
      <c r="E2231" s="116">
        <v>3797.85</v>
      </c>
      <c r="F2231" s="116">
        <v>3794.95</v>
      </c>
      <c r="G2231">
        <v>105711</v>
      </c>
      <c r="H2231" s="116"/>
      <c r="I2231" s="116"/>
      <c r="L2231" s="170">
        <v>45289</v>
      </c>
      <c r="M2231" s="116">
        <v>3793.4</v>
      </c>
      <c r="N2231" s="116">
        <v>3822.6</v>
      </c>
      <c r="O2231" s="116">
        <v>3765.4</v>
      </c>
      <c r="P2231" s="116">
        <v>3792</v>
      </c>
      <c r="Q2231" s="116">
        <v>3793.4</v>
      </c>
      <c r="R2231">
        <v>1574996</v>
      </c>
    </row>
    <row r="2232" spans="1:18" x14ac:dyDescent="0.25">
      <c r="A2232" s="170">
        <v>45292</v>
      </c>
      <c r="B2232" s="116">
        <v>3831.9</v>
      </c>
      <c r="C2232" s="116">
        <v>3810.6</v>
      </c>
      <c r="D2232" s="116">
        <v>3772.8</v>
      </c>
      <c r="E2232" s="116">
        <v>3792</v>
      </c>
      <c r="F2232" s="116">
        <v>3810.6</v>
      </c>
      <c r="G2232">
        <v>68853</v>
      </c>
      <c r="H2232" s="116"/>
      <c r="I2232" s="116"/>
      <c r="L2232" s="170">
        <v>45292</v>
      </c>
      <c r="M2232" s="116">
        <v>3811.1</v>
      </c>
      <c r="N2232" s="116">
        <v>3832</v>
      </c>
      <c r="O2232" s="116">
        <v>3773</v>
      </c>
      <c r="P2232" s="116">
        <v>3790</v>
      </c>
      <c r="Q2232" s="116">
        <v>3811.1</v>
      </c>
      <c r="R2232">
        <v>825907</v>
      </c>
    </row>
    <row r="2233" spans="1:18" x14ac:dyDescent="0.25">
      <c r="A2233" s="170">
        <v>45293</v>
      </c>
      <c r="B2233" s="116">
        <v>3814.4</v>
      </c>
      <c r="C2233" s="116">
        <v>3783.25</v>
      </c>
      <c r="D2233" s="116">
        <v>3766.45</v>
      </c>
      <c r="E2233" s="116">
        <v>3814.4</v>
      </c>
      <c r="F2233" s="116">
        <v>3783.25</v>
      </c>
      <c r="G2233">
        <v>28298</v>
      </c>
      <c r="H2233" s="116"/>
      <c r="I2233" s="116"/>
      <c r="L2233" s="170">
        <v>45293</v>
      </c>
      <c r="M2233" s="116">
        <v>3783.2</v>
      </c>
      <c r="N2233" s="116">
        <v>3811.1</v>
      </c>
      <c r="O2233" s="116">
        <v>3767.25</v>
      </c>
      <c r="P2233" s="116">
        <v>3811.1</v>
      </c>
      <c r="Q2233" s="116">
        <v>3783.2</v>
      </c>
      <c r="R2233">
        <v>1344068</v>
      </c>
    </row>
    <row r="2234" spans="1:18" x14ac:dyDescent="0.25">
      <c r="A2234" s="170">
        <v>45294</v>
      </c>
      <c r="B2234" s="116">
        <v>3770</v>
      </c>
      <c r="C2234" s="116">
        <v>3691.55</v>
      </c>
      <c r="D2234" s="116">
        <v>3688.2</v>
      </c>
      <c r="E2234" s="116">
        <v>3770</v>
      </c>
      <c r="F2234" s="116">
        <v>3691.55</v>
      </c>
      <c r="G2234">
        <v>101894</v>
      </c>
      <c r="H2234" s="116"/>
      <c r="I2234" s="116"/>
      <c r="L2234" s="170">
        <v>45294</v>
      </c>
      <c r="M2234" s="116">
        <v>3691.75</v>
      </c>
      <c r="N2234" s="116">
        <v>3771.85</v>
      </c>
      <c r="O2234" s="116">
        <v>3687.05</v>
      </c>
      <c r="P2234" s="116">
        <v>3767</v>
      </c>
      <c r="Q2234" s="116">
        <v>3691.75</v>
      </c>
      <c r="R2234">
        <v>1803075</v>
      </c>
    </row>
    <row r="2235" spans="1:18" x14ac:dyDescent="0.25">
      <c r="A2235" s="170">
        <v>45295</v>
      </c>
      <c r="B2235" s="116">
        <v>3719.15</v>
      </c>
      <c r="C2235" s="116">
        <v>3667</v>
      </c>
      <c r="D2235" s="116">
        <v>3651.55</v>
      </c>
      <c r="E2235" s="116">
        <v>3700</v>
      </c>
      <c r="F2235" s="116">
        <v>3667</v>
      </c>
      <c r="G2235">
        <v>113458</v>
      </c>
      <c r="H2235" s="116"/>
      <c r="I2235" s="116"/>
      <c r="L2235" s="170">
        <v>45295</v>
      </c>
      <c r="M2235" s="116">
        <v>3666.8</v>
      </c>
      <c r="N2235" s="116">
        <v>3719</v>
      </c>
      <c r="O2235" s="116">
        <v>3651</v>
      </c>
      <c r="P2235" s="116">
        <v>3701.75</v>
      </c>
      <c r="Q2235" s="116">
        <v>3666.8</v>
      </c>
      <c r="R2235">
        <v>3598144</v>
      </c>
    </row>
    <row r="2236" spans="1:18" x14ac:dyDescent="0.25">
      <c r="A2236" s="170">
        <v>45296</v>
      </c>
      <c r="B2236" s="116">
        <v>3746.9</v>
      </c>
      <c r="C2236" s="116">
        <v>3737.75</v>
      </c>
      <c r="D2236" s="116">
        <v>3671.2</v>
      </c>
      <c r="E2236" s="116">
        <v>3671.2</v>
      </c>
      <c r="F2236" s="116">
        <v>3737.75</v>
      </c>
      <c r="G2236">
        <v>226503</v>
      </c>
      <c r="H2236" s="116"/>
      <c r="I2236" s="116"/>
      <c r="L2236" s="170">
        <v>45296</v>
      </c>
      <c r="M2236" s="116">
        <v>3737.9</v>
      </c>
      <c r="N2236" s="116">
        <v>3747.75</v>
      </c>
      <c r="O2236" s="116">
        <v>3674.85</v>
      </c>
      <c r="P2236" s="116">
        <v>3675</v>
      </c>
      <c r="Q2236" s="116">
        <v>3737.9</v>
      </c>
      <c r="R2236">
        <v>1963127</v>
      </c>
    </row>
    <row r="2237" spans="1:18" x14ac:dyDescent="0.25">
      <c r="A2237" s="170">
        <v>45299</v>
      </c>
      <c r="B2237" s="116">
        <v>3738.15</v>
      </c>
      <c r="C2237" s="116">
        <v>3677.7</v>
      </c>
      <c r="D2237" s="116">
        <v>3671.05</v>
      </c>
      <c r="E2237" s="116">
        <v>3737.75</v>
      </c>
      <c r="F2237" s="116">
        <v>3677.7</v>
      </c>
      <c r="G2237">
        <v>26313</v>
      </c>
      <c r="H2237" s="116"/>
      <c r="I2237" s="116"/>
      <c r="L2237" s="170">
        <v>45299</v>
      </c>
      <c r="M2237" s="116">
        <v>3678.3</v>
      </c>
      <c r="N2237" s="116">
        <v>3739.75</v>
      </c>
      <c r="O2237" s="116">
        <v>3672.4</v>
      </c>
      <c r="P2237" s="116">
        <v>3737.9</v>
      </c>
      <c r="Q2237" s="116">
        <v>3678.3</v>
      </c>
      <c r="R2237">
        <v>1067805</v>
      </c>
    </row>
    <row r="2238" spans="1:18" x14ac:dyDescent="0.25">
      <c r="A2238" s="170">
        <v>45300</v>
      </c>
      <c r="B2238" s="116">
        <v>3752.1</v>
      </c>
      <c r="C2238" s="116">
        <v>3690.15</v>
      </c>
      <c r="D2238" s="116">
        <v>3683.15</v>
      </c>
      <c r="E2238" s="116">
        <v>3718.85</v>
      </c>
      <c r="F2238" s="116">
        <v>3690.15</v>
      </c>
      <c r="G2238">
        <v>87204</v>
      </c>
      <c r="H2238" s="116"/>
      <c r="I2238" s="116"/>
      <c r="L2238" s="170">
        <v>45300</v>
      </c>
      <c r="M2238" s="116">
        <v>3689.9</v>
      </c>
      <c r="N2238" s="116">
        <v>3752.35</v>
      </c>
      <c r="O2238" s="116">
        <v>3682.75</v>
      </c>
      <c r="P2238" s="116">
        <v>3709.95</v>
      </c>
      <c r="Q2238" s="116">
        <v>3689.9</v>
      </c>
      <c r="R2238">
        <v>1370944</v>
      </c>
    </row>
    <row r="2239" spans="1:18" x14ac:dyDescent="0.25">
      <c r="A2239" s="170">
        <v>45301</v>
      </c>
      <c r="B2239" s="116">
        <v>3730</v>
      </c>
      <c r="C2239" s="116">
        <v>3713.7</v>
      </c>
      <c r="D2239" s="116">
        <v>3688</v>
      </c>
      <c r="E2239" s="116">
        <v>3690.15</v>
      </c>
      <c r="F2239" s="116">
        <v>3713.7</v>
      </c>
      <c r="G2239">
        <v>99268</v>
      </c>
      <c r="H2239" s="116"/>
      <c r="I2239" s="116"/>
      <c r="L2239" s="170">
        <v>45301</v>
      </c>
      <c r="M2239" s="116">
        <v>3713.05</v>
      </c>
      <c r="N2239" s="116">
        <v>3729.25</v>
      </c>
      <c r="O2239" s="116">
        <v>3688</v>
      </c>
      <c r="P2239" s="116">
        <v>3690</v>
      </c>
      <c r="Q2239" s="116">
        <v>3713.05</v>
      </c>
      <c r="R2239">
        <v>1292227</v>
      </c>
    </row>
    <row r="2240" spans="1:18" x14ac:dyDescent="0.25">
      <c r="A2240" s="170">
        <v>45302</v>
      </c>
      <c r="B2240" s="116">
        <v>3772</v>
      </c>
      <c r="C2240" s="116">
        <v>3736.2</v>
      </c>
      <c r="D2240" s="116">
        <v>3708</v>
      </c>
      <c r="E2240" s="116">
        <v>3723</v>
      </c>
      <c r="F2240" s="116">
        <v>3736.2</v>
      </c>
      <c r="G2240">
        <v>205186</v>
      </c>
      <c r="H2240" s="116"/>
      <c r="I2240" s="116"/>
      <c r="L2240" s="170">
        <v>45302</v>
      </c>
      <c r="M2240" s="116">
        <v>3735.55</v>
      </c>
      <c r="N2240" s="116">
        <v>3773</v>
      </c>
      <c r="O2240" s="116">
        <v>3707</v>
      </c>
      <c r="P2240" s="116">
        <v>3724</v>
      </c>
      <c r="Q2240" s="116">
        <v>3735.55</v>
      </c>
      <c r="R2240">
        <v>1777909</v>
      </c>
    </row>
    <row r="2241" spans="1:18" x14ac:dyDescent="0.25">
      <c r="A2241" s="170">
        <v>45303</v>
      </c>
      <c r="B2241" s="116">
        <v>3905.75</v>
      </c>
      <c r="C2241" s="116">
        <v>3881.7</v>
      </c>
      <c r="D2241" s="116">
        <v>3820.6</v>
      </c>
      <c r="E2241" s="116">
        <v>3843.95</v>
      </c>
      <c r="F2241" s="116">
        <v>3881.7</v>
      </c>
      <c r="G2241">
        <v>1168288</v>
      </c>
      <c r="H2241" s="116"/>
      <c r="I2241" s="116"/>
      <c r="L2241" s="170">
        <v>45303</v>
      </c>
      <c r="M2241" s="116">
        <v>3882.8</v>
      </c>
      <c r="N2241" s="116">
        <v>3905.25</v>
      </c>
      <c r="O2241" s="116">
        <v>3821.6</v>
      </c>
      <c r="P2241" s="116">
        <v>3848</v>
      </c>
      <c r="Q2241" s="116">
        <v>3882.8</v>
      </c>
      <c r="R2241">
        <v>6813450</v>
      </c>
    </row>
    <row r="2242" spans="1:18" x14ac:dyDescent="0.25">
      <c r="A2242" s="170">
        <v>45306</v>
      </c>
      <c r="B2242" s="116">
        <v>3965</v>
      </c>
      <c r="C2242" s="116">
        <v>3902.4</v>
      </c>
      <c r="D2242" s="116">
        <v>3885</v>
      </c>
      <c r="E2242" s="116">
        <v>3952.45</v>
      </c>
      <c r="F2242" s="116">
        <v>3902.4</v>
      </c>
      <c r="G2242">
        <v>89116</v>
      </c>
      <c r="H2242" s="116"/>
      <c r="I2242" s="116"/>
      <c r="L2242" s="170">
        <v>45306</v>
      </c>
      <c r="M2242" s="116">
        <v>3903.8</v>
      </c>
      <c r="N2242" s="116">
        <v>3965</v>
      </c>
      <c r="O2242" s="116">
        <v>3885</v>
      </c>
      <c r="P2242" s="116">
        <v>3960</v>
      </c>
      <c r="Q2242" s="116">
        <v>3903.8</v>
      </c>
      <c r="R2242">
        <v>2801505</v>
      </c>
    </row>
    <row r="2243" spans="1:18" x14ac:dyDescent="0.25">
      <c r="A2243" s="170">
        <v>45307</v>
      </c>
      <c r="B2243" s="116">
        <v>3902.25</v>
      </c>
      <c r="C2243" s="116">
        <v>3861</v>
      </c>
      <c r="D2243" s="116">
        <v>3855.25</v>
      </c>
      <c r="E2243" s="116">
        <v>3902.25</v>
      </c>
      <c r="F2243" s="116">
        <v>3861</v>
      </c>
      <c r="G2243">
        <v>25447</v>
      </c>
      <c r="H2243" s="116"/>
      <c r="I2243" s="116"/>
      <c r="L2243" s="170">
        <v>45307</v>
      </c>
      <c r="M2243" s="116">
        <v>3861.3</v>
      </c>
      <c r="N2243" s="116">
        <v>3899</v>
      </c>
      <c r="O2243" s="116">
        <v>3855.55</v>
      </c>
      <c r="P2243" s="116">
        <v>3899</v>
      </c>
      <c r="Q2243" s="116">
        <v>3861.3</v>
      </c>
      <c r="R2243">
        <v>1432672</v>
      </c>
    </row>
    <row r="2244" spans="1:18" x14ac:dyDescent="0.25">
      <c r="A2244" s="170">
        <v>45308</v>
      </c>
      <c r="B2244" s="116">
        <v>3910</v>
      </c>
      <c r="C2244" s="116">
        <v>3884.15</v>
      </c>
      <c r="D2244" s="116">
        <v>3818.1</v>
      </c>
      <c r="E2244" s="116">
        <v>3835.85</v>
      </c>
      <c r="F2244" s="116">
        <v>3884.15</v>
      </c>
      <c r="G2244">
        <v>41328</v>
      </c>
      <c r="H2244" s="116"/>
      <c r="I2244" s="116"/>
      <c r="L2244" s="170">
        <v>45308</v>
      </c>
      <c r="M2244" s="116">
        <v>3884.6</v>
      </c>
      <c r="N2244" s="116">
        <v>3909.95</v>
      </c>
      <c r="O2244" s="116">
        <v>3812.55</v>
      </c>
      <c r="P2244" s="116">
        <v>3819</v>
      </c>
      <c r="Q2244" s="116">
        <v>3884.6</v>
      </c>
      <c r="R2244">
        <v>3458696</v>
      </c>
    </row>
    <row r="2245" spans="1:18" x14ac:dyDescent="0.25">
      <c r="A2245" s="170">
        <v>45309</v>
      </c>
      <c r="B2245" s="116">
        <v>3908</v>
      </c>
      <c r="C2245" s="116">
        <v>3903.5</v>
      </c>
      <c r="D2245" s="116">
        <v>3862</v>
      </c>
      <c r="E2245" s="116">
        <v>3890.2</v>
      </c>
      <c r="F2245" s="116">
        <v>3903.5</v>
      </c>
      <c r="G2245">
        <v>99423</v>
      </c>
      <c r="H2245" s="116"/>
      <c r="I2245" s="116"/>
      <c r="L2245" s="170">
        <v>45309</v>
      </c>
      <c r="M2245" s="116">
        <v>3902.6</v>
      </c>
      <c r="N2245" s="116">
        <v>3908.8</v>
      </c>
      <c r="O2245" s="116">
        <v>3862</v>
      </c>
      <c r="P2245" s="116">
        <v>3898</v>
      </c>
      <c r="Q2245" s="116">
        <v>3902.6</v>
      </c>
      <c r="R2245">
        <v>2239110</v>
      </c>
    </row>
    <row r="2246" spans="1:18" x14ac:dyDescent="0.25">
      <c r="A2246" s="170">
        <v>45310</v>
      </c>
      <c r="B2246" s="116">
        <v>3963</v>
      </c>
      <c r="C2246" s="116">
        <v>3942.25</v>
      </c>
      <c r="D2246" s="116">
        <v>3917.4</v>
      </c>
      <c r="E2246" s="116">
        <v>3930</v>
      </c>
      <c r="F2246" s="116">
        <v>3942.25</v>
      </c>
      <c r="G2246">
        <v>562002</v>
      </c>
      <c r="H2246" s="116"/>
      <c r="I2246" s="116"/>
      <c r="L2246" s="170">
        <v>45310</v>
      </c>
      <c r="M2246" s="116">
        <v>3943.05</v>
      </c>
      <c r="N2246" s="116">
        <v>3963.55</v>
      </c>
      <c r="O2246" s="116">
        <v>3915.05</v>
      </c>
      <c r="P2246" s="116">
        <v>3945</v>
      </c>
      <c r="Q2246" s="116">
        <v>3943.05</v>
      </c>
      <c r="R2246">
        <v>2941975</v>
      </c>
    </row>
    <row r="2247" spans="1:18" x14ac:dyDescent="0.25">
      <c r="A2247" s="170">
        <v>45311</v>
      </c>
      <c r="B2247" s="116">
        <v>3953.95</v>
      </c>
      <c r="C2247" s="116">
        <v>3860.6</v>
      </c>
      <c r="D2247" s="116">
        <v>3857</v>
      </c>
      <c r="E2247" s="116">
        <v>3945.45</v>
      </c>
      <c r="F2247" s="116">
        <v>3860.6</v>
      </c>
      <c r="G2247">
        <v>21266</v>
      </c>
      <c r="H2247" s="116"/>
      <c r="I2247" s="116"/>
      <c r="L2247" s="170">
        <v>45311</v>
      </c>
      <c r="M2247" s="116">
        <v>3860.65</v>
      </c>
      <c r="N2247" s="116">
        <v>3955.65</v>
      </c>
      <c r="O2247" s="116">
        <v>3855.55</v>
      </c>
      <c r="P2247" s="116">
        <v>3948</v>
      </c>
      <c r="Q2247" s="116">
        <v>3860.65</v>
      </c>
      <c r="R2247">
        <v>516477</v>
      </c>
    </row>
    <row r="2248" spans="1:18" x14ac:dyDescent="0.25">
      <c r="A2248" s="170">
        <v>45314</v>
      </c>
      <c r="B2248" s="116">
        <v>3933</v>
      </c>
      <c r="C2248" s="116">
        <v>3861.9</v>
      </c>
      <c r="D2248" s="116">
        <v>3844.25</v>
      </c>
      <c r="E2248" s="116">
        <v>3900</v>
      </c>
      <c r="F2248" s="116">
        <v>3861.9</v>
      </c>
      <c r="G2248">
        <v>51991</v>
      </c>
      <c r="H2248" s="116"/>
      <c r="I2248" s="116"/>
      <c r="L2248" s="170">
        <v>45314</v>
      </c>
      <c r="M2248" s="116">
        <v>3858.25</v>
      </c>
      <c r="N2248" s="116">
        <v>3933.9</v>
      </c>
      <c r="O2248" s="116">
        <v>3842.75</v>
      </c>
      <c r="P2248" s="116">
        <v>3900</v>
      </c>
      <c r="Q2248" s="116">
        <v>3858.25</v>
      </c>
      <c r="R2248">
        <v>2618854</v>
      </c>
    </row>
    <row r="2249" spans="1:18" x14ac:dyDescent="0.25">
      <c r="A2249" s="170">
        <v>45315</v>
      </c>
      <c r="B2249" s="116">
        <v>3881.4</v>
      </c>
      <c r="C2249" s="116">
        <v>3848</v>
      </c>
      <c r="D2249" s="116">
        <v>3805</v>
      </c>
      <c r="E2249" s="116">
        <v>3862.2</v>
      </c>
      <c r="F2249" s="116">
        <v>3848</v>
      </c>
      <c r="G2249">
        <v>408405</v>
      </c>
      <c r="H2249" s="116"/>
      <c r="I2249" s="116"/>
      <c r="L2249" s="170">
        <v>45315</v>
      </c>
      <c r="M2249" s="116">
        <v>3841.8</v>
      </c>
      <c r="N2249" s="116">
        <v>3883.65</v>
      </c>
      <c r="O2249" s="116">
        <v>3805.6</v>
      </c>
      <c r="P2249" s="116">
        <v>3880</v>
      </c>
      <c r="Q2249" s="116">
        <v>3841.8</v>
      </c>
      <c r="R2249">
        <v>2657709</v>
      </c>
    </row>
    <row r="2250" spans="1:18" x14ac:dyDescent="0.25">
      <c r="A2250" s="170">
        <v>45316</v>
      </c>
      <c r="B2250" s="116">
        <v>3855</v>
      </c>
      <c r="C2250" s="116">
        <v>3808.2</v>
      </c>
      <c r="D2250" s="116">
        <v>3780</v>
      </c>
      <c r="E2250" s="116">
        <v>3836.8</v>
      </c>
      <c r="F2250" s="116">
        <v>3808.2</v>
      </c>
      <c r="G2250">
        <v>1089054</v>
      </c>
      <c r="H2250" s="116"/>
      <c r="I2250" s="116"/>
      <c r="L2250" s="170">
        <v>45316</v>
      </c>
      <c r="M2250" s="116">
        <v>3810.3</v>
      </c>
      <c r="N2250" s="116">
        <v>3861</v>
      </c>
      <c r="O2250" s="116">
        <v>3778.7</v>
      </c>
      <c r="P2250" s="116">
        <v>3839.9</v>
      </c>
      <c r="Q2250" s="116">
        <v>3810.3</v>
      </c>
      <c r="R2250">
        <v>2205154</v>
      </c>
    </row>
    <row r="2251" spans="1:18" x14ac:dyDescent="0.25">
      <c r="A2251" s="170">
        <v>45320</v>
      </c>
      <c r="B2251" s="116">
        <v>3820.5</v>
      </c>
      <c r="C2251" s="116">
        <v>3801.35</v>
      </c>
      <c r="D2251" s="116">
        <v>3782</v>
      </c>
      <c r="E2251" s="116">
        <v>3807.85</v>
      </c>
      <c r="F2251" s="116">
        <v>3801.35</v>
      </c>
      <c r="G2251">
        <v>251247</v>
      </c>
      <c r="H2251" s="116"/>
      <c r="I2251" s="116"/>
      <c r="L2251" s="170">
        <v>45320</v>
      </c>
      <c r="M2251" s="116">
        <v>3801</v>
      </c>
      <c r="N2251" s="116">
        <v>3820</v>
      </c>
      <c r="O2251" s="116">
        <v>3780.85</v>
      </c>
      <c r="P2251" s="116">
        <v>3800.8</v>
      </c>
      <c r="Q2251" s="116">
        <v>3801</v>
      </c>
      <c r="R2251">
        <v>1646747</v>
      </c>
    </row>
    <row r="2252" spans="1:18" x14ac:dyDescent="0.25">
      <c r="A2252" s="170">
        <v>45321</v>
      </c>
      <c r="B2252" s="116">
        <v>3845.75</v>
      </c>
      <c r="C2252" s="116">
        <v>3799.1</v>
      </c>
      <c r="D2252" s="116">
        <v>3786</v>
      </c>
      <c r="E2252" s="116">
        <v>3801.5</v>
      </c>
      <c r="F2252" s="116">
        <v>3799.1</v>
      </c>
      <c r="G2252">
        <v>272018</v>
      </c>
      <c r="H2252" s="116"/>
      <c r="I2252" s="116"/>
      <c r="L2252" s="170">
        <v>45321</v>
      </c>
      <c r="M2252" s="116">
        <v>3800.55</v>
      </c>
      <c r="N2252" s="116">
        <v>3847.8</v>
      </c>
      <c r="O2252" s="116">
        <v>3787</v>
      </c>
      <c r="P2252" s="116">
        <v>3807.45</v>
      </c>
      <c r="Q2252" s="116">
        <v>3800.55</v>
      </c>
      <c r="R2252">
        <v>1411621</v>
      </c>
    </row>
    <row r="2253" spans="1:18" x14ac:dyDescent="0.25">
      <c r="A2253" s="170">
        <v>45322</v>
      </c>
      <c r="B2253" s="116">
        <v>3834.9</v>
      </c>
      <c r="C2253" s="116">
        <v>3814.75</v>
      </c>
      <c r="D2253" s="116">
        <v>3797</v>
      </c>
      <c r="E2253" s="116">
        <v>3804.15</v>
      </c>
      <c r="F2253" s="116">
        <v>3814.75</v>
      </c>
      <c r="G2253">
        <v>32384</v>
      </c>
      <c r="H2253" s="116"/>
      <c r="I2253" s="116"/>
      <c r="L2253" s="170">
        <v>45322</v>
      </c>
      <c r="M2253" s="116">
        <v>3815.95</v>
      </c>
      <c r="N2253" s="116">
        <v>3834</v>
      </c>
      <c r="O2253" s="116">
        <v>3796.45</v>
      </c>
      <c r="P2253" s="116">
        <v>3811.2</v>
      </c>
      <c r="Q2253" s="116">
        <v>3815.95</v>
      </c>
      <c r="R2253">
        <v>2459358</v>
      </c>
    </row>
    <row r="2254" spans="1:18" x14ac:dyDescent="0.25">
      <c r="A2254" s="170">
        <v>45323</v>
      </c>
      <c r="B2254" s="116">
        <v>3904.7</v>
      </c>
      <c r="C2254" s="116">
        <v>3851.45</v>
      </c>
      <c r="D2254" s="116">
        <v>3805</v>
      </c>
      <c r="E2254" s="116">
        <v>3816.2</v>
      </c>
      <c r="F2254" s="116">
        <v>3851.45</v>
      </c>
      <c r="G2254">
        <v>780437</v>
      </c>
      <c r="H2254" s="116"/>
      <c r="I2254" s="116"/>
      <c r="L2254" s="170">
        <v>45323</v>
      </c>
      <c r="M2254" s="116">
        <v>3854.15</v>
      </c>
      <c r="N2254" s="116">
        <v>3904.9</v>
      </c>
      <c r="O2254" s="116">
        <v>3805.05</v>
      </c>
      <c r="P2254" s="116">
        <v>3820</v>
      </c>
      <c r="Q2254" s="116">
        <v>3854.15</v>
      </c>
      <c r="R2254">
        <v>2363107</v>
      </c>
    </row>
    <row r="2255" spans="1:18" x14ac:dyDescent="0.25">
      <c r="A2255" s="170">
        <v>45324</v>
      </c>
      <c r="B2255" s="116">
        <v>3982.05</v>
      </c>
      <c r="C2255" s="116">
        <v>3966.35</v>
      </c>
      <c r="D2255" s="116">
        <v>3860</v>
      </c>
      <c r="E2255" s="116">
        <v>3860</v>
      </c>
      <c r="F2255" s="116">
        <v>3966.35</v>
      </c>
      <c r="G2255">
        <v>178429</v>
      </c>
      <c r="H2255" s="116"/>
      <c r="I2255" s="116"/>
      <c r="L2255" s="170">
        <v>45324</v>
      </c>
      <c r="M2255" s="116">
        <v>3966.3</v>
      </c>
      <c r="N2255" s="116">
        <v>3984.4</v>
      </c>
      <c r="O2255" s="116">
        <v>3872</v>
      </c>
      <c r="P2255" s="116">
        <v>3875.05</v>
      </c>
      <c r="Q2255" s="116">
        <v>3966.3</v>
      </c>
      <c r="R2255">
        <v>2826510</v>
      </c>
    </row>
    <row r="2256" spans="1:18" x14ac:dyDescent="0.25">
      <c r="A2256" s="170">
        <v>45327</v>
      </c>
      <c r="B2256" s="116">
        <v>4020</v>
      </c>
      <c r="C2256" s="116">
        <v>3972.75</v>
      </c>
      <c r="D2256" s="116">
        <v>3960.45</v>
      </c>
      <c r="E2256" s="116">
        <v>3973.6</v>
      </c>
      <c r="F2256" s="116">
        <v>3972.75</v>
      </c>
      <c r="G2256">
        <v>126912</v>
      </c>
      <c r="H2256" s="116"/>
      <c r="I2256" s="116"/>
      <c r="L2256" s="170">
        <v>45327</v>
      </c>
      <c r="M2256" s="116">
        <v>3973.3</v>
      </c>
      <c r="N2256" s="116">
        <v>4022</v>
      </c>
      <c r="O2256" s="116">
        <v>3962.1</v>
      </c>
      <c r="P2256" s="116">
        <v>3983</v>
      </c>
      <c r="Q2256" s="116">
        <v>3973.3</v>
      </c>
      <c r="R2256">
        <v>1691523</v>
      </c>
    </row>
    <row r="2257" spans="1:18" x14ac:dyDescent="0.25">
      <c r="A2257" s="170">
        <v>45328</v>
      </c>
      <c r="B2257" s="116">
        <v>4149.75</v>
      </c>
      <c r="C2257" s="116">
        <v>4133.45</v>
      </c>
      <c r="D2257" s="116">
        <v>3987.1</v>
      </c>
      <c r="E2257" s="116">
        <v>4000</v>
      </c>
      <c r="F2257" s="116">
        <v>4133.45</v>
      </c>
      <c r="G2257">
        <v>107328</v>
      </c>
      <c r="H2257" s="116"/>
      <c r="I2257" s="116"/>
      <c r="L2257" s="170">
        <v>45328</v>
      </c>
      <c r="M2257" s="116">
        <v>4136</v>
      </c>
      <c r="N2257" s="116">
        <v>4149.8999999999996</v>
      </c>
      <c r="O2257" s="116">
        <v>3990</v>
      </c>
      <c r="P2257" s="116">
        <v>3997</v>
      </c>
      <c r="Q2257" s="116">
        <v>4136</v>
      </c>
      <c r="R2257">
        <v>4474396</v>
      </c>
    </row>
    <row r="2258" spans="1:18" x14ac:dyDescent="0.25">
      <c r="A2258" s="170">
        <v>45329</v>
      </c>
      <c r="B2258" s="116">
        <v>4156.05</v>
      </c>
      <c r="C2258" s="116">
        <v>4083.2</v>
      </c>
      <c r="D2258" s="116">
        <v>4072.85</v>
      </c>
      <c r="E2258" s="116">
        <v>4140.1499999999996</v>
      </c>
      <c r="F2258" s="116">
        <v>4083.2</v>
      </c>
      <c r="G2258">
        <v>271054</v>
      </c>
      <c r="H2258" s="116"/>
      <c r="I2258" s="116"/>
      <c r="L2258" s="170">
        <v>45329</v>
      </c>
      <c r="M2258" s="116">
        <v>4083.4</v>
      </c>
      <c r="N2258" s="116">
        <v>4155</v>
      </c>
      <c r="O2258" s="116">
        <v>4073.95</v>
      </c>
      <c r="P2258" s="116">
        <v>4153</v>
      </c>
      <c r="Q2258" s="116">
        <v>4083.4</v>
      </c>
      <c r="R2258">
        <v>2124267</v>
      </c>
    </row>
    <row r="2259" spans="1:18" x14ac:dyDescent="0.25">
      <c r="A2259" s="170">
        <v>45330</v>
      </c>
      <c r="B2259" s="116">
        <v>4157.6000000000004</v>
      </c>
      <c r="C2259" s="116">
        <v>4135.55</v>
      </c>
      <c r="D2259" s="116">
        <v>4085.75</v>
      </c>
      <c r="E2259" s="116">
        <v>4090</v>
      </c>
      <c r="F2259" s="116">
        <v>4135.55</v>
      </c>
      <c r="G2259">
        <v>39399</v>
      </c>
      <c r="H2259" s="116"/>
      <c r="I2259" s="116"/>
      <c r="L2259" s="170">
        <v>45330</v>
      </c>
      <c r="M2259" s="116">
        <v>4134.1000000000004</v>
      </c>
      <c r="N2259" s="116">
        <v>4158</v>
      </c>
      <c r="O2259" s="116">
        <v>4086.05</v>
      </c>
      <c r="P2259" s="116">
        <v>4090</v>
      </c>
      <c r="Q2259" s="116">
        <v>4134.1000000000004</v>
      </c>
      <c r="R2259">
        <v>2345173</v>
      </c>
    </row>
    <row r="2260" spans="1:18" x14ac:dyDescent="0.25">
      <c r="A2260" s="170">
        <v>45331</v>
      </c>
      <c r="B2260" s="116">
        <v>4184.55</v>
      </c>
      <c r="C2260" s="116">
        <v>4134.25</v>
      </c>
      <c r="D2260" s="116">
        <v>4098.3999999999996</v>
      </c>
      <c r="E2260" s="116">
        <v>4130</v>
      </c>
      <c r="F2260" s="116">
        <v>4134.25</v>
      </c>
      <c r="G2260">
        <v>202275</v>
      </c>
      <c r="H2260" s="116"/>
      <c r="I2260" s="116"/>
      <c r="L2260" s="170">
        <v>45331</v>
      </c>
      <c r="M2260" s="116">
        <v>4133.7</v>
      </c>
      <c r="N2260" s="116">
        <v>4184.75</v>
      </c>
      <c r="O2260" s="116">
        <v>4100</v>
      </c>
      <c r="P2260" s="116">
        <v>4136.55</v>
      </c>
      <c r="Q2260" s="116">
        <v>4133.7</v>
      </c>
      <c r="R2260">
        <v>2100596</v>
      </c>
    </row>
    <row r="2261" spans="1:18" x14ac:dyDescent="0.25">
      <c r="A2261" s="170">
        <v>45334</v>
      </c>
      <c r="B2261" s="116">
        <v>4159.3500000000004</v>
      </c>
      <c r="C2261" s="116">
        <v>4119.05</v>
      </c>
      <c r="D2261" s="116">
        <v>4106.1000000000004</v>
      </c>
      <c r="E2261" s="116">
        <v>4130.8999999999996</v>
      </c>
      <c r="F2261" s="116">
        <v>4119.05</v>
      </c>
      <c r="G2261">
        <v>57361</v>
      </c>
      <c r="H2261" s="116"/>
      <c r="I2261" s="116"/>
      <c r="L2261" s="170">
        <v>45334</v>
      </c>
      <c r="M2261" s="116">
        <v>4120.7</v>
      </c>
      <c r="N2261" s="116">
        <v>4159.6000000000004</v>
      </c>
      <c r="O2261" s="116">
        <v>4105.55</v>
      </c>
      <c r="P2261" s="116">
        <v>4130</v>
      </c>
      <c r="Q2261" s="116">
        <v>4120.7</v>
      </c>
      <c r="R2261">
        <v>1013716</v>
      </c>
    </row>
    <row r="2262" spans="1:18" x14ac:dyDescent="0.25">
      <c r="A2262" s="170">
        <v>45335</v>
      </c>
      <c r="B2262" s="116">
        <v>4169.3500000000004</v>
      </c>
      <c r="C2262" s="116">
        <v>4149.1499999999996</v>
      </c>
      <c r="D2262" s="116">
        <v>4082.4</v>
      </c>
      <c r="E2262" s="116">
        <v>4120.05</v>
      </c>
      <c r="F2262" s="116">
        <v>4149.1499999999996</v>
      </c>
      <c r="G2262">
        <v>21924</v>
      </c>
      <c r="H2262" s="116"/>
      <c r="I2262" s="116"/>
      <c r="L2262" s="170">
        <v>45335</v>
      </c>
      <c r="M2262" s="116">
        <v>4149.5</v>
      </c>
      <c r="N2262" s="116">
        <v>4170</v>
      </c>
      <c r="O2262" s="116">
        <v>4081.5</v>
      </c>
      <c r="P2262" s="116">
        <v>4125.45</v>
      </c>
      <c r="Q2262" s="116">
        <v>4149.5</v>
      </c>
      <c r="R2262">
        <v>1257415</v>
      </c>
    </row>
    <row r="2263" spans="1:18" x14ac:dyDescent="0.25">
      <c r="A2263" s="170">
        <v>45336</v>
      </c>
      <c r="B2263" s="116">
        <v>4114.5</v>
      </c>
      <c r="C2263" s="116">
        <v>4101</v>
      </c>
      <c r="D2263" s="116">
        <v>4049.55</v>
      </c>
      <c r="E2263" s="116">
        <v>4102.05</v>
      </c>
      <c r="F2263" s="116">
        <v>4101</v>
      </c>
      <c r="G2263">
        <v>15211</v>
      </c>
      <c r="H2263" s="116"/>
      <c r="I2263" s="116"/>
      <c r="L2263" s="170">
        <v>45336</v>
      </c>
      <c r="M2263" s="116">
        <v>4100.1000000000004</v>
      </c>
      <c r="N2263" s="116">
        <v>4114.8999999999996</v>
      </c>
      <c r="O2263" s="116">
        <v>4049.5</v>
      </c>
      <c r="P2263" s="116">
        <v>4107</v>
      </c>
      <c r="Q2263" s="116">
        <v>4100.1000000000004</v>
      </c>
      <c r="R2263">
        <v>1391283</v>
      </c>
    </row>
    <row r="2264" spans="1:18" x14ac:dyDescent="0.25">
      <c r="A2264" s="170">
        <v>45337</v>
      </c>
      <c r="B2264" s="116">
        <v>4145</v>
      </c>
      <c r="C2264" s="116">
        <v>4102</v>
      </c>
      <c r="D2264" s="116">
        <v>4081.7</v>
      </c>
      <c r="E2264" s="116">
        <v>4122.3</v>
      </c>
      <c r="F2264" s="116">
        <v>4102</v>
      </c>
      <c r="G2264">
        <v>39303</v>
      </c>
      <c r="H2264" s="116"/>
      <c r="I2264" s="116"/>
      <c r="L2264" s="170">
        <v>45337</v>
      </c>
      <c r="M2264" s="116">
        <v>4103.2</v>
      </c>
      <c r="N2264" s="116">
        <v>4146.3</v>
      </c>
      <c r="O2264" s="116">
        <v>4083</v>
      </c>
      <c r="P2264" s="116">
        <v>4128</v>
      </c>
      <c r="Q2264" s="116">
        <v>4103.2</v>
      </c>
      <c r="R2264">
        <v>1091582</v>
      </c>
    </row>
    <row r="2265" spans="1:18" x14ac:dyDescent="0.25">
      <c r="A2265" s="170">
        <v>45338</v>
      </c>
      <c r="B2265" s="116">
        <v>4147</v>
      </c>
      <c r="C2265" s="116">
        <v>4129.2</v>
      </c>
      <c r="D2265" s="116">
        <v>4100.8999999999996</v>
      </c>
      <c r="E2265" s="116">
        <v>4112.05</v>
      </c>
      <c r="F2265" s="116">
        <v>4129.2</v>
      </c>
      <c r="G2265">
        <v>132816</v>
      </c>
      <c r="H2265" s="116"/>
      <c r="I2265" s="116"/>
      <c r="L2265" s="170">
        <v>45338</v>
      </c>
      <c r="M2265" s="116">
        <v>4128.3</v>
      </c>
      <c r="N2265" s="116">
        <v>4147.95</v>
      </c>
      <c r="O2265" s="116">
        <v>4100.1000000000004</v>
      </c>
      <c r="P2265" s="116">
        <v>4113.25</v>
      </c>
      <c r="Q2265" s="116">
        <v>4128.3</v>
      </c>
      <c r="R2265">
        <v>1307556</v>
      </c>
    </row>
    <row r="2266" spans="1:18" x14ac:dyDescent="0.25">
      <c r="A2266" s="170">
        <v>45341</v>
      </c>
      <c r="B2266" s="116">
        <v>4121.6499999999996</v>
      </c>
      <c r="C2266" s="116">
        <v>4101.6000000000004</v>
      </c>
      <c r="D2266" s="116">
        <v>4055.1</v>
      </c>
      <c r="E2266" s="116">
        <v>4119.1499999999996</v>
      </c>
      <c r="F2266" s="116">
        <v>4101.6000000000004</v>
      </c>
      <c r="G2266">
        <v>56840</v>
      </c>
      <c r="H2266" s="116"/>
      <c r="I2266" s="116"/>
      <c r="L2266" s="170">
        <v>45341</v>
      </c>
      <c r="M2266" s="116">
        <v>4103.8</v>
      </c>
      <c r="N2266" s="116">
        <v>4128.3</v>
      </c>
      <c r="O2266" s="116">
        <v>4055</v>
      </c>
      <c r="P2266" s="116">
        <v>4123.05</v>
      </c>
      <c r="Q2266" s="116">
        <v>4103.8</v>
      </c>
      <c r="R2266">
        <v>772291</v>
      </c>
    </row>
    <row r="2267" spans="1:18" x14ac:dyDescent="0.25">
      <c r="A2267" s="170">
        <v>45342</v>
      </c>
      <c r="B2267" s="116">
        <v>4098.8500000000004</v>
      </c>
      <c r="C2267" s="116">
        <v>4029.95</v>
      </c>
      <c r="D2267" s="116">
        <v>4011.1</v>
      </c>
      <c r="E2267" s="116">
        <v>4089.9</v>
      </c>
      <c r="F2267" s="116">
        <v>4029.95</v>
      </c>
      <c r="G2267">
        <v>30284</v>
      </c>
      <c r="H2267" s="116"/>
      <c r="I2267" s="116"/>
      <c r="L2267" s="170">
        <v>45342</v>
      </c>
      <c r="M2267" s="116">
        <v>4030.65</v>
      </c>
      <c r="N2267" s="116">
        <v>4098</v>
      </c>
      <c r="O2267" s="116">
        <v>4010</v>
      </c>
      <c r="P2267" s="116">
        <v>4082.1</v>
      </c>
      <c r="Q2267" s="116">
        <v>4030.65</v>
      </c>
      <c r="R2267">
        <v>1193648</v>
      </c>
    </row>
    <row r="2268" spans="1:18" x14ac:dyDescent="0.25">
      <c r="A2268" s="170">
        <v>45343</v>
      </c>
      <c r="B2268" s="116">
        <v>4063</v>
      </c>
      <c r="C2268" s="116">
        <v>3989.3</v>
      </c>
      <c r="D2268" s="116">
        <v>3980</v>
      </c>
      <c r="E2268" s="116">
        <v>4018.85</v>
      </c>
      <c r="F2268" s="116">
        <v>3989.3</v>
      </c>
      <c r="G2268">
        <v>24380</v>
      </c>
      <c r="H2268" s="116"/>
      <c r="I2268" s="116"/>
      <c r="L2268" s="170">
        <v>45343</v>
      </c>
      <c r="M2268" s="116">
        <v>3991.5</v>
      </c>
      <c r="N2268" s="116">
        <v>4063.35</v>
      </c>
      <c r="O2268" s="116">
        <v>3980.6</v>
      </c>
      <c r="P2268" s="116">
        <v>4013</v>
      </c>
      <c r="Q2268" s="116">
        <v>3991.5</v>
      </c>
      <c r="R2268">
        <v>1885939</v>
      </c>
    </row>
    <row r="2269" spans="1:18" x14ac:dyDescent="0.25">
      <c r="A2269" s="170">
        <v>45344</v>
      </c>
      <c r="B2269" s="116">
        <v>4093.8</v>
      </c>
      <c r="C2269" s="116">
        <v>4086.45</v>
      </c>
      <c r="D2269" s="116">
        <v>3968.35</v>
      </c>
      <c r="E2269" s="116">
        <v>3968.35</v>
      </c>
      <c r="F2269" s="116">
        <v>4086.45</v>
      </c>
      <c r="G2269">
        <v>31762</v>
      </c>
      <c r="H2269" s="116"/>
      <c r="I2269" s="116"/>
      <c r="L2269" s="170">
        <v>45344</v>
      </c>
      <c r="M2269" s="116">
        <v>4087.1</v>
      </c>
      <c r="N2269" s="116">
        <v>4094.95</v>
      </c>
      <c r="O2269" s="116">
        <v>3971</v>
      </c>
      <c r="P2269" s="116">
        <v>3971</v>
      </c>
      <c r="Q2269" s="116">
        <v>4087.1</v>
      </c>
      <c r="R2269">
        <v>2982052</v>
      </c>
    </row>
    <row r="2270" spans="1:18" x14ac:dyDescent="0.25">
      <c r="A2270" s="170">
        <v>45345</v>
      </c>
      <c r="B2270" s="116">
        <v>4128.95</v>
      </c>
      <c r="C2270" s="116">
        <v>4051.95</v>
      </c>
      <c r="D2270" s="116">
        <v>4045.5</v>
      </c>
      <c r="E2270" s="116">
        <v>4121.05</v>
      </c>
      <c r="F2270" s="116">
        <v>4051.95</v>
      </c>
      <c r="G2270">
        <v>171593</v>
      </c>
      <c r="H2270" s="116"/>
      <c r="I2270" s="116"/>
      <c r="L2270" s="170">
        <v>45345</v>
      </c>
      <c r="M2270" s="116">
        <v>4052.1</v>
      </c>
      <c r="N2270" s="116">
        <v>4130</v>
      </c>
      <c r="O2270" s="116">
        <v>4046.4</v>
      </c>
      <c r="P2270" s="116">
        <v>4130</v>
      </c>
      <c r="Q2270" s="116">
        <v>4052.1</v>
      </c>
      <c r="R2270">
        <v>2538072</v>
      </c>
    </row>
    <row r="2271" spans="1:18" x14ac:dyDescent="0.25">
      <c r="A2271" s="170">
        <v>45348</v>
      </c>
      <c r="B2271" s="116">
        <v>4050.85</v>
      </c>
      <c r="C2271" s="116">
        <v>4000.4</v>
      </c>
      <c r="D2271" s="116">
        <v>3983.3</v>
      </c>
      <c r="E2271" s="116">
        <v>4039</v>
      </c>
      <c r="F2271" s="116">
        <v>4000.4</v>
      </c>
      <c r="G2271">
        <v>19901</v>
      </c>
      <c r="H2271" s="116"/>
      <c r="I2271" s="116"/>
      <c r="L2271" s="170">
        <v>45348</v>
      </c>
      <c r="M2271" s="116">
        <v>4001.05</v>
      </c>
      <c r="N2271" s="116">
        <v>4050</v>
      </c>
      <c r="O2271" s="116">
        <v>3982.75</v>
      </c>
      <c r="P2271" s="116">
        <v>4036</v>
      </c>
      <c r="Q2271" s="116">
        <v>4001.05</v>
      </c>
      <c r="R2271">
        <v>1379284</v>
      </c>
    </row>
    <row r="2272" spans="1:18" x14ac:dyDescent="0.25">
      <c r="A2272" s="170">
        <v>45349</v>
      </c>
      <c r="B2272" s="116">
        <v>4124.6499999999996</v>
      </c>
      <c r="C2272" s="116">
        <v>4102.8</v>
      </c>
      <c r="D2272" s="116">
        <v>3997.05</v>
      </c>
      <c r="E2272" s="116">
        <v>3999.8</v>
      </c>
      <c r="F2272" s="116">
        <v>4102.8</v>
      </c>
      <c r="G2272">
        <v>334830</v>
      </c>
      <c r="H2272" s="116"/>
      <c r="I2272" s="116"/>
      <c r="L2272" s="170">
        <v>45349</v>
      </c>
      <c r="M2272" s="116">
        <v>4104.3999999999996</v>
      </c>
      <c r="N2272" s="116">
        <v>4124</v>
      </c>
      <c r="O2272" s="116">
        <v>3999</v>
      </c>
      <c r="P2272" s="116">
        <v>3999</v>
      </c>
      <c r="Q2272" s="116">
        <v>4104.3999999999996</v>
      </c>
      <c r="R2272">
        <v>2960475</v>
      </c>
    </row>
    <row r="2273" spans="1:18" x14ac:dyDescent="0.25">
      <c r="A2273" s="170">
        <v>45350</v>
      </c>
      <c r="B2273" s="116">
        <v>4154.25</v>
      </c>
      <c r="C2273" s="116">
        <v>4116.3999999999996</v>
      </c>
      <c r="D2273" s="116">
        <v>4091.3</v>
      </c>
      <c r="E2273" s="116">
        <v>4103</v>
      </c>
      <c r="F2273" s="116">
        <v>4116.3999999999996</v>
      </c>
      <c r="G2273">
        <v>33404</v>
      </c>
      <c r="H2273" s="116"/>
      <c r="I2273" s="116"/>
      <c r="L2273" s="170">
        <v>45350</v>
      </c>
      <c r="M2273" s="116">
        <v>4118.95</v>
      </c>
      <c r="N2273" s="116">
        <v>4154.8999999999996</v>
      </c>
      <c r="O2273" s="116">
        <v>4089</v>
      </c>
      <c r="P2273" s="116">
        <v>4095.6</v>
      </c>
      <c r="Q2273" s="116">
        <v>4118.95</v>
      </c>
      <c r="R2273">
        <v>1939225</v>
      </c>
    </row>
    <row r="2274" spans="1:18" x14ac:dyDescent="0.25">
      <c r="A2274" s="170">
        <v>45351</v>
      </c>
      <c r="B2274" s="116">
        <v>4138</v>
      </c>
      <c r="C2274" s="116">
        <v>4092.15</v>
      </c>
      <c r="D2274" s="116">
        <v>4068.8</v>
      </c>
      <c r="E2274" s="116">
        <v>4100</v>
      </c>
      <c r="F2274" s="116">
        <v>4092.15</v>
      </c>
      <c r="G2274">
        <v>30529</v>
      </c>
      <c r="H2274" s="116"/>
      <c r="I2274" s="116"/>
      <c r="L2274" s="170">
        <v>45351</v>
      </c>
      <c r="M2274" s="116">
        <v>4095.1</v>
      </c>
      <c r="N2274" s="116">
        <v>4138.1000000000004</v>
      </c>
      <c r="O2274" s="116">
        <v>4064.55</v>
      </c>
      <c r="P2274" s="116">
        <v>4099</v>
      </c>
      <c r="Q2274" s="116">
        <v>4095.1</v>
      </c>
      <c r="R2274">
        <v>3772719</v>
      </c>
    </row>
    <row r="2275" spans="1:18" x14ac:dyDescent="0.25">
      <c r="A2275" s="170">
        <v>45352</v>
      </c>
      <c r="B2275" s="116">
        <v>4139.8999999999996</v>
      </c>
      <c r="C2275" s="116">
        <v>4096.3</v>
      </c>
      <c r="D2275" s="116">
        <v>4087.85</v>
      </c>
      <c r="E2275" s="116">
        <v>4095.4</v>
      </c>
      <c r="F2275" s="116">
        <v>4096.3</v>
      </c>
      <c r="G2275">
        <v>120954</v>
      </c>
      <c r="H2275" s="116"/>
      <c r="I2275" s="116"/>
      <c r="L2275" s="170">
        <v>45352</v>
      </c>
      <c r="M2275" s="116">
        <v>4094.35</v>
      </c>
      <c r="N2275" s="116">
        <v>4140</v>
      </c>
      <c r="O2275" s="116">
        <v>4086.8</v>
      </c>
      <c r="P2275" s="116">
        <v>4107.2</v>
      </c>
      <c r="Q2275" s="116">
        <v>4094.35</v>
      </c>
      <c r="R2275">
        <v>2043265</v>
      </c>
    </row>
    <row r="2276" spans="1:18" x14ac:dyDescent="0.25">
      <c r="A2276" s="170">
        <v>45353</v>
      </c>
      <c r="B2276" s="116">
        <v>4127.8</v>
      </c>
      <c r="C2276" s="116">
        <v>4106.8999999999996</v>
      </c>
      <c r="D2276" s="116">
        <v>4094.05</v>
      </c>
      <c r="E2276" s="116">
        <v>4110.05</v>
      </c>
      <c r="F2276" s="116">
        <v>4106.8999999999996</v>
      </c>
      <c r="G2276">
        <v>7030</v>
      </c>
      <c r="H2276" s="116"/>
      <c r="I2276" s="116"/>
      <c r="L2276" s="170">
        <v>45353</v>
      </c>
      <c r="M2276" s="116">
        <v>4107.1000000000004</v>
      </c>
      <c r="N2276" s="116">
        <v>4129.5</v>
      </c>
      <c r="O2276" s="116">
        <v>4090.15</v>
      </c>
      <c r="P2276" s="116">
        <v>4112.7</v>
      </c>
      <c r="Q2276" s="116">
        <v>4107.1000000000004</v>
      </c>
      <c r="R2276">
        <v>65057</v>
      </c>
    </row>
    <row r="2277" spans="1:18" x14ac:dyDescent="0.25">
      <c r="A2277" s="170">
        <v>45355</v>
      </c>
      <c r="B2277" s="116">
        <v>4114.1000000000004</v>
      </c>
      <c r="C2277" s="116">
        <v>4081.6</v>
      </c>
      <c r="D2277" s="116">
        <v>4075.45</v>
      </c>
      <c r="E2277" s="116">
        <v>4095.45</v>
      </c>
      <c r="F2277" s="116">
        <v>4081.6</v>
      </c>
      <c r="G2277">
        <v>108134</v>
      </c>
      <c r="H2277" s="116"/>
      <c r="I2277" s="116"/>
      <c r="L2277" s="170">
        <v>45355</v>
      </c>
      <c r="M2277" s="116">
        <v>4080.7</v>
      </c>
      <c r="N2277" s="116">
        <v>4117.8999999999996</v>
      </c>
      <c r="O2277" s="116">
        <v>4075.9</v>
      </c>
      <c r="P2277" s="116">
        <v>4105</v>
      </c>
      <c r="Q2277" s="116">
        <v>4080.7</v>
      </c>
      <c r="R2277">
        <v>1749271</v>
      </c>
    </row>
    <row r="2278" spans="1:18" x14ac:dyDescent="0.25">
      <c r="A2278" s="170">
        <v>45356</v>
      </c>
      <c r="B2278" s="116">
        <v>4062</v>
      </c>
      <c r="C2278" s="116">
        <v>4011.35</v>
      </c>
      <c r="D2278" s="116">
        <v>3980.5</v>
      </c>
      <c r="E2278" s="116">
        <v>4060</v>
      </c>
      <c r="F2278" s="116">
        <v>4011.35</v>
      </c>
      <c r="G2278">
        <v>120472</v>
      </c>
      <c r="H2278" s="116"/>
      <c r="I2278" s="116"/>
      <c r="L2278" s="170">
        <v>45356</v>
      </c>
      <c r="M2278" s="116">
        <v>4012.1</v>
      </c>
      <c r="N2278" s="116">
        <v>4064</v>
      </c>
      <c r="O2278" s="116">
        <v>3980</v>
      </c>
      <c r="P2278" s="116">
        <v>4062</v>
      </c>
      <c r="Q2278" s="116">
        <v>4012.1</v>
      </c>
      <c r="R2278">
        <v>2070859</v>
      </c>
    </row>
    <row r="2279" spans="1:18" x14ac:dyDescent="0.25">
      <c r="A2279" s="170">
        <v>45357</v>
      </c>
      <c r="B2279" s="116">
        <v>4071.95</v>
      </c>
      <c r="C2279" s="116">
        <v>4065.3</v>
      </c>
      <c r="D2279" s="116">
        <v>3959.35</v>
      </c>
      <c r="E2279" s="116">
        <v>4016.15</v>
      </c>
      <c r="F2279" s="116">
        <v>4065.3</v>
      </c>
      <c r="G2279">
        <v>70501</v>
      </c>
      <c r="H2279" s="116"/>
      <c r="I2279" s="116"/>
      <c r="L2279" s="170">
        <v>45357</v>
      </c>
      <c r="M2279" s="116">
        <v>4064.3</v>
      </c>
      <c r="N2279" s="116">
        <v>4072</v>
      </c>
      <c r="O2279" s="116">
        <v>3958.45</v>
      </c>
      <c r="P2279" s="116">
        <v>3994.05</v>
      </c>
      <c r="Q2279" s="116">
        <v>4064.3</v>
      </c>
      <c r="R2279">
        <v>1744204</v>
      </c>
    </row>
    <row r="2280" spans="1:18" x14ac:dyDescent="0.25">
      <c r="A2280" s="170">
        <v>45358</v>
      </c>
      <c r="B2280" s="116">
        <v>4124</v>
      </c>
      <c r="C2280" s="116">
        <v>4110.1000000000004</v>
      </c>
      <c r="D2280" s="116">
        <v>4039</v>
      </c>
      <c r="E2280" s="116">
        <v>4060.1</v>
      </c>
      <c r="F2280" s="116">
        <v>4110.1000000000004</v>
      </c>
      <c r="G2280">
        <v>227716</v>
      </c>
      <c r="H2280" s="116"/>
      <c r="I2280" s="116"/>
      <c r="L2280" s="170">
        <v>45358</v>
      </c>
      <c r="M2280" s="116">
        <v>4108.6000000000004</v>
      </c>
      <c r="N2280" s="116">
        <v>4124</v>
      </c>
      <c r="O2280" s="116">
        <v>4037.7</v>
      </c>
      <c r="P2280" s="116">
        <v>4065</v>
      </c>
      <c r="Q2280" s="116">
        <v>4108.6000000000004</v>
      </c>
      <c r="R2280">
        <v>2688905</v>
      </c>
    </row>
    <row r="2281" spans="1:18" x14ac:dyDescent="0.25">
      <c r="A2281" s="170">
        <v>45362</v>
      </c>
      <c r="B2281" s="116">
        <v>4153.05</v>
      </c>
      <c r="C2281" s="116">
        <v>4121.5</v>
      </c>
      <c r="D2281" s="116">
        <v>4080.35</v>
      </c>
      <c r="E2281" s="116">
        <v>4080.35</v>
      </c>
      <c r="F2281" s="116">
        <v>4121.5</v>
      </c>
      <c r="G2281">
        <v>105726</v>
      </c>
      <c r="H2281" s="116"/>
      <c r="I2281" s="116"/>
      <c r="L2281" s="170">
        <v>45362</v>
      </c>
      <c r="M2281" s="116">
        <v>4122.3500000000004</v>
      </c>
      <c r="N2281" s="116">
        <v>4153</v>
      </c>
      <c r="O2281" s="116">
        <v>4089</v>
      </c>
      <c r="P2281" s="116">
        <v>4089</v>
      </c>
      <c r="Q2281" s="116">
        <v>4122.3500000000004</v>
      </c>
      <c r="R2281">
        <v>2304068</v>
      </c>
    </row>
    <row r="2282" spans="1:18" x14ac:dyDescent="0.25">
      <c r="A2282" s="170">
        <v>45363</v>
      </c>
      <c r="B2282" s="116">
        <v>4229.3</v>
      </c>
      <c r="C2282" s="116">
        <v>4191.3500000000004</v>
      </c>
      <c r="D2282" s="116">
        <v>4117.3</v>
      </c>
      <c r="E2282" s="116">
        <v>4117.3</v>
      </c>
      <c r="F2282" s="116">
        <v>4191.3500000000004</v>
      </c>
      <c r="G2282">
        <v>99915</v>
      </c>
      <c r="H2282" s="116"/>
      <c r="I2282" s="116"/>
      <c r="L2282" s="170">
        <v>45363</v>
      </c>
      <c r="M2282" s="116">
        <v>4192.25</v>
      </c>
      <c r="N2282" s="116">
        <v>4229.95</v>
      </c>
      <c r="O2282" s="116">
        <v>4121.05</v>
      </c>
      <c r="P2282" s="116">
        <v>4122.3500000000004</v>
      </c>
      <c r="Q2282" s="116">
        <v>4192.25</v>
      </c>
      <c r="R2282">
        <v>4039801</v>
      </c>
    </row>
    <row r="2283" spans="1:18" x14ac:dyDescent="0.25">
      <c r="A2283" s="170">
        <v>45364</v>
      </c>
      <c r="B2283" s="116">
        <v>4241.05</v>
      </c>
      <c r="C2283" s="116">
        <v>4148.3999999999996</v>
      </c>
      <c r="D2283" s="116">
        <v>4132.8</v>
      </c>
      <c r="E2283" s="116">
        <v>4200.05</v>
      </c>
      <c r="F2283" s="116">
        <v>4148.3999999999996</v>
      </c>
      <c r="G2283">
        <v>46250</v>
      </c>
      <c r="H2283" s="116"/>
      <c r="I2283" s="116"/>
      <c r="L2283" s="170">
        <v>45364</v>
      </c>
      <c r="M2283" s="116">
        <v>4149</v>
      </c>
      <c r="N2283" s="116">
        <v>4241</v>
      </c>
      <c r="O2283" s="116">
        <v>4131.8999999999996</v>
      </c>
      <c r="P2283" s="116">
        <v>4205</v>
      </c>
      <c r="Q2283" s="116">
        <v>4149</v>
      </c>
      <c r="R2283">
        <v>2837260</v>
      </c>
    </row>
    <row r="2284" spans="1:18" x14ac:dyDescent="0.25">
      <c r="A2284" s="170">
        <v>45365</v>
      </c>
      <c r="B2284" s="116">
        <v>4213.7</v>
      </c>
      <c r="C2284" s="116">
        <v>4207.1499999999996</v>
      </c>
      <c r="D2284" s="116">
        <v>4086.8</v>
      </c>
      <c r="E2284" s="116">
        <v>4143.05</v>
      </c>
      <c r="F2284" s="116">
        <v>4207.1499999999996</v>
      </c>
      <c r="G2284">
        <v>50198</v>
      </c>
      <c r="H2284" s="116"/>
      <c r="I2284" s="116"/>
      <c r="L2284" s="170">
        <v>45365</v>
      </c>
      <c r="M2284" s="116">
        <v>4207.6000000000004</v>
      </c>
      <c r="N2284" s="116">
        <v>4225</v>
      </c>
      <c r="O2284" s="116">
        <v>4086</v>
      </c>
      <c r="P2284" s="116">
        <v>4153.45</v>
      </c>
      <c r="Q2284" s="116">
        <v>4207.6000000000004</v>
      </c>
      <c r="R2284">
        <v>2919608</v>
      </c>
    </row>
    <row r="2285" spans="1:18" x14ac:dyDescent="0.25">
      <c r="A2285" s="170">
        <v>45366</v>
      </c>
      <c r="B2285" s="116">
        <v>4238.8</v>
      </c>
      <c r="C2285" s="116">
        <v>4217.5</v>
      </c>
      <c r="D2285" s="116">
        <v>4177</v>
      </c>
      <c r="E2285" s="116">
        <v>4202.8500000000004</v>
      </c>
      <c r="F2285" s="116">
        <v>4217.5</v>
      </c>
      <c r="G2285">
        <v>106409</v>
      </c>
      <c r="H2285" s="116"/>
      <c r="I2285" s="116"/>
      <c r="L2285" s="170">
        <v>45366</v>
      </c>
      <c r="M2285" s="116">
        <v>4219.25</v>
      </c>
      <c r="N2285" s="116">
        <v>4239</v>
      </c>
      <c r="O2285" s="116">
        <v>4177</v>
      </c>
      <c r="P2285" s="116">
        <v>4192.6000000000004</v>
      </c>
      <c r="Q2285" s="116">
        <v>4219.25</v>
      </c>
      <c r="R2285">
        <v>3373143</v>
      </c>
    </row>
    <row r="2286" spans="1:18" x14ac:dyDescent="0.25">
      <c r="A2286" s="170">
        <v>45369</v>
      </c>
      <c r="B2286" s="116">
        <v>4254.45</v>
      </c>
      <c r="C2286" s="116">
        <v>4144.75</v>
      </c>
      <c r="D2286" s="116">
        <v>4116.7</v>
      </c>
      <c r="E2286" s="116">
        <v>4217.5</v>
      </c>
      <c r="F2286" s="116">
        <v>4144.75</v>
      </c>
      <c r="G2286">
        <v>39490</v>
      </c>
      <c r="H2286" s="116"/>
      <c r="I2286" s="116"/>
      <c r="L2286" s="170">
        <v>45369</v>
      </c>
      <c r="M2286" s="116">
        <v>4152.5</v>
      </c>
      <c r="N2286" s="116">
        <v>4254.75</v>
      </c>
      <c r="O2286" s="116">
        <v>4117.8500000000004</v>
      </c>
      <c r="P2286" s="116">
        <v>4215.25</v>
      </c>
      <c r="Q2286" s="116">
        <v>4152.5</v>
      </c>
      <c r="R2286">
        <v>1526904</v>
      </c>
    </row>
    <row r="2287" spans="1:18" x14ac:dyDescent="0.25">
      <c r="A2287" s="170">
        <v>45370</v>
      </c>
      <c r="B2287" s="116">
        <v>4055.7</v>
      </c>
      <c r="C2287" s="116">
        <v>3977.55</v>
      </c>
      <c r="D2287" s="116">
        <v>3965.9</v>
      </c>
      <c r="E2287" s="116">
        <v>4055.65</v>
      </c>
      <c r="F2287" s="116">
        <v>3977.55</v>
      </c>
      <c r="G2287">
        <v>25582198</v>
      </c>
      <c r="H2287" s="116"/>
      <c r="I2287" s="116"/>
      <c r="L2287" s="170">
        <v>45370</v>
      </c>
      <c r="M2287" s="116">
        <v>3977.3</v>
      </c>
      <c r="N2287" s="116">
        <v>4058</v>
      </c>
      <c r="O2287" s="116">
        <v>3966.6</v>
      </c>
      <c r="P2287" s="116">
        <v>4051.25</v>
      </c>
      <c r="Q2287" s="116">
        <v>3977.3</v>
      </c>
      <c r="R2287">
        <v>8931209</v>
      </c>
    </row>
    <row r="2288" spans="1:18" x14ac:dyDescent="0.25">
      <c r="A2288" s="170">
        <v>45371</v>
      </c>
      <c r="B2288" s="116">
        <v>4018</v>
      </c>
      <c r="C2288" s="116">
        <v>3970.45</v>
      </c>
      <c r="D2288" s="116">
        <v>3960.5</v>
      </c>
      <c r="E2288" s="116">
        <v>3986</v>
      </c>
      <c r="F2288" s="116">
        <v>3970.45</v>
      </c>
      <c r="G2288">
        <v>136936</v>
      </c>
      <c r="H2288" s="116"/>
      <c r="I2288" s="116"/>
      <c r="L2288" s="170">
        <v>45371</v>
      </c>
      <c r="M2288" s="116">
        <v>3970.9</v>
      </c>
      <c r="N2288" s="116">
        <v>4018</v>
      </c>
      <c r="O2288" s="116">
        <v>3960.2</v>
      </c>
      <c r="P2288" s="116">
        <v>3986</v>
      </c>
      <c r="Q2288" s="116">
        <v>3970.9</v>
      </c>
      <c r="R2288">
        <v>1817913</v>
      </c>
    </row>
    <row r="2289" spans="1:18" x14ac:dyDescent="0.25">
      <c r="A2289" s="170">
        <v>45372</v>
      </c>
      <c r="B2289" s="116">
        <v>4008.45</v>
      </c>
      <c r="C2289" s="116">
        <v>3974.05</v>
      </c>
      <c r="D2289" s="116">
        <v>3948.85</v>
      </c>
      <c r="E2289" s="116">
        <v>3985.4</v>
      </c>
      <c r="F2289" s="116">
        <v>3974.05</v>
      </c>
      <c r="G2289">
        <v>64927</v>
      </c>
      <c r="H2289" s="116"/>
      <c r="I2289" s="116"/>
      <c r="L2289" s="170">
        <v>45372</v>
      </c>
      <c r="M2289" s="116">
        <v>3972.95</v>
      </c>
      <c r="N2289" s="116">
        <v>4008.4</v>
      </c>
      <c r="O2289" s="116">
        <v>3948</v>
      </c>
      <c r="P2289" s="116">
        <v>3990.05</v>
      </c>
      <c r="Q2289" s="116">
        <v>3972.95</v>
      </c>
      <c r="R2289">
        <v>3829582</v>
      </c>
    </row>
    <row r="2290" spans="1:18" x14ac:dyDescent="0.25">
      <c r="A2290" s="170">
        <v>45373</v>
      </c>
      <c r="B2290" s="116">
        <v>3938.4</v>
      </c>
      <c r="C2290" s="116">
        <v>3913.1</v>
      </c>
      <c r="D2290" s="116">
        <v>3856</v>
      </c>
      <c r="E2290" s="116">
        <v>3899</v>
      </c>
      <c r="F2290" s="116">
        <v>3913.1</v>
      </c>
      <c r="G2290">
        <v>275926</v>
      </c>
      <c r="H2290" s="116"/>
      <c r="I2290" s="116"/>
      <c r="L2290" s="170">
        <v>45373</v>
      </c>
      <c r="M2290" s="116">
        <v>3910.9</v>
      </c>
      <c r="N2290" s="116">
        <v>3938</v>
      </c>
      <c r="O2290" s="116">
        <v>3855</v>
      </c>
      <c r="P2290" s="116">
        <v>3897</v>
      </c>
      <c r="Q2290" s="116">
        <v>3910.9</v>
      </c>
      <c r="R2290">
        <v>5852485</v>
      </c>
    </row>
    <row r="2291" spans="1:18" x14ac:dyDescent="0.25">
      <c r="A2291" s="170">
        <v>45377</v>
      </c>
      <c r="B2291" s="116">
        <v>3946</v>
      </c>
      <c r="C2291" s="116">
        <v>3877.1</v>
      </c>
      <c r="D2291" s="116">
        <v>3872</v>
      </c>
      <c r="E2291" s="116">
        <v>3897.55</v>
      </c>
      <c r="F2291" s="116">
        <v>3877.1</v>
      </c>
      <c r="G2291">
        <v>203863</v>
      </c>
      <c r="H2291" s="116"/>
      <c r="I2291" s="116"/>
      <c r="L2291" s="170">
        <v>45377</v>
      </c>
      <c r="M2291" s="116">
        <v>3877.5</v>
      </c>
      <c r="N2291" s="116">
        <v>3946.7</v>
      </c>
      <c r="O2291" s="116">
        <v>3871.45</v>
      </c>
      <c r="P2291" s="116">
        <v>3875</v>
      </c>
      <c r="Q2291" s="116">
        <v>3877.5</v>
      </c>
      <c r="R2291">
        <v>3440925</v>
      </c>
    </row>
    <row r="2292" spans="1:18" x14ac:dyDescent="0.25">
      <c r="A2292" s="170">
        <v>45378</v>
      </c>
      <c r="B2292" s="116">
        <v>3896.95</v>
      </c>
      <c r="C2292" s="116">
        <v>3837.5</v>
      </c>
      <c r="D2292" s="116">
        <v>3828.55</v>
      </c>
      <c r="E2292" s="116">
        <v>3896.95</v>
      </c>
      <c r="F2292" s="116">
        <v>3837.5</v>
      </c>
      <c r="G2292">
        <v>71441</v>
      </c>
      <c r="H2292" s="116"/>
      <c r="I2292" s="116"/>
      <c r="L2292" s="170">
        <v>45378</v>
      </c>
      <c r="M2292" s="116">
        <v>3840.9</v>
      </c>
      <c r="N2292" s="116">
        <v>3895</v>
      </c>
      <c r="O2292" s="116">
        <v>3829.4</v>
      </c>
      <c r="P2292" s="116">
        <v>3888.5</v>
      </c>
      <c r="Q2292" s="116">
        <v>3840.9</v>
      </c>
      <c r="R2292">
        <v>1968575</v>
      </c>
    </row>
    <row r="2293" spans="1:18" x14ac:dyDescent="0.25">
      <c r="A2293" s="170">
        <v>45379</v>
      </c>
      <c r="B2293" s="116">
        <v>3914.65</v>
      </c>
      <c r="C2293" s="116">
        <v>3883.55</v>
      </c>
      <c r="D2293" s="116">
        <v>3840.5</v>
      </c>
      <c r="E2293" s="116">
        <v>3856.45</v>
      </c>
      <c r="F2293" s="116">
        <v>3883.55</v>
      </c>
      <c r="G2293">
        <v>80498</v>
      </c>
      <c r="H2293" s="116"/>
      <c r="I2293" s="116"/>
      <c r="L2293" s="170">
        <v>45379</v>
      </c>
      <c r="M2293" s="116">
        <v>3876.3</v>
      </c>
      <c r="N2293" s="116">
        <v>3915</v>
      </c>
      <c r="O2293" s="116">
        <v>3840.5</v>
      </c>
      <c r="P2293" s="116">
        <v>3850.1</v>
      </c>
      <c r="Q2293" s="116">
        <v>3876.3</v>
      </c>
      <c r="R2293">
        <v>4311783</v>
      </c>
    </row>
    <row r="2294" spans="1:18" x14ac:dyDescent="0.25">
      <c r="A2294" s="170">
        <v>45383</v>
      </c>
      <c r="B2294" s="116">
        <v>3932</v>
      </c>
      <c r="C2294" s="116">
        <v>3915.25</v>
      </c>
      <c r="D2294" s="116">
        <v>3886.6</v>
      </c>
      <c r="E2294" s="116">
        <v>3900</v>
      </c>
      <c r="F2294" s="116">
        <v>3915.25</v>
      </c>
      <c r="G2294">
        <v>58865</v>
      </c>
      <c r="H2294" s="116"/>
      <c r="I2294" s="116"/>
      <c r="L2294" s="170">
        <v>45383</v>
      </c>
      <c r="M2294" s="116">
        <v>3916.75</v>
      </c>
      <c r="N2294" s="116">
        <v>3933.3</v>
      </c>
      <c r="O2294" s="116">
        <v>3888.05</v>
      </c>
      <c r="P2294" s="116">
        <v>3897.7</v>
      </c>
      <c r="Q2294" s="116">
        <v>3916.75</v>
      </c>
      <c r="R2294">
        <v>1569676</v>
      </c>
    </row>
    <row r="2295" spans="1:18" x14ac:dyDescent="0.25">
      <c r="A2295" s="170">
        <v>45384</v>
      </c>
      <c r="B2295" s="116">
        <v>3905.5</v>
      </c>
      <c r="C2295" s="116">
        <v>3882.6</v>
      </c>
      <c r="D2295" s="116">
        <v>3875</v>
      </c>
      <c r="E2295" s="116">
        <v>3889.95</v>
      </c>
      <c r="F2295" s="116">
        <v>3882.6</v>
      </c>
      <c r="G2295">
        <v>44046</v>
      </c>
      <c r="H2295" s="116"/>
      <c r="I2295" s="116"/>
      <c r="L2295" s="170">
        <v>45384</v>
      </c>
      <c r="M2295" s="116">
        <v>3883.8</v>
      </c>
      <c r="N2295" s="116">
        <v>3909.85</v>
      </c>
      <c r="O2295" s="116">
        <v>3873</v>
      </c>
      <c r="P2295" s="116">
        <v>3890</v>
      </c>
      <c r="Q2295" s="116">
        <v>3883.8</v>
      </c>
      <c r="R2295">
        <v>2142666</v>
      </c>
    </row>
    <row r="2296" spans="1:18" x14ac:dyDescent="0.25">
      <c r="A2296" s="170">
        <v>45385</v>
      </c>
      <c r="B2296" s="116">
        <v>3981.2</v>
      </c>
      <c r="C2296" s="116">
        <v>3947.25</v>
      </c>
      <c r="D2296" s="116">
        <v>3855.7</v>
      </c>
      <c r="E2296" s="116">
        <v>3859.55</v>
      </c>
      <c r="F2296" s="116">
        <v>3947.25</v>
      </c>
      <c r="G2296">
        <v>62264</v>
      </c>
      <c r="H2296" s="116"/>
      <c r="I2296" s="116"/>
      <c r="L2296" s="170">
        <v>45385</v>
      </c>
      <c r="M2296" s="116">
        <v>3947.3</v>
      </c>
      <c r="N2296" s="116">
        <v>3981</v>
      </c>
      <c r="O2296" s="116">
        <v>3851</v>
      </c>
      <c r="P2296" s="116">
        <v>3851</v>
      </c>
      <c r="Q2296" s="116">
        <v>3947.3</v>
      </c>
      <c r="R2296">
        <v>3973090</v>
      </c>
    </row>
    <row r="2297" spans="1:18" x14ac:dyDescent="0.25">
      <c r="A2297" s="170">
        <v>45386</v>
      </c>
      <c r="B2297" s="116">
        <v>4027.3</v>
      </c>
      <c r="C2297" s="116">
        <v>4003.05</v>
      </c>
      <c r="D2297" s="116">
        <v>3936</v>
      </c>
      <c r="E2297" s="116">
        <v>3970.05</v>
      </c>
      <c r="F2297" s="116">
        <v>4003.05</v>
      </c>
      <c r="G2297">
        <v>42264</v>
      </c>
      <c r="H2297" s="116"/>
      <c r="I2297" s="116"/>
      <c r="L2297" s="170">
        <v>45386</v>
      </c>
      <c r="M2297" s="116">
        <v>4003.3</v>
      </c>
      <c r="N2297" s="116">
        <v>4028.65</v>
      </c>
      <c r="O2297" s="116">
        <v>3935.25</v>
      </c>
      <c r="P2297" s="116">
        <v>3975.9</v>
      </c>
      <c r="Q2297" s="116">
        <v>4003.3</v>
      </c>
      <c r="R2297">
        <v>3394637</v>
      </c>
    </row>
    <row r="2298" spans="1:18" x14ac:dyDescent="0.25">
      <c r="A2298" s="170">
        <v>45387</v>
      </c>
      <c r="B2298" s="116">
        <v>4001.9</v>
      </c>
      <c r="C2298" s="116">
        <v>3979.55</v>
      </c>
      <c r="D2298" s="116">
        <v>3959.5</v>
      </c>
      <c r="E2298" s="116">
        <v>3980</v>
      </c>
      <c r="F2298" s="116">
        <v>3979.55</v>
      </c>
      <c r="G2298">
        <v>93066</v>
      </c>
      <c r="H2298" s="116"/>
      <c r="I2298" s="116"/>
      <c r="L2298" s="170">
        <v>45387</v>
      </c>
      <c r="M2298" s="116">
        <v>3979.25</v>
      </c>
      <c r="N2298" s="116">
        <v>4002</v>
      </c>
      <c r="O2298" s="116">
        <v>3960.5</v>
      </c>
      <c r="P2298" s="116">
        <v>3978</v>
      </c>
      <c r="Q2298" s="116">
        <v>3979.25</v>
      </c>
      <c r="R2298">
        <v>1636819</v>
      </c>
    </row>
    <row r="2299" spans="1:18" x14ac:dyDescent="0.25">
      <c r="A2299" s="170">
        <v>45390</v>
      </c>
      <c r="B2299" s="116">
        <v>4030</v>
      </c>
      <c r="C2299" s="116">
        <v>3972.7</v>
      </c>
      <c r="D2299" s="116">
        <v>3960.1</v>
      </c>
      <c r="E2299" s="116">
        <v>3980</v>
      </c>
      <c r="F2299" s="116">
        <v>3972.7</v>
      </c>
      <c r="G2299">
        <v>90377</v>
      </c>
      <c r="H2299" s="116"/>
      <c r="I2299" s="116"/>
      <c r="L2299" s="170">
        <v>45390</v>
      </c>
      <c r="M2299" s="116">
        <v>3972.55</v>
      </c>
      <c r="N2299" s="116">
        <v>4032.65</v>
      </c>
      <c r="O2299" s="116">
        <v>3960</v>
      </c>
      <c r="P2299" s="116">
        <v>3983</v>
      </c>
      <c r="Q2299" s="116">
        <v>3972.55</v>
      </c>
      <c r="R2299">
        <v>2302538</v>
      </c>
    </row>
    <row r="2300" spans="1:18" x14ac:dyDescent="0.25">
      <c r="A2300" s="170">
        <v>45391</v>
      </c>
      <c r="B2300" s="116">
        <v>4015.05</v>
      </c>
      <c r="C2300" s="116">
        <v>3947.15</v>
      </c>
      <c r="D2300" s="116">
        <v>3925.1</v>
      </c>
      <c r="E2300" s="116">
        <v>3980</v>
      </c>
      <c r="F2300" s="116">
        <v>3947.15</v>
      </c>
      <c r="G2300">
        <v>81107</v>
      </c>
      <c r="H2300" s="116"/>
      <c r="I2300" s="116"/>
      <c r="L2300" s="170">
        <v>45391</v>
      </c>
      <c r="M2300" s="116">
        <v>3946.55</v>
      </c>
      <c r="N2300" s="116">
        <v>4015.85</v>
      </c>
      <c r="O2300" s="116">
        <v>3925.05</v>
      </c>
      <c r="P2300" s="116">
        <v>3984</v>
      </c>
      <c r="Q2300" s="116">
        <v>3946.55</v>
      </c>
      <c r="R2300">
        <v>1876992</v>
      </c>
    </row>
    <row r="2301" spans="1:18" x14ac:dyDescent="0.25">
      <c r="A2301" s="170">
        <v>45392</v>
      </c>
      <c r="B2301" s="116">
        <v>3989.3</v>
      </c>
      <c r="C2301" s="116">
        <v>3982.55</v>
      </c>
      <c r="D2301" s="116">
        <v>3916.6</v>
      </c>
      <c r="E2301" s="116">
        <v>3950.05</v>
      </c>
      <c r="F2301" s="116">
        <v>3982.55</v>
      </c>
      <c r="G2301">
        <v>109590</v>
      </c>
      <c r="H2301" s="116"/>
      <c r="I2301" s="116"/>
      <c r="L2301" s="170">
        <v>45392</v>
      </c>
      <c r="M2301" s="116">
        <v>3984.65</v>
      </c>
      <c r="N2301" s="116">
        <v>3990.2</v>
      </c>
      <c r="O2301" s="116">
        <v>3918</v>
      </c>
      <c r="P2301" s="116">
        <v>3956.4</v>
      </c>
      <c r="Q2301" s="116">
        <v>3984.65</v>
      </c>
      <c r="R2301">
        <v>2101965</v>
      </c>
    </row>
    <row r="2302" spans="1:18" x14ac:dyDescent="0.25">
      <c r="A2302" s="170">
        <v>45394</v>
      </c>
      <c r="B2302" s="116">
        <v>4013.25</v>
      </c>
      <c r="C2302" s="116">
        <v>4000.3</v>
      </c>
      <c r="D2302" s="116">
        <v>3948</v>
      </c>
      <c r="E2302" s="116">
        <v>3982.5</v>
      </c>
      <c r="F2302" s="116">
        <v>4000.3</v>
      </c>
      <c r="G2302">
        <v>179585</v>
      </c>
      <c r="H2302" s="116"/>
      <c r="I2302" s="116"/>
      <c r="L2302" s="170">
        <v>45394</v>
      </c>
      <c r="M2302" s="116">
        <v>4001.4</v>
      </c>
      <c r="N2302" s="116">
        <v>4013.35</v>
      </c>
      <c r="O2302" s="116">
        <v>3945.5</v>
      </c>
      <c r="P2302" s="116">
        <v>3971</v>
      </c>
      <c r="Q2302" s="116">
        <v>4001.4</v>
      </c>
      <c r="R2302">
        <v>4354821</v>
      </c>
    </row>
    <row r="2303" spans="1:18" x14ac:dyDescent="0.25">
      <c r="A2303" s="170">
        <v>45397</v>
      </c>
      <c r="B2303" s="116">
        <v>4063</v>
      </c>
      <c r="C2303" s="116">
        <v>3941.65</v>
      </c>
      <c r="D2303" s="116">
        <v>3920</v>
      </c>
      <c r="E2303" s="116">
        <v>3995</v>
      </c>
      <c r="F2303" s="116">
        <v>3941.65</v>
      </c>
      <c r="G2303">
        <v>104649</v>
      </c>
      <c r="H2303" s="116"/>
      <c r="I2303" s="116"/>
      <c r="L2303" s="170">
        <v>45397</v>
      </c>
      <c r="M2303" s="116">
        <v>3941.2</v>
      </c>
      <c r="N2303" s="116">
        <v>4064.2</v>
      </c>
      <c r="O2303" s="116">
        <v>3919.05</v>
      </c>
      <c r="P2303" s="116">
        <v>4001.4</v>
      </c>
      <c r="Q2303" s="116">
        <v>3941.2</v>
      </c>
      <c r="R2303">
        <v>4200329</v>
      </c>
    </row>
    <row r="2304" spans="1:18" x14ac:dyDescent="0.25">
      <c r="A2304" s="170">
        <v>45398</v>
      </c>
      <c r="B2304" s="116">
        <v>3928.1</v>
      </c>
      <c r="C2304" s="116">
        <v>3872.3</v>
      </c>
      <c r="D2304" s="116">
        <v>3863.65</v>
      </c>
      <c r="E2304" s="116">
        <v>3909</v>
      </c>
      <c r="F2304" s="116">
        <v>3872.3</v>
      </c>
      <c r="G2304">
        <v>163353</v>
      </c>
      <c r="H2304" s="116"/>
      <c r="I2304" s="116"/>
      <c r="L2304" s="170">
        <v>45398</v>
      </c>
      <c r="M2304" s="116">
        <v>3872.8</v>
      </c>
      <c r="N2304" s="116">
        <v>3928.7</v>
      </c>
      <c r="O2304" s="116">
        <v>3862.85</v>
      </c>
      <c r="P2304" s="116">
        <v>3902</v>
      </c>
      <c r="Q2304" s="116">
        <v>3872.8</v>
      </c>
      <c r="R2304">
        <v>3051420</v>
      </c>
    </row>
    <row r="2305" spans="1:18" x14ac:dyDescent="0.25">
      <c r="A2305" s="170">
        <v>45400</v>
      </c>
      <c r="B2305" s="116">
        <v>3936</v>
      </c>
      <c r="C2305" s="116">
        <v>3863.5</v>
      </c>
      <c r="D2305" s="116">
        <v>3851</v>
      </c>
      <c r="E2305" s="116">
        <v>3889.75</v>
      </c>
      <c r="F2305" s="116">
        <v>3863.5</v>
      </c>
      <c r="G2305">
        <v>65782</v>
      </c>
      <c r="H2305" s="116"/>
      <c r="I2305" s="116"/>
      <c r="L2305" s="170">
        <v>45400</v>
      </c>
      <c r="M2305" s="116">
        <v>3862</v>
      </c>
      <c r="N2305" s="116">
        <v>3936</v>
      </c>
      <c r="O2305" s="116">
        <v>3850</v>
      </c>
      <c r="P2305" s="116">
        <v>3876.8</v>
      </c>
      <c r="Q2305" s="116">
        <v>3862</v>
      </c>
      <c r="R2305">
        <v>3476284</v>
      </c>
    </row>
    <row r="2306" spans="1:18" x14ac:dyDescent="0.25">
      <c r="A2306" s="170">
        <v>45401</v>
      </c>
      <c r="B2306" s="116">
        <v>3851.8</v>
      </c>
      <c r="C2306" s="116">
        <v>3827.45</v>
      </c>
      <c r="D2306" s="116">
        <v>3801</v>
      </c>
      <c r="E2306" s="116">
        <v>3840.6</v>
      </c>
      <c r="F2306" s="116">
        <v>3827.45</v>
      </c>
      <c r="G2306">
        <v>223097</v>
      </c>
      <c r="H2306" s="116"/>
      <c r="I2306" s="116"/>
      <c r="L2306" s="170">
        <v>45401</v>
      </c>
      <c r="M2306" s="116">
        <v>3826.2</v>
      </c>
      <c r="N2306" s="116">
        <v>3852.55</v>
      </c>
      <c r="O2306" s="116">
        <v>3800.9</v>
      </c>
      <c r="P2306" s="116">
        <v>3838</v>
      </c>
      <c r="Q2306" s="116">
        <v>3826.2</v>
      </c>
      <c r="R2306">
        <v>2957749</v>
      </c>
    </row>
    <row r="2307" spans="1:18" x14ac:dyDescent="0.25">
      <c r="A2307" s="170">
        <v>45404</v>
      </c>
      <c r="B2307" s="116">
        <v>3879.35</v>
      </c>
      <c r="C2307" s="116">
        <v>3865.45</v>
      </c>
      <c r="D2307" s="116">
        <v>3815.5</v>
      </c>
      <c r="E2307" s="116">
        <v>3828.6</v>
      </c>
      <c r="F2307" s="116">
        <v>3865.45</v>
      </c>
      <c r="G2307">
        <v>51988</v>
      </c>
      <c r="H2307" s="116"/>
      <c r="I2307" s="116"/>
      <c r="L2307" s="170">
        <v>45404</v>
      </c>
      <c r="M2307" s="116">
        <v>3864.6</v>
      </c>
      <c r="N2307" s="116">
        <v>3878</v>
      </c>
      <c r="O2307" s="116">
        <v>3812</v>
      </c>
      <c r="P2307" s="116">
        <v>3837</v>
      </c>
      <c r="Q2307" s="116">
        <v>3864.6</v>
      </c>
      <c r="R2307">
        <v>1728883</v>
      </c>
    </row>
    <row r="2308" spans="1:18" x14ac:dyDescent="0.25">
      <c r="A2308" s="170">
        <v>45405</v>
      </c>
      <c r="B2308" s="116">
        <v>3894.9</v>
      </c>
      <c r="C2308" s="116">
        <v>3874.2</v>
      </c>
      <c r="D2308" s="116">
        <v>3861.4</v>
      </c>
      <c r="E2308" s="116">
        <v>3880</v>
      </c>
      <c r="F2308" s="116">
        <v>3874.2</v>
      </c>
      <c r="G2308">
        <v>61696</v>
      </c>
      <c r="H2308" s="116"/>
      <c r="I2308" s="116"/>
      <c r="L2308" s="170">
        <v>45405</v>
      </c>
      <c r="M2308" s="116">
        <v>3874.7</v>
      </c>
      <c r="N2308" s="116">
        <v>3895</v>
      </c>
      <c r="O2308" s="116">
        <v>3860.6</v>
      </c>
      <c r="P2308" s="116">
        <v>3877.05</v>
      </c>
      <c r="Q2308" s="116">
        <v>3874.7</v>
      </c>
      <c r="R2308">
        <v>1807586</v>
      </c>
    </row>
    <row r="2309" spans="1:18" x14ac:dyDescent="0.25">
      <c r="A2309" s="170">
        <v>45406</v>
      </c>
      <c r="B2309" s="116">
        <v>3896</v>
      </c>
      <c r="C2309" s="116">
        <v>3831.25</v>
      </c>
      <c r="D2309" s="116">
        <v>3824.15</v>
      </c>
      <c r="E2309" s="116">
        <v>3890</v>
      </c>
      <c r="F2309" s="116">
        <v>3831.25</v>
      </c>
      <c r="G2309">
        <v>38530</v>
      </c>
      <c r="H2309" s="116"/>
      <c r="I2309" s="116"/>
      <c r="L2309" s="170">
        <v>45406</v>
      </c>
      <c r="M2309" s="116">
        <v>3831.05</v>
      </c>
      <c r="N2309" s="116">
        <v>3898</v>
      </c>
      <c r="O2309" s="116">
        <v>3824.45</v>
      </c>
      <c r="P2309" s="116">
        <v>3890</v>
      </c>
      <c r="Q2309" s="116">
        <v>3831.05</v>
      </c>
      <c r="R2309">
        <v>1317312</v>
      </c>
    </row>
    <row r="2310" spans="1:18" x14ac:dyDescent="0.25">
      <c r="A2310" s="170">
        <v>45407</v>
      </c>
      <c r="B2310" s="116">
        <v>3872</v>
      </c>
      <c r="C2310" s="116">
        <v>3851.85</v>
      </c>
      <c r="D2310" s="116">
        <v>3807.8</v>
      </c>
      <c r="E2310" s="116">
        <v>3814.2</v>
      </c>
      <c r="F2310" s="116">
        <v>3851.85</v>
      </c>
      <c r="G2310">
        <v>86420</v>
      </c>
      <c r="H2310" s="116"/>
      <c r="I2310" s="116"/>
      <c r="L2310" s="170">
        <v>45407</v>
      </c>
      <c r="M2310" s="116">
        <v>3852.2</v>
      </c>
      <c r="N2310" s="116">
        <v>3873.65</v>
      </c>
      <c r="O2310" s="116">
        <v>3811</v>
      </c>
      <c r="P2310" s="116">
        <v>3811.2</v>
      </c>
      <c r="Q2310" s="116">
        <v>3852.2</v>
      </c>
      <c r="R2310">
        <v>2856271</v>
      </c>
    </row>
    <row r="2311" spans="1:18" x14ac:dyDescent="0.25">
      <c r="A2311" s="170">
        <v>45408</v>
      </c>
      <c r="B2311" s="116">
        <v>3875.85</v>
      </c>
      <c r="C2311" s="116">
        <v>3812.85</v>
      </c>
      <c r="D2311" s="116">
        <v>3801.25</v>
      </c>
      <c r="E2311" s="116">
        <v>3859.65</v>
      </c>
      <c r="F2311" s="116">
        <v>3812.85</v>
      </c>
      <c r="G2311">
        <v>114191</v>
      </c>
      <c r="H2311" s="116"/>
      <c r="I2311" s="116"/>
      <c r="L2311" s="170">
        <v>45408</v>
      </c>
      <c r="M2311" s="116">
        <v>3821.35</v>
      </c>
      <c r="N2311" s="116">
        <v>3876.8</v>
      </c>
      <c r="O2311" s="116">
        <v>3802.55</v>
      </c>
      <c r="P2311" s="116">
        <v>3855.15</v>
      </c>
      <c r="Q2311" s="116">
        <v>3821.35</v>
      </c>
      <c r="R2311">
        <v>2039178</v>
      </c>
    </row>
    <row r="2312" spans="1:18" x14ac:dyDescent="0.25">
      <c r="A2312" s="170">
        <v>45411</v>
      </c>
      <c r="B2312" s="116">
        <v>3877.7</v>
      </c>
      <c r="C2312" s="116">
        <v>3870.6</v>
      </c>
      <c r="D2312" s="116">
        <v>3820</v>
      </c>
      <c r="E2312" s="116">
        <v>3825.6</v>
      </c>
      <c r="F2312" s="116">
        <v>3870.6</v>
      </c>
      <c r="G2312">
        <v>22303</v>
      </c>
      <c r="H2312" s="116"/>
      <c r="I2312" s="116"/>
      <c r="L2312" s="170">
        <v>45411</v>
      </c>
      <c r="M2312" s="116">
        <v>3870.2</v>
      </c>
      <c r="N2312" s="116">
        <v>3877.8</v>
      </c>
      <c r="O2312" s="116">
        <v>3819.2</v>
      </c>
      <c r="P2312" s="116">
        <v>3838</v>
      </c>
      <c r="Q2312" s="116">
        <v>3870.2</v>
      </c>
      <c r="R2312">
        <v>1110693</v>
      </c>
    </row>
    <row r="2313" spans="1:18" x14ac:dyDescent="0.25">
      <c r="A2313" s="170">
        <v>45412</v>
      </c>
      <c r="B2313" s="116">
        <v>3880</v>
      </c>
      <c r="C2313" s="116">
        <v>3822.6</v>
      </c>
      <c r="D2313" s="116">
        <v>3810</v>
      </c>
      <c r="E2313" s="116">
        <v>3870.6</v>
      </c>
      <c r="F2313" s="116">
        <v>3822.6</v>
      </c>
      <c r="G2313">
        <v>98711</v>
      </c>
      <c r="H2313" s="116"/>
      <c r="I2313" s="116"/>
      <c r="L2313" s="170">
        <v>45412</v>
      </c>
      <c r="M2313" s="116">
        <v>3820.65</v>
      </c>
      <c r="N2313" s="116">
        <v>3881.75</v>
      </c>
      <c r="O2313" s="116">
        <v>3810</v>
      </c>
      <c r="P2313" s="116">
        <v>3872</v>
      </c>
      <c r="Q2313" s="116">
        <v>3820.65</v>
      </c>
      <c r="R2313">
        <v>2203078</v>
      </c>
    </row>
    <row r="2314" spans="1:18" x14ac:dyDescent="0.25">
      <c r="A2314" s="170">
        <v>45414</v>
      </c>
      <c r="B2314" s="116">
        <v>3870.2</v>
      </c>
      <c r="C2314" s="116">
        <v>3863.75</v>
      </c>
      <c r="D2314" s="116">
        <v>3782.5</v>
      </c>
      <c r="E2314" s="116">
        <v>3800</v>
      </c>
      <c r="F2314" s="116">
        <v>3863.75</v>
      </c>
      <c r="G2314">
        <v>76798</v>
      </c>
      <c r="H2314" s="116"/>
      <c r="I2314" s="116"/>
      <c r="L2314" s="170">
        <v>45414</v>
      </c>
      <c r="M2314" s="116">
        <v>3863.3</v>
      </c>
      <c r="N2314" s="116">
        <v>3871.1</v>
      </c>
      <c r="O2314" s="116">
        <v>3778.05</v>
      </c>
      <c r="P2314" s="116">
        <v>3778.05</v>
      </c>
      <c r="Q2314" s="116">
        <v>3863.3</v>
      </c>
      <c r="R2314">
        <v>2491044</v>
      </c>
    </row>
    <row r="2315" spans="1:18" x14ac:dyDescent="0.25">
      <c r="A2315" s="170">
        <v>45415</v>
      </c>
      <c r="B2315" s="116">
        <v>3893.3</v>
      </c>
      <c r="C2315" s="116">
        <v>3839.35</v>
      </c>
      <c r="D2315" s="116">
        <v>3798.05</v>
      </c>
      <c r="E2315" s="116">
        <v>3881.65</v>
      </c>
      <c r="F2315" s="116">
        <v>3839.35</v>
      </c>
      <c r="G2315">
        <v>149072</v>
      </c>
      <c r="H2315" s="116"/>
      <c r="I2315" s="116"/>
      <c r="L2315" s="170">
        <v>45415</v>
      </c>
      <c r="M2315" s="116">
        <v>3843.4</v>
      </c>
      <c r="N2315" s="116">
        <v>3893.6</v>
      </c>
      <c r="O2315" s="116">
        <v>3797.6</v>
      </c>
      <c r="P2315" s="116">
        <v>3890.15</v>
      </c>
      <c r="Q2315" s="116">
        <v>3843.4</v>
      </c>
      <c r="R2315">
        <v>2962234</v>
      </c>
    </row>
    <row r="2316" spans="1:18" x14ac:dyDescent="0.25">
      <c r="A2316" s="170">
        <v>45418</v>
      </c>
      <c r="B2316" s="116">
        <v>3939.1</v>
      </c>
      <c r="C2316" s="116">
        <v>3920.7</v>
      </c>
      <c r="D2316" s="116">
        <v>3855</v>
      </c>
      <c r="E2316" s="116">
        <v>3859.95</v>
      </c>
      <c r="F2316" s="116">
        <v>3920.7</v>
      </c>
      <c r="G2316">
        <v>53334</v>
      </c>
      <c r="H2316" s="116"/>
      <c r="I2316" s="116"/>
      <c r="L2316" s="170">
        <v>45418</v>
      </c>
      <c r="M2316" s="116">
        <v>3921.05</v>
      </c>
      <c r="N2316" s="116">
        <v>3939.95</v>
      </c>
      <c r="O2316" s="116">
        <v>3853</v>
      </c>
      <c r="P2316" s="116">
        <v>3853</v>
      </c>
      <c r="Q2316" s="116">
        <v>3921.05</v>
      </c>
      <c r="R2316">
        <v>2053831</v>
      </c>
    </row>
    <row r="2317" spans="1:18" x14ac:dyDescent="0.25">
      <c r="A2317" s="170">
        <v>45419</v>
      </c>
      <c r="B2317" s="116">
        <v>3988.3</v>
      </c>
      <c r="C2317" s="116">
        <v>3978.25</v>
      </c>
      <c r="D2317" s="116">
        <v>3912.7</v>
      </c>
      <c r="E2317" s="116">
        <v>3925.85</v>
      </c>
      <c r="F2317" s="116">
        <v>3978.25</v>
      </c>
      <c r="G2317">
        <v>68881</v>
      </c>
      <c r="H2317" s="116"/>
      <c r="I2317" s="116"/>
      <c r="L2317" s="170">
        <v>45419</v>
      </c>
      <c r="M2317" s="116">
        <v>3978.95</v>
      </c>
      <c r="N2317" s="116">
        <v>3988</v>
      </c>
      <c r="O2317" s="116">
        <v>3913.5</v>
      </c>
      <c r="P2317" s="116">
        <v>3930.8</v>
      </c>
      <c r="Q2317" s="116">
        <v>3978.95</v>
      </c>
      <c r="R2317">
        <v>2062112</v>
      </c>
    </row>
    <row r="2318" spans="1:18" x14ac:dyDescent="0.25">
      <c r="A2318" s="170">
        <v>45420</v>
      </c>
      <c r="B2318" s="116">
        <v>3984</v>
      </c>
      <c r="C2318" s="116">
        <v>3972.7</v>
      </c>
      <c r="D2318" s="116">
        <v>3940.05</v>
      </c>
      <c r="E2318" s="116">
        <v>3951.55</v>
      </c>
      <c r="F2318" s="116">
        <v>3972.7</v>
      </c>
      <c r="G2318">
        <v>25099</v>
      </c>
      <c r="H2318" s="116"/>
      <c r="I2318" s="116"/>
      <c r="L2318" s="170">
        <v>45420</v>
      </c>
      <c r="M2318" s="116">
        <v>3976.95</v>
      </c>
      <c r="N2318" s="116">
        <v>3984.3</v>
      </c>
      <c r="O2318" s="116">
        <v>3938.6</v>
      </c>
      <c r="P2318" s="116">
        <v>3961</v>
      </c>
      <c r="Q2318" s="116">
        <v>3976.95</v>
      </c>
      <c r="R2318">
        <v>1247685</v>
      </c>
    </row>
    <row r="2319" spans="1:18" x14ac:dyDescent="0.25">
      <c r="A2319" s="170">
        <v>45421</v>
      </c>
      <c r="B2319" s="116">
        <v>3970</v>
      </c>
      <c r="C2319" s="116">
        <v>3960.05</v>
      </c>
      <c r="D2319" s="116">
        <v>3911.05</v>
      </c>
      <c r="E2319" s="116">
        <v>3959.35</v>
      </c>
      <c r="F2319" s="116">
        <v>3960.05</v>
      </c>
      <c r="G2319">
        <v>24876</v>
      </c>
      <c r="H2319" s="116"/>
      <c r="I2319" s="116"/>
      <c r="L2319" s="170">
        <v>45421</v>
      </c>
      <c r="M2319" s="116">
        <v>3960.2</v>
      </c>
      <c r="N2319" s="116">
        <v>3971</v>
      </c>
      <c r="O2319" s="116">
        <v>3910.05</v>
      </c>
      <c r="P2319" s="116">
        <v>3962</v>
      </c>
      <c r="Q2319" s="116">
        <v>3960.2</v>
      </c>
      <c r="R2319">
        <v>1726486</v>
      </c>
    </row>
    <row r="2320" spans="1:18" x14ac:dyDescent="0.25">
      <c r="A2320" s="170">
        <v>45422</v>
      </c>
      <c r="B2320" s="116">
        <v>3973.8</v>
      </c>
      <c r="C2320" s="116">
        <v>3895.85</v>
      </c>
      <c r="D2320" s="116">
        <v>3884.65</v>
      </c>
      <c r="E2320" s="116">
        <v>3965</v>
      </c>
      <c r="F2320" s="116">
        <v>3895.85</v>
      </c>
      <c r="G2320">
        <v>119844</v>
      </c>
      <c r="H2320" s="116"/>
      <c r="I2320" s="116"/>
      <c r="L2320" s="170">
        <v>45422</v>
      </c>
      <c r="M2320" s="116">
        <v>3893.9</v>
      </c>
      <c r="N2320" s="116">
        <v>3973.6</v>
      </c>
      <c r="O2320" s="116">
        <v>3885.05</v>
      </c>
      <c r="P2320" s="116">
        <v>3962.6</v>
      </c>
      <c r="Q2320" s="116">
        <v>3893.9</v>
      </c>
      <c r="R2320">
        <v>1672489</v>
      </c>
    </row>
    <row r="2321" spans="1:18" x14ac:dyDescent="0.25">
      <c r="A2321" s="170">
        <v>45425</v>
      </c>
      <c r="B2321" s="116">
        <v>3955</v>
      </c>
      <c r="C2321" s="116">
        <v>3946.8</v>
      </c>
      <c r="D2321" s="116">
        <v>3869.65</v>
      </c>
      <c r="E2321" s="116">
        <v>3888</v>
      </c>
      <c r="F2321" s="116">
        <v>3946.8</v>
      </c>
      <c r="G2321">
        <v>68499</v>
      </c>
      <c r="H2321" s="116"/>
      <c r="I2321" s="116"/>
      <c r="L2321" s="170">
        <v>45425</v>
      </c>
      <c r="M2321" s="116">
        <v>3947.8</v>
      </c>
      <c r="N2321" s="116">
        <v>3955</v>
      </c>
      <c r="O2321" s="116">
        <v>3870</v>
      </c>
      <c r="P2321" s="116">
        <v>3884.5</v>
      </c>
      <c r="Q2321" s="116">
        <v>3947.8</v>
      </c>
      <c r="R2321">
        <v>931326</v>
      </c>
    </row>
    <row r="2322" spans="1:18" x14ac:dyDescent="0.25">
      <c r="A2322" s="170">
        <v>45426</v>
      </c>
      <c r="B2322" s="116">
        <v>3945.2</v>
      </c>
      <c r="C2322" s="116">
        <v>3901.95</v>
      </c>
      <c r="D2322" s="116">
        <v>3893.8</v>
      </c>
      <c r="E2322" s="116">
        <v>3926.15</v>
      </c>
      <c r="F2322" s="116">
        <v>3901.95</v>
      </c>
      <c r="G2322">
        <v>19294</v>
      </c>
      <c r="H2322" s="116"/>
      <c r="I2322" s="116"/>
      <c r="L2322" s="170">
        <v>45426</v>
      </c>
      <c r="M2322" s="116">
        <v>3901.2</v>
      </c>
      <c r="N2322" s="116">
        <v>3945.8</v>
      </c>
      <c r="O2322" s="116">
        <v>3892.9</v>
      </c>
      <c r="P2322" s="116">
        <v>3936</v>
      </c>
      <c r="Q2322" s="116">
        <v>3901.2</v>
      </c>
      <c r="R2322">
        <v>1058317</v>
      </c>
    </row>
    <row r="2323" spans="1:18" x14ac:dyDescent="0.25">
      <c r="A2323" s="170">
        <v>45427</v>
      </c>
      <c r="B2323" s="116">
        <v>3930.2</v>
      </c>
      <c r="C2323" s="116">
        <v>3880.35</v>
      </c>
      <c r="D2323" s="116">
        <v>3875.05</v>
      </c>
      <c r="E2323" s="116">
        <v>3901.95</v>
      </c>
      <c r="F2323" s="116">
        <v>3880.35</v>
      </c>
      <c r="G2323">
        <v>71057</v>
      </c>
      <c r="H2323" s="116"/>
      <c r="I2323" s="116"/>
      <c r="L2323" s="170">
        <v>45427</v>
      </c>
      <c r="M2323" s="116">
        <v>3880.4</v>
      </c>
      <c r="N2323" s="116">
        <v>3926.95</v>
      </c>
      <c r="O2323" s="116">
        <v>3875.5</v>
      </c>
      <c r="P2323" s="116">
        <v>3904.5</v>
      </c>
      <c r="Q2323" s="116">
        <v>3880.4</v>
      </c>
      <c r="R2323">
        <v>1115021</v>
      </c>
    </row>
    <row r="2324" spans="1:18" x14ac:dyDescent="0.25">
      <c r="A2324" s="170">
        <v>45428</v>
      </c>
      <c r="B2324" s="116">
        <v>3910</v>
      </c>
      <c r="C2324" s="116">
        <v>3900.3</v>
      </c>
      <c r="D2324" s="116">
        <v>3844.5</v>
      </c>
      <c r="E2324" s="116">
        <v>3888.75</v>
      </c>
      <c r="F2324" s="116">
        <v>3900.3</v>
      </c>
      <c r="G2324">
        <v>33443</v>
      </c>
      <c r="H2324" s="116"/>
      <c r="I2324" s="116"/>
      <c r="L2324" s="170">
        <v>45428</v>
      </c>
      <c r="M2324" s="116">
        <v>3900.95</v>
      </c>
      <c r="N2324" s="116">
        <v>3909.5</v>
      </c>
      <c r="O2324" s="116">
        <v>3843.5</v>
      </c>
      <c r="P2324" s="116">
        <v>3891.1</v>
      </c>
      <c r="Q2324" s="116">
        <v>3900.95</v>
      </c>
      <c r="R2324">
        <v>2599399</v>
      </c>
    </row>
    <row r="2325" spans="1:18" x14ac:dyDescent="0.25">
      <c r="A2325" s="170">
        <v>45429</v>
      </c>
      <c r="B2325" s="116">
        <v>3920</v>
      </c>
      <c r="C2325" s="116">
        <v>3833.95</v>
      </c>
      <c r="D2325" s="116">
        <v>3829.7</v>
      </c>
      <c r="E2325" s="116">
        <v>3915.05</v>
      </c>
      <c r="F2325" s="116">
        <v>3833.95</v>
      </c>
      <c r="G2325">
        <v>223617</v>
      </c>
      <c r="H2325" s="116"/>
      <c r="I2325" s="116"/>
      <c r="L2325" s="170">
        <v>45429</v>
      </c>
      <c r="M2325" s="116">
        <v>3834.1</v>
      </c>
      <c r="N2325" s="116">
        <v>3920</v>
      </c>
      <c r="O2325" s="116">
        <v>3830</v>
      </c>
      <c r="P2325" s="116">
        <v>3919</v>
      </c>
      <c r="Q2325" s="116">
        <v>3834.1</v>
      </c>
      <c r="R2325">
        <v>2765804</v>
      </c>
    </row>
    <row r="2326" spans="1:18" x14ac:dyDescent="0.25">
      <c r="A2326" s="170">
        <v>45430</v>
      </c>
      <c r="B2326" s="116">
        <v>3860</v>
      </c>
      <c r="C2326" s="116">
        <v>3850</v>
      </c>
      <c r="D2326" s="116">
        <v>3840</v>
      </c>
      <c r="E2326" s="116">
        <v>3843.15</v>
      </c>
      <c r="F2326" s="116">
        <v>3850</v>
      </c>
      <c r="G2326">
        <v>4203</v>
      </c>
      <c r="H2326" s="116"/>
      <c r="I2326" s="116"/>
      <c r="L2326" s="170">
        <v>45430</v>
      </c>
      <c r="M2326" s="116">
        <v>3851.45</v>
      </c>
      <c r="N2326" s="116">
        <v>3861.9</v>
      </c>
      <c r="O2326" s="116">
        <v>3840</v>
      </c>
      <c r="P2326" s="116">
        <v>3847</v>
      </c>
      <c r="Q2326" s="116">
        <v>3851.45</v>
      </c>
      <c r="R2326">
        <v>91066</v>
      </c>
    </row>
    <row r="2327" spans="1:18" x14ac:dyDescent="0.25">
      <c r="A2327" s="170">
        <v>45433</v>
      </c>
      <c r="B2327" s="116">
        <v>3844.95</v>
      </c>
      <c r="C2327" s="116">
        <v>3821.65</v>
      </c>
      <c r="D2327" s="116">
        <v>3810.1</v>
      </c>
      <c r="E2327" s="116">
        <v>3844.95</v>
      </c>
      <c r="F2327" s="116">
        <v>3821.65</v>
      </c>
      <c r="G2327">
        <v>90317</v>
      </c>
      <c r="H2327" s="116"/>
      <c r="I2327" s="116"/>
      <c r="L2327" s="170">
        <v>45433</v>
      </c>
      <c r="M2327" s="116">
        <v>3820.2</v>
      </c>
      <c r="N2327" s="116">
        <v>3844.75</v>
      </c>
      <c r="O2327" s="116">
        <v>3810.05</v>
      </c>
      <c r="P2327" s="116">
        <v>3830.6</v>
      </c>
      <c r="Q2327" s="116">
        <v>3820.2</v>
      </c>
      <c r="R2327">
        <v>1908117</v>
      </c>
    </row>
    <row r="2328" spans="1:18" x14ac:dyDescent="0.25">
      <c r="A2328" s="170">
        <v>45434</v>
      </c>
      <c r="B2328" s="116">
        <v>3841.45</v>
      </c>
      <c r="C2328" s="116">
        <v>3831.35</v>
      </c>
      <c r="D2328" s="116">
        <v>3816</v>
      </c>
      <c r="E2328" s="116">
        <v>3840</v>
      </c>
      <c r="F2328" s="116">
        <v>3831.35</v>
      </c>
      <c r="G2328">
        <v>88374</v>
      </c>
      <c r="H2328" s="116"/>
      <c r="I2328" s="116"/>
      <c r="L2328" s="170">
        <v>45434</v>
      </c>
      <c r="M2328" s="116">
        <v>3832</v>
      </c>
      <c r="N2328" s="116">
        <v>3841.25</v>
      </c>
      <c r="O2328" s="116">
        <v>3817.55</v>
      </c>
      <c r="P2328" s="116">
        <v>3835</v>
      </c>
      <c r="Q2328" s="116">
        <v>3832</v>
      </c>
      <c r="R2328">
        <v>1311168</v>
      </c>
    </row>
    <row r="2329" spans="1:18" x14ac:dyDescent="0.25">
      <c r="A2329" s="170">
        <v>45435</v>
      </c>
      <c r="B2329" s="116">
        <v>3904.75</v>
      </c>
      <c r="C2329" s="116">
        <v>3895.1</v>
      </c>
      <c r="D2329" s="116">
        <v>3827.7</v>
      </c>
      <c r="E2329" s="116">
        <v>3835.8</v>
      </c>
      <c r="F2329" s="116">
        <v>3895.1</v>
      </c>
      <c r="G2329">
        <v>39379</v>
      </c>
      <c r="H2329" s="116"/>
      <c r="I2329" s="116"/>
      <c r="L2329" s="170">
        <v>45435</v>
      </c>
      <c r="M2329" s="116">
        <v>3893.45</v>
      </c>
      <c r="N2329" s="116">
        <v>3905</v>
      </c>
      <c r="O2329" s="116">
        <v>3825.5</v>
      </c>
      <c r="P2329" s="116">
        <v>3840.95</v>
      </c>
      <c r="Q2329" s="116">
        <v>3893.45</v>
      </c>
      <c r="R2329">
        <v>2095742</v>
      </c>
    </row>
    <row r="2330" spans="1:18" x14ac:dyDescent="0.25">
      <c r="A2330" s="170">
        <v>45436</v>
      </c>
      <c r="B2330" s="116">
        <v>3885</v>
      </c>
      <c r="C2330" s="116">
        <v>3850.75</v>
      </c>
      <c r="D2330" s="116">
        <v>3842.45</v>
      </c>
      <c r="E2330" s="116">
        <v>3870.15</v>
      </c>
      <c r="F2330" s="116">
        <v>3850.75</v>
      </c>
      <c r="G2330">
        <v>163855</v>
      </c>
      <c r="H2330" s="116"/>
      <c r="I2330" s="116"/>
      <c r="L2330" s="170">
        <v>45436</v>
      </c>
      <c r="M2330" s="116">
        <v>3849.5</v>
      </c>
      <c r="N2330" s="116">
        <v>3883.8</v>
      </c>
      <c r="O2330" s="116">
        <v>3844.3</v>
      </c>
      <c r="P2330" s="116">
        <v>3878.25</v>
      </c>
      <c r="Q2330" s="116">
        <v>3849.5</v>
      </c>
      <c r="R2330">
        <v>1309452</v>
      </c>
    </row>
    <row r="2331" spans="1:18" x14ac:dyDescent="0.25">
      <c r="A2331" s="170">
        <v>45439</v>
      </c>
      <c r="B2331" s="116">
        <v>3907</v>
      </c>
      <c r="C2331" s="116">
        <v>3846.55</v>
      </c>
      <c r="D2331" s="116">
        <v>3840</v>
      </c>
      <c r="E2331" s="116">
        <v>3852.65</v>
      </c>
      <c r="F2331" s="116">
        <v>3846.55</v>
      </c>
      <c r="G2331">
        <v>99435</v>
      </c>
      <c r="H2331" s="116"/>
      <c r="I2331" s="116"/>
      <c r="L2331" s="170">
        <v>45439</v>
      </c>
      <c r="M2331" s="116">
        <v>3847.05</v>
      </c>
      <c r="N2331" s="116">
        <v>3908.35</v>
      </c>
      <c r="O2331" s="116">
        <v>3841.35</v>
      </c>
      <c r="P2331" s="116">
        <v>3855</v>
      </c>
      <c r="Q2331" s="116">
        <v>3847.05</v>
      </c>
      <c r="R2331">
        <v>1841538</v>
      </c>
    </row>
    <row r="2332" spans="1:18" x14ac:dyDescent="0.25">
      <c r="A2332" s="170">
        <v>45440</v>
      </c>
      <c r="B2332" s="116">
        <v>3883.95</v>
      </c>
      <c r="C2332" s="116">
        <v>3840</v>
      </c>
      <c r="D2332" s="116">
        <v>3831.55</v>
      </c>
      <c r="E2332" s="116">
        <v>3883.95</v>
      </c>
      <c r="F2332" s="116">
        <v>3840</v>
      </c>
      <c r="G2332">
        <v>27095</v>
      </c>
      <c r="H2332" s="116"/>
      <c r="I2332" s="116"/>
      <c r="L2332" s="170">
        <v>45440</v>
      </c>
      <c r="M2332" s="116">
        <v>3839.9</v>
      </c>
      <c r="N2332" s="116">
        <v>3870</v>
      </c>
      <c r="O2332" s="116">
        <v>3830</v>
      </c>
      <c r="P2332" s="116">
        <v>3858</v>
      </c>
      <c r="Q2332" s="116">
        <v>3839.9</v>
      </c>
      <c r="R2332">
        <v>1801993</v>
      </c>
    </row>
    <row r="2333" spans="1:18" x14ac:dyDescent="0.25">
      <c r="A2333" s="170">
        <v>45441</v>
      </c>
      <c r="B2333" s="116">
        <v>3844.25</v>
      </c>
      <c r="C2333" s="116">
        <v>3805.45</v>
      </c>
      <c r="D2333" s="116">
        <v>3800.55</v>
      </c>
      <c r="E2333" s="116">
        <v>3842</v>
      </c>
      <c r="F2333" s="116">
        <v>3805.45</v>
      </c>
      <c r="G2333">
        <v>93331</v>
      </c>
      <c r="H2333" s="116"/>
      <c r="I2333" s="116"/>
      <c r="L2333" s="170">
        <v>45441</v>
      </c>
      <c r="M2333" s="116">
        <v>3803.65</v>
      </c>
      <c r="N2333" s="116">
        <v>3848.9</v>
      </c>
      <c r="O2333" s="116">
        <v>3800</v>
      </c>
      <c r="P2333" s="116">
        <v>3848.9</v>
      </c>
      <c r="Q2333" s="116">
        <v>3803.65</v>
      </c>
      <c r="R2333">
        <v>1568095</v>
      </c>
    </row>
    <row r="2334" spans="1:18" x14ac:dyDescent="0.25">
      <c r="A2334" s="170">
        <v>45442</v>
      </c>
      <c r="B2334" s="116">
        <v>3794.7</v>
      </c>
      <c r="C2334" s="116">
        <v>3735.8</v>
      </c>
      <c r="D2334" s="116">
        <v>3717</v>
      </c>
      <c r="E2334" s="116">
        <v>3781</v>
      </c>
      <c r="F2334" s="116">
        <v>3735.8</v>
      </c>
      <c r="G2334">
        <v>169744</v>
      </c>
      <c r="H2334" s="116"/>
      <c r="I2334" s="116"/>
      <c r="L2334" s="170">
        <v>45442</v>
      </c>
      <c r="M2334" s="116">
        <v>3736.1</v>
      </c>
      <c r="N2334" s="116">
        <v>3794.4</v>
      </c>
      <c r="O2334" s="116">
        <v>3715.45</v>
      </c>
      <c r="P2334" s="116">
        <v>3777</v>
      </c>
      <c r="Q2334" s="116">
        <v>3736.1</v>
      </c>
      <c r="R2334">
        <v>2919230</v>
      </c>
    </row>
    <row r="2335" spans="1:18" x14ac:dyDescent="0.25">
      <c r="A2335" s="170">
        <v>45443</v>
      </c>
      <c r="B2335" s="116">
        <v>3749.5</v>
      </c>
      <c r="C2335" s="116">
        <v>3669.5</v>
      </c>
      <c r="D2335" s="116">
        <v>3655</v>
      </c>
      <c r="E2335" s="116">
        <v>3749.5</v>
      </c>
      <c r="F2335" s="116">
        <v>3669.5</v>
      </c>
      <c r="G2335">
        <v>350824</v>
      </c>
      <c r="H2335" s="116"/>
      <c r="I2335" s="116"/>
      <c r="L2335" s="170">
        <v>45443</v>
      </c>
      <c r="M2335" s="116">
        <v>3670.95</v>
      </c>
      <c r="N2335" s="116">
        <v>3749.8</v>
      </c>
      <c r="O2335" s="116">
        <v>3653.75</v>
      </c>
      <c r="P2335" s="116">
        <v>3740</v>
      </c>
      <c r="Q2335" s="116">
        <v>3670.95</v>
      </c>
      <c r="R2335">
        <v>10956800</v>
      </c>
    </row>
    <row r="2336" spans="1:18" x14ac:dyDescent="0.25">
      <c r="A2336" s="170">
        <v>45446</v>
      </c>
      <c r="B2336" s="116">
        <v>3774.9</v>
      </c>
      <c r="C2336" s="116">
        <v>3707.35</v>
      </c>
      <c r="D2336" s="116">
        <v>3696.1</v>
      </c>
      <c r="E2336" s="116">
        <v>3774.9</v>
      </c>
      <c r="F2336" s="116">
        <v>3707.35</v>
      </c>
      <c r="G2336">
        <v>51497</v>
      </c>
      <c r="H2336" s="116"/>
      <c r="I2336" s="116"/>
      <c r="L2336" s="170">
        <v>45446</v>
      </c>
      <c r="M2336" s="116">
        <v>3702.85</v>
      </c>
      <c r="N2336" s="116">
        <v>3751.55</v>
      </c>
      <c r="O2336" s="116">
        <v>3696</v>
      </c>
      <c r="P2336" s="116">
        <v>3732.8</v>
      </c>
      <c r="Q2336" s="116">
        <v>3702.85</v>
      </c>
      <c r="R2336">
        <v>2156773</v>
      </c>
    </row>
    <row r="2337" spans="1:18" x14ac:dyDescent="0.25">
      <c r="A2337" s="170">
        <v>45447</v>
      </c>
      <c r="B2337" s="116">
        <v>3743.85</v>
      </c>
      <c r="C2337" s="116">
        <v>3715.8</v>
      </c>
      <c r="D2337" s="116">
        <v>3593.3</v>
      </c>
      <c r="E2337" s="116">
        <v>3719.95</v>
      </c>
      <c r="F2337" s="116">
        <v>3715.8</v>
      </c>
      <c r="G2337">
        <v>200551</v>
      </c>
      <c r="H2337" s="116"/>
      <c r="I2337" s="116"/>
      <c r="L2337" s="170">
        <v>45447</v>
      </c>
      <c r="M2337" s="116">
        <v>3715</v>
      </c>
      <c r="N2337" s="116">
        <v>3745</v>
      </c>
      <c r="O2337" s="116">
        <v>3591.5</v>
      </c>
      <c r="P2337" s="116">
        <v>3700</v>
      </c>
      <c r="Q2337" s="116">
        <v>3715</v>
      </c>
      <c r="R2337">
        <v>3395997</v>
      </c>
    </row>
    <row r="2338" spans="1:18" x14ac:dyDescent="0.25">
      <c r="A2338" s="170">
        <v>45448</v>
      </c>
      <c r="B2338" s="116">
        <v>3783.6</v>
      </c>
      <c r="C2338" s="116">
        <v>3746.6</v>
      </c>
      <c r="D2338" s="116">
        <v>3700</v>
      </c>
      <c r="E2338" s="116">
        <v>3715</v>
      </c>
      <c r="F2338" s="116">
        <v>3746.6</v>
      </c>
      <c r="G2338">
        <v>104806</v>
      </c>
      <c r="H2338" s="116"/>
      <c r="I2338" s="116"/>
      <c r="L2338" s="170">
        <v>45448</v>
      </c>
      <c r="M2338" s="116">
        <v>3746.45</v>
      </c>
      <c r="N2338" s="116">
        <v>3783.8</v>
      </c>
      <c r="O2338" s="116">
        <v>3700</v>
      </c>
      <c r="P2338" s="116">
        <v>3716</v>
      </c>
      <c r="Q2338" s="116">
        <v>3746.45</v>
      </c>
      <c r="R2338">
        <v>2799670</v>
      </c>
    </row>
    <row r="2339" spans="1:18" x14ac:dyDescent="0.25">
      <c r="A2339" s="170">
        <v>45449</v>
      </c>
      <c r="B2339" s="116">
        <v>3839</v>
      </c>
      <c r="C2339" s="116">
        <v>3830.7</v>
      </c>
      <c r="D2339" s="116">
        <v>3742</v>
      </c>
      <c r="E2339" s="116">
        <v>3776</v>
      </c>
      <c r="F2339" s="116">
        <v>3830.7</v>
      </c>
      <c r="G2339">
        <v>101962</v>
      </c>
      <c r="H2339" s="116"/>
      <c r="I2339" s="116"/>
      <c r="L2339" s="170">
        <v>45449</v>
      </c>
      <c r="M2339" s="116">
        <v>3830.4</v>
      </c>
      <c r="N2339" s="116">
        <v>3839.9</v>
      </c>
      <c r="O2339" s="116">
        <v>3741.5</v>
      </c>
      <c r="P2339" s="116">
        <v>3781</v>
      </c>
      <c r="Q2339" s="116">
        <v>3830.4</v>
      </c>
      <c r="R2339">
        <v>4328036</v>
      </c>
    </row>
    <row r="2340" spans="1:18" x14ac:dyDescent="0.25">
      <c r="A2340" s="170">
        <v>45450</v>
      </c>
      <c r="B2340" s="116">
        <v>3915</v>
      </c>
      <c r="C2340" s="116">
        <v>3892.9</v>
      </c>
      <c r="D2340" s="116">
        <v>3835</v>
      </c>
      <c r="E2340" s="116">
        <v>3835</v>
      </c>
      <c r="F2340" s="116">
        <v>3892.9</v>
      </c>
      <c r="G2340">
        <v>429643</v>
      </c>
      <c r="H2340" s="116"/>
      <c r="I2340" s="116"/>
      <c r="L2340" s="170">
        <v>45450</v>
      </c>
      <c r="M2340" s="116">
        <v>3893.95</v>
      </c>
      <c r="N2340" s="116">
        <v>3915</v>
      </c>
      <c r="O2340" s="116">
        <v>3837.3</v>
      </c>
      <c r="P2340" s="116">
        <v>3837.3</v>
      </c>
      <c r="Q2340" s="116">
        <v>3893.95</v>
      </c>
      <c r="R2340">
        <v>4552445</v>
      </c>
    </row>
    <row r="2341" spans="1:18" x14ac:dyDescent="0.25">
      <c r="A2341" s="170">
        <v>45453</v>
      </c>
      <c r="B2341" s="116">
        <v>3904.95</v>
      </c>
      <c r="C2341" s="116">
        <v>3856.3</v>
      </c>
      <c r="D2341" s="116">
        <v>3842</v>
      </c>
      <c r="E2341" s="116">
        <v>3904.95</v>
      </c>
      <c r="F2341" s="116">
        <v>3856.3</v>
      </c>
      <c r="G2341">
        <v>36808</v>
      </c>
      <c r="H2341" s="116"/>
      <c r="I2341" s="116"/>
      <c r="L2341" s="170">
        <v>45453</v>
      </c>
      <c r="M2341" s="116">
        <v>3858.7</v>
      </c>
      <c r="N2341" s="116">
        <v>3905.9</v>
      </c>
      <c r="O2341" s="116">
        <v>3841.9</v>
      </c>
      <c r="P2341" s="116">
        <v>3895</v>
      </c>
      <c r="Q2341" s="116">
        <v>3858.7</v>
      </c>
      <c r="R2341">
        <v>1734661</v>
      </c>
    </row>
    <row r="2342" spans="1:18" x14ac:dyDescent="0.25">
      <c r="A2342" s="170">
        <v>45454</v>
      </c>
      <c r="B2342" s="116">
        <v>3878</v>
      </c>
      <c r="C2342" s="116">
        <v>3852.05</v>
      </c>
      <c r="D2342" s="116">
        <v>3842</v>
      </c>
      <c r="E2342" s="116">
        <v>3861.95</v>
      </c>
      <c r="F2342" s="116">
        <v>3852.05</v>
      </c>
      <c r="G2342">
        <v>27087</v>
      </c>
      <c r="H2342" s="116"/>
      <c r="I2342" s="116"/>
      <c r="L2342" s="170">
        <v>45454</v>
      </c>
      <c r="M2342" s="116">
        <v>3852.1</v>
      </c>
      <c r="N2342" s="116">
        <v>3879.95</v>
      </c>
      <c r="O2342" s="116">
        <v>3841</v>
      </c>
      <c r="P2342" s="116">
        <v>3845</v>
      </c>
      <c r="Q2342" s="116">
        <v>3852.1</v>
      </c>
      <c r="R2342">
        <v>1419898</v>
      </c>
    </row>
    <row r="2343" spans="1:18" x14ac:dyDescent="0.25">
      <c r="A2343" s="170">
        <v>45455</v>
      </c>
      <c r="B2343" s="116">
        <v>3893.3</v>
      </c>
      <c r="C2343" s="116">
        <v>3832.4</v>
      </c>
      <c r="D2343" s="116">
        <v>3827.2</v>
      </c>
      <c r="E2343" s="116">
        <v>3879.65</v>
      </c>
      <c r="F2343" s="116">
        <v>3832.4</v>
      </c>
      <c r="G2343">
        <v>23859</v>
      </c>
      <c r="H2343" s="116"/>
      <c r="I2343" s="116"/>
      <c r="L2343" s="170">
        <v>45455</v>
      </c>
      <c r="M2343" s="116">
        <v>3831.65</v>
      </c>
      <c r="N2343" s="116">
        <v>3893.5</v>
      </c>
      <c r="O2343" s="116">
        <v>3827.45</v>
      </c>
      <c r="P2343" s="116">
        <v>3874.4</v>
      </c>
      <c r="Q2343" s="116">
        <v>3831.65</v>
      </c>
      <c r="R2343">
        <v>2177001</v>
      </c>
    </row>
    <row r="2344" spans="1:18" x14ac:dyDescent="0.25">
      <c r="A2344" s="170">
        <v>45456</v>
      </c>
      <c r="B2344" s="116">
        <v>3889.95</v>
      </c>
      <c r="C2344" s="116">
        <v>3877.5</v>
      </c>
      <c r="D2344" s="116">
        <v>3853.75</v>
      </c>
      <c r="E2344" s="116">
        <v>3859.25</v>
      </c>
      <c r="F2344" s="116">
        <v>3877.5</v>
      </c>
      <c r="G2344">
        <v>79595</v>
      </c>
      <c r="H2344" s="116"/>
      <c r="I2344" s="116"/>
      <c r="L2344" s="170">
        <v>45456</v>
      </c>
      <c r="M2344" s="116">
        <v>3878.15</v>
      </c>
      <c r="N2344" s="116">
        <v>3890</v>
      </c>
      <c r="O2344" s="116">
        <v>3852</v>
      </c>
      <c r="P2344" s="116">
        <v>3856.8</v>
      </c>
      <c r="Q2344" s="116">
        <v>3878.15</v>
      </c>
      <c r="R2344">
        <v>1932323</v>
      </c>
    </row>
    <row r="2345" spans="1:18" x14ac:dyDescent="0.25">
      <c r="A2345" s="170">
        <v>45457</v>
      </c>
      <c r="B2345" s="116">
        <v>3887</v>
      </c>
      <c r="C2345" s="116">
        <v>3831.95</v>
      </c>
      <c r="D2345" s="116">
        <v>3826.45</v>
      </c>
      <c r="E2345" s="116">
        <v>3885.3</v>
      </c>
      <c r="F2345" s="116">
        <v>3831.95</v>
      </c>
      <c r="G2345">
        <v>66905</v>
      </c>
      <c r="H2345" s="116"/>
      <c r="I2345" s="116"/>
      <c r="L2345" s="170">
        <v>45457</v>
      </c>
      <c r="M2345" s="116">
        <v>3832.05</v>
      </c>
      <c r="N2345" s="116">
        <v>3889</v>
      </c>
      <c r="O2345" s="116">
        <v>3828</v>
      </c>
      <c r="P2345" s="116">
        <v>3889</v>
      </c>
      <c r="Q2345" s="116">
        <v>3832.05</v>
      </c>
      <c r="R2345">
        <v>1860730</v>
      </c>
    </row>
    <row r="2346" spans="1:18" x14ac:dyDescent="0.25">
      <c r="A2346" s="170">
        <v>45461</v>
      </c>
      <c r="B2346" s="116">
        <v>3842</v>
      </c>
      <c r="C2346" s="116">
        <v>3814.75</v>
      </c>
      <c r="D2346" s="116">
        <v>3797.35</v>
      </c>
      <c r="E2346" s="116">
        <v>3822.15</v>
      </c>
      <c r="F2346" s="116">
        <v>3814.75</v>
      </c>
      <c r="G2346">
        <v>40767</v>
      </c>
      <c r="H2346" s="116"/>
      <c r="I2346" s="116"/>
      <c r="L2346" s="170">
        <v>45461</v>
      </c>
      <c r="M2346" s="116">
        <v>3815.1</v>
      </c>
      <c r="N2346" s="116">
        <v>3842</v>
      </c>
      <c r="O2346" s="116">
        <v>3795.05</v>
      </c>
      <c r="P2346" s="116">
        <v>3826.05</v>
      </c>
      <c r="Q2346" s="116">
        <v>3815.1</v>
      </c>
      <c r="R2346">
        <v>1774045</v>
      </c>
    </row>
    <row r="2347" spans="1:18" x14ac:dyDescent="0.25">
      <c r="A2347" s="170">
        <v>45462</v>
      </c>
      <c r="B2347" s="116">
        <v>3832.55</v>
      </c>
      <c r="C2347" s="116">
        <v>3801.1</v>
      </c>
      <c r="D2347" s="116">
        <v>3794</v>
      </c>
      <c r="E2347" s="116">
        <v>3821.5</v>
      </c>
      <c r="F2347" s="116">
        <v>3801.1</v>
      </c>
      <c r="G2347">
        <v>29711</v>
      </c>
      <c r="H2347" s="116"/>
      <c r="I2347" s="116"/>
      <c r="L2347" s="170">
        <v>45462</v>
      </c>
      <c r="M2347" s="116">
        <v>3801.7</v>
      </c>
      <c r="N2347" s="116">
        <v>3833.85</v>
      </c>
      <c r="O2347" s="116">
        <v>3792.95</v>
      </c>
      <c r="P2347" s="116">
        <v>3827.65</v>
      </c>
      <c r="Q2347" s="116">
        <v>3801.7</v>
      </c>
      <c r="R2347">
        <v>1509050</v>
      </c>
    </row>
    <row r="2348" spans="1:18" x14ac:dyDescent="0.25">
      <c r="A2348" s="170">
        <v>45463</v>
      </c>
      <c r="B2348" s="116">
        <v>3809.35</v>
      </c>
      <c r="C2348" s="116">
        <v>3786.6</v>
      </c>
      <c r="D2348" s="116">
        <v>3780.1</v>
      </c>
      <c r="E2348" s="116">
        <v>3801</v>
      </c>
      <c r="F2348" s="116">
        <v>3786.6</v>
      </c>
      <c r="G2348">
        <v>29584</v>
      </c>
      <c r="H2348" s="116"/>
      <c r="I2348" s="116"/>
      <c r="L2348" s="170">
        <v>45463</v>
      </c>
      <c r="M2348" s="116">
        <v>3787.25</v>
      </c>
      <c r="N2348" s="116">
        <v>3809.95</v>
      </c>
      <c r="O2348" s="116">
        <v>3780.05</v>
      </c>
      <c r="P2348" s="116">
        <v>3796</v>
      </c>
      <c r="Q2348" s="116">
        <v>3787.25</v>
      </c>
      <c r="R2348">
        <v>2846526</v>
      </c>
    </row>
    <row r="2349" spans="1:18" x14ac:dyDescent="0.25">
      <c r="A2349" s="170">
        <v>45464</v>
      </c>
      <c r="B2349" s="116">
        <v>3877.1</v>
      </c>
      <c r="C2349" s="116">
        <v>3808.95</v>
      </c>
      <c r="D2349" s="116">
        <v>3797.3</v>
      </c>
      <c r="E2349" s="116">
        <v>3848.95</v>
      </c>
      <c r="F2349" s="116">
        <v>3808.95</v>
      </c>
      <c r="G2349">
        <v>345408</v>
      </c>
      <c r="H2349" s="116"/>
      <c r="I2349" s="116"/>
      <c r="L2349" s="170">
        <v>45464</v>
      </c>
      <c r="M2349" s="116">
        <v>3810.75</v>
      </c>
      <c r="N2349" s="116">
        <v>3877.8</v>
      </c>
      <c r="O2349" s="116">
        <v>3798.05</v>
      </c>
      <c r="P2349" s="116">
        <v>3827</v>
      </c>
      <c r="Q2349" s="116">
        <v>3810.75</v>
      </c>
      <c r="R2349">
        <v>4642195</v>
      </c>
    </row>
    <row r="2350" spans="1:18" x14ac:dyDescent="0.25">
      <c r="A2350" s="170">
        <v>45467</v>
      </c>
      <c r="B2350" s="116">
        <v>3856</v>
      </c>
      <c r="C2350" s="116">
        <v>3817.3</v>
      </c>
      <c r="D2350" s="116">
        <v>3798</v>
      </c>
      <c r="E2350" s="116">
        <v>3810.75</v>
      </c>
      <c r="F2350" s="116">
        <v>3817.3</v>
      </c>
      <c r="G2350">
        <v>31624</v>
      </c>
      <c r="H2350" s="116"/>
      <c r="I2350" s="116"/>
      <c r="L2350" s="170">
        <v>45467</v>
      </c>
      <c r="M2350" s="116">
        <v>3816.8</v>
      </c>
      <c r="N2350" s="116">
        <v>3857</v>
      </c>
      <c r="O2350" s="116">
        <v>3791.3</v>
      </c>
      <c r="P2350" s="116">
        <v>3808.75</v>
      </c>
      <c r="Q2350" s="116">
        <v>3816.8</v>
      </c>
      <c r="R2350">
        <v>1702154</v>
      </c>
    </row>
    <row r="2351" spans="1:18" x14ac:dyDescent="0.25">
      <c r="A2351" s="170">
        <v>45468</v>
      </c>
      <c r="B2351" s="116">
        <v>3846.9</v>
      </c>
      <c r="C2351" s="116">
        <v>3839.1</v>
      </c>
      <c r="D2351" s="116">
        <v>3793.7</v>
      </c>
      <c r="E2351" s="116">
        <v>3820</v>
      </c>
      <c r="F2351" s="116">
        <v>3839.1</v>
      </c>
      <c r="G2351">
        <v>52324</v>
      </c>
      <c r="H2351" s="116"/>
      <c r="I2351" s="116"/>
      <c r="L2351" s="170">
        <v>45468</v>
      </c>
      <c r="M2351" s="116">
        <v>3838.45</v>
      </c>
      <c r="N2351" s="116">
        <v>3847.65</v>
      </c>
      <c r="O2351" s="116">
        <v>3792.9</v>
      </c>
      <c r="P2351" s="116">
        <v>3817</v>
      </c>
      <c r="Q2351" s="116">
        <v>3838.45</v>
      </c>
      <c r="R2351">
        <v>1338808</v>
      </c>
    </row>
    <row r="2352" spans="1:18" x14ac:dyDescent="0.25">
      <c r="A2352" s="170">
        <v>45469</v>
      </c>
      <c r="B2352" s="116">
        <v>3865</v>
      </c>
      <c r="C2352" s="116">
        <v>3856.05</v>
      </c>
      <c r="D2352" s="116">
        <v>3840.35</v>
      </c>
      <c r="E2352" s="116">
        <v>3840.35</v>
      </c>
      <c r="F2352" s="116">
        <v>3856.05</v>
      </c>
      <c r="G2352">
        <v>81411</v>
      </c>
      <c r="H2352" s="116"/>
      <c r="I2352" s="116"/>
      <c r="L2352" s="170">
        <v>45469</v>
      </c>
      <c r="M2352" s="116">
        <v>3855.85</v>
      </c>
      <c r="N2352" s="116">
        <v>3866.95</v>
      </c>
      <c r="O2352" s="116">
        <v>3841</v>
      </c>
      <c r="P2352" s="116">
        <v>3844.5</v>
      </c>
      <c r="Q2352" s="116">
        <v>3855.85</v>
      </c>
      <c r="R2352">
        <v>1639845</v>
      </c>
    </row>
    <row r="2353" spans="1:18" x14ac:dyDescent="0.25">
      <c r="A2353" s="170">
        <v>45470</v>
      </c>
      <c r="B2353" s="116">
        <v>3940</v>
      </c>
      <c r="C2353" s="116">
        <v>3933.5</v>
      </c>
      <c r="D2353" s="116">
        <v>3819.1</v>
      </c>
      <c r="E2353" s="116">
        <v>3825</v>
      </c>
      <c r="F2353" s="116">
        <v>3933.5</v>
      </c>
      <c r="G2353">
        <v>200853</v>
      </c>
      <c r="H2353" s="116"/>
      <c r="I2353" s="116"/>
      <c r="L2353" s="170">
        <v>45470</v>
      </c>
      <c r="M2353" s="116">
        <v>3934.15</v>
      </c>
      <c r="N2353" s="116">
        <v>3942</v>
      </c>
      <c r="O2353" s="116">
        <v>3818.1</v>
      </c>
      <c r="P2353" s="116">
        <v>3831</v>
      </c>
      <c r="Q2353" s="116">
        <v>3934.15</v>
      </c>
      <c r="R2353">
        <v>4526556</v>
      </c>
    </row>
    <row r="2354" spans="1:18" x14ac:dyDescent="0.25">
      <c r="A2354" s="170">
        <v>45471</v>
      </c>
      <c r="B2354" s="116">
        <v>3959.95</v>
      </c>
      <c r="C2354" s="116">
        <v>3904.95</v>
      </c>
      <c r="D2354" s="116">
        <v>3896.4</v>
      </c>
      <c r="E2354" s="116">
        <v>3927.5</v>
      </c>
      <c r="F2354" s="116">
        <v>3904.95</v>
      </c>
      <c r="G2354">
        <v>299222</v>
      </c>
      <c r="H2354" s="116"/>
      <c r="I2354" s="116"/>
      <c r="L2354" s="170">
        <v>45471</v>
      </c>
      <c r="M2354" s="116">
        <v>3904.15</v>
      </c>
      <c r="N2354" s="116">
        <v>3960</v>
      </c>
      <c r="O2354" s="116">
        <v>3897.85</v>
      </c>
      <c r="P2354" s="116">
        <v>3917.8</v>
      </c>
      <c r="Q2354" s="116">
        <v>3904.15</v>
      </c>
      <c r="R2354">
        <v>2731571</v>
      </c>
    </row>
    <row r="2355" spans="1:18" x14ac:dyDescent="0.25">
      <c r="A2355" s="170">
        <v>45474</v>
      </c>
      <c r="B2355" s="116">
        <v>4000.95</v>
      </c>
      <c r="C2355" s="116">
        <v>3973.4</v>
      </c>
      <c r="D2355" s="116">
        <v>3886.05</v>
      </c>
      <c r="E2355" s="116">
        <v>3904</v>
      </c>
      <c r="F2355" s="116">
        <v>3973.4</v>
      </c>
      <c r="G2355">
        <v>155437</v>
      </c>
      <c r="H2355" s="116"/>
      <c r="I2355" s="116"/>
      <c r="L2355" s="170">
        <v>45474</v>
      </c>
      <c r="M2355" s="116">
        <v>3978.2</v>
      </c>
      <c r="N2355" s="116">
        <v>4001.7</v>
      </c>
      <c r="O2355" s="116">
        <v>3884</v>
      </c>
      <c r="P2355" s="116">
        <v>3884</v>
      </c>
      <c r="Q2355" s="116">
        <v>3978.2</v>
      </c>
      <c r="R2355">
        <v>2658723</v>
      </c>
    </row>
    <row r="2356" spans="1:18" x14ac:dyDescent="0.25">
      <c r="A2356" s="170">
        <v>45475</v>
      </c>
      <c r="B2356" s="116">
        <v>4022</v>
      </c>
      <c r="C2356" s="116">
        <v>4016</v>
      </c>
      <c r="D2356" s="116">
        <v>3984</v>
      </c>
      <c r="E2356" s="116">
        <v>3990</v>
      </c>
      <c r="F2356" s="116">
        <v>4016</v>
      </c>
      <c r="G2356">
        <v>50665</v>
      </c>
      <c r="H2356" s="116"/>
      <c r="I2356" s="116"/>
      <c r="L2356" s="170">
        <v>45475</v>
      </c>
      <c r="M2356" s="116">
        <v>4017.4</v>
      </c>
      <c r="N2356" s="116">
        <v>4023.4</v>
      </c>
      <c r="O2356" s="116">
        <v>3982.55</v>
      </c>
      <c r="P2356" s="116">
        <v>3993.6</v>
      </c>
      <c r="Q2356" s="116">
        <v>4017.4</v>
      </c>
      <c r="R2356">
        <v>2307449</v>
      </c>
    </row>
    <row r="2357" spans="1:18" x14ac:dyDescent="0.25">
      <c r="A2357" s="170">
        <v>45476</v>
      </c>
      <c r="B2357" s="116">
        <v>4020.85</v>
      </c>
      <c r="C2357" s="116">
        <v>3964.85</v>
      </c>
      <c r="D2357" s="116">
        <v>3954.45</v>
      </c>
      <c r="E2357" s="116">
        <v>4020</v>
      </c>
      <c r="F2357" s="116">
        <v>3964.85</v>
      </c>
      <c r="G2357">
        <v>40378</v>
      </c>
      <c r="H2357" s="116"/>
      <c r="I2357" s="116"/>
      <c r="L2357" s="170">
        <v>45476</v>
      </c>
      <c r="M2357" s="116">
        <v>3965.25</v>
      </c>
      <c r="N2357" s="116">
        <v>4026.1</v>
      </c>
      <c r="O2357" s="116">
        <v>3955</v>
      </c>
      <c r="P2357" s="116">
        <v>4020</v>
      </c>
      <c r="Q2357" s="116">
        <v>3965.25</v>
      </c>
      <c r="R2357">
        <v>1821198</v>
      </c>
    </row>
    <row r="2358" spans="1:18" x14ac:dyDescent="0.25">
      <c r="A2358" s="170">
        <v>45477</v>
      </c>
      <c r="B2358" s="116">
        <v>4047.75</v>
      </c>
      <c r="C2358" s="116">
        <v>4021.25</v>
      </c>
      <c r="D2358" s="116">
        <v>3979.35</v>
      </c>
      <c r="E2358" s="116">
        <v>4004.95</v>
      </c>
      <c r="F2358" s="116">
        <v>4021.25</v>
      </c>
      <c r="G2358">
        <v>56861</v>
      </c>
      <c r="H2358" s="116"/>
      <c r="I2358" s="116"/>
      <c r="L2358" s="170">
        <v>45477</v>
      </c>
      <c r="M2358" s="116">
        <v>4020.95</v>
      </c>
      <c r="N2358" s="116">
        <v>4047.35</v>
      </c>
      <c r="O2358" s="116">
        <v>3982.1</v>
      </c>
      <c r="P2358" s="116">
        <v>3999.85</v>
      </c>
      <c r="Q2358" s="116">
        <v>4020.95</v>
      </c>
      <c r="R2358">
        <v>2518001</v>
      </c>
    </row>
    <row r="2359" spans="1:18" x14ac:dyDescent="0.25">
      <c r="A2359" s="170">
        <v>45478</v>
      </c>
      <c r="B2359" s="116">
        <v>4026.8</v>
      </c>
      <c r="C2359" s="116">
        <v>4012.45</v>
      </c>
      <c r="D2359" s="116">
        <v>3988</v>
      </c>
      <c r="E2359" s="116">
        <v>4014.95</v>
      </c>
      <c r="F2359" s="116">
        <v>4012.45</v>
      </c>
      <c r="G2359">
        <v>305014</v>
      </c>
      <c r="H2359" s="116"/>
      <c r="I2359" s="116"/>
      <c r="L2359" s="170">
        <v>45478</v>
      </c>
      <c r="M2359" s="116">
        <v>4011.8</v>
      </c>
      <c r="N2359" s="116">
        <v>4026.75</v>
      </c>
      <c r="O2359" s="116">
        <v>3988</v>
      </c>
      <c r="P2359" s="116">
        <v>4010</v>
      </c>
      <c r="Q2359" s="116">
        <v>4011.8</v>
      </c>
      <c r="R2359">
        <v>1668616</v>
      </c>
    </row>
    <row r="2360" spans="1:18" x14ac:dyDescent="0.25">
      <c r="A2360" s="170">
        <v>45481</v>
      </c>
      <c r="B2360" s="116">
        <v>4026.3</v>
      </c>
      <c r="C2360" s="116">
        <v>3975.95</v>
      </c>
      <c r="D2360" s="116">
        <v>3910</v>
      </c>
      <c r="E2360" s="116">
        <v>4015.05</v>
      </c>
      <c r="F2360" s="116">
        <v>3975.95</v>
      </c>
      <c r="G2360">
        <v>92000</v>
      </c>
      <c r="H2360" s="116"/>
      <c r="I2360" s="116"/>
      <c r="L2360" s="170">
        <v>45481</v>
      </c>
      <c r="M2360" s="116">
        <v>3993.2</v>
      </c>
      <c r="N2360" s="116">
        <v>4031.25</v>
      </c>
      <c r="O2360" s="116">
        <v>3978.05</v>
      </c>
      <c r="P2360" s="116">
        <v>4022</v>
      </c>
      <c r="Q2360" s="116">
        <v>3993.2</v>
      </c>
      <c r="R2360">
        <v>1758882</v>
      </c>
    </row>
    <row r="2361" spans="1:18" x14ac:dyDescent="0.25">
      <c r="A2361" s="170">
        <v>45482</v>
      </c>
      <c r="B2361" s="116">
        <v>4011</v>
      </c>
      <c r="C2361" s="116">
        <v>3991.7</v>
      </c>
      <c r="D2361" s="116">
        <v>3976</v>
      </c>
      <c r="E2361" s="116">
        <v>3976.1</v>
      </c>
      <c r="F2361" s="116">
        <v>3991.7</v>
      </c>
      <c r="G2361">
        <v>46214</v>
      </c>
      <c r="H2361" s="116"/>
      <c r="I2361" s="116"/>
      <c r="L2361" s="170">
        <v>45482</v>
      </c>
      <c r="M2361" s="116">
        <v>3985.5</v>
      </c>
      <c r="N2361" s="116">
        <v>4006.95</v>
      </c>
      <c r="O2361" s="116">
        <v>3975.1</v>
      </c>
      <c r="P2361" s="116">
        <v>3985</v>
      </c>
      <c r="Q2361" s="116">
        <v>3985.5</v>
      </c>
      <c r="R2361">
        <v>1305801</v>
      </c>
    </row>
    <row r="2362" spans="1:18" x14ac:dyDescent="0.25">
      <c r="A2362" s="170">
        <v>45483</v>
      </c>
      <c r="B2362" s="116">
        <v>4003</v>
      </c>
      <c r="C2362" s="116">
        <v>3909.9</v>
      </c>
      <c r="D2362" s="116">
        <v>3902.2</v>
      </c>
      <c r="E2362" s="116">
        <v>3978.05</v>
      </c>
      <c r="F2362" s="116">
        <v>3909.9</v>
      </c>
      <c r="G2362">
        <v>214484</v>
      </c>
      <c r="H2362" s="116"/>
      <c r="I2362" s="116"/>
      <c r="L2362" s="170">
        <v>45483</v>
      </c>
      <c r="M2362" s="116">
        <v>3909.15</v>
      </c>
      <c r="N2362" s="116">
        <v>4003.3</v>
      </c>
      <c r="O2362" s="116">
        <v>3902</v>
      </c>
      <c r="P2362" s="116">
        <v>3983.7</v>
      </c>
      <c r="Q2362" s="116">
        <v>3909.15</v>
      </c>
      <c r="R2362">
        <v>2669716</v>
      </c>
    </row>
    <row r="2363" spans="1:18" x14ac:dyDescent="0.25">
      <c r="A2363" s="170">
        <v>45484</v>
      </c>
      <c r="B2363" s="116">
        <v>3979.9</v>
      </c>
      <c r="C2363" s="116">
        <v>3922.7</v>
      </c>
      <c r="D2363" s="116">
        <v>3895.7</v>
      </c>
      <c r="E2363" s="116">
        <v>3944.65</v>
      </c>
      <c r="F2363" s="116">
        <v>3922.7</v>
      </c>
      <c r="G2363">
        <v>551198</v>
      </c>
      <c r="H2363" s="116"/>
      <c r="I2363" s="116"/>
      <c r="L2363" s="170">
        <v>45484</v>
      </c>
      <c r="M2363" s="116">
        <v>3923.7</v>
      </c>
      <c r="N2363" s="116">
        <v>3980</v>
      </c>
      <c r="O2363" s="116">
        <v>3895.6</v>
      </c>
      <c r="P2363" s="116">
        <v>3931</v>
      </c>
      <c r="Q2363" s="116">
        <v>3923.7</v>
      </c>
      <c r="R2363">
        <v>4872189</v>
      </c>
    </row>
    <row r="2364" spans="1:18" x14ac:dyDescent="0.25">
      <c r="A2364" s="170">
        <v>45485</v>
      </c>
      <c r="B2364" s="116">
        <v>4199</v>
      </c>
      <c r="C2364" s="116">
        <v>4184.8999999999996</v>
      </c>
      <c r="D2364" s="116">
        <v>3974.1</v>
      </c>
      <c r="E2364" s="116">
        <v>4001.15</v>
      </c>
      <c r="F2364" s="116">
        <v>4184.8999999999996</v>
      </c>
      <c r="G2364">
        <v>589314</v>
      </c>
      <c r="H2364" s="116"/>
      <c r="I2364" s="116"/>
      <c r="L2364" s="170">
        <v>45485</v>
      </c>
      <c r="M2364" s="116">
        <v>4183.95</v>
      </c>
      <c r="N2364" s="116">
        <v>4199.95</v>
      </c>
      <c r="O2364" s="116">
        <v>3971.3</v>
      </c>
      <c r="P2364" s="116">
        <v>3980</v>
      </c>
      <c r="Q2364" s="116">
        <v>4183.95</v>
      </c>
      <c r="R2364">
        <v>13509164</v>
      </c>
    </row>
    <row r="2365" spans="1:18" x14ac:dyDescent="0.25">
      <c r="A2365" s="170">
        <v>45488</v>
      </c>
      <c r="B2365" s="116">
        <v>4237.05</v>
      </c>
      <c r="C2365" s="116">
        <v>4168</v>
      </c>
      <c r="D2365" s="116">
        <v>4158</v>
      </c>
      <c r="E2365" s="116">
        <v>4225.6000000000004</v>
      </c>
      <c r="F2365" s="116">
        <v>4168</v>
      </c>
      <c r="G2365">
        <v>158248</v>
      </c>
      <c r="H2365" s="116"/>
      <c r="I2365" s="116"/>
      <c r="L2365" s="170">
        <v>45488</v>
      </c>
      <c r="M2365" s="116">
        <v>4169.2</v>
      </c>
      <c r="N2365" s="116">
        <v>4240</v>
      </c>
      <c r="O2365" s="116">
        <v>4157.05</v>
      </c>
      <c r="P2365" s="116">
        <v>4235.7</v>
      </c>
      <c r="Q2365" s="116">
        <v>4169.2</v>
      </c>
      <c r="R2365">
        <v>4848030</v>
      </c>
    </row>
    <row r="2366" spans="1:18" x14ac:dyDescent="0.25">
      <c r="A2366" s="170">
        <v>45489</v>
      </c>
      <c r="B2366" s="116">
        <v>4193.3500000000004</v>
      </c>
      <c r="C2366" s="116">
        <v>4175.3500000000004</v>
      </c>
      <c r="D2366" s="116">
        <v>4144.6499999999996</v>
      </c>
      <c r="E2366" s="116">
        <v>4180</v>
      </c>
      <c r="F2366" s="116">
        <v>4175.3500000000004</v>
      </c>
      <c r="G2366">
        <v>177807</v>
      </c>
      <c r="H2366" s="116"/>
      <c r="I2366" s="116"/>
      <c r="L2366" s="170">
        <v>45489</v>
      </c>
      <c r="M2366" s="116">
        <v>4178.45</v>
      </c>
      <c r="N2366" s="116">
        <v>4194.55</v>
      </c>
      <c r="O2366" s="116">
        <v>4144.8999999999996</v>
      </c>
      <c r="P2366" s="116">
        <v>4172</v>
      </c>
      <c r="Q2366" s="116">
        <v>4178.45</v>
      </c>
      <c r="R2366">
        <v>2029521</v>
      </c>
    </row>
    <row r="2367" spans="1:18" x14ac:dyDescent="0.25">
      <c r="A2367" s="170">
        <v>45491</v>
      </c>
      <c r="B2367" s="116">
        <v>4324.3</v>
      </c>
      <c r="C2367" s="116">
        <v>4314.3</v>
      </c>
      <c r="D2367" s="116">
        <v>4159.95</v>
      </c>
      <c r="E2367" s="116">
        <v>4159.95</v>
      </c>
      <c r="F2367" s="116">
        <v>4314.3</v>
      </c>
      <c r="G2367">
        <v>289927</v>
      </c>
      <c r="H2367" s="116"/>
      <c r="I2367" s="116"/>
      <c r="L2367" s="170">
        <v>45491</v>
      </c>
      <c r="M2367" s="116">
        <v>4315.55</v>
      </c>
      <c r="N2367" s="116">
        <v>4325</v>
      </c>
      <c r="O2367" s="116">
        <v>4160</v>
      </c>
      <c r="P2367" s="116">
        <v>4160</v>
      </c>
      <c r="Q2367" s="116">
        <v>4315.55</v>
      </c>
      <c r="R2367">
        <v>5613364</v>
      </c>
    </row>
    <row r="2368" spans="1:18" x14ac:dyDescent="0.25">
      <c r="A2368" s="170">
        <v>45492</v>
      </c>
      <c r="B2368" s="116">
        <v>4360.25</v>
      </c>
      <c r="C2368" s="116">
        <v>4302.75</v>
      </c>
      <c r="D2368" s="116">
        <v>4286.1499999999996</v>
      </c>
      <c r="E2368" s="116">
        <v>4314.3</v>
      </c>
      <c r="F2368" s="116">
        <v>4302.75</v>
      </c>
      <c r="G2368">
        <v>239493</v>
      </c>
      <c r="H2368" s="116"/>
      <c r="I2368" s="116"/>
      <c r="L2368" s="170">
        <v>45492</v>
      </c>
      <c r="M2368" s="116">
        <v>4302.3999999999996</v>
      </c>
      <c r="N2368" s="116">
        <v>4358.75</v>
      </c>
      <c r="O2368" s="116">
        <v>4285.25</v>
      </c>
      <c r="P2368" s="116">
        <v>4317.3999999999996</v>
      </c>
      <c r="Q2368" s="116">
        <v>4302.3999999999996</v>
      </c>
      <c r="R2368">
        <v>3903354</v>
      </c>
    </row>
    <row r="2369" spans="1:18" x14ac:dyDescent="0.25">
      <c r="A2369" s="170">
        <v>45495</v>
      </c>
      <c r="B2369" s="116">
        <v>4318</v>
      </c>
      <c r="C2369" s="116">
        <v>4286.2</v>
      </c>
      <c r="D2369" s="116">
        <v>4265</v>
      </c>
      <c r="E2369" s="116">
        <v>4295.05</v>
      </c>
      <c r="F2369" s="116">
        <v>4286.2</v>
      </c>
      <c r="G2369">
        <v>90087</v>
      </c>
      <c r="H2369" s="116"/>
      <c r="I2369" s="116"/>
      <c r="L2369" s="170">
        <v>45495</v>
      </c>
      <c r="M2369" s="116">
        <v>4287.3500000000004</v>
      </c>
      <c r="N2369" s="116">
        <v>4319.95</v>
      </c>
      <c r="O2369" s="116">
        <v>4265</v>
      </c>
      <c r="P2369" s="116">
        <v>4299.95</v>
      </c>
      <c r="Q2369" s="116">
        <v>4287.3500000000004</v>
      </c>
      <c r="R2369">
        <v>1896386</v>
      </c>
    </row>
    <row r="2370" spans="1:18" x14ac:dyDescent="0.25">
      <c r="A2370" s="170">
        <v>45496</v>
      </c>
      <c r="B2370" s="116">
        <v>4360</v>
      </c>
      <c r="C2370" s="116">
        <v>4302.5</v>
      </c>
      <c r="D2370" s="116">
        <v>4265.55</v>
      </c>
      <c r="E2370" s="116">
        <v>4298.95</v>
      </c>
      <c r="F2370" s="116">
        <v>4302.5</v>
      </c>
      <c r="G2370">
        <v>69621</v>
      </c>
      <c r="H2370" s="116"/>
      <c r="I2370" s="116"/>
      <c r="L2370" s="170">
        <v>45496</v>
      </c>
      <c r="M2370" s="116">
        <v>4302.3500000000004</v>
      </c>
      <c r="N2370" s="116">
        <v>4361.7</v>
      </c>
      <c r="O2370" s="116">
        <v>4266.3</v>
      </c>
      <c r="P2370" s="116">
        <v>4283</v>
      </c>
      <c r="Q2370" s="116">
        <v>4302.3500000000004</v>
      </c>
      <c r="R2370">
        <v>2365208</v>
      </c>
    </row>
    <row r="2371" spans="1:18" x14ac:dyDescent="0.25">
      <c r="A2371" s="170">
        <v>45497</v>
      </c>
      <c r="B2371" s="116">
        <v>4339</v>
      </c>
      <c r="C2371" s="116">
        <v>4306.2</v>
      </c>
      <c r="D2371" s="116">
        <v>4277.25</v>
      </c>
      <c r="E2371" s="116">
        <v>4281.05</v>
      </c>
      <c r="F2371" s="116">
        <v>4306.2</v>
      </c>
      <c r="G2371">
        <v>112849</v>
      </c>
      <c r="H2371" s="116"/>
      <c r="I2371" s="116"/>
      <c r="L2371" s="170">
        <v>45497</v>
      </c>
      <c r="M2371" s="116">
        <v>4306.25</v>
      </c>
      <c r="N2371" s="116">
        <v>4339.1000000000004</v>
      </c>
      <c r="O2371" s="116">
        <v>4268.1000000000004</v>
      </c>
      <c r="P2371" s="116">
        <v>4287.5</v>
      </c>
      <c r="Q2371" s="116">
        <v>4306.25</v>
      </c>
      <c r="R2371">
        <v>1809793</v>
      </c>
    </row>
    <row r="2372" spans="1:18" x14ac:dyDescent="0.25">
      <c r="A2372" s="170">
        <v>45498</v>
      </c>
      <c r="B2372" s="116">
        <v>4343.95</v>
      </c>
      <c r="C2372" s="116">
        <v>4322.8999999999996</v>
      </c>
      <c r="D2372" s="116">
        <v>4276.5</v>
      </c>
      <c r="E2372" s="116">
        <v>4296.95</v>
      </c>
      <c r="F2372" s="116">
        <v>4322.8999999999996</v>
      </c>
      <c r="G2372">
        <v>56996</v>
      </c>
      <c r="H2372" s="116"/>
      <c r="I2372" s="116"/>
      <c r="L2372" s="170">
        <v>45498</v>
      </c>
      <c r="M2372" s="116">
        <v>4322.5</v>
      </c>
      <c r="N2372" s="116">
        <v>4343</v>
      </c>
      <c r="O2372" s="116">
        <v>4274.2</v>
      </c>
      <c r="P2372" s="116">
        <v>4295</v>
      </c>
      <c r="Q2372" s="116">
        <v>4322.5</v>
      </c>
      <c r="R2372">
        <v>2810342</v>
      </c>
    </row>
    <row r="2373" spans="1:18" x14ac:dyDescent="0.25">
      <c r="A2373" s="170">
        <v>45499</v>
      </c>
      <c r="B2373" s="116">
        <v>4421.5</v>
      </c>
      <c r="C2373" s="116">
        <v>4387.95</v>
      </c>
      <c r="D2373" s="116">
        <v>4331.05</v>
      </c>
      <c r="E2373" s="116">
        <v>4331.05</v>
      </c>
      <c r="F2373" s="116">
        <v>4387.95</v>
      </c>
      <c r="G2373">
        <v>406430</v>
      </c>
      <c r="H2373" s="116"/>
      <c r="I2373" s="116"/>
      <c r="L2373" s="170">
        <v>45499</v>
      </c>
      <c r="M2373" s="116">
        <v>4387.8500000000004</v>
      </c>
      <c r="N2373" s="116">
        <v>4422.45</v>
      </c>
      <c r="O2373" s="116">
        <v>4337.05</v>
      </c>
      <c r="P2373" s="116">
        <v>4350</v>
      </c>
      <c r="Q2373" s="116">
        <v>4387.8500000000004</v>
      </c>
      <c r="R2373">
        <v>3552210</v>
      </c>
    </row>
    <row r="2374" spans="1:18" x14ac:dyDescent="0.25">
      <c r="A2374" s="170">
        <v>45502</v>
      </c>
      <c r="B2374" s="116">
        <v>4431.25</v>
      </c>
      <c r="C2374" s="116">
        <v>4380.2</v>
      </c>
      <c r="D2374" s="116">
        <v>4370.8</v>
      </c>
      <c r="E2374" s="116">
        <v>4421.8500000000004</v>
      </c>
      <c r="F2374" s="116">
        <v>4380.2</v>
      </c>
      <c r="G2374">
        <v>65907</v>
      </c>
      <c r="H2374" s="116"/>
      <c r="I2374" s="116"/>
      <c r="L2374" s="170">
        <v>45502</v>
      </c>
      <c r="M2374" s="116">
        <v>4381.1000000000004</v>
      </c>
      <c r="N2374" s="116">
        <v>4431</v>
      </c>
      <c r="O2374" s="116">
        <v>4371</v>
      </c>
      <c r="P2374" s="116">
        <v>4415</v>
      </c>
      <c r="Q2374" s="116">
        <v>4381.1000000000004</v>
      </c>
      <c r="R2374">
        <v>1746803</v>
      </c>
    </row>
    <row r="2375" spans="1:18" x14ac:dyDescent="0.25">
      <c r="A2375" s="170">
        <v>45503</v>
      </c>
      <c r="B2375" s="116">
        <v>4397.95</v>
      </c>
      <c r="C2375" s="116">
        <v>4364.25</v>
      </c>
      <c r="D2375" s="116">
        <v>4327.5</v>
      </c>
      <c r="E2375" s="116">
        <v>4381.25</v>
      </c>
      <c r="F2375" s="116">
        <v>4364.25</v>
      </c>
      <c r="G2375">
        <v>32025</v>
      </c>
      <c r="H2375" s="116"/>
      <c r="I2375" s="116"/>
      <c r="L2375" s="170">
        <v>45503</v>
      </c>
      <c r="M2375" s="116">
        <v>4365.3500000000004</v>
      </c>
      <c r="N2375" s="116">
        <v>4398</v>
      </c>
      <c r="O2375" s="116">
        <v>4327.3</v>
      </c>
      <c r="P2375" s="116">
        <v>4391.1000000000004</v>
      </c>
      <c r="Q2375" s="116">
        <v>4365.3500000000004</v>
      </c>
      <c r="R2375">
        <v>1797906</v>
      </c>
    </row>
    <row r="2376" spans="1:18" x14ac:dyDescent="0.25">
      <c r="A2376" s="170">
        <v>45504</v>
      </c>
      <c r="B2376" s="116">
        <v>4414.3999999999996</v>
      </c>
      <c r="C2376" s="116">
        <v>4384.6499999999996</v>
      </c>
      <c r="D2376" s="116">
        <v>4348.3</v>
      </c>
      <c r="E2376" s="116">
        <v>4363.95</v>
      </c>
      <c r="F2376" s="116">
        <v>4384.6499999999996</v>
      </c>
      <c r="G2376">
        <v>49127</v>
      </c>
      <c r="H2376" s="116"/>
      <c r="I2376" s="116"/>
      <c r="L2376" s="170">
        <v>45504</v>
      </c>
      <c r="M2376" s="116">
        <v>4385.3500000000004</v>
      </c>
      <c r="N2376" s="116">
        <v>4414</v>
      </c>
      <c r="O2376" s="116">
        <v>4345</v>
      </c>
      <c r="P2376" s="116">
        <v>4350</v>
      </c>
      <c r="Q2376" s="116">
        <v>4385.3500000000004</v>
      </c>
      <c r="R2376">
        <v>2330091</v>
      </c>
    </row>
    <row r="2377" spans="1:18" x14ac:dyDescent="0.25">
      <c r="A2377" s="170">
        <v>45505</v>
      </c>
      <c r="B2377" s="116">
        <v>4419</v>
      </c>
      <c r="C2377" s="116">
        <v>4395.75</v>
      </c>
      <c r="D2377" s="116">
        <v>4365.6499999999996</v>
      </c>
      <c r="E2377" s="116">
        <v>4399.75</v>
      </c>
      <c r="F2377" s="116">
        <v>4395.75</v>
      </c>
      <c r="G2377">
        <v>75476</v>
      </c>
      <c r="H2377" s="116"/>
      <c r="I2377" s="116"/>
      <c r="L2377" s="170">
        <v>45505</v>
      </c>
      <c r="M2377" s="116">
        <v>4397.1000000000004</v>
      </c>
      <c r="N2377" s="116">
        <v>4419.3</v>
      </c>
      <c r="O2377" s="116">
        <v>4365.05</v>
      </c>
      <c r="P2377" s="116">
        <v>4399.3999999999996</v>
      </c>
      <c r="Q2377" s="116">
        <v>4397.1000000000004</v>
      </c>
      <c r="R2377">
        <v>2202244</v>
      </c>
    </row>
    <row r="2378" spans="1:18" x14ac:dyDescent="0.25">
      <c r="A2378" s="170">
        <v>45506</v>
      </c>
      <c r="B2378" s="116">
        <v>4397.3999999999996</v>
      </c>
      <c r="C2378" s="116">
        <v>4283</v>
      </c>
      <c r="D2378" s="116">
        <v>4268.3</v>
      </c>
      <c r="E2378" s="116">
        <v>4363</v>
      </c>
      <c r="F2378" s="116">
        <v>4283</v>
      </c>
      <c r="G2378">
        <v>311400</v>
      </c>
      <c r="H2378" s="116"/>
      <c r="I2378" s="116"/>
      <c r="L2378" s="170">
        <v>45506</v>
      </c>
      <c r="M2378" s="116">
        <v>4283.05</v>
      </c>
      <c r="N2378" s="116">
        <v>4398</v>
      </c>
      <c r="O2378" s="116">
        <v>4270</v>
      </c>
      <c r="P2378" s="116">
        <v>4365</v>
      </c>
      <c r="Q2378" s="116">
        <v>4283.05</v>
      </c>
      <c r="R2378">
        <v>2811282</v>
      </c>
    </row>
    <row r="2379" spans="1:18" x14ac:dyDescent="0.25">
      <c r="A2379" s="170">
        <v>45509</v>
      </c>
      <c r="B2379" s="116">
        <v>4233.45</v>
      </c>
      <c r="C2379" s="116">
        <v>4155.3</v>
      </c>
      <c r="D2379" s="116">
        <v>4110.8</v>
      </c>
      <c r="E2379" s="116">
        <v>4200.05</v>
      </c>
      <c r="F2379" s="116">
        <v>4155.3</v>
      </c>
      <c r="G2379">
        <v>53458</v>
      </c>
      <c r="H2379" s="116"/>
      <c r="I2379" s="116"/>
      <c r="L2379" s="170">
        <v>45509</v>
      </c>
      <c r="M2379" s="116">
        <v>4155.05</v>
      </c>
      <c r="N2379" s="116">
        <v>4239</v>
      </c>
      <c r="O2379" s="116">
        <v>4110.5</v>
      </c>
      <c r="P2379" s="116">
        <v>4239</v>
      </c>
      <c r="Q2379" s="116">
        <v>4155.05</v>
      </c>
      <c r="R2379">
        <v>2787771</v>
      </c>
    </row>
    <row r="2380" spans="1:18" x14ac:dyDescent="0.25">
      <c r="A2380" s="170">
        <v>45510</v>
      </c>
      <c r="B2380" s="116">
        <v>4256</v>
      </c>
      <c r="C2380" s="116">
        <v>4170.7</v>
      </c>
      <c r="D2380" s="116">
        <v>4160.1499999999996</v>
      </c>
      <c r="E2380" s="116">
        <v>4162.6000000000004</v>
      </c>
      <c r="F2380" s="116">
        <v>4170.7</v>
      </c>
      <c r="G2380">
        <v>69313</v>
      </c>
      <c r="H2380" s="116"/>
      <c r="I2380" s="116"/>
      <c r="L2380" s="170">
        <v>45510</v>
      </c>
      <c r="M2380" s="116">
        <v>4171.2</v>
      </c>
      <c r="N2380" s="116">
        <v>4258.25</v>
      </c>
      <c r="O2380" s="116">
        <v>4160.8</v>
      </c>
      <c r="P2380" s="116">
        <v>4170.95</v>
      </c>
      <c r="Q2380" s="116">
        <v>4171.2</v>
      </c>
      <c r="R2380">
        <v>2203067</v>
      </c>
    </row>
    <row r="2381" spans="1:18" x14ac:dyDescent="0.25">
      <c r="A2381" s="170">
        <v>45511</v>
      </c>
      <c r="B2381" s="116">
        <v>4242</v>
      </c>
      <c r="C2381" s="116">
        <v>4200.8</v>
      </c>
      <c r="D2381" s="116">
        <v>4181</v>
      </c>
      <c r="E2381" s="116">
        <v>4220.05</v>
      </c>
      <c r="F2381" s="116">
        <v>4200.8</v>
      </c>
      <c r="G2381">
        <v>14407</v>
      </c>
      <c r="H2381" s="116"/>
      <c r="I2381" s="116"/>
      <c r="L2381" s="170">
        <v>45511</v>
      </c>
      <c r="M2381" s="116">
        <v>4200.45</v>
      </c>
      <c r="N2381" s="116">
        <v>4244.95</v>
      </c>
      <c r="O2381" s="116">
        <v>4180.3</v>
      </c>
      <c r="P2381" s="116">
        <v>4228</v>
      </c>
      <c r="Q2381" s="116">
        <v>4200.45</v>
      </c>
      <c r="R2381">
        <v>1237666</v>
      </c>
    </row>
    <row r="2382" spans="1:18" x14ac:dyDescent="0.25">
      <c r="A2382" s="170">
        <v>45512</v>
      </c>
      <c r="B2382" s="116">
        <v>4231</v>
      </c>
      <c r="C2382" s="116">
        <v>4170.8999999999996</v>
      </c>
      <c r="D2382" s="116">
        <v>4160.5</v>
      </c>
      <c r="E2382" s="116">
        <v>4178</v>
      </c>
      <c r="F2382" s="116">
        <v>4170.8999999999996</v>
      </c>
      <c r="G2382">
        <v>65387</v>
      </c>
      <c r="H2382" s="116"/>
      <c r="I2382" s="116"/>
      <c r="L2382" s="170">
        <v>45512</v>
      </c>
      <c r="M2382" s="116">
        <v>4172.55</v>
      </c>
      <c r="N2382" s="116">
        <v>4232</v>
      </c>
      <c r="O2382" s="116">
        <v>4160</v>
      </c>
      <c r="P2382" s="116">
        <v>4181</v>
      </c>
      <c r="Q2382" s="116">
        <v>4172.55</v>
      </c>
      <c r="R2382">
        <v>2441283</v>
      </c>
    </row>
    <row r="2383" spans="1:18" x14ac:dyDescent="0.25">
      <c r="A2383" s="170">
        <v>45513</v>
      </c>
      <c r="B2383" s="116">
        <v>4251.5</v>
      </c>
      <c r="C2383" s="116">
        <v>4230.05</v>
      </c>
      <c r="D2383" s="116">
        <v>4215</v>
      </c>
      <c r="E2383" s="116">
        <v>4227.95</v>
      </c>
      <c r="F2383" s="116">
        <v>4230.05</v>
      </c>
      <c r="G2383">
        <v>169602</v>
      </c>
      <c r="H2383" s="116"/>
      <c r="I2383" s="116"/>
      <c r="L2383" s="170">
        <v>45513</v>
      </c>
      <c r="M2383" s="116">
        <v>4228.75</v>
      </c>
      <c r="N2383" s="116">
        <v>4253.6499999999996</v>
      </c>
      <c r="O2383" s="116">
        <v>4205.55</v>
      </c>
      <c r="P2383" s="116">
        <v>4217</v>
      </c>
      <c r="Q2383" s="116">
        <v>4228.75</v>
      </c>
      <c r="R2383">
        <v>1302536</v>
      </c>
    </row>
    <row r="2384" spans="1:18" x14ac:dyDescent="0.25">
      <c r="A2384" s="170">
        <v>45516</v>
      </c>
      <c r="B2384" s="116">
        <v>4239.8</v>
      </c>
      <c r="C2384" s="116">
        <v>4196.1000000000004</v>
      </c>
      <c r="D2384" s="116">
        <v>4188.8500000000004</v>
      </c>
      <c r="E2384" s="116">
        <v>4239.8</v>
      </c>
      <c r="F2384" s="116">
        <v>4196.1000000000004</v>
      </c>
      <c r="G2384">
        <v>46631</v>
      </c>
      <c r="H2384" s="116"/>
      <c r="I2384" s="116"/>
      <c r="L2384" s="170">
        <v>45516</v>
      </c>
      <c r="M2384" s="116">
        <v>4195.6499999999996</v>
      </c>
      <c r="N2384" s="116">
        <v>4239</v>
      </c>
      <c r="O2384" s="116">
        <v>4186.3500000000004</v>
      </c>
      <c r="P2384" s="116">
        <v>4230</v>
      </c>
      <c r="Q2384" s="116">
        <v>4195.6499999999996</v>
      </c>
      <c r="R2384">
        <v>936912</v>
      </c>
    </row>
    <row r="2385" spans="1:18" x14ac:dyDescent="0.25">
      <c r="A2385" s="170">
        <v>45517</v>
      </c>
      <c r="B2385" s="116">
        <v>4232.8500000000004</v>
      </c>
      <c r="C2385" s="116">
        <v>4195</v>
      </c>
      <c r="D2385" s="116">
        <v>4183.6000000000004</v>
      </c>
      <c r="E2385" s="116">
        <v>4211.05</v>
      </c>
      <c r="F2385" s="116">
        <v>4195</v>
      </c>
      <c r="G2385">
        <v>33895</v>
      </c>
      <c r="H2385" s="116"/>
      <c r="I2385" s="116"/>
      <c r="L2385" s="170">
        <v>45517</v>
      </c>
      <c r="M2385" s="116">
        <v>4196.95</v>
      </c>
      <c r="N2385" s="116">
        <v>4234</v>
      </c>
      <c r="O2385" s="116">
        <v>4183</v>
      </c>
      <c r="P2385" s="116">
        <v>4213</v>
      </c>
      <c r="Q2385" s="116">
        <v>4196.95</v>
      </c>
      <c r="R2385">
        <v>1495593</v>
      </c>
    </row>
    <row r="2386" spans="1:18" x14ac:dyDescent="0.25">
      <c r="A2386" s="170">
        <v>45518</v>
      </c>
      <c r="B2386" s="116">
        <v>4304.2</v>
      </c>
      <c r="C2386" s="116">
        <v>4291.6499999999996</v>
      </c>
      <c r="D2386" s="116">
        <v>4190.8999999999996</v>
      </c>
      <c r="E2386" s="116">
        <v>4206.1499999999996</v>
      </c>
      <c r="F2386" s="116">
        <v>4291.6499999999996</v>
      </c>
      <c r="G2386">
        <v>115005</v>
      </c>
      <c r="H2386" s="116"/>
      <c r="I2386" s="116"/>
      <c r="L2386" s="170">
        <v>45518</v>
      </c>
      <c r="M2386" s="116">
        <v>4295.25</v>
      </c>
      <c r="N2386" s="116">
        <v>4306.2</v>
      </c>
      <c r="O2386" s="116">
        <v>4188.1499999999996</v>
      </c>
      <c r="P2386" s="116">
        <v>4209</v>
      </c>
      <c r="Q2386" s="116">
        <v>4295.25</v>
      </c>
      <c r="R2386">
        <v>3226545</v>
      </c>
    </row>
    <row r="2387" spans="1:18" x14ac:dyDescent="0.25">
      <c r="A2387" s="170">
        <v>45520</v>
      </c>
      <c r="B2387" s="116">
        <v>4427.8999999999996</v>
      </c>
      <c r="C2387" s="116">
        <v>4416.55</v>
      </c>
      <c r="D2387" s="116">
        <v>4327.25</v>
      </c>
      <c r="E2387" s="116">
        <v>4353.95</v>
      </c>
      <c r="F2387" s="116">
        <v>4416.55</v>
      </c>
      <c r="G2387">
        <v>183439</v>
      </c>
      <c r="H2387" s="116"/>
      <c r="I2387" s="116"/>
      <c r="L2387" s="170">
        <v>45520</v>
      </c>
      <c r="M2387" s="116">
        <v>4416.05</v>
      </c>
      <c r="N2387" s="116">
        <v>4427</v>
      </c>
      <c r="O2387" s="116">
        <v>4325.1000000000004</v>
      </c>
      <c r="P2387" s="116">
        <v>4350</v>
      </c>
      <c r="Q2387" s="116">
        <v>4416.05</v>
      </c>
      <c r="R2387">
        <v>3457058</v>
      </c>
    </row>
    <row r="2388" spans="1:18" x14ac:dyDescent="0.25">
      <c r="A2388" s="170">
        <v>45523</v>
      </c>
      <c r="B2388" s="116">
        <v>4493</v>
      </c>
      <c r="C2388" s="116">
        <v>4489.3500000000004</v>
      </c>
      <c r="D2388" s="116">
        <v>4390.45</v>
      </c>
      <c r="E2388" s="116">
        <v>4417.8999999999996</v>
      </c>
      <c r="F2388" s="116">
        <v>4489.3500000000004</v>
      </c>
      <c r="G2388">
        <v>91876</v>
      </c>
      <c r="H2388" s="116"/>
      <c r="I2388" s="116"/>
      <c r="L2388" s="170">
        <v>45523</v>
      </c>
      <c r="M2388" s="116">
        <v>4490</v>
      </c>
      <c r="N2388" s="116">
        <v>4494.25</v>
      </c>
      <c r="O2388" s="116">
        <v>4390.3500000000004</v>
      </c>
      <c r="P2388" s="116">
        <v>4421</v>
      </c>
      <c r="Q2388" s="116">
        <v>4490</v>
      </c>
      <c r="R2388">
        <v>2055210</v>
      </c>
    </row>
    <row r="2389" spans="1:18" x14ac:dyDescent="0.25">
      <c r="A2389" s="170">
        <v>45524</v>
      </c>
      <c r="B2389" s="116">
        <v>4564.75</v>
      </c>
      <c r="C2389" s="116">
        <v>4522.55</v>
      </c>
      <c r="D2389" s="116">
        <v>4500</v>
      </c>
      <c r="E2389" s="116">
        <v>4503</v>
      </c>
      <c r="F2389" s="116">
        <v>4522.55</v>
      </c>
      <c r="G2389">
        <v>53774</v>
      </c>
      <c r="H2389" s="116"/>
      <c r="I2389" s="116"/>
      <c r="L2389" s="170">
        <v>45524</v>
      </c>
      <c r="M2389" s="116">
        <v>4523.3</v>
      </c>
      <c r="N2389" s="116">
        <v>4565</v>
      </c>
      <c r="O2389" s="116">
        <v>4500</v>
      </c>
      <c r="P2389" s="116">
        <v>4505</v>
      </c>
      <c r="Q2389" s="116">
        <v>4523.3</v>
      </c>
      <c r="R2389">
        <v>2212298</v>
      </c>
    </row>
    <row r="2390" spans="1:18" x14ac:dyDescent="0.25">
      <c r="A2390" s="170">
        <v>45525</v>
      </c>
      <c r="B2390" s="116">
        <v>4558.8</v>
      </c>
      <c r="C2390" s="116">
        <v>4551.7</v>
      </c>
      <c r="D2390" s="116">
        <v>4500</v>
      </c>
      <c r="E2390" s="116">
        <v>4501.05</v>
      </c>
      <c r="F2390" s="116">
        <v>4551.7</v>
      </c>
      <c r="G2390">
        <v>74833</v>
      </c>
      <c r="H2390" s="116"/>
      <c r="I2390" s="116"/>
      <c r="L2390" s="170">
        <v>45525</v>
      </c>
      <c r="M2390" s="116">
        <v>4551.5</v>
      </c>
      <c r="N2390" s="116">
        <v>4560</v>
      </c>
      <c r="O2390" s="116">
        <v>4492.55</v>
      </c>
      <c r="P2390" s="116">
        <v>4518</v>
      </c>
      <c r="Q2390" s="116">
        <v>4551.5</v>
      </c>
      <c r="R2390">
        <v>1896990</v>
      </c>
    </row>
    <row r="2391" spans="1:18" x14ac:dyDescent="0.25">
      <c r="A2391" s="170">
        <v>45526</v>
      </c>
      <c r="B2391" s="116">
        <v>4564</v>
      </c>
      <c r="C2391" s="116">
        <v>4499.95</v>
      </c>
      <c r="D2391" s="116">
        <v>4497.3500000000004</v>
      </c>
      <c r="E2391" s="116">
        <v>4564</v>
      </c>
      <c r="F2391" s="116">
        <v>4499.95</v>
      </c>
      <c r="G2391">
        <v>81625</v>
      </c>
      <c r="H2391" s="116"/>
      <c r="I2391" s="116"/>
      <c r="L2391" s="170">
        <v>45526</v>
      </c>
      <c r="M2391" s="116">
        <v>4502</v>
      </c>
      <c r="N2391" s="116">
        <v>4560.95</v>
      </c>
      <c r="O2391" s="116">
        <v>4497.2</v>
      </c>
      <c r="P2391" s="116">
        <v>4560</v>
      </c>
      <c r="Q2391" s="116">
        <v>4502</v>
      </c>
      <c r="R2391">
        <v>1829872</v>
      </c>
    </row>
    <row r="2392" spans="1:18" x14ac:dyDescent="0.25">
      <c r="A2392" s="170">
        <v>45527</v>
      </c>
      <c r="B2392" s="116">
        <v>4504.5</v>
      </c>
      <c r="C2392" s="116">
        <v>4464</v>
      </c>
      <c r="D2392" s="116">
        <v>4453.1499999999996</v>
      </c>
      <c r="E2392" s="116">
        <v>4500</v>
      </c>
      <c r="F2392" s="116">
        <v>4464</v>
      </c>
      <c r="G2392">
        <v>233214</v>
      </c>
      <c r="H2392" s="116"/>
      <c r="I2392" s="116"/>
      <c r="L2392" s="170">
        <v>45527</v>
      </c>
      <c r="M2392" s="116">
        <v>4463.8999999999996</v>
      </c>
      <c r="N2392" s="116">
        <v>4506</v>
      </c>
      <c r="O2392" s="116">
        <v>4455</v>
      </c>
      <c r="P2392" s="116">
        <v>4500</v>
      </c>
      <c r="Q2392" s="116">
        <v>4463.8999999999996</v>
      </c>
      <c r="R2392">
        <v>1809253</v>
      </c>
    </row>
    <row r="2393" spans="1:18" x14ac:dyDescent="0.25">
      <c r="A2393" s="170">
        <v>45530</v>
      </c>
      <c r="B2393" s="116">
        <v>4551</v>
      </c>
      <c r="C2393" s="116">
        <v>4501.1499999999996</v>
      </c>
      <c r="D2393" s="116">
        <v>4480.3</v>
      </c>
      <c r="E2393" s="116">
        <v>4480.3</v>
      </c>
      <c r="F2393" s="116">
        <v>4501.1499999999996</v>
      </c>
      <c r="G2393">
        <v>155945</v>
      </c>
      <c r="H2393" s="116"/>
      <c r="I2393" s="116"/>
      <c r="L2393" s="170">
        <v>45530</v>
      </c>
      <c r="M2393" s="116">
        <v>4502.45</v>
      </c>
      <c r="N2393" s="116">
        <v>4552.1499999999996</v>
      </c>
      <c r="O2393" s="116">
        <v>4485</v>
      </c>
      <c r="P2393" s="116">
        <v>4489</v>
      </c>
      <c r="Q2393" s="116">
        <v>4502.45</v>
      </c>
      <c r="R2393">
        <v>1844164</v>
      </c>
    </row>
    <row r="2394" spans="1:18" x14ac:dyDescent="0.25">
      <c r="A2394" s="170">
        <v>45531</v>
      </c>
      <c r="B2394" s="116">
        <v>4511.1499999999996</v>
      </c>
      <c r="C2394" s="116">
        <v>4494.25</v>
      </c>
      <c r="D2394" s="116">
        <v>4485.6499999999996</v>
      </c>
      <c r="E2394" s="116">
        <v>4501.1499999999996</v>
      </c>
      <c r="F2394" s="116">
        <v>4494.25</v>
      </c>
      <c r="G2394">
        <v>64237</v>
      </c>
      <c r="H2394" s="116"/>
      <c r="I2394" s="116"/>
      <c r="L2394" s="170">
        <v>45531</v>
      </c>
      <c r="M2394" s="116">
        <v>4497.1499999999996</v>
      </c>
      <c r="N2394" s="116">
        <v>4510</v>
      </c>
      <c r="O2394" s="116">
        <v>4486.8</v>
      </c>
      <c r="P2394" s="116">
        <v>4505</v>
      </c>
      <c r="Q2394" s="116">
        <v>4497.1499999999996</v>
      </c>
      <c r="R2394">
        <v>930697</v>
      </c>
    </row>
    <row r="2395" spans="1:18" x14ac:dyDescent="0.25">
      <c r="A2395" s="170">
        <v>45532</v>
      </c>
      <c r="B2395" s="116">
        <v>4563.1499999999996</v>
      </c>
      <c r="C2395" s="116">
        <v>4506.75</v>
      </c>
      <c r="D2395" s="116">
        <v>4457.8500000000004</v>
      </c>
      <c r="E2395" s="116">
        <v>4500</v>
      </c>
      <c r="F2395" s="116">
        <v>4506.75</v>
      </c>
      <c r="G2395">
        <v>72249</v>
      </c>
      <c r="H2395" s="116"/>
      <c r="I2395" s="116"/>
      <c r="L2395" s="170">
        <v>45532</v>
      </c>
      <c r="M2395" s="116">
        <v>4506.05</v>
      </c>
      <c r="N2395" s="116">
        <v>4562.5</v>
      </c>
      <c r="O2395" s="116">
        <v>4457.3</v>
      </c>
      <c r="P2395" s="116">
        <v>4498.75</v>
      </c>
      <c r="Q2395" s="116">
        <v>4506.05</v>
      </c>
      <c r="R2395">
        <v>1848058</v>
      </c>
    </row>
    <row r="2396" spans="1:18" x14ac:dyDescent="0.25">
      <c r="A2396" s="170">
        <v>45533</v>
      </c>
      <c r="B2396" s="116">
        <v>4555</v>
      </c>
      <c r="C2396" s="116">
        <v>4510.55</v>
      </c>
      <c r="D2396" s="116">
        <v>4450</v>
      </c>
      <c r="E2396" s="116">
        <v>4450</v>
      </c>
      <c r="F2396" s="116">
        <v>4510.55</v>
      </c>
      <c r="G2396">
        <v>50690</v>
      </c>
      <c r="H2396" s="116"/>
      <c r="I2396" s="116"/>
      <c r="L2396" s="170">
        <v>45533</v>
      </c>
      <c r="M2396" s="116">
        <v>4511.8</v>
      </c>
      <c r="N2396" s="116">
        <v>4556</v>
      </c>
      <c r="O2396" s="116">
        <v>4460</v>
      </c>
      <c r="P2396" s="116">
        <v>4460</v>
      </c>
      <c r="Q2396" s="116">
        <v>4511.8</v>
      </c>
      <c r="R2396">
        <v>2133641</v>
      </c>
    </row>
    <row r="2397" spans="1:18" x14ac:dyDescent="0.25">
      <c r="A2397" s="170">
        <v>45534</v>
      </c>
      <c r="B2397" s="116">
        <v>4580</v>
      </c>
      <c r="C2397" s="116">
        <v>4551.8500000000004</v>
      </c>
      <c r="D2397" s="116">
        <v>4488.7</v>
      </c>
      <c r="E2397" s="116">
        <v>4513.05</v>
      </c>
      <c r="F2397" s="116">
        <v>4551.8500000000004</v>
      </c>
      <c r="G2397">
        <v>141415</v>
      </c>
      <c r="H2397" s="116"/>
      <c r="I2397" s="116"/>
      <c r="L2397" s="170">
        <v>45534</v>
      </c>
      <c r="M2397" s="116">
        <v>4553.75</v>
      </c>
      <c r="N2397" s="116">
        <v>4592.25</v>
      </c>
      <c r="O2397" s="116">
        <v>4487.8</v>
      </c>
      <c r="P2397" s="116">
        <v>4500</v>
      </c>
      <c r="Q2397" s="116">
        <v>4553.75</v>
      </c>
      <c r="R2397">
        <v>3637222</v>
      </c>
    </row>
    <row r="2398" spans="1:18" x14ac:dyDescent="0.25">
      <c r="A2398" s="170">
        <v>45537</v>
      </c>
      <c r="B2398" s="116">
        <v>4585.8999999999996</v>
      </c>
      <c r="C2398" s="116">
        <v>4520.8500000000004</v>
      </c>
      <c r="D2398" s="116">
        <v>4513.75</v>
      </c>
      <c r="E2398" s="116">
        <v>4584.8500000000004</v>
      </c>
      <c r="F2398" s="116">
        <v>4520.8500000000004</v>
      </c>
      <c r="G2398">
        <v>28256</v>
      </c>
      <c r="H2398" s="116"/>
      <c r="I2398" s="116"/>
      <c r="L2398" s="170">
        <v>45537</v>
      </c>
      <c r="M2398" s="116">
        <v>4521.05</v>
      </c>
      <c r="N2398" s="116">
        <v>4588</v>
      </c>
      <c r="O2398" s="116">
        <v>4512</v>
      </c>
      <c r="P2398" s="116">
        <v>4576</v>
      </c>
      <c r="Q2398" s="116">
        <v>4521.05</v>
      </c>
      <c r="R2398">
        <v>1216500</v>
      </c>
    </row>
    <row r="2399" spans="1:18" x14ac:dyDescent="0.25">
      <c r="A2399" s="170">
        <v>45538</v>
      </c>
      <c r="B2399" s="116">
        <v>4555</v>
      </c>
      <c r="C2399" s="116">
        <v>4512.2</v>
      </c>
      <c r="D2399" s="116">
        <v>4495.5</v>
      </c>
      <c r="E2399" s="116">
        <v>4540.1000000000004</v>
      </c>
      <c r="F2399" s="116">
        <v>4512.2</v>
      </c>
      <c r="G2399">
        <v>73169</v>
      </c>
      <c r="H2399" s="116"/>
      <c r="I2399" s="116"/>
      <c r="L2399" s="170">
        <v>45538</v>
      </c>
      <c r="M2399" s="116">
        <v>4512.3500000000004</v>
      </c>
      <c r="N2399" s="116">
        <v>4555.8999999999996</v>
      </c>
      <c r="O2399" s="116">
        <v>4495.8999999999996</v>
      </c>
      <c r="P2399" s="116">
        <v>4521.05</v>
      </c>
      <c r="Q2399" s="116">
        <v>4512.3500000000004</v>
      </c>
      <c r="R2399">
        <v>1717263</v>
      </c>
    </row>
    <row r="2400" spans="1:18" x14ac:dyDescent="0.25">
      <c r="A2400" s="170">
        <v>45539</v>
      </c>
      <c r="B2400" s="116">
        <v>4486.45</v>
      </c>
      <c r="C2400" s="116">
        <v>4479.6499999999996</v>
      </c>
      <c r="D2400" s="116">
        <v>4438.3500000000004</v>
      </c>
      <c r="E2400" s="116">
        <v>4479</v>
      </c>
      <c r="F2400" s="116">
        <v>4479.6499999999996</v>
      </c>
      <c r="G2400">
        <v>91069</v>
      </c>
      <c r="H2400" s="116"/>
      <c r="I2400" s="116"/>
      <c r="L2400" s="170">
        <v>45539</v>
      </c>
      <c r="M2400" s="116">
        <v>4479.25</v>
      </c>
      <c r="N2400" s="116">
        <v>4487</v>
      </c>
      <c r="O2400" s="116">
        <v>4436.7</v>
      </c>
      <c r="P2400" s="116">
        <v>4476.95</v>
      </c>
      <c r="Q2400" s="116">
        <v>4479.25</v>
      </c>
      <c r="R2400">
        <v>1265505</v>
      </c>
    </row>
    <row r="2401" spans="1:18" x14ac:dyDescent="0.25">
      <c r="A2401" s="170">
        <v>45540</v>
      </c>
      <c r="B2401" s="116">
        <v>4498</v>
      </c>
      <c r="C2401" s="116">
        <v>4480.3500000000004</v>
      </c>
      <c r="D2401" s="116">
        <v>4455</v>
      </c>
      <c r="E2401" s="116">
        <v>4484</v>
      </c>
      <c r="F2401" s="116">
        <v>4480.3500000000004</v>
      </c>
      <c r="G2401">
        <v>26026</v>
      </c>
      <c r="H2401" s="116"/>
      <c r="I2401" s="116"/>
      <c r="L2401" s="170">
        <v>45540</v>
      </c>
      <c r="M2401" s="116">
        <v>4475.95</v>
      </c>
      <c r="N2401" s="116">
        <v>4499</v>
      </c>
      <c r="O2401" s="116">
        <v>4454.1499999999996</v>
      </c>
      <c r="P2401" s="116">
        <v>4481</v>
      </c>
      <c r="Q2401" s="116">
        <v>4475.95</v>
      </c>
      <c r="R2401">
        <v>1688793</v>
      </c>
    </row>
    <row r="2402" spans="1:18" x14ac:dyDescent="0.25">
      <c r="A2402" s="170">
        <v>45541</v>
      </c>
      <c r="B2402" s="116">
        <v>4517.8</v>
      </c>
      <c r="C2402" s="116">
        <v>4457.5</v>
      </c>
      <c r="D2402" s="116">
        <v>4440.25</v>
      </c>
      <c r="E2402" s="116">
        <v>4479.95</v>
      </c>
      <c r="F2402" s="116">
        <v>4457.5</v>
      </c>
      <c r="G2402">
        <v>197568</v>
      </c>
      <c r="H2402" s="116"/>
      <c r="I2402" s="116"/>
      <c r="L2402" s="170">
        <v>45541</v>
      </c>
      <c r="M2402" s="116">
        <v>4456.75</v>
      </c>
      <c r="N2402" s="116">
        <v>4518.95</v>
      </c>
      <c r="O2402" s="116">
        <v>4440</v>
      </c>
      <c r="P2402" s="116">
        <v>4473.95</v>
      </c>
      <c r="Q2402" s="116">
        <v>4456.75</v>
      </c>
      <c r="R2402">
        <v>1649179</v>
      </c>
    </row>
    <row r="2403" spans="1:18" x14ac:dyDescent="0.25">
      <c r="A2403" s="170">
        <v>45544</v>
      </c>
      <c r="B2403" s="116">
        <v>4490</v>
      </c>
      <c r="C2403" s="116">
        <v>4453</v>
      </c>
      <c r="D2403" s="116">
        <v>4401.1000000000004</v>
      </c>
      <c r="E2403" s="116">
        <v>4401.1000000000004</v>
      </c>
      <c r="F2403" s="116">
        <v>4453</v>
      </c>
      <c r="G2403">
        <v>39832</v>
      </c>
      <c r="H2403" s="116"/>
      <c r="I2403" s="116"/>
      <c r="L2403" s="170">
        <v>45544</v>
      </c>
      <c r="M2403" s="116">
        <v>4449.55</v>
      </c>
      <c r="N2403" s="116">
        <v>4490.25</v>
      </c>
      <c r="O2403" s="116">
        <v>4430.5</v>
      </c>
      <c r="P2403" s="116">
        <v>4455</v>
      </c>
      <c r="Q2403" s="116">
        <v>4449.55</v>
      </c>
      <c r="R2403">
        <v>1184938</v>
      </c>
    </row>
    <row r="2404" spans="1:18" x14ac:dyDescent="0.25">
      <c r="A2404" s="170">
        <v>45545</v>
      </c>
      <c r="B2404" s="116">
        <v>4539.95</v>
      </c>
      <c r="C2404" s="116">
        <v>4506.8999999999996</v>
      </c>
      <c r="D2404" s="116">
        <v>4441</v>
      </c>
      <c r="E2404" s="116">
        <v>4453</v>
      </c>
      <c r="F2404" s="116">
        <v>4506.8999999999996</v>
      </c>
      <c r="G2404">
        <v>68749</v>
      </c>
      <c r="H2404" s="116"/>
      <c r="I2404" s="116"/>
      <c r="L2404" s="170">
        <v>45545</v>
      </c>
      <c r="M2404" s="116">
        <v>4507.8500000000004</v>
      </c>
      <c r="N2404" s="116">
        <v>4539.95</v>
      </c>
      <c r="O2404" s="116">
        <v>4440.45</v>
      </c>
      <c r="P2404" s="116">
        <v>4442.45</v>
      </c>
      <c r="Q2404" s="116">
        <v>4507.8500000000004</v>
      </c>
      <c r="R2404">
        <v>1385591</v>
      </c>
    </row>
    <row r="2405" spans="1:18" x14ac:dyDescent="0.25">
      <c r="A2405" s="170">
        <v>45546</v>
      </c>
      <c r="B2405" s="116">
        <v>4548</v>
      </c>
      <c r="C2405" s="116">
        <v>4485.25</v>
      </c>
      <c r="D2405" s="116">
        <v>4473.6000000000004</v>
      </c>
      <c r="E2405" s="116">
        <v>4520</v>
      </c>
      <c r="F2405" s="116">
        <v>4485.25</v>
      </c>
      <c r="G2405">
        <v>21662</v>
      </c>
      <c r="H2405" s="116"/>
      <c r="I2405" s="116"/>
      <c r="L2405" s="170">
        <v>45546</v>
      </c>
      <c r="M2405" s="116">
        <v>4479.3500000000004</v>
      </c>
      <c r="N2405" s="116">
        <v>4549.3500000000004</v>
      </c>
      <c r="O2405" s="116">
        <v>4471.25</v>
      </c>
      <c r="P2405" s="116">
        <v>4521.45</v>
      </c>
      <c r="Q2405" s="116">
        <v>4479.3500000000004</v>
      </c>
      <c r="R2405">
        <v>1325919</v>
      </c>
    </row>
    <row r="2406" spans="1:18" x14ac:dyDescent="0.25">
      <c r="A2406" s="170">
        <v>45547</v>
      </c>
      <c r="B2406" s="116">
        <v>4530.2</v>
      </c>
      <c r="C2406" s="116">
        <v>4517.2</v>
      </c>
      <c r="D2406" s="116">
        <v>4431.7</v>
      </c>
      <c r="E2406" s="116">
        <v>4501.55</v>
      </c>
      <c r="F2406" s="116">
        <v>4517.2</v>
      </c>
      <c r="G2406">
        <v>39658</v>
      </c>
      <c r="H2406" s="116"/>
      <c r="I2406" s="116"/>
      <c r="L2406" s="170">
        <v>45547</v>
      </c>
      <c r="M2406" s="116">
        <v>4517.7</v>
      </c>
      <c r="N2406" s="116">
        <v>4532.6000000000004</v>
      </c>
      <c r="O2406" s="116">
        <v>4431.3</v>
      </c>
      <c r="P2406" s="116">
        <v>4510.25</v>
      </c>
      <c r="Q2406" s="116">
        <v>4517.7</v>
      </c>
      <c r="R2406">
        <v>2742216</v>
      </c>
    </row>
    <row r="2407" spans="1:18" x14ac:dyDescent="0.25">
      <c r="A2407" s="170">
        <v>45548</v>
      </c>
      <c r="B2407" s="116">
        <v>4546.5</v>
      </c>
      <c r="C2407" s="116">
        <v>4522.25</v>
      </c>
      <c r="D2407" s="116">
        <v>4505.75</v>
      </c>
      <c r="E2407" s="116">
        <v>4530</v>
      </c>
      <c r="F2407" s="116">
        <v>4522.25</v>
      </c>
      <c r="G2407">
        <v>126778</v>
      </c>
      <c r="H2407" s="116"/>
      <c r="I2407" s="116"/>
      <c r="L2407" s="170">
        <v>45548</v>
      </c>
      <c r="M2407" s="116">
        <v>4522.6000000000004</v>
      </c>
      <c r="N2407" s="116">
        <v>4547</v>
      </c>
      <c r="O2407" s="116">
        <v>4505</v>
      </c>
      <c r="P2407" s="116">
        <v>4530</v>
      </c>
      <c r="Q2407" s="116">
        <v>4522.6000000000004</v>
      </c>
      <c r="R2407">
        <v>1458786</v>
      </c>
    </row>
    <row r="2408" spans="1:18" x14ac:dyDescent="0.25">
      <c r="A2408" s="170">
        <v>45551</v>
      </c>
      <c r="B2408" s="116">
        <v>4544.8</v>
      </c>
      <c r="C2408" s="116">
        <v>4513</v>
      </c>
      <c r="D2408" s="116">
        <v>4495.95</v>
      </c>
      <c r="E2408" s="116">
        <v>4530</v>
      </c>
      <c r="F2408" s="116">
        <v>4513</v>
      </c>
      <c r="G2408">
        <v>16633</v>
      </c>
      <c r="H2408" s="116"/>
      <c r="I2408" s="116"/>
      <c r="L2408" s="170">
        <v>45551</v>
      </c>
      <c r="M2408" s="116">
        <v>4513.25</v>
      </c>
      <c r="N2408" s="116">
        <v>4546.05</v>
      </c>
      <c r="O2408" s="116">
        <v>4494.45</v>
      </c>
      <c r="P2408" s="116">
        <v>4527</v>
      </c>
      <c r="Q2408" s="116">
        <v>4513.25</v>
      </c>
      <c r="R2408">
        <v>1155120</v>
      </c>
    </row>
    <row r="2409" spans="1:18" x14ac:dyDescent="0.25">
      <c r="A2409" s="170">
        <v>45552</v>
      </c>
      <c r="B2409" s="116">
        <v>4535</v>
      </c>
      <c r="C2409" s="116">
        <v>4503.6499999999996</v>
      </c>
      <c r="D2409" s="116">
        <v>4468.75</v>
      </c>
      <c r="E2409" s="116">
        <v>4505.1499999999996</v>
      </c>
      <c r="F2409" s="116">
        <v>4503.6499999999996</v>
      </c>
      <c r="G2409">
        <v>17791</v>
      </c>
      <c r="H2409" s="116"/>
      <c r="I2409" s="116"/>
      <c r="L2409" s="170">
        <v>45552</v>
      </c>
      <c r="M2409" s="116">
        <v>4505.6499999999996</v>
      </c>
      <c r="N2409" s="116">
        <v>4535.8</v>
      </c>
      <c r="O2409" s="116">
        <v>4466</v>
      </c>
      <c r="P2409" s="116">
        <v>4513.25</v>
      </c>
      <c r="Q2409" s="116">
        <v>4505.6499999999996</v>
      </c>
      <c r="R2409">
        <v>1699364</v>
      </c>
    </row>
    <row r="2410" spans="1:18" x14ac:dyDescent="0.25">
      <c r="A2410" s="170">
        <v>45553</v>
      </c>
      <c r="B2410" s="116">
        <v>4516.95</v>
      </c>
      <c r="C2410" s="116">
        <v>4346.6000000000004</v>
      </c>
      <c r="D2410" s="116">
        <v>4321.6499999999996</v>
      </c>
      <c r="E2410" s="116">
        <v>4516.95</v>
      </c>
      <c r="F2410" s="116">
        <v>4346.6000000000004</v>
      </c>
      <c r="G2410">
        <v>68843</v>
      </c>
      <c r="H2410" s="116"/>
      <c r="I2410" s="116"/>
      <c r="L2410" s="170">
        <v>45553</v>
      </c>
      <c r="M2410" s="116">
        <v>4346.1499999999996</v>
      </c>
      <c r="N2410" s="116">
        <v>4497.05</v>
      </c>
      <c r="O2410" s="116">
        <v>4321</v>
      </c>
      <c r="P2410" s="116">
        <v>4497.05</v>
      </c>
      <c r="Q2410" s="116">
        <v>4346.1499999999996</v>
      </c>
      <c r="R2410">
        <v>2961779</v>
      </c>
    </row>
    <row r="2411" spans="1:18" x14ac:dyDescent="0.25">
      <c r="A2411" s="170">
        <v>45554</v>
      </c>
      <c r="B2411" s="116">
        <v>4421</v>
      </c>
      <c r="C2411" s="116">
        <v>4296.8500000000004</v>
      </c>
      <c r="D2411" s="116">
        <v>4282.8999999999996</v>
      </c>
      <c r="E2411" s="116">
        <v>4397.75</v>
      </c>
      <c r="F2411" s="116">
        <v>4296.8500000000004</v>
      </c>
      <c r="G2411">
        <v>81459</v>
      </c>
      <c r="H2411" s="116"/>
      <c r="I2411" s="116"/>
      <c r="L2411" s="170">
        <v>45554</v>
      </c>
      <c r="M2411" s="116">
        <v>4296.1499999999996</v>
      </c>
      <c r="N2411" s="116">
        <v>4422.2</v>
      </c>
      <c r="O2411" s="116">
        <v>4281.8</v>
      </c>
      <c r="P2411" s="116">
        <v>4390.05</v>
      </c>
      <c r="Q2411" s="116">
        <v>4296.1499999999996</v>
      </c>
      <c r="R2411">
        <v>2927551</v>
      </c>
    </row>
    <row r="2412" spans="1:18" x14ac:dyDescent="0.25">
      <c r="A2412" s="170">
        <v>45555</v>
      </c>
      <c r="B2412" s="116">
        <v>4331.2</v>
      </c>
      <c r="C2412" s="116">
        <v>4285.3</v>
      </c>
      <c r="D2412" s="116">
        <v>4226.6000000000004</v>
      </c>
      <c r="E2412" s="116">
        <v>4320.95</v>
      </c>
      <c r="F2412" s="116">
        <v>4285.3</v>
      </c>
      <c r="G2412">
        <v>503940</v>
      </c>
      <c r="H2412" s="116"/>
      <c r="I2412" s="116"/>
      <c r="L2412" s="170">
        <v>45555</v>
      </c>
      <c r="M2412" s="116">
        <v>4284.8999999999996</v>
      </c>
      <c r="N2412" s="116">
        <v>4330.7</v>
      </c>
      <c r="O2412" s="116">
        <v>4227.5</v>
      </c>
      <c r="P2412" s="116">
        <v>4316.8999999999996</v>
      </c>
      <c r="Q2412" s="116">
        <v>4284.8999999999996</v>
      </c>
      <c r="R2412">
        <v>5447908</v>
      </c>
    </row>
    <row r="2413" spans="1:18" x14ac:dyDescent="0.25">
      <c r="A2413" s="170">
        <v>45558</v>
      </c>
      <c r="B2413" s="116">
        <v>4303.95</v>
      </c>
      <c r="C2413" s="116">
        <v>4267.55</v>
      </c>
      <c r="D2413" s="116">
        <v>4252.7</v>
      </c>
      <c r="E2413" s="116">
        <v>4286.05</v>
      </c>
      <c r="F2413" s="116">
        <v>4267.55</v>
      </c>
      <c r="G2413">
        <v>53740</v>
      </c>
      <c r="H2413" s="116"/>
      <c r="I2413" s="116"/>
      <c r="L2413" s="170">
        <v>45558</v>
      </c>
      <c r="M2413" s="116">
        <v>4268.5</v>
      </c>
      <c r="N2413" s="116">
        <v>4309.3999999999996</v>
      </c>
      <c r="O2413" s="116">
        <v>4253</v>
      </c>
      <c r="P2413" s="116">
        <v>4300</v>
      </c>
      <c r="Q2413" s="116">
        <v>4268.5</v>
      </c>
      <c r="R2413">
        <v>1702319</v>
      </c>
    </row>
    <row r="2414" spans="1:18" x14ac:dyDescent="0.25">
      <c r="A2414" s="170">
        <v>45559</v>
      </c>
      <c r="B2414" s="116">
        <v>4290</v>
      </c>
      <c r="C2414" s="116">
        <v>4272.3999999999996</v>
      </c>
      <c r="D2414" s="116">
        <v>4243.3500000000004</v>
      </c>
      <c r="E2414" s="116">
        <v>4264.95</v>
      </c>
      <c r="F2414" s="116">
        <v>4272.3999999999996</v>
      </c>
      <c r="G2414">
        <v>25648</v>
      </c>
      <c r="H2414" s="116"/>
      <c r="I2414" s="116"/>
      <c r="L2414" s="170">
        <v>45559</v>
      </c>
      <c r="M2414" s="116">
        <v>4271.3</v>
      </c>
      <c r="N2414" s="116">
        <v>4291</v>
      </c>
      <c r="O2414" s="116">
        <v>4240</v>
      </c>
      <c r="P2414" s="116">
        <v>4251.6499999999996</v>
      </c>
      <c r="Q2414" s="116">
        <v>4271.3</v>
      </c>
      <c r="R2414">
        <v>3012026</v>
      </c>
    </row>
    <row r="2415" spans="1:18" x14ac:dyDescent="0.25">
      <c r="A2415" s="170">
        <v>45560</v>
      </c>
      <c r="B2415" s="116">
        <v>4289</v>
      </c>
      <c r="C2415" s="116">
        <v>4275.95</v>
      </c>
      <c r="D2415" s="116">
        <v>4240</v>
      </c>
      <c r="E2415" s="116">
        <v>4257.95</v>
      </c>
      <c r="F2415" s="116">
        <v>4275.95</v>
      </c>
      <c r="G2415">
        <v>61267</v>
      </c>
      <c r="H2415" s="116"/>
      <c r="I2415" s="116"/>
      <c r="L2415" s="170">
        <v>45560</v>
      </c>
      <c r="M2415" s="116">
        <v>4274.75</v>
      </c>
      <c r="N2415" s="116">
        <v>4289.6000000000004</v>
      </c>
      <c r="O2415" s="116">
        <v>4240</v>
      </c>
      <c r="P2415" s="116">
        <v>4252.3500000000004</v>
      </c>
      <c r="Q2415" s="116">
        <v>4274.75</v>
      </c>
      <c r="R2415">
        <v>2713073</v>
      </c>
    </row>
    <row r="2416" spans="1:18" x14ac:dyDescent="0.25">
      <c r="A2416" s="170">
        <v>45561</v>
      </c>
      <c r="B2416" s="116">
        <v>4316.3500000000004</v>
      </c>
      <c r="C2416" s="116">
        <v>4291.25</v>
      </c>
      <c r="D2416" s="116">
        <v>4255</v>
      </c>
      <c r="E2416" s="116">
        <v>4255</v>
      </c>
      <c r="F2416" s="116">
        <v>4291.25</v>
      </c>
      <c r="G2416">
        <v>66991</v>
      </c>
      <c r="H2416" s="116"/>
      <c r="I2416" s="116"/>
      <c r="L2416" s="170">
        <v>45561</v>
      </c>
      <c r="M2416" s="116">
        <v>4292.5</v>
      </c>
      <c r="N2416" s="116">
        <v>4316.8</v>
      </c>
      <c r="O2416" s="116">
        <v>4260</v>
      </c>
      <c r="P2416" s="116">
        <v>4260</v>
      </c>
      <c r="Q2416" s="116">
        <v>4292.5</v>
      </c>
      <c r="R2416">
        <v>3964251</v>
      </c>
    </row>
    <row r="2417" spans="1:18" x14ac:dyDescent="0.25">
      <c r="A2417" s="170">
        <v>45562</v>
      </c>
      <c r="B2417" s="116">
        <v>4378.45</v>
      </c>
      <c r="C2417" s="116">
        <v>4309.05</v>
      </c>
      <c r="D2417" s="116">
        <v>4300.1000000000004</v>
      </c>
      <c r="E2417" s="116">
        <v>4343.3500000000004</v>
      </c>
      <c r="F2417" s="116">
        <v>4309.05</v>
      </c>
      <c r="G2417">
        <v>86656</v>
      </c>
      <c r="H2417" s="116"/>
      <c r="I2417" s="116"/>
      <c r="L2417" s="170">
        <v>45562</v>
      </c>
      <c r="M2417" s="116">
        <v>4308.7</v>
      </c>
      <c r="N2417" s="116">
        <v>4378</v>
      </c>
      <c r="O2417" s="116">
        <v>4300.05</v>
      </c>
      <c r="P2417" s="116">
        <v>4335</v>
      </c>
      <c r="Q2417" s="116">
        <v>4308.7</v>
      </c>
      <c r="R2417">
        <v>3012477</v>
      </c>
    </row>
    <row r="2418" spans="1:18" x14ac:dyDescent="0.25">
      <c r="A2418" s="170">
        <v>45565</v>
      </c>
      <c r="B2418" s="116">
        <v>4296.45</v>
      </c>
      <c r="C2418" s="116">
        <v>4268.3999999999996</v>
      </c>
      <c r="D2418" s="116">
        <v>4259.8500000000004</v>
      </c>
      <c r="E2418" s="116">
        <v>4294.95</v>
      </c>
      <c r="F2418" s="116">
        <v>4268.3999999999996</v>
      </c>
      <c r="G2418">
        <v>52596</v>
      </c>
      <c r="H2418" s="116"/>
      <c r="I2418" s="116"/>
      <c r="L2418" s="170">
        <v>45565</v>
      </c>
      <c r="M2418" s="116">
        <v>4268.5</v>
      </c>
      <c r="N2418" s="116">
        <v>4298.75</v>
      </c>
      <c r="O2418" s="116">
        <v>4260.05</v>
      </c>
      <c r="P2418" s="116">
        <v>4286.8999999999996</v>
      </c>
      <c r="Q2418" s="116">
        <v>4268.5</v>
      </c>
      <c r="R2418">
        <v>2503416</v>
      </c>
    </row>
    <row r="2419" spans="1:18" x14ac:dyDescent="0.25">
      <c r="A2419" s="170">
        <v>45566</v>
      </c>
      <c r="B2419" s="116">
        <v>4295.2</v>
      </c>
      <c r="C2419" s="116">
        <v>4286.3</v>
      </c>
      <c r="D2419" s="116">
        <v>4243.1000000000004</v>
      </c>
      <c r="E2419" s="116">
        <v>4255</v>
      </c>
      <c r="F2419" s="116">
        <v>4286.3</v>
      </c>
      <c r="G2419">
        <v>126596</v>
      </c>
      <c r="H2419" s="116"/>
      <c r="I2419" s="116"/>
      <c r="L2419" s="170">
        <v>45566</v>
      </c>
      <c r="M2419" s="116">
        <v>4287.8999999999996</v>
      </c>
      <c r="N2419" s="116">
        <v>4295.75</v>
      </c>
      <c r="O2419" s="116">
        <v>4242.95</v>
      </c>
      <c r="P2419" s="116">
        <v>4255.55</v>
      </c>
      <c r="Q2419" s="116">
        <v>4287.8999999999996</v>
      </c>
      <c r="R2419">
        <v>1823365</v>
      </c>
    </row>
    <row r="2420" spans="1:18" x14ac:dyDescent="0.25">
      <c r="A2420" s="170">
        <v>45568</v>
      </c>
      <c r="B2420" s="116">
        <v>4277.95</v>
      </c>
      <c r="C2420" s="116">
        <v>4232.3999999999996</v>
      </c>
      <c r="D2420" s="116">
        <v>4209.3</v>
      </c>
      <c r="E2420" s="116">
        <v>4277.95</v>
      </c>
      <c r="F2420" s="116">
        <v>4232.3999999999996</v>
      </c>
      <c r="G2420">
        <v>89286</v>
      </c>
      <c r="H2420" s="116"/>
      <c r="I2420" s="116"/>
      <c r="L2420" s="170">
        <v>45568</v>
      </c>
      <c r="M2420" s="116">
        <v>4232.75</v>
      </c>
      <c r="N2420" s="116">
        <v>4279</v>
      </c>
      <c r="O2420" s="116">
        <v>4210</v>
      </c>
      <c r="P2420" s="116">
        <v>4262.6000000000004</v>
      </c>
      <c r="Q2420" s="116">
        <v>4232.75</v>
      </c>
      <c r="R2420">
        <v>3350119</v>
      </c>
    </row>
    <row r="2421" spans="1:18" x14ac:dyDescent="0.25">
      <c r="A2421" s="170">
        <v>45569</v>
      </c>
      <c r="B2421" s="116">
        <v>4299</v>
      </c>
      <c r="C2421" s="116">
        <v>4249.1000000000004</v>
      </c>
      <c r="D2421" s="116">
        <v>4224.6499999999996</v>
      </c>
      <c r="E2421" s="116">
        <v>4225</v>
      </c>
      <c r="F2421" s="116">
        <v>4249.1000000000004</v>
      </c>
      <c r="G2421">
        <v>226516</v>
      </c>
      <c r="H2421" s="116"/>
      <c r="I2421" s="116"/>
      <c r="L2421" s="170">
        <v>45569</v>
      </c>
      <c r="M2421" s="116">
        <v>4252.25</v>
      </c>
      <c r="N2421" s="116">
        <v>4298</v>
      </c>
      <c r="O2421" s="116">
        <v>4224.05</v>
      </c>
      <c r="P2421" s="116">
        <v>4225</v>
      </c>
      <c r="Q2421" s="116">
        <v>4252.25</v>
      </c>
      <c r="R2421">
        <v>2965463</v>
      </c>
    </row>
    <row r="2422" spans="1:18" x14ac:dyDescent="0.25">
      <c r="A2422" s="170">
        <v>45572</v>
      </c>
      <c r="B2422" s="116">
        <v>4297.25</v>
      </c>
      <c r="C2422" s="116">
        <v>4272.25</v>
      </c>
      <c r="D2422" s="116">
        <v>4229</v>
      </c>
      <c r="E2422" s="116">
        <v>4265.05</v>
      </c>
      <c r="F2422" s="116">
        <v>4272.25</v>
      </c>
      <c r="G2422">
        <v>95249</v>
      </c>
      <c r="H2422" s="116"/>
      <c r="I2422" s="116"/>
      <c r="L2422" s="170">
        <v>45572</v>
      </c>
      <c r="M2422" s="116">
        <v>4272.8500000000004</v>
      </c>
      <c r="N2422" s="116">
        <v>4297.25</v>
      </c>
      <c r="O2422" s="116">
        <v>4229.3999999999996</v>
      </c>
      <c r="P2422" s="116">
        <v>4273.8999999999996</v>
      </c>
      <c r="Q2422" s="116">
        <v>4272.8500000000004</v>
      </c>
      <c r="R2422">
        <v>1472619</v>
      </c>
    </row>
    <row r="2423" spans="1:18" x14ac:dyDescent="0.25">
      <c r="A2423" s="170">
        <v>45573</v>
      </c>
      <c r="B2423" s="116">
        <v>4272.8500000000004</v>
      </c>
      <c r="C2423" s="116">
        <v>4251.3</v>
      </c>
      <c r="D2423" s="116">
        <v>4205</v>
      </c>
      <c r="E2423" s="116">
        <v>4270.8500000000004</v>
      </c>
      <c r="F2423" s="116">
        <v>4251.3</v>
      </c>
      <c r="G2423">
        <v>48326</v>
      </c>
      <c r="H2423" s="116"/>
      <c r="I2423" s="116"/>
      <c r="L2423" s="170">
        <v>45573</v>
      </c>
      <c r="M2423" s="116">
        <v>4253.25</v>
      </c>
      <c r="N2423" s="116">
        <v>4279.3999999999996</v>
      </c>
      <c r="O2423" s="116">
        <v>4203.95</v>
      </c>
      <c r="P2423" s="116">
        <v>4272.6000000000004</v>
      </c>
      <c r="Q2423" s="116">
        <v>4253.25</v>
      </c>
      <c r="R2423">
        <v>1541867</v>
      </c>
    </row>
    <row r="2424" spans="1:18" x14ac:dyDescent="0.25">
      <c r="A2424" s="170">
        <v>45574</v>
      </c>
      <c r="B2424" s="116">
        <v>4295</v>
      </c>
      <c r="C2424" s="116">
        <v>4252.3</v>
      </c>
      <c r="D2424" s="116">
        <v>4245.6499999999996</v>
      </c>
      <c r="E2424" s="116">
        <v>4274.6499999999996</v>
      </c>
      <c r="F2424" s="116">
        <v>4252.3</v>
      </c>
      <c r="G2424">
        <v>24745</v>
      </c>
      <c r="H2424" s="116"/>
      <c r="I2424" s="116"/>
      <c r="L2424" s="170">
        <v>45574</v>
      </c>
      <c r="M2424" s="116">
        <v>4252.95</v>
      </c>
      <c r="N2424" s="116">
        <v>4295</v>
      </c>
      <c r="O2424" s="116">
        <v>4246.7</v>
      </c>
      <c r="P2424" s="116">
        <v>4260</v>
      </c>
      <c r="Q2424" s="116">
        <v>4252.95</v>
      </c>
      <c r="R2424">
        <v>1082504</v>
      </c>
    </row>
    <row r="2425" spans="1:18" x14ac:dyDescent="0.25">
      <c r="A2425" s="170">
        <v>45575</v>
      </c>
      <c r="B2425" s="116">
        <v>4293.3</v>
      </c>
      <c r="C2425" s="116">
        <v>4228.3999999999996</v>
      </c>
      <c r="D2425" s="116">
        <v>4200</v>
      </c>
      <c r="E2425" s="116">
        <v>4248.05</v>
      </c>
      <c r="F2425" s="116">
        <v>4228.3999999999996</v>
      </c>
      <c r="G2425">
        <v>48517</v>
      </c>
      <c r="H2425" s="116"/>
      <c r="I2425" s="116"/>
      <c r="L2425" s="170">
        <v>45575</v>
      </c>
      <c r="M2425" s="116">
        <v>4227.3999999999996</v>
      </c>
      <c r="N2425" s="116">
        <v>4293.8500000000004</v>
      </c>
      <c r="O2425" s="116">
        <v>4198.6000000000004</v>
      </c>
      <c r="P2425" s="116">
        <v>4253.25</v>
      </c>
      <c r="Q2425" s="116">
        <v>4227.3999999999996</v>
      </c>
      <c r="R2425">
        <v>2378875</v>
      </c>
    </row>
    <row r="2426" spans="1:18" x14ac:dyDescent="0.25">
      <c r="A2426" s="170">
        <v>45576</v>
      </c>
      <c r="B2426" s="116">
        <v>4240</v>
      </c>
      <c r="C2426" s="116">
        <v>4150.6000000000004</v>
      </c>
      <c r="D2426" s="116">
        <v>4112.6499999999996</v>
      </c>
      <c r="E2426" s="116">
        <v>4140</v>
      </c>
      <c r="F2426" s="116">
        <v>4150.6000000000004</v>
      </c>
      <c r="G2426">
        <v>285561</v>
      </c>
      <c r="H2426" s="116"/>
      <c r="I2426" s="116"/>
      <c r="L2426" s="170">
        <v>45576</v>
      </c>
      <c r="M2426" s="116">
        <v>4149.2</v>
      </c>
      <c r="N2426" s="116">
        <v>4241.95</v>
      </c>
      <c r="O2426" s="116">
        <v>4112.45</v>
      </c>
      <c r="P2426" s="116">
        <v>4143</v>
      </c>
      <c r="Q2426" s="116">
        <v>4149.2</v>
      </c>
      <c r="R2426">
        <v>5759183</v>
      </c>
    </row>
    <row r="2427" spans="1:18" x14ac:dyDescent="0.25">
      <c r="A2427" s="170">
        <v>45579</v>
      </c>
      <c r="B2427" s="116">
        <v>4166.3999999999996</v>
      </c>
      <c r="C2427" s="116">
        <v>4136.6499999999996</v>
      </c>
      <c r="D2427" s="116">
        <v>4121.95</v>
      </c>
      <c r="E2427" s="116">
        <v>4145</v>
      </c>
      <c r="F2427" s="116">
        <v>4136.6499999999996</v>
      </c>
      <c r="G2427">
        <v>54607</v>
      </c>
      <c r="H2427" s="116"/>
      <c r="I2427" s="116"/>
      <c r="L2427" s="170">
        <v>45579</v>
      </c>
      <c r="M2427" s="116">
        <v>4136.6499999999996</v>
      </c>
      <c r="N2427" s="116">
        <v>4165.3999999999996</v>
      </c>
      <c r="O2427" s="116">
        <v>4122.2</v>
      </c>
      <c r="P2427" s="116">
        <v>4140</v>
      </c>
      <c r="Q2427" s="116">
        <v>4136.6499999999996</v>
      </c>
      <c r="R2427">
        <v>2137590</v>
      </c>
    </row>
    <row r="2428" spans="1:18" x14ac:dyDescent="0.25">
      <c r="A2428" s="170">
        <v>45580</v>
      </c>
      <c r="B2428" s="116">
        <v>4169</v>
      </c>
      <c r="C2428" s="116">
        <v>4117.5</v>
      </c>
      <c r="D2428" s="116">
        <v>4095.5</v>
      </c>
      <c r="E2428" s="116">
        <v>4145</v>
      </c>
      <c r="F2428" s="116">
        <v>4117.5</v>
      </c>
      <c r="G2428">
        <v>120743</v>
      </c>
      <c r="H2428" s="116"/>
      <c r="I2428" s="116"/>
      <c r="L2428" s="170">
        <v>45580</v>
      </c>
      <c r="M2428" s="116">
        <v>4116.8</v>
      </c>
      <c r="N2428" s="116">
        <v>4169.95</v>
      </c>
      <c r="O2428" s="116">
        <v>4095</v>
      </c>
      <c r="P2428" s="116">
        <v>4131.05</v>
      </c>
      <c r="Q2428" s="116">
        <v>4116.8</v>
      </c>
      <c r="R2428">
        <v>2759474</v>
      </c>
    </row>
    <row r="2429" spans="1:18" x14ac:dyDescent="0.25">
      <c r="A2429" s="170">
        <v>45581</v>
      </c>
      <c r="B2429" s="116">
        <v>4114.6000000000004</v>
      </c>
      <c r="C2429" s="116">
        <v>4094.8</v>
      </c>
      <c r="D2429" s="116">
        <v>4068.3</v>
      </c>
      <c r="E2429" s="116">
        <v>4077.5</v>
      </c>
      <c r="F2429" s="116">
        <v>4094.8</v>
      </c>
      <c r="G2429">
        <v>97300</v>
      </c>
      <c r="H2429" s="116"/>
      <c r="I2429" s="116"/>
      <c r="L2429" s="170">
        <v>45581</v>
      </c>
      <c r="M2429" s="116">
        <v>4094.95</v>
      </c>
      <c r="N2429" s="116">
        <v>4115</v>
      </c>
      <c r="O2429" s="116">
        <v>4067.2</v>
      </c>
      <c r="P2429" s="116">
        <v>4085</v>
      </c>
      <c r="Q2429" s="116">
        <v>4094.95</v>
      </c>
      <c r="R2429">
        <v>2359151</v>
      </c>
    </row>
    <row r="2430" spans="1:18" x14ac:dyDescent="0.25">
      <c r="A2430" s="170">
        <v>45582</v>
      </c>
      <c r="B2430" s="116">
        <v>4129</v>
      </c>
      <c r="C2430" s="116">
        <v>4106.2</v>
      </c>
      <c r="D2430" s="116">
        <v>4092.25</v>
      </c>
      <c r="E2430" s="116">
        <v>4118.75</v>
      </c>
      <c r="F2430" s="116">
        <v>4106.2</v>
      </c>
      <c r="G2430">
        <v>70673</v>
      </c>
      <c r="H2430" s="116"/>
      <c r="I2430" s="116"/>
      <c r="L2430" s="170">
        <v>45582</v>
      </c>
      <c r="M2430" s="116">
        <v>4109</v>
      </c>
      <c r="N2430" s="116">
        <v>4129.95</v>
      </c>
      <c r="O2430" s="116">
        <v>4092.95</v>
      </c>
      <c r="P2430" s="116">
        <v>4112.8</v>
      </c>
      <c r="Q2430" s="116">
        <v>4109</v>
      </c>
      <c r="R2430">
        <v>2522659</v>
      </c>
    </row>
    <row r="2431" spans="1:18" x14ac:dyDescent="0.25">
      <c r="A2431" s="170">
        <v>45583</v>
      </c>
      <c r="B2431" s="116">
        <v>4146.1000000000004</v>
      </c>
      <c r="C2431" s="116">
        <v>4121.8500000000004</v>
      </c>
      <c r="D2431" s="116">
        <v>4090</v>
      </c>
      <c r="E2431" s="116">
        <v>4109</v>
      </c>
      <c r="F2431" s="116">
        <v>4121.8500000000004</v>
      </c>
      <c r="G2431">
        <v>151716</v>
      </c>
      <c r="H2431" s="116"/>
      <c r="I2431" s="116"/>
      <c r="L2431" s="170">
        <v>45583</v>
      </c>
      <c r="M2431" s="116">
        <v>4123.05</v>
      </c>
      <c r="N2431" s="116">
        <v>4146.1499999999996</v>
      </c>
      <c r="O2431" s="116">
        <v>4080</v>
      </c>
      <c r="P2431" s="116">
        <v>4090</v>
      </c>
      <c r="Q2431" s="116">
        <v>4123.05</v>
      </c>
      <c r="R2431">
        <v>2361000</v>
      </c>
    </row>
    <row r="2432" spans="1:18" x14ac:dyDescent="0.25">
      <c r="A2432" s="170">
        <v>45586</v>
      </c>
      <c r="B2432" s="116">
        <v>4138.1499999999996</v>
      </c>
      <c r="C2432" s="116">
        <v>4078.3</v>
      </c>
      <c r="D2432" s="116">
        <v>4062.85</v>
      </c>
      <c r="E2432" s="116">
        <v>4125.05</v>
      </c>
      <c r="F2432" s="116">
        <v>4078.3</v>
      </c>
      <c r="G2432">
        <v>49298</v>
      </c>
      <c r="H2432" s="116"/>
      <c r="I2432" s="116"/>
      <c r="L2432" s="170">
        <v>45586</v>
      </c>
      <c r="M2432" s="116">
        <v>4079.85</v>
      </c>
      <c r="N2432" s="116">
        <v>4139.95</v>
      </c>
      <c r="O2432" s="116">
        <v>4070</v>
      </c>
      <c r="P2432" s="116">
        <v>4132.6000000000004</v>
      </c>
      <c r="Q2432" s="116">
        <v>4079.85</v>
      </c>
      <c r="R2432">
        <v>1595450</v>
      </c>
    </row>
    <row r="2433" spans="1:18" x14ac:dyDescent="0.25">
      <c r="A2433" s="170">
        <v>45587</v>
      </c>
      <c r="B2433" s="116">
        <v>4090</v>
      </c>
      <c r="C2433" s="116">
        <v>4015.8</v>
      </c>
      <c r="D2433" s="116">
        <v>4008</v>
      </c>
      <c r="E2433" s="116">
        <v>4054.05</v>
      </c>
      <c r="F2433" s="116">
        <v>4015.8</v>
      </c>
      <c r="G2433">
        <v>44932</v>
      </c>
      <c r="H2433" s="116"/>
      <c r="I2433" s="116"/>
      <c r="L2433" s="170">
        <v>45587</v>
      </c>
      <c r="M2433" s="116">
        <v>4015.5</v>
      </c>
      <c r="N2433" s="116">
        <v>4089.8</v>
      </c>
      <c r="O2433" s="116">
        <v>4006.35</v>
      </c>
      <c r="P2433" s="116">
        <v>4066</v>
      </c>
      <c r="Q2433" s="116">
        <v>4015.5</v>
      </c>
      <c r="R2433">
        <v>1928049</v>
      </c>
    </row>
    <row r="2434" spans="1:18" x14ac:dyDescent="0.25">
      <c r="A2434" s="170">
        <v>45588</v>
      </c>
      <c r="B2434" s="116">
        <v>4113.6499999999996</v>
      </c>
      <c r="C2434" s="116">
        <v>4066.75</v>
      </c>
      <c r="D2434" s="116">
        <v>3986.55</v>
      </c>
      <c r="E2434" s="116">
        <v>3986.55</v>
      </c>
      <c r="F2434" s="116">
        <v>4066.75</v>
      </c>
      <c r="G2434">
        <v>70857</v>
      </c>
      <c r="H2434" s="116"/>
      <c r="I2434" s="116"/>
      <c r="L2434" s="170">
        <v>45588</v>
      </c>
      <c r="M2434" s="116">
        <v>4066.25</v>
      </c>
      <c r="N2434" s="116">
        <v>4113.55</v>
      </c>
      <c r="O2434" s="116">
        <v>3995.15</v>
      </c>
      <c r="P2434" s="116">
        <v>3999.6</v>
      </c>
      <c r="Q2434" s="116">
        <v>4066.25</v>
      </c>
      <c r="R2434">
        <v>1966476</v>
      </c>
    </row>
    <row r="2435" spans="1:18" x14ac:dyDescent="0.25">
      <c r="A2435" s="170">
        <v>45589</v>
      </c>
      <c r="B2435" s="116">
        <v>4075.6</v>
      </c>
      <c r="C2435" s="116">
        <v>4048.15</v>
      </c>
      <c r="D2435" s="116">
        <v>4016.35</v>
      </c>
      <c r="E2435" s="116">
        <v>4016.35</v>
      </c>
      <c r="F2435" s="116">
        <v>4048.15</v>
      </c>
      <c r="G2435">
        <v>41480</v>
      </c>
      <c r="H2435" s="116"/>
      <c r="I2435" s="116"/>
      <c r="L2435" s="170">
        <v>45589</v>
      </c>
      <c r="M2435" s="116">
        <v>4047.9</v>
      </c>
      <c r="N2435" s="116">
        <v>4079</v>
      </c>
      <c r="O2435" s="116">
        <v>4004</v>
      </c>
      <c r="P2435" s="116">
        <v>4004</v>
      </c>
      <c r="Q2435" s="116">
        <v>4047.9</v>
      </c>
      <c r="R2435">
        <v>2676744</v>
      </c>
    </row>
    <row r="2436" spans="1:18" x14ac:dyDescent="0.25">
      <c r="A2436" s="170">
        <v>45590</v>
      </c>
      <c r="B2436" s="116">
        <v>4091.75</v>
      </c>
      <c r="C2436" s="116">
        <v>4057.9</v>
      </c>
      <c r="D2436" s="116">
        <v>4034</v>
      </c>
      <c r="E2436" s="116">
        <v>4069.9</v>
      </c>
      <c r="F2436" s="116">
        <v>4057.9</v>
      </c>
      <c r="G2436">
        <v>142063</v>
      </c>
      <c r="H2436" s="116"/>
      <c r="I2436" s="116"/>
      <c r="L2436" s="170">
        <v>45590</v>
      </c>
      <c r="M2436" s="116">
        <v>4057.55</v>
      </c>
      <c r="N2436" s="116">
        <v>4092</v>
      </c>
      <c r="O2436" s="116">
        <v>4032.7</v>
      </c>
      <c r="P2436" s="116">
        <v>4057.05</v>
      </c>
      <c r="Q2436" s="116">
        <v>4057.55</v>
      </c>
      <c r="R2436">
        <v>1759676</v>
      </c>
    </row>
    <row r="2437" spans="1:18" x14ac:dyDescent="0.25">
      <c r="A2437" s="170">
        <v>45593</v>
      </c>
      <c r="B2437" s="116">
        <v>4133</v>
      </c>
      <c r="C2437" s="116">
        <v>4093.05</v>
      </c>
      <c r="D2437" s="116">
        <v>4051.05</v>
      </c>
      <c r="E2437" s="116">
        <v>4058.05</v>
      </c>
      <c r="F2437" s="116">
        <v>4093.05</v>
      </c>
      <c r="G2437">
        <v>77086</v>
      </c>
      <c r="H2437" s="116"/>
      <c r="I2437" s="116"/>
      <c r="L2437" s="170">
        <v>45593</v>
      </c>
      <c r="M2437" s="116">
        <v>4090.85</v>
      </c>
      <c r="N2437" s="116">
        <v>4134</v>
      </c>
      <c r="O2437" s="116">
        <v>4051</v>
      </c>
      <c r="P2437" s="116">
        <v>4068.95</v>
      </c>
      <c r="Q2437" s="116">
        <v>4090.85</v>
      </c>
      <c r="R2437">
        <v>1532534</v>
      </c>
    </row>
    <row r="2438" spans="1:18" x14ac:dyDescent="0.25">
      <c r="A2438" s="170">
        <v>45594</v>
      </c>
      <c r="B2438" s="116">
        <v>4101</v>
      </c>
      <c r="C2438" s="116">
        <v>4077.15</v>
      </c>
      <c r="D2438" s="116">
        <v>4059.55</v>
      </c>
      <c r="E2438" s="116">
        <v>4090.05</v>
      </c>
      <c r="F2438" s="116">
        <v>4077.15</v>
      </c>
      <c r="G2438">
        <v>100517</v>
      </c>
      <c r="H2438" s="116"/>
      <c r="I2438" s="116"/>
      <c r="L2438" s="170">
        <v>45594</v>
      </c>
      <c r="M2438" s="116">
        <v>4075.25</v>
      </c>
      <c r="N2438" s="116">
        <v>4103.5</v>
      </c>
      <c r="O2438" s="116">
        <v>4060.1</v>
      </c>
      <c r="P2438" s="116">
        <v>4095.85</v>
      </c>
      <c r="Q2438" s="116">
        <v>4075.25</v>
      </c>
      <c r="R2438">
        <v>1445885</v>
      </c>
    </row>
    <row r="2439" spans="1:18" x14ac:dyDescent="0.25">
      <c r="A2439" s="170">
        <v>45595</v>
      </c>
      <c r="B2439" s="116">
        <v>4107.8</v>
      </c>
      <c r="C2439" s="116">
        <v>4085.6</v>
      </c>
      <c r="D2439" s="116">
        <v>4061.05</v>
      </c>
      <c r="E2439" s="116">
        <v>4099.95</v>
      </c>
      <c r="F2439" s="116">
        <v>4085.6</v>
      </c>
      <c r="G2439">
        <v>39289</v>
      </c>
      <c r="H2439" s="116"/>
      <c r="I2439" s="116"/>
      <c r="L2439" s="170">
        <v>45595</v>
      </c>
      <c r="M2439" s="116">
        <v>4084.65</v>
      </c>
      <c r="N2439" s="116">
        <v>4107</v>
      </c>
      <c r="O2439" s="116">
        <v>4060.05</v>
      </c>
      <c r="P2439" s="116">
        <v>4075</v>
      </c>
      <c r="Q2439" s="116">
        <v>4084.65</v>
      </c>
      <c r="R2439">
        <v>1935002</v>
      </c>
    </row>
    <row r="2440" spans="1:18" x14ac:dyDescent="0.25">
      <c r="A2440" s="170">
        <v>45596</v>
      </c>
      <c r="B2440" s="116">
        <v>4079.95</v>
      </c>
      <c r="C2440" s="116">
        <v>3971.25</v>
      </c>
      <c r="D2440" s="116">
        <v>3959</v>
      </c>
      <c r="E2440" s="116">
        <v>4058.45</v>
      </c>
      <c r="F2440" s="116">
        <v>3971.25</v>
      </c>
      <c r="G2440">
        <v>417913</v>
      </c>
      <c r="H2440" s="116"/>
      <c r="I2440" s="116"/>
      <c r="L2440" s="170">
        <v>45596</v>
      </c>
      <c r="M2440" s="116">
        <v>3968.45</v>
      </c>
      <c r="N2440" s="116">
        <v>4078.3</v>
      </c>
      <c r="O2440" s="116">
        <v>3960</v>
      </c>
      <c r="P2440" s="116">
        <v>4070</v>
      </c>
      <c r="Q2440" s="116">
        <v>3968.45</v>
      </c>
      <c r="R2440">
        <v>3740372</v>
      </c>
    </row>
    <row r="2441" spans="1:18" x14ac:dyDescent="0.25">
      <c r="A2441" s="170">
        <v>45597</v>
      </c>
      <c r="B2441" s="116">
        <v>3996</v>
      </c>
      <c r="C2441" s="116">
        <v>3985.4</v>
      </c>
      <c r="D2441" s="116">
        <v>3979.75</v>
      </c>
      <c r="E2441" s="116">
        <v>3992.95</v>
      </c>
      <c r="F2441" s="116">
        <v>3985.4</v>
      </c>
      <c r="G2441">
        <v>17194</v>
      </c>
      <c r="H2441" s="116"/>
      <c r="I2441" s="116"/>
      <c r="L2441" s="170">
        <v>45597</v>
      </c>
      <c r="M2441" s="116">
        <v>3984.2</v>
      </c>
      <c r="N2441" s="116">
        <v>3998.95</v>
      </c>
      <c r="O2441" s="116">
        <v>3976.05</v>
      </c>
      <c r="P2441" s="116">
        <v>3989.85</v>
      </c>
      <c r="Q2441" s="116">
        <v>3984.2</v>
      </c>
      <c r="R2441">
        <v>154895</v>
      </c>
    </row>
    <row r="2442" spans="1:18" x14ac:dyDescent="0.25">
      <c r="A2442" s="170">
        <v>45600</v>
      </c>
      <c r="B2442" s="116">
        <v>3986.25</v>
      </c>
      <c r="C2442" s="116">
        <v>3962.4</v>
      </c>
      <c r="D2442" s="116">
        <v>3915</v>
      </c>
      <c r="E2442" s="116">
        <v>3969.95</v>
      </c>
      <c r="F2442" s="116">
        <v>3962.4</v>
      </c>
      <c r="G2442">
        <v>69842</v>
      </c>
      <c r="H2442" s="116"/>
      <c r="I2442" s="116"/>
      <c r="L2442" s="170">
        <v>45600</v>
      </c>
      <c r="M2442" s="116">
        <v>3964.15</v>
      </c>
      <c r="N2442" s="116">
        <v>3991.9</v>
      </c>
      <c r="O2442" s="116">
        <v>3913.25</v>
      </c>
      <c r="P2442" s="116">
        <v>3966.3</v>
      </c>
      <c r="Q2442" s="116">
        <v>3964.15</v>
      </c>
      <c r="R2442">
        <v>2269192</v>
      </c>
    </row>
    <row r="2443" spans="1:18" x14ac:dyDescent="0.25">
      <c r="A2443" s="170">
        <v>45601</v>
      </c>
      <c r="B2443" s="116">
        <v>3985.5</v>
      </c>
      <c r="C2443" s="116">
        <v>3971.75</v>
      </c>
      <c r="D2443" s="116">
        <v>3947.35</v>
      </c>
      <c r="E2443" s="116">
        <v>3950</v>
      </c>
      <c r="F2443" s="116">
        <v>3971.75</v>
      </c>
      <c r="G2443">
        <v>26841</v>
      </c>
      <c r="H2443" s="116"/>
      <c r="I2443" s="116"/>
      <c r="L2443" s="170">
        <v>45601</v>
      </c>
      <c r="M2443" s="116">
        <v>3971.35</v>
      </c>
      <c r="N2443" s="116">
        <v>3986</v>
      </c>
      <c r="O2443" s="116">
        <v>3941.1</v>
      </c>
      <c r="P2443" s="116">
        <v>3941.1</v>
      </c>
      <c r="Q2443" s="116">
        <v>3971.35</v>
      </c>
      <c r="R2443">
        <v>967590</v>
      </c>
    </row>
    <row r="2444" spans="1:18" x14ac:dyDescent="0.25">
      <c r="A2444" s="170">
        <v>45602</v>
      </c>
      <c r="B2444" s="116">
        <v>4149.8</v>
      </c>
      <c r="C2444" s="116">
        <v>4138.8</v>
      </c>
      <c r="D2444" s="116">
        <v>3977</v>
      </c>
      <c r="E2444" s="116">
        <v>4000.05</v>
      </c>
      <c r="F2444" s="116">
        <v>4138.8</v>
      </c>
      <c r="G2444">
        <v>426912</v>
      </c>
      <c r="H2444" s="116"/>
      <c r="I2444" s="116"/>
      <c r="L2444" s="170">
        <v>45602</v>
      </c>
      <c r="M2444" s="116">
        <v>4139.6499999999996</v>
      </c>
      <c r="N2444" s="116">
        <v>4149.8</v>
      </c>
      <c r="O2444" s="116">
        <v>3975.25</v>
      </c>
      <c r="P2444" s="116">
        <v>4003.6</v>
      </c>
      <c r="Q2444" s="116">
        <v>4139.6499999999996</v>
      </c>
      <c r="R2444">
        <v>3792017</v>
      </c>
    </row>
    <row r="2445" spans="1:18" x14ac:dyDescent="0.25">
      <c r="A2445" s="170">
        <v>45603</v>
      </c>
      <c r="B2445" s="116">
        <v>4205.25</v>
      </c>
      <c r="C2445" s="116">
        <v>4149.3999999999996</v>
      </c>
      <c r="D2445" s="116">
        <v>4085.05</v>
      </c>
      <c r="E2445" s="116">
        <v>4184</v>
      </c>
      <c r="F2445" s="116">
        <v>4149.3999999999996</v>
      </c>
      <c r="G2445">
        <v>44655</v>
      </c>
      <c r="H2445" s="116"/>
      <c r="I2445" s="116"/>
      <c r="L2445" s="170">
        <v>45603</v>
      </c>
      <c r="M2445" s="116">
        <v>4150.8999999999996</v>
      </c>
      <c r="N2445" s="116">
        <v>4205.8</v>
      </c>
      <c r="O2445" s="116">
        <v>4085.05</v>
      </c>
      <c r="P2445" s="116">
        <v>4169.7</v>
      </c>
      <c r="Q2445" s="116">
        <v>4150.8999999999996</v>
      </c>
      <c r="R2445">
        <v>3724349</v>
      </c>
    </row>
    <row r="2446" spans="1:18" x14ac:dyDescent="0.25">
      <c r="A2446" s="170">
        <v>45604</v>
      </c>
      <c r="B2446" s="116">
        <v>4169.1499999999996</v>
      </c>
      <c r="C2446" s="116">
        <v>4145</v>
      </c>
      <c r="D2446" s="116">
        <v>4119.7</v>
      </c>
      <c r="E2446" s="116">
        <v>4158.95</v>
      </c>
      <c r="F2446" s="116">
        <v>4145</v>
      </c>
      <c r="G2446">
        <v>114003</v>
      </c>
      <c r="H2446" s="116"/>
      <c r="I2446" s="116"/>
      <c r="L2446" s="170">
        <v>45604</v>
      </c>
      <c r="M2446" s="116">
        <v>4147</v>
      </c>
      <c r="N2446" s="116">
        <v>4169.75</v>
      </c>
      <c r="O2446" s="116">
        <v>4117.6499999999996</v>
      </c>
      <c r="P2446" s="116">
        <v>4155</v>
      </c>
      <c r="Q2446" s="116">
        <v>4147</v>
      </c>
      <c r="R2446">
        <v>1648039</v>
      </c>
    </row>
    <row r="2447" spans="1:18" x14ac:dyDescent="0.25">
      <c r="A2447" s="170">
        <v>45607</v>
      </c>
      <c r="B2447" s="116">
        <v>4233.8500000000004</v>
      </c>
      <c r="C2447" s="116">
        <v>4195.05</v>
      </c>
      <c r="D2447" s="116">
        <v>4119</v>
      </c>
      <c r="E2447" s="116">
        <v>4134.95</v>
      </c>
      <c r="F2447" s="116">
        <v>4195.05</v>
      </c>
      <c r="G2447">
        <v>37213</v>
      </c>
      <c r="H2447" s="116"/>
      <c r="I2447" s="116"/>
      <c r="L2447" s="170">
        <v>45607</v>
      </c>
      <c r="M2447" s="116">
        <v>4198.7</v>
      </c>
      <c r="N2447" s="116">
        <v>4234.3</v>
      </c>
      <c r="O2447" s="116">
        <v>4117.6499999999996</v>
      </c>
      <c r="P2447" s="116">
        <v>4128.2</v>
      </c>
      <c r="Q2447" s="116">
        <v>4198.7</v>
      </c>
      <c r="R2447">
        <v>1406487</v>
      </c>
    </row>
    <row r="2448" spans="1:18" x14ac:dyDescent="0.25">
      <c r="A2448" s="170">
        <v>45608</v>
      </c>
      <c r="B2448" s="116">
        <v>4214</v>
      </c>
      <c r="C2448" s="116">
        <v>4195.95</v>
      </c>
      <c r="D2448" s="116">
        <v>4165</v>
      </c>
      <c r="E2448" s="116">
        <v>4200.1499999999996</v>
      </c>
      <c r="F2448" s="116">
        <v>4195.95</v>
      </c>
      <c r="G2448">
        <v>27766</v>
      </c>
      <c r="H2448" s="116"/>
      <c r="I2448" s="116"/>
      <c r="L2448" s="170">
        <v>45608</v>
      </c>
      <c r="M2448" s="116">
        <v>4197.3999999999996</v>
      </c>
      <c r="N2448" s="116">
        <v>4218</v>
      </c>
      <c r="O2448" s="116">
        <v>4164.3500000000004</v>
      </c>
      <c r="P2448" s="116">
        <v>4216</v>
      </c>
      <c r="Q2448" s="116">
        <v>4197.3999999999996</v>
      </c>
      <c r="R2448">
        <v>1587640</v>
      </c>
    </row>
    <row r="2449" spans="1:18" x14ac:dyDescent="0.25">
      <c r="A2449" s="170">
        <v>45609</v>
      </c>
      <c r="B2449" s="116">
        <v>4195</v>
      </c>
      <c r="C2449" s="116">
        <v>4149.05</v>
      </c>
      <c r="D2449" s="116">
        <v>4131</v>
      </c>
      <c r="E2449" s="116">
        <v>4186.75</v>
      </c>
      <c r="F2449" s="116">
        <v>4149.05</v>
      </c>
      <c r="G2449">
        <v>22090</v>
      </c>
      <c r="H2449" s="116"/>
      <c r="I2449" s="116"/>
      <c r="L2449" s="170">
        <v>45609</v>
      </c>
      <c r="M2449" s="116">
        <v>4150.3500000000004</v>
      </c>
      <c r="N2449" s="116">
        <v>4196.75</v>
      </c>
      <c r="O2449" s="116">
        <v>4131.05</v>
      </c>
      <c r="P2449" s="116">
        <v>4178.1000000000004</v>
      </c>
      <c r="Q2449" s="116">
        <v>4150.3500000000004</v>
      </c>
      <c r="R2449">
        <v>1098813</v>
      </c>
    </row>
    <row r="2450" spans="1:18" x14ac:dyDescent="0.25">
      <c r="A2450" s="170">
        <v>45610</v>
      </c>
      <c r="B2450" s="116">
        <v>4160.3500000000004</v>
      </c>
      <c r="C2450" s="116">
        <v>4146.1499999999996</v>
      </c>
      <c r="D2450" s="116">
        <v>4115.8999999999996</v>
      </c>
      <c r="E2450" s="116">
        <v>4131.8</v>
      </c>
      <c r="F2450" s="116">
        <v>4146.1499999999996</v>
      </c>
      <c r="G2450">
        <v>150903</v>
      </c>
      <c r="H2450" s="116"/>
      <c r="I2450" s="116"/>
      <c r="L2450" s="170">
        <v>45610</v>
      </c>
      <c r="M2450" s="116">
        <v>4145.8999999999996</v>
      </c>
      <c r="N2450" s="116">
        <v>4160</v>
      </c>
      <c r="O2450" s="116">
        <v>4116.45</v>
      </c>
      <c r="P2450" s="116">
        <v>4135</v>
      </c>
      <c r="Q2450" s="116">
        <v>4145.8999999999996</v>
      </c>
      <c r="R2450">
        <v>1825432</v>
      </c>
    </row>
    <row r="2451" spans="1:18" x14ac:dyDescent="0.25">
      <c r="A2451" s="170">
        <v>45614</v>
      </c>
      <c r="B2451" s="116">
        <v>4215</v>
      </c>
      <c r="C2451" s="116">
        <v>4019.5</v>
      </c>
      <c r="D2451" s="116">
        <v>3990.65</v>
      </c>
      <c r="E2451" s="116">
        <v>4215</v>
      </c>
      <c r="F2451" s="116">
        <v>4019.5</v>
      </c>
      <c r="G2451">
        <v>96670</v>
      </c>
      <c r="H2451" s="116"/>
      <c r="I2451" s="116"/>
      <c r="L2451" s="170">
        <v>45614</v>
      </c>
      <c r="M2451" s="116">
        <v>4019.5</v>
      </c>
      <c r="N2451" s="116">
        <v>4213</v>
      </c>
      <c r="O2451" s="116">
        <v>3990.2</v>
      </c>
      <c r="P2451" s="116">
        <v>4213</v>
      </c>
      <c r="Q2451" s="116">
        <v>4019.5</v>
      </c>
      <c r="R2451">
        <v>3313944</v>
      </c>
    </row>
    <row r="2452" spans="1:18" x14ac:dyDescent="0.25">
      <c r="A2452" s="170">
        <v>45615</v>
      </c>
      <c r="B2452" s="116">
        <v>4131</v>
      </c>
      <c r="C2452" s="116">
        <v>4039.3</v>
      </c>
      <c r="D2452" s="116">
        <v>4015.85</v>
      </c>
      <c r="E2452" s="116">
        <v>4028.85</v>
      </c>
      <c r="F2452" s="116">
        <v>4039.3</v>
      </c>
      <c r="G2452">
        <v>55789</v>
      </c>
      <c r="H2452" s="116"/>
      <c r="I2452" s="116"/>
      <c r="L2452" s="170">
        <v>45615</v>
      </c>
      <c r="M2452" s="116">
        <v>4039.55</v>
      </c>
      <c r="N2452" s="116">
        <v>4132.1499999999996</v>
      </c>
      <c r="O2452" s="116">
        <v>4014.1</v>
      </c>
      <c r="P2452" s="116">
        <v>4019.9</v>
      </c>
      <c r="Q2452" s="116">
        <v>4039.55</v>
      </c>
      <c r="R2452">
        <v>1776233</v>
      </c>
    </row>
    <row r="2453" spans="1:18" x14ac:dyDescent="0.25">
      <c r="A2453" s="170">
        <v>45617</v>
      </c>
      <c r="B2453" s="116">
        <v>4090</v>
      </c>
      <c r="C2453" s="116">
        <v>4077.25</v>
      </c>
      <c r="D2453" s="116">
        <v>4025</v>
      </c>
      <c r="E2453" s="116">
        <v>4089.95</v>
      </c>
      <c r="F2453" s="116">
        <v>4077.25</v>
      </c>
      <c r="G2453">
        <v>77479</v>
      </c>
      <c r="H2453" s="116"/>
      <c r="I2453" s="116"/>
      <c r="L2453" s="170">
        <v>45617</v>
      </c>
      <c r="M2453" s="116">
        <v>4072.85</v>
      </c>
      <c r="N2453" s="116">
        <v>4092.45</v>
      </c>
      <c r="O2453" s="116">
        <v>4024</v>
      </c>
      <c r="P2453" s="116">
        <v>4044.9</v>
      </c>
      <c r="Q2453" s="116">
        <v>4072.85</v>
      </c>
      <c r="R2453">
        <v>2384347</v>
      </c>
    </row>
    <row r="2454" spans="1:18" x14ac:dyDescent="0.25">
      <c r="A2454" s="170">
        <v>45618</v>
      </c>
      <c r="B2454" s="116">
        <v>4254.5</v>
      </c>
      <c r="C2454" s="116">
        <v>4245.75</v>
      </c>
      <c r="D2454" s="116">
        <v>4053.6</v>
      </c>
      <c r="E2454" s="116">
        <v>4079.7</v>
      </c>
      <c r="F2454" s="116">
        <v>4245.75</v>
      </c>
      <c r="G2454">
        <v>228392</v>
      </c>
      <c r="H2454" s="116"/>
      <c r="I2454" s="116"/>
      <c r="L2454" s="170">
        <v>45618</v>
      </c>
      <c r="M2454" s="116">
        <v>4244.6000000000004</v>
      </c>
      <c r="N2454" s="116">
        <v>4254.95</v>
      </c>
      <c r="O2454" s="116">
        <v>4054</v>
      </c>
      <c r="P2454" s="116">
        <v>4071</v>
      </c>
      <c r="Q2454" s="116">
        <v>4244.6000000000004</v>
      </c>
      <c r="R2454">
        <v>3096553</v>
      </c>
    </row>
    <row r="2455" spans="1:18" x14ac:dyDescent="0.25">
      <c r="A2455" s="170">
        <v>45621</v>
      </c>
      <c r="B2455" s="116">
        <v>4328</v>
      </c>
      <c r="C2455" s="116">
        <v>4315.1000000000004</v>
      </c>
      <c r="D2455" s="116">
        <v>4253.8999999999996</v>
      </c>
      <c r="E2455" s="116">
        <v>4293.95</v>
      </c>
      <c r="F2455" s="116">
        <v>4315.1000000000004</v>
      </c>
      <c r="G2455">
        <v>114861</v>
      </c>
      <c r="H2455" s="116"/>
      <c r="I2455" s="116"/>
      <c r="L2455" s="170">
        <v>45621</v>
      </c>
      <c r="M2455" s="116">
        <v>4315.1000000000004</v>
      </c>
      <c r="N2455" s="116">
        <v>4328.1000000000004</v>
      </c>
      <c r="O2455" s="116">
        <v>4252.2</v>
      </c>
      <c r="P2455" s="116">
        <v>4280</v>
      </c>
      <c r="Q2455" s="116">
        <v>4315.1000000000004</v>
      </c>
      <c r="R2455">
        <v>4052167</v>
      </c>
    </row>
    <row r="2456" spans="1:18" x14ac:dyDescent="0.25">
      <c r="A2456" s="170">
        <v>45622</v>
      </c>
      <c r="B2456" s="116">
        <v>4364.55</v>
      </c>
      <c r="C2456" s="116">
        <v>4351.8500000000004</v>
      </c>
      <c r="D2456" s="116">
        <v>4286.8500000000004</v>
      </c>
      <c r="E2456" s="116">
        <v>4286.8500000000004</v>
      </c>
      <c r="F2456" s="116">
        <v>4351.8500000000004</v>
      </c>
      <c r="G2456">
        <v>75212</v>
      </c>
      <c r="H2456" s="116"/>
      <c r="I2456" s="116"/>
      <c r="L2456" s="170">
        <v>45622</v>
      </c>
      <c r="M2456" s="116">
        <v>4352.7</v>
      </c>
      <c r="N2456" s="116">
        <v>4366.6000000000004</v>
      </c>
      <c r="O2456" s="116">
        <v>4310</v>
      </c>
      <c r="P2456" s="116">
        <v>4321.05</v>
      </c>
      <c r="Q2456" s="116">
        <v>4352.7</v>
      </c>
      <c r="R2456">
        <v>2060669</v>
      </c>
    </row>
    <row r="2457" spans="1:18" x14ac:dyDescent="0.25">
      <c r="A2457" s="170">
        <v>45623</v>
      </c>
      <c r="B2457" s="116">
        <v>4377</v>
      </c>
      <c r="C2457" s="116">
        <v>4332.1000000000004</v>
      </c>
      <c r="D2457" s="116">
        <v>4323.1499999999996</v>
      </c>
      <c r="E2457" s="116">
        <v>4351.8500000000004</v>
      </c>
      <c r="F2457" s="116">
        <v>4332.1000000000004</v>
      </c>
      <c r="G2457">
        <v>33790</v>
      </c>
      <c r="H2457" s="116"/>
      <c r="I2457" s="116"/>
      <c r="L2457" s="170">
        <v>45623</v>
      </c>
      <c r="M2457" s="116">
        <v>4332.55</v>
      </c>
      <c r="N2457" s="116">
        <v>4377.3999999999996</v>
      </c>
      <c r="O2457" s="116">
        <v>4324.05</v>
      </c>
      <c r="P2457" s="116">
        <v>4358.95</v>
      </c>
      <c r="Q2457" s="116">
        <v>4332.55</v>
      </c>
      <c r="R2457">
        <v>1558993</v>
      </c>
    </row>
    <row r="2458" spans="1:18" x14ac:dyDescent="0.25">
      <c r="A2458" s="170">
        <v>45624</v>
      </c>
      <c r="B2458" s="116">
        <v>4340.1000000000004</v>
      </c>
      <c r="C2458" s="116">
        <v>4248.05</v>
      </c>
      <c r="D2458" s="116">
        <v>4234</v>
      </c>
      <c r="E2458" s="116">
        <v>4327.95</v>
      </c>
      <c r="F2458" s="116">
        <v>4248.05</v>
      </c>
      <c r="G2458">
        <v>46853</v>
      </c>
      <c r="H2458" s="116"/>
      <c r="I2458" s="116"/>
      <c r="L2458" s="170">
        <v>45624</v>
      </c>
      <c r="M2458" s="116">
        <v>4244.8999999999996</v>
      </c>
      <c r="N2458" s="116">
        <v>4339.95</v>
      </c>
      <c r="O2458" s="116">
        <v>4233</v>
      </c>
      <c r="P2458" s="116">
        <v>4319</v>
      </c>
      <c r="Q2458" s="116">
        <v>4244.8999999999996</v>
      </c>
      <c r="R2458">
        <v>2558544</v>
      </c>
    </row>
    <row r="2459" spans="1:18" x14ac:dyDescent="0.25">
      <c r="A2459" s="170">
        <v>45625</v>
      </c>
      <c r="B2459" s="116">
        <v>4298</v>
      </c>
      <c r="C2459" s="116">
        <v>4273.55</v>
      </c>
      <c r="D2459" s="116">
        <v>4196</v>
      </c>
      <c r="E2459" s="116">
        <v>4219.95</v>
      </c>
      <c r="F2459" s="116">
        <v>4273.55</v>
      </c>
      <c r="G2459">
        <v>121945</v>
      </c>
      <c r="H2459" s="116"/>
      <c r="I2459" s="116"/>
      <c r="L2459" s="170">
        <v>45625</v>
      </c>
      <c r="M2459" s="116">
        <v>4270.8500000000004</v>
      </c>
      <c r="N2459" s="116">
        <v>4298.7</v>
      </c>
      <c r="O2459" s="116">
        <v>4195.6499999999996</v>
      </c>
      <c r="P2459" s="116">
        <v>4220</v>
      </c>
      <c r="Q2459" s="116">
        <v>4270.8500000000004</v>
      </c>
      <c r="R2459">
        <v>2017425</v>
      </c>
    </row>
    <row r="2460" spans="1:18" x14ac:dyDescent="0.25">
      <c r="A2460" s="170">
        <v>45628</v>
      </c>
      <c r="B2460" s="116">
        <v>4287</v>
      </c>
      <c r="C2460" s="116">
        <v>4272.95</v>
      </c>
      <c r="D2460" s="116">
        <v>4230</v>
      </c>
      <c r="E2460" s="116">
        <v>4264.95</v>
      </c>
      <c r="F2460" s="116">
        <v>4272.95</v>
      </c>
      <c r="G2460">
        <v>40342</v>
      </c>
      <c r="H2460" s="116"/>
      <c r="I2460" s="116"/>
      <c r="L2460" s="170">
        <v>45628</v>
      </c>
      <c r="M2460" s="116">
        <v>4276.6499999999996</v>
      </c>
      <c r="N2460" s="116">
        <v>4288.2</v>
      </c>
      <c r="O2460" s="116">
        <v>4230.05</v>
      </c>
      <c r="P2460" s="116">
        <v>4270</v>
      </c>
      <c r="Q2460" s="116">
        <v>4276.6499999999996</v>
      </c>
      <c r="R2460">
        <v>1670944</v>
      </c>
    </row>
    <row r="2461" spans="1:18" x14ac:dyDescent="0.25">
      <c r="A2461" s="170">
        <v>45629</v>
      </c>
      <c r="B2461" s="116">
        <v>4325.5</v>
      </c>
      <c r="C2461" s="116">
        <v>4301.45</v>
      </c>
      <c r="D2461" s="116">
        <v>4266.55</v>
      </c>
      <c r="E2461" s="116">
        <v>4300</v>
      </c>
      <c r="F2461" s="116">
        <v>4301.45</v>
      </c>
      <c r="G2461">
        <v>30653</v>
      </c>
      <c r="H2461" s="116"/>
      <c r="I2461" s="116"/>
      <c r="L2461" s="170">
        <v>45629</v>
      </c>
      <c r="M2461" s="116">
        <v>4302.75</v>
      </c>
      <c r="N2461" s="116">
        <v>4325</v>
      </c>
      <c r="O2461" s="116">
        <v>4265.45</v>
      </c>
      <c r="P2461" s="116">
        <v>4314.3500000000004</v>
      </c>
      <c r="Q2461" s="116">
        <v>4302.75</v>
      </c>
      <c r="R2461">
        <v>2010905</v>
      </c>
    </row>
    <row r="2462" spans="1:18" x14ac:dyDescent="0.25">
      <c r="A2462" s="170">
        <v>45630</v>
      </c>
      <c r="B2462" s="116">
        <v>4386.3999999999996</v>
      </c>
      <c r="C2462" s="116">
        <v>4355.1000000000004</v>
      </c>
      <c r="D2462" s="116">
        <v>4294.2</v>
      </c>
      <c r="E2462" s="116">
        <v>4319.8999999999996</v>
      </c>
      <c r="F2462" s="116">
        <v>4355.1000000000004</v>
      </c>
      <c r="G2462">
        <v>38270</v>
      </c>
      <c r="H2462" s="116"/>
      <c r="I2462" s="116"/>
      <c r="L2462" s="170">
        <v>45630</v>
      </c>
      <c r="M2462" s="116">
        <v>4354.3999999999996</v>
      </c>
      <c r="N2462" s="116">
        <v>4386.95</v>
      </c>
      <c r="O2462" s="116">
        <v>4289.05</v>
      </c>
      <c r="P2462" s="116">
        <v>4313.55</v>
      </c>
      <c r="Q2462" s="116">
        <v>4354.3999999999996</v>
      </c>
      <c r="R2462">
        <v>3302642</v>
      </c>
    </row>
    <row r="2463" spans="1:18" x14ac:dyDescent="0.25">
      <c r="A2463" s="170">
        <v>45631</v>
      </c>
      <c r="B2463" s="116">
        <v>4488</v>
      </c>
      <c r="C2463" s="116">
        <v>4459.25</v>
      </c>
      <c r="D2463" s="116">
        <v>4360.2</v>
      </c>
      <c r="E2463" s="116">
        <v>4365</v>
      </c>
      <c r="F2463" s="116">
        <v>4459.25</v>
      </c>
      <c r="G2463">
        <v>183703</v>
      </c>
      <c r="H2463" s="116"/>
      <c r="I2463" s="116"/>
      <c r="L2463" s="170">
        <v>45631</v>
      </c>
      <c r="M2463" s="116">
        <v>4464.05</v>
      </c>
      <c r="N2463" s="116">
        <v>4489</v>
      </c>
      <c r="O2463" s="116">
        <v>4360</v>
      </c>
      <c r="P2463" s="116">
        <v>4400.8</v>
      </c>
      <c r="Q2463" s="116">
        <v>4464.05</v>
      </c>
      <c r="R2463">
        <v>3746747</v>
      </c>
    </row>
    <row r="2464" spans="1:18" x14ac:dyDescent="0.25">
      <c r="A2464" s="170">
        <v>45632</v>
      </c>
      <c r="B2464" s="116">
        <v>4463.1000000000004</v>
      </c>
      <c r="C2464" s="116">
        <v>4446.5</v>
      </c>
      <c r="D2464" s="116">
        <v>4413</v>
      </c>
      <c r="E2464" s="116">
        <v>4450</v>
      </c>
      <c r="F2464" s="116">
        <v>4446.5</v>
      </c>
      <c r="G2464">
        <v>116291</v>
      </c>
      <c r="H2464" s="116"/>
      <c r="I2464" s="116"/>
      <c r="L2464" s="170">
        <v>45632</v>
      </c>
      <c r="M2464" s="116">
        <v>4445.5</v>
      </c>
      <c r="N2464" s="116">
        <v>4465</v>
      </c>
      <c r="O2464" s="116">
        <v>4412.75</v>
      </c>
      <c r="P2464" s="116">
        <v>4453</v>
      </c>
      <c r="Q2464" s="116">
        <v>4445.5</v>
      </c>
      <c r="R2464">
        <v>1842087</v>
      </c>
    </row>
    <row r="2465" spans="1:18" x14ac:dyDescent="0.25">
      <c r="A2465" s="170">
        <v>45635</v>
      </c>
      <c r="B2465" s="116">
        <v>4470</v>
      </c>
      <c r="C2465" s="116">
        <v>4452.05</v>
      </c>
      <c r="D2465" s="116">
        <v>4416.45</v>
      </c>
      <c r="E2465" s="116">
        <v>4424</v>
      </c>
      <c r="F2465" s="116">
        <v>4452.05</v>
      </c>
      <c r="G2465">
        <v>81719</v>
      </c>
      <c r="H2465" s="116"/>
      <c r="I2465" s="116"/>
      <c r="L2465" s="170">
        <v>45635</v>
      </c>
      <c r="M2465" s="116">
        <v>4452.1499999999996</v>
      </c>
      <c r="N2465" s="116">
        <v>4469.3999999999996</v>
      </c>
      <c r="O2465" s="116">
        <v>4415.55</v>
      </c>
      <c r="P2465" s="116">
        <v>4430.45</v>
      </c>
      <c r="Q2465" s="116">
        <v>4452.1499999999996</v>
      </c>
      <c r="R2465">
        <v>2066639</v>
      </c>
    </row>
    <row r="2466" spans="1:18" x14ac:dyDescent="0.25">
      <c r="A2466" s="170">
        <v>45636</v>
      </c>
      <c r="B2466" s="116">
        <v>4494</v>
      </c>
      <c r="C2466" s="116">
        <v>4431.95</v>
      </c>
      <c r="D2466" s="116">
        <v>4414.5</v>
      </c>
      <c r="E2466" s="116">
        <v>4446.95</v>
      </c>
      <c r="F2466" s="116">
        <v>4431.95</v>
      </c>
      <c r="G2466">
        <v>40964</v>
      </c>
      <c r="H2466" s="116"/>
      <c r="I2466" s="116"/>
      <c r="L2466" s="170">
        <v>45636</v>
      </c>
      <c r="M2466" s="116">
        <v>4432.55</v>
      </c>
      <c r="N2466" s="116">
        <v>4493.8</v>
      </c>
      <c r="O2466" s="116">
        <v>4412.1000000000004</v>
      </c>
      <c r="P2466" s="116">
        <v>4426.1499999999996</v>
      </c>
      <c r="Q2466" s="116">
        <v>4432.55</v>
      </c>
      <c r="R2466">
        <v>2087828</v>
      </c>
    </row>
    <row r="2467" spans="1:18" x14ac:dyDescent="0.25">
      <c r="A2467" s="170">
        <v>45637</v>
      </c>
      <c r="B2467" s="116">
        <v>4449.8999999999996</v>
      </c>
      <c r="C2467" s="116">
        <v>4427.55</v>
      </c>
      <c r="D2467" s="116">
        <v>4407.6000000000004</v>
      </c>
      <c r="E2467" s="116">
        <v>4438.5</v>
      </c>
      <c r="F2467" s="116">
        <v>4427.55</v>
      </c>
      <c r="G2467">
        <v>38019</v>
      </c>
      <c r="H2467" s="116"/>
      <c r="I2467" s="116"/>
      <c r="L2467" s="170">
        <v>45637</v>
      </c>
      <c r="M2467" s="116">
        <v>4427.45</v>
      </c>
      <c r="N2467" s="116">
        <v>4448.6499999999996</v>
      </c>
      <c r="O2467" s="116">
        <v>4407</v>
      </c>
      <c r="P2467" s="116">
        <v>4431.8500000000004</v>
      </c>
      <c r="Q2467" s="116">
        <v>4427.45</v>
      </c>
      <c r="R2467">
        <v>1635256</v>
      </c>
    </row>
    <row r="2468" spans="1:18" x14ac:dyDescent="0.25">
      <c r="A2468" s="170">
        <v>45638</v>
      </c>
      <c r="B2468" s="116">
        <v>4484.95</v>
      </c>
      <c r="C2468" s="116">
        <v>4456.95</v>
      </c>
      <c r="D2468" s="116">
        <v>4427</v>
      </c>
      <c r="E2468" s="116">
        <v>4444.95</v>
      </c>
      <c r="F2468" s="116">
        <v>4456.95</v>
      </c>
      <c r="G2468">
        <v>99704</v>
      </c>
      <c r="H2468" s="116"/>
      <c r="I2468" s="116"/>
      <c r="L2468" s="170">
        <v>45638</v>
      </c>
      <c r="M2468" s="116">
        <v>4454.95</v>
      </c>
      <c r="N2468" s="116">
        <v>4485</v>
      </c>
      <c r="O2468" s="116">
        <v>4426</v>
      </c>
      <c r="P2468" s="116">
        <v>4430.05</v>
      </c>
      <c r="Q2468" s="116">
        <v>4454.95</v>
      </c>
      <c r="R2468">
        <v>1914642</v>
      </c>
    </row>
    <row r="2469" spans="1:18" x14ac:dyDescent="0.25">
      <c r="A2469" s="170">
        <v>45639</v>
      </c>
      <c r="B2469" s="116">
        <v>4493.8</v>
      </c>
      <c r="C2469" s="116">
        <v>4473.6000000000004</v>
      </c>
      <c r="D2469" s="116">
        <v>4394.7</v>
      </c>
      <c r="E2469" s="116">
        <v>4449</v>
      </c>
      <c r="F2469" s="116">
        <v>4473.6000000000004</v>
      </c>
      <c r="G2469">
        <v>184505</v>
      </c>
      <c r="H2469" s="116"/>
      <c r="I2469" s="116"/>
      <c r="L2469" s="170">
        <v>45639</v>
      </c>
      <c r="M2469" s="116">
        <v>4473.8999999999996</v>
      </c>
      <c r="N2469" s="116">
        <v>4494.8999999999996</v>
      </c>
      <c r="O2469" s="116">
        <v>4394.3999999999996</v>
      </c>
      <c r="P2469" s="116">
        <v>4434.95</v>
      </c>
      <c r="Q2469" s="116">
        <v>4473.8999999999996</v>
      </c>
      <c r="R2469">
        <v>1967048</v>
      </c>
    </row>
    <row r="2470" spans="1:18" x14ac:dyDescent="0.25">
      <c r="A2470" s="170">
        <v>45642</v>
      </c>
      <c r="B2470" s="116">
        <v>4473</v>
      </c>
      <c r="C2470" s="116">
        <v>4415.8999999999996</v>
      </c>
      <c r="D2470" s="116">
        <v>4398.75</v>
      </c>
      <c r="E2470" s="116">
        <v>4424.1000000000004</v>
      </c>
      <c r="F2470" s="116">
        <v>4415.8999999999996</v>
      </c>
      <c r="G2470">
        <v>34329</v>
      </c>
      <c r="H2470" s="116"/>
      <c r="I2470" s="116"/>
      <c r="L2470" s="170">
        <v>45642</v>
      </c>
      <c r="M2470" s="116">
        <v>4415.2</v>
      </c>
      <c r="N2470" s="116">
        <v>4475</v>
      </c>
      <c r="O2470" s="116">
        <v>4397</v>
      </c>
      <c r="P2470" s="116">
        <v>4459</v>
      </c>
      <c r="Q2470" s="116">
        <v>4415.2</v>
      </c>
      <c r="R2470">
        <v>1646224</v>
      </c>
    </row>
    <row r="2471" spans="1:18" x14ac:dyDescent="0.25">
      <c r="A2471" s="170">
        <v>45643</v>
      </c>
      <c r="B2471" s="116">
        <v>4430.45</v>
      </c>
      <c r="C2471" s="116">
        <v>4324.3999999999996</v>
      </c>
      <c r="D2471" s="116">
        <v>4318</v>
      </c>
      <c r="E2471" s="116">
        <v>4415.8999999999996</v>
      </c>
      <c r="F2471" s="116">
        <v>4324.3999999999996</v>
      </c>
      <c r="G2471">
        <v>53684</v>
      </c>
      <c r="H2471" s="116"/>
      <c r="I2471" s="116"/>
      <c r="L2471" s="170">
        <v>45643</v>
      </c>
      <c r="M2471" s="116">
        <v>4328.5</v>
      </c>
      <c r="N2471" s="116">
        <v>4432.95</v>
      </c>
      <c r="O2471" s="116">
        <v>4318</v>
      </c>
      <c r="P2471" s="116">
        <v>4410</v>
      </c>
      <c r="Q2471" s="116">
        <v>4328.5</v>
      </c>
      <c r="R2471">
        <v>3225027</v>
      </c>
    </row>
    <row r="2472" spans="1:18" x14ac:dyDescent="0.25">
      <c r="A2472" s="170">
        <v>45644</v>
      </c>
      <c r="B2472" s="116">
        <v>4360</v>
      </c>
      <c r="C2472" s="116">
        <v>4348.2</v>
      </c>
      <c r="D2472" s="116">
        <v>4295.95</v>
      </c>
      <c r="E2472" s="116">
        <v>4324.3500000000004</v>
      </c>
      <c r="F2472" s="116">
        <v>4348.2</v>
      </c>
      <c r="G2472">
        <v>23020</v>
      </c>
      <c r="H2472" s="116"/>
      <c r="I2472" s="116"/>
      <c r="L2472" s="170">
        <v>45644</v>
      </c>
      <c r="M2472" s="116">
        <v>4347.8500000000004</v>
      </c>
      <c r="N2472" s="116">
        <v>4362</v>
      </c>
      <c r="O2472" s="116">
        <v>4289.6000000000004</v>
      </c>
      <c r="P2472" s="116">
        <v>4311.7</v>
      </c>
      <c r="Q2472" s="116">
        <v>4347.8500000000004</v>
      </c>
      <c r="R2472">
        <v>1575404</v>
      </c>
    </row>
    <row r="2473" spans="1:18" x14ac:dyDescent="0.25">
      <c r="A2473" s="170">
        <v>45645</v>
      </c>
      <c r="B2473" s="116">
        <v>4362.8999999999996</v>
      </c>
      <c r="C2473" s="116">
        <v>4271.5</v>
      </c>
      <c r="D2473" s="116">
        <v>4262.3999999999996</v>
      </c>
      <c r="E2473" s="116">
        <v>4283.8500000000004</v>
      </c>
      <c r="F2473" s="116">
        <v>4271.5</v>
      </c>
      <c r="G2473">
        <v>55639</v>
      </c>
      <c r="H2473" s="116"/>
      <c r="I2473" s="116"/>
      <c r="L2473" s="170">
        <v>45645</v>
      </c>
      <c r="M2473" s="116">
        <v>4271.8999999999996</v>
      </c>
      <c r="N2473" s="116">
        <v>4364</v>
      </c>
      <c r="O2473" s="116">
        <v>4262</v>
      </c>
      <c r="P2473" s="116">
        <v>4282</v>
      </c>
      <c r="Q2473" s="116">
        <v>4271.8999999999996</v>
      </c>
      <c r="R2473">
        <v>3015763</v>
      </c>
    </row>
    <row r="2474" spans="1:18" x14ac:dyDescent="0.25">
      <c r="A2474" s="170">
        <v>45646</v>
      </c>
      <c r="B2474" s="116">
        <v>4381.95</v>
      </c>
      <c r="C2474" s="116">
        <v>4168.05</v>
      </c>
      <c r="D2474" s="116">
        <v>4152.95</v>
      </c>
      <c r="E2474" s="116">
        <v>4310.1000000000004</v>
      </c>
      <c r="F2474" s="116">
        <v>4168.05</v>
      </c>
      <c r="G2474">
        <v>125781</v>
      </c>
      <c r="H2474" s="116"/>
      <c r="I2474" s="116"/>
      <c r="L2474" s="170">
        <v>45646</v>
      </c>
      <c r="M2474" s="116">
        <v>4170.3</v>
      </c>
      <c r="N2474" s="116">
        <v>4382</v>
      </c>
      <c r="O2474" s="116">
        <v>4152.5</v>
      </c>
      <c r="P2474" s="116">
        <v>4329</v>
      </c>
      <c r="Q2474" s="116">
        <v>4170.3</v>
      </c>
      <c r="R2474">
        <v>4116989</v>
      </c>
    </row>
    <row r="2475" spans="1:18" x14ac:dyDescent="0.25">
      <c r="A2475" s="170">
        <v>45649</v>
      </c>
      <c r="B2475" s="116">
        <v>4215.3500000000004</v>
      </c>
      <c r="C2475" s="116">
        <v>4156.8</v>
      </c>
      <c r="D2475" s="116">
        <v>4115</v>
      </c>
      <c r="E2475" s="116">
        <v>4199</v>
      </c>
      <c r="F2475" s="116">
        <v>4156.8</v>
      </c>
      <c r="G2475">
        <v>59196</v>
      </c>
      <c r="H2475" s="116"/>
      <c r="I2475" s="116"/>
      <c r="L2475" s="170">
        <v>45649</v>
      </c>
      <c r="M2475" s="116">
        <v>4158.3</v>
      </c>
      <c r="N2475" s="116">
        <v>4217</v>
      </c>
      <c r="O2475" s="116">
        <v>4114.8999999999996</v>
      </c>
      <c r="P2475" s="116">
        <v>4200.05</v>
      </c>
      <c r="Q2475" s="116">
        <v>4158.3</v>
      </c>
      <c r="R2475">
        <v>2195338</v>
      </c>
    </row>
    <row r="2476" spans="1:18" x14ac:dyDescent="0.25">
      <c r="A2476" s="170">
        <v>45650</v>
      </c>
      <c r="B2476" s="116">
        <v>4217.3</v>
      </c>
      <c r="C2476" s="116">
        <v>4180.6499999999996</v>
      </c>
      <c r="D2476" s="116">
        <v>4158.05</v>
      </c>
      <c r="E2476" s="116">
        <v>4159.95</v>
      </c>
      <c r="F2476" s="116">
        <v>4180.6499999999996</v>
      </c>
      <c r="G2476">
        <v>38839</v>
      </c>
      <c r="H2476" s="116"/>
      <c r="I2476" s="116"/>
      <c r="L2476" s="170">
        <v>45650</v>
      </c>
      <c r="M2476" s="116">
        <v>4179.5</v>
      </c>
      <c r="N2476" s="116">
        <v>4218</v>
      </c>
      <c r="O2476" s="116">
        <v>4158.3</v>
      </c>
      <c r="P2476" s="116">
        <v>4158.3</v>
      </c>
      <c r="Q2476" s="116">
        <v>4179.5</v>
      </c>
      <c r="R2476">
        <v>1181886</v>
      </c>
    </row>
    <row r="2477" spans="1:18" x14ac:dyDescent="0.25">
      <c r="A2477" s="170">
        <v>45652</v>
      </c>
      <c r="B2477" s="116">
        <v>4192.3</v>
      </c>
      <c r="C2477" s="116">
        <v>4168.6000000000004</v>
      </c>
      <c r="D2477" s="116">
        <v>4142.3500000000004</v>
      </c>
      <c r="E2477" s="116">
        <v>4176</v>
      </c>
      <c r="F2477" s="116">
        <v>4168.6000000000004</v>
      </c>
      <c r="G2477">
        <v>28724</v>
      </c>
      <c r="H2477" s="116"/>
      <c r="I2477" s="116"/>
      <c r="L2477" s="170">
        <v>45652</v>
      </c>
      <c r="M2477" s="116">
        <v>4169.1000000000004</v>
      </c>
      <c r="N2477" s="116">
        <v>4199.95</v>
      </c>
      <c r="O2477" s="116">
        <v>4143.1499999999996</v>
      </c>
      <c r="P2477" s="116">
        <v>4179.5</v>
      </c>
      <c r="Q2477" s="116">
        <v>4169.1000000000004</v>
      </c>
      <c r="R2477">
        <v>1208464</v>
      </c>
    </row>
    <row r="2478" spans="1:18" x14ac:dyDescent="0.25">
      <c r="A2478" s="170">
        <v>45653</v>
      </c>
      <c r="B2478" s="116">
        <v>4180.5</v>
      </c>
      <c r="C2478" s="116">
        <v>4167.95</v>
      </c>
      <c r="D2478" s="116">
        <v>4149</v>
      </c>
      <c r="E2478" s="116">
        <v>4162</v>
      </c>
      <c r="F2478" s="116">
        <v>4167.95</v>
      </c>
      <c r="G2478">
        <v>46264</v>
      </c>
      <c r="H2478" s="116"/>
      <c r="I2478" s="116"/>
      <c r="L2478" s="170">
        <v>45653</v>
      </c>
      <c r="M2478" s="116">
        <v>4164.8500000000004</v>
      </c>
      <c r="N2478" s="116">
        <v>4180.95</v>
      </c>
      <c r="O2478" s="116">
        <v>4147.25</v>
      </c>
      <c r="P2478" s="116">
        <v>4163</v>
      </c>
      <c r="Q2478" s="116">
        <v>4164.8500000000004</v>
      </c>
      <c r="R2478">
        <v>858100</v>
      </c>
    </row>
    <row r="2479" spans="1:18" x14ac:dyDescent="0.25">
      <c r="A2479" s="170">
        <v>45656</v>
      </c>
      <c r="B2479" s="116">
        <v>4199</v>
      </c>
      <c r="C2479" s="116">
        <v>4158.95</v>
      </c>
      <c r="D2479" s="116">
        <v>4112</v>
      </c>
      <c r="E2479" s="116">
        <v>4174.8999999999996</v>
      </c>
      <c r="F2479" s="116">
        <v>4158.95</v>
      </c>
      <c r="G2479">
        <v>34498</v>
      </c>
      <c r="H2479" s="116"/>
      <c r="I2479" s="116"/>
      <c r="L2479" s="170">
        <v>45656</v>
      </c>
      <c r="M2479" s="116">
        <v>4158.8</v>
      </c>
      <c r="N2479" s="116">
        <v>4199.3</v>
      </c>
      <c r="O2479" s="116">
        <v>4112</v>
      </c>
      <c r="P2479" s="116">
        <v>4151</v>
      </c>
      <c r="Q2479" s="116">
        <v>4158.8</v>
      </c>
      <c r="R2479">
        <v>1527169</v>
      </c>
    </row>
    <row r="2480" spans="1:18" x14ac:dyDescent="0.25">
      <c r="A2480" s="170">
        <v>45657</v>
      </c>
      <c r="B2480" s="116">
        <v>4133.3500000000004</v>
      </c>
      <c r="C2480" s="116">
        <v>4097.2</v>
      </c>
      <c r="D2480" s="116">
        <v>4034</v>
      </c>
      <c r="E2480" s="116">
        <v>4123.55</v>
      </c>
      <c r="F2480" s="116">
        <v>4097.2</v>
      </c>
      <c r="G2480">
        <v>49909</v>
      </c>
      <c r="H2480" s="116"/>
      <c r="I2480" s="116"/>
      <c r="L2480" s="170">
        <v>45657</v>
      </c>
      <c r="M2480" s="116">
        <v>4094.8</v>
      </c>
      <c r="N2480" s="116">
        <v>4139.95</v>
      </c>
      <c r="O2480" s="116">
        <v>4032.05</v>
      </c>
      <c r="P2480" s="116">
        <v>4135</v>
      </c>
      <c r="Q2480" s="116">
        <v>4094.8</v>
      </c>
      <c r="R2480">
        <v>1555429</v>
      </c>
    </row>
    <row r="2481" spans="1:18" x14ac:dyDescent="0.25">
      <c r="A2481" s="170">
        <v>45658</v>
      </c>
      <c r="B2481" s="116">
        <v>4134.6499999999996</v>
      </c>
      <c r="C2481" s="116">
        <v>4112.8</v>
      </c>
      <c r="D2481" s="116">
        <v>4088</v>
      </c>
      <c r="E2481" s="116">
        <v>4100</v>
      </c>
      <c r="F2481" s="116">
        <v>4112.8</v>
      </c>
      <c r="G2481">
        <v>29165</v>
      </c>
      <c r="H2481" s="116"/>
      <c r="I2481" s="116"/>
      <c r="L2481" s="170">
        <v>45658</v>
      </c>
      <c r="M2481" s="116">
        <v>4112.45</v>
      </c>
      <c r="N2481" s="116">
        <v>4134</v>
      </c>
      <c r="O2481" s="116">
        <v>4085.45</v>
      </c>
      <c r="P2481" s="116">
        <v>4094.4</v>
      </c>
      <c r="Q2481" s="116">
        <v>4112.45</v>
      </c>
      <c r="R2481">
        <v>763161</v>
      </c>
    </row>
    <row r="2482" spans="1:18" x14ac:dyDescent="0.25">
      <c r="A2482" s="170">
        <v>45659</v>
      </c>
      <c r="B2482" s="116">
        <v>4203.5</v>
      </c>
      <c r="C2482" s="116">
        <v>4184.25</v>
      </c>
      <c r="D2482" s="116">
        <v>4098</v>
      </c>
      <c r="E2482" s="116">
        <v>4124.95</v>
      </c>
      <c r="F2482" s="116">
        <v>4184.25</v>
      </c>
      <c r="G2482">
        <v>80295</v>
      </c>
      <c r="H2482" s="116"/>
      <c r="I2482" s="116"/>
      <c r="L2482" s="170">
        <v>45659</v>
      </c>
      <c r="M2482" s="116">
        <v>4175.75</v>
      </c>
      <c r="N2482" s="116">
        <v>4183</v>
      </c>
      <c r="O2482" s="116">
        <v>4096.95</v>
      </c>
      <c r="P2482" s="116">
        <v>4120</v>
      </c>
      <c r="Q2482" s="116">
        <v>4175.75</v>
      </c>
      <c r="R2482">
        <v>1720835</v>
      </c>
    </row>
    <row r="2483" spans="1:18" x14ac:dyDescent="0.25">
      <c r="A2483" s="170">
        <v>45660</v>
      </c>
      <c r="B2483" s="116">
        <v>4180.05</v>
      </c>
      <c r="C2483" s="116">
        <v>4099.25</v>
      </c>
      <c r="D2483" s="116">
        <v>4091</v>
      </c>
      <c r="E2483" s="116">
        <v>4180.05</v>
      </c>
      <c r="F2483" s="116">
        <v>4099.25</v>
      </c>
      <c r="G2483">
        <v>161332</v>
      </c>
      <c r="H2483" s="116"/>
      <c r="I2483" s="116"/>
      <c r="L2483" s="170">
        <v>45660</v>
      </c>
      <c r="M2483" s="116">
        <v>4099.8999999999996</v>
      </c>
      <c r="N2483" s="116">
        <v>4179.95</v>
      </c>
      <c r="O2483" s="116">
        <v>4092.3</v>
      </c>
      <c r="P2483" s="116">
        <v>4179.95</v>
      </c>
      <c r="Q2483" s="116">
        <v>4099.8999999999996</v>
      </c>
      <c r="R2483">
        <v>1791953</v>
      </c>
    </row>
    <row r="2484" spans="1:18" x14ac:dyDescent="0.25">
      <c r="A2484" s="170">
        <v>45663</v>
      </c>
      <c r="B2484" s="116">
        <v>4149.25</v>
      </c>
      <c r="C2484" s="116">
        <v>4094.7</v>
      </c>
      <c r="D2484" s="116">
        <v>4064.7</v>
      </c>
      <c r="E2484" s="116">
        <v>4105</v>
      </c>
      <c r="F2484" s="116">
        <v>4094.7</v>
      </c>
      <c r="G2484">
        <v>64713</v>
      </c>
      <c r="H2484" s="116"/>
      <c r="I2484" s="116"/>
      <c r="L2484" s="170">
        <v>45663</v>
      </c>
      <c r="M2484" s="116">
        <v>4095</v>
      </c>
      <c r="N2484" s="116">
        <v>4149.6499999999996</v>
      </c>
      <c r="O2484" s="116">
        <v>4066.4</v>
      </c>
      <c r="P2484" s="116">
        <v>4105.5</v>
      </c>
      <c r="Q2484" s="116">
        <v>4095</v>
      </c>
      <c r="R2484">
        <v>2085593</v>
      </c>
    </row>
    <row r="2485" spans="1:18" x14ac:dyDescent="0.25">
      <c r="A2485" s="170">
        <v>45664</v>
      </c>
      <c r="B2485" s="116">
        <v>4136.8999999999996</v>
      </c>
      <c r="C2485" s="116">
        <v>4028.2</v>
      </c>
      <c r="D2485" s="116">
        <v>4011.25</v>
      </c>
      <c r="E2485" s="116">
        <v>4106</v>
      </c>
      <c r="F2485" s="116">
        <v>4028.2</v>
      </c>
      <c r="G2485">
        <v>97931</v>
      </c>
      <c r="H2485" s="116"/>
      <c r="I2485" s="116"/>
      <c r="L2485" s="170">
        <v>45664</v>
      </c>
      <c r="M2485" s="116">
        <v>4028.3</v>
      </c>
      <c r="N2485" s="116">
        <v>4140.3500000000004</v>
      </c>
      <c r="O2485" s="116">
        <v>4011.55</v>
      </c>
      <c r="P2485" s="116">
        <v>4114.95</v>
      </c>
      <c r="Q2485" s="116">
        <v>4028.3</v>
      </c>
      <c r="R2485">
        <v>2669054</v>
      </c>
    </row>
    <row r="2486" spans="1:18" x14ac:dyDescent="0.25">
      <c r="A2486" s="170">
        <v>45665</v>
      </c>
      <c r="B2486" s="116">
        <v>4125.95</v>
      </c>
      <c r="C2486" s="116">
        <v>4107.5</v>
      </c>
      <c r="D2486" s="116">
        <v>4017.05</v>
      </c>
      <c r="E2486" s="116">
        <v>4044.55</v>
      </c>
      <c r="F2486" s="116">
        <v>4107.5</v>
      </c>
      <c r="G2486">
        <v>58204</v>
      </c>
      <c r="H2486" s="116"/>
      <c r="I2486" s="116"/>
      <c r="L2486" s="170">
        <v>45665</v>
      </c>
      <c r="M2486" s="116">
        <v>4108.3999999999996</v>
      </c>
      <c r="N2486" s="116">
        <v>4126</v>
      </c>
      <c r="O2486" s="116">
        <v>4017.75</v>
      </c>
      <c r="P2486" s="116">
        <v>4034.9</v>
      </c>
      <c r="Q2486" s="116">
        <v>4108.3999999999996</v>
      </c>
      <c r="R2486">
        <v>2181277</v>
      </c>
    </row>
    <row r="2487" spans="1:18" x14ac:dyDescent="0.25">
      <c r="A2487" s="170">
        <v>45666</v>
      </c>
      <c r="B2487" s="116">
        <v>4136.8999999999996</v>
      </c>
      <c r="C2487" s="116">
        <v>4036.65</v>
      </c>
      <c r="D2487" s="116">
        <v>4025.45</v>
      </c>
      <c r="E2487" s="116">
        <v>4105.8999999999996</v>
      </c>
      <c r="F2487" s="116">
        <v>4036.65</v>
      </c>
      <c r="G2487">
        <v>72625</v>
      </c>
      <c r="H2487" s="116"/>
      <c r="I2487" s="116"/>
      <c r="L2487" s="170">
        <v>45666</v>
      </c>
      <c r="M2487" s="116">
        <v>4038.85</v>
      </c>
      <c r="N2487" s="116">
        <v>4137.75</v>
      </c>
      <c r="O2487" s="116">
        <v>4025.3</v>
      </c>
      <c r="P2487" s="116">
        <v>4101</v>
      </c>
      <c r="Q2487" s="116">
        <v>4038.85</v>
      </c>
      <c r="R2487">
        <v>2392472</v>
      </c>
    </row>
    <row r="2488" spans="1:18" x14ac:dyDescent="0.25">
      <c r="A2488" s="170">
        <v>45667</v>
      </c>
      <c r="B2488" s="116">
        <v>4296.8</v>
      </c>
      <c r="C2488" s="116">
        <v>4265.55</v>
      </c>
      <c r="D2488" s="116">
        <v>4172.1499999999996</v>
      </c>
      <c r="E2488" s="116">
        <v>4200</v>
      </c>
      <c r="F2488" s="116">
        <v>4265.55</v>
      </c>
      <c r="G2488">
        <v>221040</v>
      </c>
      <c r="H2488" s="116"/>
      <c r="I2488" s="116"/>
      <c r="L2488" s="170">
        <v>45667</v>
      </c>
      <c r="M2488" s="116">
        <v>4265.6499999999996</v>
      </c>
      <c r="N2488" s="116">
        <v>4297</v>
      </c>
      <c r="O2488" s="116">
        <v>4170</v>
      </c>
      <c r="P2488" s="116">
        <v>4200</v>
      </c>
      <c r="Q2488" s="116">
        <v>4265.6499999999996</v>
      </c>
      <c r="R2488">
        <v>7894300</v>
      </c>
    </row>
    <row r="2489" spans="1:18" x14ac:dyDescent="0.25">
      <c r="A2489" s="170">
        <v>45670</v>
      </c>
      <c r="B2489" s="116">
        <v>4321.6499999999996</v>
      </c>
      <c r="C2489" s="116">
        <v>4291.8</v>
      </c>
      <c r="D2489" s="116">
        <v>4224.6499999999996</v>
      </c>
      <c r="E2489" s="116">
        <v>4249.95</v>
      </c>
      <c r="F2489" s="116">
        <v>4291.8</v>
      </c>
      <c r="G2489">
        <v>129611</v>
      </c>
      <c r="H2489" s="116"/>
      <c r="I2489" s="116"/>
      <c r="L2489" s="170">
        <v>45670</v>
      </c>
      <c r="M2489" s="116">
        <v>4291.1000000000004</v>
      </c>
      <c r="N2489" s="116">
        <v>4322.95</v>
      </c>
      <c r="O2489" s="116">
        <v>4227.3999999999996</v>
      </c>
      <c r="P2489" s="116">
        <v>4245</v>
      </c>
      <c r="Q2489" s="116">
        <v>4291.1000000000004</v>
      </c>
      <c r="R2489">
        <v>4003771</v>
      </c>
    </row>
    <row r="2490" spans="1:18" x14ac:dyDescent="0.25">
      <c r="A2490" s="170">
        <v>45671</v>
      </c>
      <c r="B2490" s="116">
        <v>4315.95</v>
      </c>
      <c r="C2490" s="116">
        <v>4233.75</v>
      </c>
      <c r="D2490" s="116">
        <v>4218.3999999999996</v>
      </c>
      <c r="E2490" s="116">
        <v>4280.1000000000004</v>
      </c>
      <c r="F2490" s="116">
        <v>4233.75</v>
      </c>
      <c r="G2490">
        <v>228749</v>
      </c>
      <c r="H2490" s="116"/>
      <c r="I2490" s="116"/>
      <c r="L2490" s="170">
        <v>45671</v>
      </c>
      <c r="M2490" s="116">
        <v>4233.05</v>
      </c>
      <c r="N2490" s="116">
        <v>4313.8999999999996</v>
      </c>
      <c r="O2490" s="116">
        <v>4219.05</v>
      </c>
      <c r="P2490" s="116">
        <v>4302</v>
      </c>
      <c r="Q2490" s="116">
        <v>4233.05</v>
      </c>
      <c r="R2490">
        <v>3441709</v>
      </c>
    </row>
    <row r="2491" spans="1:18" x14ac:dyDescent="0.25">
      <c r="A2491" s="170">
        <v>45672</v>
      </c>
      <c r="B2491" s="116">
        <v>4254.3999999999996</v>
      </c>
      <c r="C2491" s="116">
        <v>4248.55</v>
      </c>
      <c r="D2491" s="116">
        <v>4208</v>
      </c>
      <c r="E2491" s="116">
        <v>4223.75</v>
      </c>
      <c r="F2491" s="116">
        <v>4248.55</v>
      </c>
      <c r="G2491">
        <v>142598</v>
      </c>
      <c r="H2491" s="116"/>
      <c r="I2491" s="116"/>
      <c r="L2491" s="170">
        <v>45672</v>
      </c>
      <c r="M2491" s="116">
        <v>4249.6000000000004</v>
      </c>
      <c r="N2491" s="116">
        <v>4256.45</v>
      </c>
      <c r="O2491" s="116">
        <v>4207.45</v>
      </c>
      <c r="P2491" s="116">
        <v>4218</v>
      </c>
      <c r="Q2491" s="116">
        <v>4249.6000000000004</v>
      </c>
      <c r="R2491">
        <v>1653474</v>
      </c>
    </row>
    <row r="2492" spans="1:18" x14ac:dyDescent="0.25">
      <c r="A2492" s="170">
        <v>45673</v>
      </c>
      <c r="B2492" s="116">
        <v>4290</v>
      </c>
      <c r="C2492" s="116">
        <v>4208.1000000000004</v>
      </c>
      <c r="D2492" s="116">
        <v>4192.25</v>
      </c>
      <c r="E2492" s="116">
        <v>4270</v>
      </c>
      <c r="F2492" s="116">
        <v>4208.1000000000004</v>
      </c>
      <c r="G2492">
        <v>60642</v>
      </c>
      <c r="H2492" s="116"/>
      <c r="I2492" s="116"/>
      <c r="L2492" s="170">
        <v>45673</v>
      </c>
      <c r="M2492" s="116">
        <v>4206.3</v>
      </c>
      <c r="N2492" s="116">
        <v>4294</v>
      </c>
      <c r="O2492" s="116">
        <v>4191.8500000000004</v>
      </c>
      <c r="P2492" s="116">
        <v>4260</v>
      </c>
      <c r="Q2492" s="116">
        <v>4206.3</v>
      </c>
      <c r="R2492">
        <v>2637705</v>
      </c>
    </row>
    <row r="2493" spans="1:18" x14ac:dyDescent="0.25">
      <c r="A2493" s="170">
        <v>45674</v>
      </c>
      <c r="B2493" s="116">
        <v>4165</v>
      </c>
      <c r="C2493" s="116">
        <v>4125.7</v>
      </c>
      <c r="D2493" s="116">
        <v>4100.5</v>
      </c>
      <c r="E2493" s="116">
        <v>4165</v>
      </c>
      <c r="F2493" s="116">
        <v>4125.7</v>
      </c>
      <c r="G2493">
        <v>41873</v>
      </c>
      <c r="H2493" s="116"/>
      <c r="I2493" s="116"/>
      <c r="L2493" s="170">
        <v>45674</v>
      </c>
      <c r="M2493" s="116">
        <v>4124.3</v>
      </c>
      <c r="N2493" s="116">
        <v>4160.6000000000004</v>
      </c>
      <c r="O2493" s="116">
        <v>4100.05</v>
      </c>
      <c r="P2493" s="116">
        <v>4159.8999999999996</v>
      </c>
      <c r="Q2493" s="116">
        <v>4124.3</v>
      </c>
      <c r="R2493">
        <v>1761466</v>
      </c>
    </row>
    <row r="2494" spans="1:18" x14ac:dyDescent="0.25">
      <c r="A2494" s="170">
        <v>45677</v>
      </c>
      <c r="B2494" s="116">
        <v>4149.45</v>
      </c>
      <c r="C2494" s="116">
        <v>4076.95</v>
      </c>
      <c r="D2494" s="116">
        <v>4068.35</v>
      </c>
      <c r="E2494" s="116">
        <v>4132.1499999999996</v>
      </c>
      <c r="F2494" s="116">
        <v>4076.95</v>
      </c>
      <c r="G2494">
        <v>38280</v>
      </c>
      <c r="H2494" s="116"/>
      <c r="I2494" s="116"/>
      <c r="L2494" s="170">
        <v>45677</v>
      </c>
      <c r="M2494" s="116">
        <v>4077.8</v>
      </c>
      <c r="N2494" s="116">
        <v>4145.8</v>
      </c>
      <c r="O2494" s="116">
        <v>4068.1</v>
      </c>
      <c r="P2494" s="116">
        <v>4145.8</v>
      </c>
      <c r="Q2494" s="116">
        <v>4077.8</v>
      </c>
      <c r="R2494">
        <v>1287799</v>
      </c>
    </row>
    <row r="2495" spans="1:18" x14ac:dyDescent="0.25">
      <c r="A2495" s="170">
        <v>45678</v>
      </c>
      <c r="B2495" s="116">
        <v>4112.7</v>
      </c>
      <c r="C2495" s="116">
        <v>4034.35</v>
      </c>
      <c r="D2495" s="116">
        <v>4029.2</v>
      </c>
      <c r="E2495" s="116">
        <v>4098</v>
      </c>
      <c r="F2495" s="116">
        <v>4034.35</v>
      </c>
      <c r="G2495">
        <v>169326</v>
      </c>
      <c r="H2495" s="116"/>
      <c r="I2495" s="116"/>
      <c r="L2495" s="170">
        <v>45678</v>
      </c>
      <c r="M2495" s="116">
        <v>4035.85</v>
      </c>
      <c r="N2495" s="116">
        <v>4111</v>
      </c>
      <c r="O2495" s="116">
        <v>4030</v>
      </c>
      <c r="P2495" s="116">
        <v>4095.3</v>
      </c>
      <c r="Q2495" s="116">
        <v>4035.85</v>
      </c>
      <c r="R2495">
        <v>1971591</v>
      </c>
    </row>
    <row r="2496" spans="1:18" x14ac:dyDescent="0.25">
      <c r="A2496" s="170">
        <v>45679</v>
      </c>
      <c r="B2496" s="116">
        <v>4163</v>
      </c>
      <c r="C2496" s="116">
        <v>4154</v>
      </c>
      <c r="D2496" s="116">
        <v>4051.35</v>
      </c>
      <c r="E2496" s="116">
        <v>4062.05</v>
      </c>
      <c r="F2496" s="116">
        <v>4154</v>
      </c>
      <c r="G2496">
        <v>62430</v>
      </c>
      <c r="H2496" s="116"/>
      <c r="I2496" s="116"/>
      <c r="L2496" s="170">
        <v>45679</v>
      </c>
      <c r="M2496" s="116">
        <v>4156.6000000000004</v>
      </c>
      <c r="N2496" s="116">
        <v>4163.1499999999996</v>
      </c>
      <c r="O2496" s="116">
        <v>4044.2</v>
      </c>
      <c r="P2496" s="116">
        <v>4050</v>
      </c>
      <c r="Q2496" s="116">
        <v>4156.6000000000004</v>
      </c>
      <c r="R2496">
        <v>2409223</v>
      </c>
    </row>
    <row r="2497" spans="1:18" x14ac:dyDescent="0.25">
      <c r="A2497" s="170">
        <v>45680</v>
      </c>
      <c r="B2497" s="116">
        <v>4190.95</v>
      </c>
      <c r="C2497" s="116">
        <v>4145.7</v>
      </c>
      <c r="D2497" s="116">
        <v>4141.8</v>
      </c>
      <c r="E2497" s="116">
        <v>4154.05</v>
      </c>
      <c r="F2497" s="116">
        <v>4145.7</v>
      </c>
      <c r="G2497">
        <v>20614</v>
      </c>
      <c r="H2497" s="116"/>
      <c r="I2497" s="116"/>
      <c r="L2497" s="170">
        <v>45680</v>
      </c>
      <c r="M2497" s="116">
        <v>4145.45</v>
      </c>
      <c r="N2497" s="116">
        <v>4191.3500000000004</v>
      </c>
      <c r="O2497" s="116">
        <v>4140.05</v>
      </c>
      <c r="P2497" s="116">
        <v>4168</v>
      </c>
      <c r="Q2497" s="116">
        <v>4145.45</v>
      </c>
      <c r="R2497">
        <v>1822998</v>
      </c>
    </row>
    <row r="2498" spans="1:18" x14ac:dyDescent="0.25">
      <c r="A2498" s="170">
        <v>45681</v>
      </c>
      <c r="B2498" s="116">
        <v>4177.7</v>
      </c>
      <c r="C2498" s="116">
        <v>4151.3</v>
      </c>
      <c r="D2498" s="116">
        <v>4100</v>
      </c>
      <c r="E2498" s="116">
        <v>4100</v>
      </c>
      <c r="F2498" s="116">
        <v>4151.3</v>
      </c>
      <c r="G2498">
        <v>40081</v>
      </c>
      <c r="H2498" s="116"/>
      <c r="I2498" s="116"/>
      <c r="L2498" s="170">
        <v>45681</v>
      </c>
      <c r="M2498" s="116">
        <v>4152.3500000000004</v>
      </c>
      <c r="N2498" s="116">
        <v>4178</v>
      </c>
      <c r="O2498" s="116">
        <v>4104</v>
      </c>
      <c r="P2498" s="116">
        <v>4104</v>
      </c>
      <c r="Q2498" s="116">
        <v>4152.3500000000004</v>
      </c>
      <c r="R2498">
        <v>1910099</v>
      </c>
    </row>
    <row r="2499" spans="1:18" x14ac:dyDescent="0.25">
      <c r="A2499" s="170">
        <v>45684</v>
      </c>
      <c r="B2499" s="116">
        <v>4155</v>
      </c>
      <c r="C2499" s="116">
        <v>4066.2</v>
      </c>
      <c r="D2499" s="116">
        <v>4041.55</v>
      </c>
      <c r="E2499" s="116">
        <v>4105.45</v>
      </c>
      <c r="F2499" s="116">
        <v>4066.2</v>
      </c>
      <c r="G2499">
        <v>31079</v>
      </c>
      <c r="H2499" s="116"/>
      <c r="I2499" s="116"/>
      <c r="L2499" s="170">
        <v>45684</v>
      </c>
      <c r="M2499" s="116">
        <v>4065.15</v>
      </c>
      <c r="N2499" s="116">
        <v>4156.3500000000004</v>
      </c>
      <c r="O2499" s="116">
        <v>4041.05</v>
      </c>
      <c r="P2499" s="116">
        <v>4102</v>
      </c>
      <c r="Q2499" s="116">
        <v>4065.15</v>
      </c>
      <c r="R2499">
        <v>1551782</v>
      </c>
    </row>
    <row r="2500" spans="1:18" x14ac:dyDescent="0.25">
      <c r="A2500" s="170">
        <v>45685</v>
      </c>
      <c r="B2500" s="116">
        <v>4101.95</v>
      </c>
      <c r="C2500" s="116">
        <v>4036.45</v>
      </c>
      <c r="D2500" s="116">
        <v>4029.55</v>
      </c>
      <c r="E2500" s="116">
        <v>4065.1</v>
      </c>
      <c r="F2500" s="116">
        <v>4036.45</v>
      </c>
      <c r="G2500">
        <v>74127</v>
      </c>
      <c r="H2500" s="116"/>
      <c r="I2500" s="116"/>
      <c r="L2500" s="170">
        <v>45685</v>
      </c>
      <c r="M2500" s="116">
        <v>4040.3</v>
      </c>
      <c r="N2500" s="116">
        <v>4102</v>
      </c>
      <c r="O2500" s="116">
        <v>4028.3</v>
      </c>
      <c r="P2500" s="116">
        <v>4070.8</v>
      </c>
      <c r="Q2500" s="116">
        <v>4040.3</v>
      </c>
      <c r="R2500">
        <v>2468272</v>
      </c>
    </row>
    <row r="2501" spans="1:18" x14ac:dyDescent="0.25">
      <c r="A2501" s="170">
        <v>45686</v>
      </c>
      <c r="B2501" s="116">
        <v>4106</v>
      </c>
      <c r="C2501" s="116">
        <v>4096.3500000000004</v>
      </c>
      <c r="D2501" s="116">
        <v>4055</v>
      </c>
      <c r="E2501" s="116">
        <v>4057.25</v>
      </c>
      <c r="F2501" s="116">
        <v>4096.3500000000004</v>
      </c>
      <c r="G2501">
        <v>39893</v>
      </c>
      <c r="H2501" s="116"/>
      <c r="I2501" s="116"/>
      <c r="L2501" s="170">
        <v>45686</v>
      </c>
      <c r="M2501" s="116">
        <v>4099.8</v>
      </c>
      <c r="N2501" s="116">
        <v>4107.8500000000004</v>
      </c>
      <c r="O2501" s="116">
        <v>4054</v>
      </c>
      <c r="P2501" s="116">
        <v>4054</v>
      </c>
      <c r="Q2501" s="116">
        <v>4099.8</v>
      </c>
      <c r="R2501">
        <v>1217089</v>
      </c>
    </row>
    <row r="2502" spans="1:18" x14ac:dyDescent="0.25">
      <c r="A2502" s="170">
        <v>45687</v>
      </c>
      <c r="B2502" s="116">
        <v>4129.8</v>
      </c>
      <c r="C2502" s="116">
        <v>4102.45</v>
      </c>
      <c r="D2502" s="116">
        <v>4060.6</v>
      </c>
      <c r="E2502" s="116">
        <v>4098</v>
      </c>
      <c r="F2502" s="116">
        <v>4102.45</v>
      </c>
      <c r="G2502">
        <v>47369</v>
      </c>
      <c r="H2502" s="116"/>
      <c r="I2502" s="116"/>
      <c r="L2502" s="170">
        <v>45687</v>
      </c>
      <c r="M2502" s="116">
        <v>4100.05</v>
      </c>
      <c r="N2502" s="116">
        <v>4129.8999999999996</v>
      </c>
      <c r="O2502" s="116">
        <v>4058.5</v>
      </c>
      <c r="P2502" s="116">
        <v>4099.8999999999996</v>
      </c>
      <c r="Q2502" s="116">
        <v>4100.05</v>
      </c>
      <c r="R2502">
        <v>1531251</v>
      </c>
    </row>
    <row r="2503" spans="1:18" x14ac:dyDescent="0.25">
      <c r="A2503" s="170">
        <v>45688</v>
      </c>
      <c r="B2503" s="116">
        <v>4127.8500000000004</v>
      </c>
      <c r="C2503" s="116">
        <v>4109</v>
      </c>
      <c r="D2503" s="116">
        <v>4088.35</v>
      </c>
      <c r="E2503" s="116">
        <v>4102.5</v>
      </c>
      <c r="F2503" s="116">
        <v>4109</v>
      </c>
      <c r="G2503">
        <v>45628</v>
      </c>
      <c r="H2503" s="116"/>
      <c r="I2503" s="116"/>
      <c r="L2503" s="170">
        <v>45688</v>
      </c>
      <c r="M2503" s="116">
        <v>4112.3999999999996</v>
      </c>
      <c r="N2503" s="116">
        <v>4128.45</v>
      </c>
      <c r="O2503" s="116">
        <v>4085.25</v>
      </c>
      <c r="P2503" s="116">
        <v>4110</v>
      </c>
      <c r="Q2503" s="116">
        <v>4112.3999999999996</v>
      </c>
      <c r="R2503">
        <v>1492943</v>
      </c>
    </row>
    <row r="2504" spans="1:18" x14ac:dyDescent="0.25">
      <c r="A2504" s="170">
        <v>45689</v>
      </c>
      <c r="B2504" s="116">
        <v>4129</v>
      </c>
      <c r="C2504" s="116">
        <v>4073.75</v>
      </c>
      <c r="D2504" s="116">
        <v>4057.85</v>
      </c>
      <c r="E2504" s="116">
        <v>4100.05</v>
      </c>
      <c r="F2504" s="116">
        <v>4073.75</v>
      </c>
      <c r="G2504">
        <v>14616</v>
      </c>
      <c r="H2504" s="116"/>
      <c r="I2504" s="116"/>
      <c r="L2504" s="170">
        <v>45689</v>
      </c>
      <c r="M2504" s="116">
        <v>4073.15</v>
      </c>
      <c r="N2504" s="116">
        <v>4135.8999999999996</v>
      </c>
      <c r="O2504" s="116">
        <v>4056</v>
      </c>
      <c r="P2504" s="116">
        <v>4113</v>
      </c>
      <c r="Q2504" s="116">
        <v>4073.15</v>
      </c>
      <c r="R2504">
        <v>437172</v>
      </c>
    </row>
    <row r="2505" spans="1:18" x14ac:dyDescent="0.25">
      <c r="A2505" s="170">
        <v>45691</v>
      </c>
      <c r="B2505" s="116">
        <v>4076</v>
      </c>
      <c r="C2505" s="116">
        <v>4067.3</v>
      </c>
      <c r="D2505" s="116">
        <v>3999</v>
      </c>
      <c r="E2505" s="116">
        <v>4030</v>
      </c>
      <c r="F2505" s="116">
        <v>4067.3</v>
      </c>
      <c r="G2505">
        <v>32307</v>
      </c>
      <c r="H2505" s="116"/>
      <c r="I2505" s="116"/>
      <c r="L2505" s="170">
        <v>45691</v>
      </c>
      <c r="M2505" s="116">
        <v>4068.65</v>
      </c>
      <c r="N2505" s="116">
        <v>4077</v>
      </c>
      <c r="O2505" s="116">
        <v>3998.7</v>
      </c>
      <c r="P2505" s="116">
        <v>4030.9</v>
      </c>
      <c r="Q2505" s="116">
        <v>4068.65</v>
      </c>
      <c r="R2505">
        <v>1265713</v>
      </c>
    </row>
    <row r="2506" spans="1:18" x14ac:dyDescent="0.25">
      <c r="A2506" s="170">
        <v>45692</v>
      </c>
      <c r="B2506" s="116">
        <v>4120</v>
      </c>
      <c r="C2506" s="116">
        <v>4113.7</v>
      </c>
      <c r="D2506" s="116">
        <v>4065</v>
      </c>
      <c r="E2506" s="116">
        <v>4089.2</v>
      </c>
      <c r="F2506" s="116">
        <v>4113.7</v>
      </c>
      <c r="G2506">
        <v>75645</v>
      </c>
      <c r="H2506" s="116"/>
      <c r="I2506" s="116"/>
      <c r="L2506" s="170">
        <v>45692</v>
      </c>
      <c r="M2506" s="116">
        <v>4107.05</v>
      </c>
      <c r="N2506" s="116">
        <v>4118.8500000000004</v>
      </c>
      <c r="O2506" s="116">
        <v>4066.05</v>
      </c>
      <c r="P2506" s="116">
        <v>4083.7</v>
      </c>
      <c r="Q2506" s="116">
        <v>4107.05</v>
      </c>
      <c r="R2506">
        <v>2547132</v>
      </c>
    </row>
    <row r="2507" spans="1:18" x14ac:dyDescent="0.25">
      <c r="A2507" s="170">
        <v>45693</v>
      </c>
      <c r="B2507" s="116">
        <v>4161</v>
      </c>
      <c r="C2507" s="116">
        <v>4090.75</v>
      </c>
      <c r="D2507" s="116">
        <v>4075.9</v>
      </c>
      <c r="E2507" s="116">
        <v>4161</v>
      </c>
      <c r="F2507" s="116">
        <v>4090.75</v>
      </c>
      <c r="G2507">
        <v>32703</v>
      </c>
      <c r="H2507" s="116"/>
      <c r="I2507" s="116"/>
      <c r="L2507" s="170">
        <v>45693</v>
      </c>
      <c r="M2507" s="116">
        <v>4091.1</v>
      </c>
      <c r="N2507" s="116">
        <v>4150</v>
      </c>
      <c r="O2507" s="116">
        <v>4076</v>
      </c>
      <c r="P2507" s="116">
        <v>4150</v>
      </c>
      <c r="Q2507" s="116">
        <v>4091.1</v>
      </c>
      <c r="R2507">
        <v>1693912</v>
      </c>
    </row>
    <row r="2508" spans="1:18" x14ac:dyDescent="0.25">
      <c r="A2508" s="170">
        <v>45694</v>
      </c>
      <c r="B2508" s="116">
        <v>4135</v>
      </c>
      <c r="C2508" s="116">
        <v>4082.7</v>
      </c>
      <c r="D2508" s="116">
        <v>4052.7</v>
      </c>
      <c r="E2508" s="116">
        <v>4095.45</v>
      </c>
      <c r="F2508" s="116">
        <v>4082.7</v>
      </c>
      <c r="G2508">
        <v>40965</v>
      </c>
      <c r="H2508" s="116"/>
      <c r="I2508" s="116"/>
      <c r="L2508" s="170">
        <v>45694</v>
      </c>
      <c r="M2508" s="116">
        <v>4082.75</v>
      </c>
      <c r="N2508" s="116">
        <v>4139.5</v>
      </c>
      <c r="O2508" s="116">
        <v>4051.55</v>
      </c>
      <c r="P2508" s="116">
        <v>4105.3999999999996</v>
      </c>
      <c r="Q2508" s="116">
        <v>4082.75</v>
      </c>
      <c r="R2508">
        <v>2284536</v>
      </c>
    </row>
    <row r="2509" spans="1:18" x14ac:dyDescent="0.25">
      <c r="A2509" s="170">
        <v>45695</v>
      </c>
      <c r="B2509" s="116">
        <v>4091.9</v>
      </c>
      <c r="C2509" s="116">
        <v>4029.35</v>
      </c>
      <c r="D2509" s="116">
        <v>4009.05</v>
      </c>
      <c r="E2509" s="116">
        <v>4060.15</v>
      </c>
      <c r="F2509" s="116">
        <v>4029.35</v>
      </c>
      <c r="G2509">
        <v>22001</v>
      </c>
      <c r="H2509" s="116"/>
      <c r="I2509" s="116"/>
      <c r="L2509" s="170">
        <v>45695</v>
      </c>
      <c r="M2509" s="116">
        <v>4029.4</v>
      </c>
      <c r="N2509" s="116">
        <v>4090</v>
      </c>
      <c r="O2509" s="116">
        <v>4008</v>
      </c>
      <c r="P2509" s="116">
        <v>4090</v>
      </c>
      <c r="Q2509" s="116">
        <v>4029.4</v>
      </c>
      <c r="R2509">
        <v>1548940</v>
      </c>
    </row>
    <row r="2510" spans="1:18" x14ac:dyDescent="0.25">
      <c r="A2510" s="170">
        <v>45698</v>
      </c>
      <c r="B2510" s="116">
        <v>4051.95</v>
      </c>
      <c r="C2510" s="116">
        <v>4035.5</v>
      </c>
      <c r="D2510" s="116">
        <v>4014.05</v>
      </c>
      <c r="E2510" s="116">
        <v>4049.95</v>
      </c>
      <c r="F2510" s="116">
        <v>4035.5</v>
      </c>
      <c r="G2510">
        <v>91371</v>
      </c>
      <c r="H2510" s="116"/>
      <c r="I2510" s="116"/>
      <c r="L2510" s="170">
        <v>45698</v>
      </c>
      <c r="M2510" s="116">
        <v>4036.95</v>
      </c>
      <c r="N2510" s="116">
        <v>4052</v>
      </c>
      <c r="O2510" s="116">
        <v>4014.35</v>
      </c>
      <c r="P2510" s="116">
        <v>4040</v>
      </c>
      <c r="Q2510" s="116">
        <v>4036.95</v>
      </c>
      <c r="R2510">
        <v>1339511</v>
      </c>
    </row>
    <row r="2511" spans="1:18" x14ac:dyDescent="0.25">
      <c r="A2511" s="170">
        <v>45699</v>
      </c>
      <c r="B2511" s="116">
        <v>4040.85</v>
      </c>
      <c r="C2511" s="116">
        <v>3964.4</v>
      </c>
      <c r="D2511" s="116">
        <v>3955.6</v>
      </c>
      <c r="E2511" s="116">
        <v>4029.8</v>
      </c>
      <c r="F2511" s="116">
        <v>3964.4</v>
      </c>
      <c r="G2511">
        <v>73609</v>
      </c>
      <c r="H2511" s="116"/>
      <c r="I2511" s="116"/>
      <c r="L2511" s="170">
        <v>45699</v>
      </c>
      <c r="M2511" s="116">
        <v>3963.55</v>
      </c>
      <c r="N2511" s="116">
        <v>4040</v>
      </c>
      <c r="O2511" s="116">
        <v>3955</v>
      </c>
      <c r="P2511" s="116">
        <v>4018.4</v>
      </c>
      <c r="Q2511" s="116">
        <v>3963.55</v>
      </c>
      <c r="R2511">
        <v>1810908</v>
      </c>
    </row>
    <row r="2512" spans="1:18" x14ac:dyDescent="0.25">
      <c r="A2512" s="170">
        <v>45700</v>
      </c>
      <c r="B2512" s="116">
        <v>4020</v>
      </c>
      <c r="C2512" s="116">
        <v>3950.2</v>
      </c>
      <c r="D2512" s="116">
        <v>3941.3</v>
      </c>
      <c r="E2512" s="116">
        <v>3966.05</v>
      </c>
      <c r="F2512" s="116">
        <v>3950.2</v>
      </c>
      <c r="G2512">
        <v>70639</v>
      </c>
      <c r="H2512" s="116"/>
      <c r="I2512" s="116"/>
      <c r="L2512" s="170">
        <v>45700</v>
      </c>
      <c r="M2512" s="116">
        <v>3950.15</v>
      </c>
      <c r="N2512" s="116">
        <v>4021.75</v>
      </c>
      <c r="O2512" s="116">
        <v>3940.15</v>
      </c>
      <c r="P2512" s="116">
        <v>3971.1</v>
      </c>
      <c r="Q2512" s="116">
        <v>3950.15</v>
      </c>
      <c r="R2512">
        <v>1678002</v>
      </c>
    </row>
    <row r="2513" spans="1:18" x14ac:dyDescent="0.25">
      <c r="A2513" s="170">
        <v>45701</v>
      </c>
      <c r="B2513" s="116">
        <v>3977.95</v>
      </c>
      <c r="C2513" s="116">
        <v>3909.1</v>
      </c>
      <c r="D2513" s="116">
        <v>3903.35</v>
      </c>
      <c r="E2513" s="116">
        <v>3955</v>
      </c>
      <c r="F2513" s="116">
        <v>3909.1</v>
      </c>
      <c r="G2513">
        <v>38697</v>
      </c>
      <c r="H2513" s="116"/>
      <c r="I2513" s="116"/>
      <c r="L2513" s="170">
        <v>45701</v>
      </c>
      <c r="M2513" s="116">
        <v>3910.15</v>
      </c>
      <c r="N2513" s="116">
        <v>3984.45</v>
      </c>
      <c r="O2513" s="116">
        <v>3902.25</v>
      </c>
      <c r="P2513" s="116">
        <v>3968</v>
      </c>
      <c r="Q2513" s="116">
        <v>3910.15</v>
      </c>
      <c r="R2513">
        <v>2277310</v>
      </c>
    </row>
    <row r="2514" spans="1:18" x14ac:dyDescent="0.25">
      <c r="A2514" s="170">
        <v>45702</v>
      </c>
      <c r="B2514" s="116">
        <v>3948</v>
      </c>
      <c r="C2514" s="116">
        <v>3932.75</v>
      </c>
      <c r="D2514" s="116">
        <v>3900.6</v>
      </c>
      <c r="E2514" s="116">
        <v>3925</v>
      </c>
      <c r="F2514" s="116">
        <v>3932.75</v>
      </c>
      <c r="G2514">
        <v>88802</v>
      </c>
      <c r="H2514" s="116"/>
      <c r="I2514" s="116"/>
      <c r="L2514" s="170">
        <v>45702</v>
      </c>
      <c r="M2514" s="116">
        <v>3934.85</v>
      </c>
      <c r="N2514" s="116">
        <v>3948</v>
      </c>
      <c r="O2514" s="116">
        <v>3900</v>
      </c>
      <c r="P2514" s="116">
        <v>3925</v>
      </c>
      <c r="Q2514" s="116">
        <v>3934.85</v>
      </c>
      <c r="R2514">
        <v>1681975</v>
      </c>
    </row>
    <row r="2515" spans="1:18" x14ac:dyDescent="0.25">
      <c r="A2515" s="170">
        <v>45705</v>
      </c>
      <c r="B2515" s="116">
        <v>3934.55</v>
      </c>
      <c r="C2515" s="116">
        <v>3903.4</v>
      </c>
      <c r="D2515" s="116">
        <v>3860</v>
      </c>
      <c r="E2515" s="116">
        <v>3900</v>
      </c>
      <c r="F2515" s="116">
        <v>3903.4</v>
      </c>
      <c r="G2515">
        <v>126487</v>
      </c>
      <c r="H2515" s="116"/>
      <c r="I2515" s="116"/>
      <c r="L2515" s="170">
        <v>45705</v>
      </c>
      <c r="M2515" s="116">
        <v>3904.5</v>
      </c>
      <c r="N2515" s="116">
        <v>3934</v>
      </c>
      <c r="O2515" s="116">
        <v>3856.2</v>
      </c>
      <c r="P2515" s="116">
        <v>3856.5</v>
      </c>
      <c r="Q2515" s="116">
        <v>3904.5</v>
      </c>
      <c r="R2515">
        <v>1799806</v>
      </c>
    </row>
    <row r="2516" spans="1:18" x14ac:dyDescent="0.25">
      <c r="A2516" s="170">
        <v>45706</v>
      </c>
      <c r="B2516" s="116">
        <v>3924.6</v>
      </c>
      <c r="C2516" s="116">
        <v>3869.45</v>
      </c>
      <c r="D2516" s="116">
        <v>3861</v>
      </c>
      <c r="E2516" s="116">
        <v>3903.4</v>
      </c>
      <c r="F2516" s="116">
        <v>3869.45</v>
      </c>
      <c r="G2516">
        <v>55205</v>
      </c>
      <c r="H2516" s="116"/>
      <c r="I2516" s="116"/>
      <c r="L2516" s="170">
        <v>45706</v>
      </c>
      <c r="M2516" s="116">
        <v>3873.2</v>
      </c>
      <c r="N2516" s="116">
        <v>3924.4</v>
      </c>
      <c r="O2516" s="116">
        <v>3864.5</v>
      </c>
      <c r="P2516" s="116">
        <v>3898.4</v>
      </c>
      <c r="Q2516" s="116">
        <v>3873.2</v>
      </c>
      <c r="R2516">
        <v>2149879</v>
      </c>
    </row>
    <row r="2517" spans="1:18" x14ac:dyDescent="0.25">
      <c r="A2517" s="170">
        <v>45707</v>
      </c>
      <c r="B2517" s="116">
        <v>3873.2</v>
      </c>
      <c r="C2517" s="116">
        <v>3781.35</v>
      </c>
      <c r="D2517" s="116">
        <v>3767.5</v>
      </c>
      <c r="E2517" s="116">
        <v>3872</v>
      </c>
      <c r="F2517" s="116">
        <v>3781.35</v>
      </c>
      <c r="G2517">
        <v>163847</v>
      </c>
      <c r="H2517" s="116"/>
      <c r="I2517" s="116"/>
      <c r="L2517" s="170">
        <v>45707</v>
      </c>
      <c r="M2517" s="116">
        <v>3784.1</v>
      </c>
      <c r="N2517" s="116">
        <v>3874.95</v>
      </c>
      <c r="O2517" s="116">
        <v>3768.15</v>
      </c>
      <c r="P2517" s="116">
        <v>3872.2</v>
      </c>
      <c r="Q2517" s="116">
        <v>3784.1</v>
      </c>
      <c r="R2517">
        <v>4366672</v>
      </c>
    </row>
    <row r="2518" spans="1:18" x14ac:dyDescent="0.25">
      <c r="A2518" s="170">
        <v>45708</v>
      </c>
      <c r="B2518" s="116">
        <v>3789.5</v>
      </c>
      <c r="C2518" s="116">
        <v>3777.95</v>
      </c>
      <c r="D2518" s="116">
        <v>3755</v>
      </c>
      <c r="E2518" s="116">
        <v>3779</v>
      </c>
      <c r="F2518" s="116">
        <v>3777.95</v>
      </c>
      <c r="G2518">
        <v>45355</v>
      </c>
      <c r="H2518" s="116"/>
      <c r="I2518" s="116"/>
      <c r="L2518" s="170">
        <v>45708</v>
      </c>
      <c r="M2518" s="116">
        <v>3779.4</v>
      </c>
      <c r="N2518" s="116">
        <v>3788</v>
      </c>
      <c r="O2518" s="116">
        <v>3751.3</v>
      </c>
      <c r="P2518" s="116">
        <v>3761.5</v>
      </c>
      <c r="Q2518" s="116">
        <v>3779.4</v>
      </c>
      <c r="R2518">
        <v>2888572</v>
      </c>
    </row>
    <row r="2519" spans="1:18" x14ac:dyDescent="0.25">
      <c r="A2519" s="170">
        <v>45709</v>
      </c>
      <c r="B2519" s="116">
        <v>3816.6</v>
      </c>
      <c r="C2519" s="116">
        <v>3785.75</v>
      </c>
      <c r="D2519" s="116">
        <v>3775</v>
      </c>
      <c r="E2519" s="116">
        <v>3781.2</v>
      </c>
      <c r="F2519" s="116">
        <v>3785.75</v>
      </c>
      <c r="G2519">
        <v>89843</v>
      </c>
      <c r="H2519" s="116"/>
      <c r="I2519" s="116"/>
      <c r="L2519" s="170">
        <v>45709</v>
      </c>
      <c r="M2519" s="116">
        <v>3786</v>
      </c>
      <c r="N2519" s="116">
        <v>3817</v>
      </c>
      <c r="O2519" s="116">
        <v>3775</v>
      </c>
      <c r="P2519" s="116">
        <v>3776.1</v>
      </c>
      <c r="Q2519" s="116">
        <v>3786</v>
      </c>
      <c r="R2519">
        <v>1833931</v>
      </c>
    </row>
    <row r="2520" spans="1:18" x14ac:dyDescent="0.25">
      <c r="A2520" s="170">
        <v>45712</v>
      </c>
      <c r="B2520" s="116">
        <v>3767.35</v>
      </c>
      <c r="C2520" s="116">
        <v>3674.9</v>
      </c>
      <c r="D2520" s="116">
        <v>3670.65</v>
      </c>
      <c r="E2520" s="116">
        <v>3767.35</v>
      </c>
      <c r="F2520" s="116">
        <v>3674.9</v>
      </c>
      <c r="G2520">
        <v>276198</v>
      </c>
      <c r="H2520" s="116"/>
      <c r="I2520" s="116"/>
      <c r="L2520" s="170">
        <v>45712</v>
      </c>
      <c r="M2520" s="116">
        <v>3675.6</v>
      </c>
      <c r="N2520" s="116">
        <v>3763.2</v>
      </c>
      <c r="O2520" s="116">
        <v>3670</v>
      </c>
      <c r="P2520" s="116">
        <v>3743.15</v>
      </c>
      <c r="Q2520" s="116">
        <v>3675.6</v>
      </c>
      <c r="R2520">
        <v>2508516</v>
      </c>
    </row>
    <row r="2521" spans="1:18" x14ac:dyDescent="0.25">
      <c r="A2521" s="170">
        <v>45713</v>
      </c>
      <c r="B2521" s="116">
        <v>3657.95</v>
      </c>
      <c r="C2521" s="116">
        <v>3631.1</v>
      </c>
      <c r="D2521" s="116">
        <v>3621.6</v>
      </c>
      <c r="E2521" s="116">
        <v>3639.95</v>
      </c>
      <c r="F2521" s="116">
        <v>3631.1</v>
      </c>
      <c r="G2521">
        <v>209408</v>
      </c>
      <c r="H2521" s="116"/>
      <c r="I2521" s="116"/>
      <c r="L2521" s="170">
        <v>45713</v>
      </c>
      <c r="M2521" s="116">
        <v>3629.55</v>
      </c>
      <c r="N2521" s="116">
        <v>3658</v>
      </c>
      <c r="O2521" s="116">
        <v>3621.25</v>
      </c>
      <c r="P2521" s="116">
        <v>3625</v>
      </c>
      <c r="Q2521" s="116">
        <v>3629.55</v>
      </c>
      <c r="R2521">
        <v>4101954</v>
      </c>
    </row>
    <row r="2522" spans="1:18" x14ac:dyDescent="0.25">
      <c r="A2522" s="170">
        <v>45715</v>
      </c>
      <c r="B2522" s="116">
        <v>3637.95</v>
      </c>
      <c r="C2522" s="116">
        <v>3612.35</v>
      </c>
      <c r="D2522" s="116">
        <v>3600</v>
      </c>
      <c r="E2522" s="116">
        <v>3628.95</v>
      </c>
      <c r="F2522" s="116">
        <v>3612.35</v>
      </c>
      <c r="G2522">
        <v>58527</v>
      </c>
      <c r="H2522" s="116"/>
      <c r="I2522" s="116"/>
      <c r="L2522" s="170">
        <v>45715</v>
      </c>
      <c r="M2522" s="116">
        <v>3612.55</v>
      </c>
      <c r="N2522" s="116">
        <v>3638</v>
      </c>
      <c r="O2522" s="116">
        <v>3600.7</v>
      </c>
      <c r="P2522" s="116">
        <v>3611.7</v>
      </c>
      <c r="Q2522" s="116">
        <v>3612.55</v>
      </c>
      <c r="R2522">
        <v>3823856</v>
      </c>
    </row>
    <row r="2523" spans="1:18" x14ac:dyDescent="0.25">
      <c r="A2523" s="170">
        <v>45716</v>
      </c>
      <c r="B2523" s="116">
        <v>3599</v>
      </c>
      <c r="C2523" s="116">
        <v>3483.9</v>
      </c>
      <c r="D2523" s="116">
        <v>3457.35</v>
      </c>
      <c r="E2523" s="116">
        <v>3588.8</v>
      </c>
      <c r="F2523" s="116">
        <v>3483.9</v>
      </c>
      <c r="G2523">
        <v>95141</v>
      </c>
      <c r="H2523" s="116"/>
      <c r="I2523" s="116"/>
      <c r="L2523" s="170">
        <v>45716</v>
      </c>
      <c r="M2523" s="116">
        <v>3483.25</v>
      </c>
      <c r="N2523" s="116">
        <v>3600</v>
      </c>
      <c r="O2523" s="116">
        <v>3457</v>
      </c>
      <c r="P2523" s="116">
        <v>3584.95</v>
      </c>
      <c r="Q2523" s="116">
        <v>3483.25</v>
      </c>
      <c r="R2523">
        <v>7085018</v>
      </c>
    </row>
    <row r="2524" spans="1:18" x14ac:dyDescent="0.25">
      <c r="A2524" s="170">
        <v>45719</v>
      </c>
      <c r="B2524" s="116">
        <v>3523.95</v>
      </c>
      <c r="C2524" s="116">
        <v>3496.55</v>
      </c>
      <c r="D2524" s="116">
        <v>3475</v>
      </c>
      <c r="E2524" s="116">
        <v>3499.85</v>
      </c>
      <c r="F2524" s="116">
        <v>3496.55</v>
      </c>
      <c r="G2524">
        <v>90088</v>
      </c>
      <c r="H2524" s="116"/>
      <c r="I2524" s="116"/>
      <c r="L2524" s="170">
        <v>45719</v>
      </c>
      <c r="M2524" s="116">
        <v>3493.05</v>
      </c>
      <c r="N2524" s="116">
        <v>3523.25</v>
      </c>
      <c r="O2524" s="116">
        <v>3476.15</v>
      </c>
      <c r="P2524" s="116">
        <v>3485</v>
      </c>
      <c r="Q2524" s="116">
        <v>3493.05</v>
      </c>
      <c r="R2524">
        <v>4990439</v>
      </c>
    </row>
    <row r="2525" spans="1:18" x14ac:dyDescent="0.25">
      <c r="A2525" s="170">
        <v>45720</v>
      </c>
      <c r="B2525" s="116">
        <v>3549.9</v>
      </c>
      <c r="C2525" s="116">
        <v>3532.65</v>
      </c>
      <c r="D2525" s="116">
        <v>3463.8</v>
      </c>
      <c r="E2525" s="116">
        <v>3483.95</v>
      </c>
      <c r="F2525" s="116">
        <v>3532.65</v>
      </c>
      <c r="G2525">
        <v>68643</v>
      </c>
      <c r="H2525" s="116"/>
      <c r="I2525" s="116"/>
      <c r="L2525" s="170">
        <v>45720</v>
      </c>
      <c r="M2525" s="116">
        <v>3532.05</v>
      </c>
      <c r="N2525" s="116">
        <v>3551</v>
      </c>
      <c r="O2525" s="116">
        <v>3464.3</v>
      </c>
      <c r="P2525" s="116">
        <v>3474</v>
      </c>
      <c r="Q2525" s="116">
        <v>3532.05</v>
      </c>
      <c r="R2525">
        <v>2797737</v>
      </c>
    </row>
    <row r="2526" spans="1:18" x14ac:dyDescent="0.25">
      <c r="A2526" s="170">
        <v>45721</v>
      </c>
      <c r="B2526" s="116">
        <v>3598</v>
      </c>
      <c r="C2526" s="116">
        <v>3549.35</v>
      </c>
      <c r="D2526" s="116">
        <v>3521.1</v>
      </c>
      <c r="E2526" s="116">
        <v>3529.95</v>
      </c>
      <c r="F2526" s="116">
        <v>3549.35</v>
      </c>
      <c r="G2526">
        <v>50343</v>
      </c>
      <c r="H2526" s="116"/>
      <c r="I2526" s="116"/>
      <c r="L2526" s="170">
        <v>45721</v>
      </c>
      <c r="M2526" s="116">
        <v>3547.05</v>
      </c>
      <c r="N2526" s="116">
        <v>3600.35</v>
      </c>
      <c r="O2526" s="116">
        <v>3520.85</v>
      </c>
      <c r="P2526" s="116">
        <v>3520.85</v>
      </c>
      <c r="Q2526" s="116">
        <v>3547.05</v>
      </c>
      <c r="R2526">
        <v>2501894</v>
      </c>
    </row>
    <row r="2527" spans="1:18" x14ac:dyDescent="0.25">
      <c r="A2527" s="170">
        <v>45722</v>
      </c>
      <c r="B2527" s="116">
        <v>3608.95</v>
      </c>
      <c r="C2527" s="116">
        <v>3599.7</v>
      </c>
      <c r="D2527" s="116">
        <v>3536.15</v>
      </c>
      <c r="E2527" s="116">
        <v>3568</v>
      </c>
      <c r="F2527" s="116">
        <v>3599.7</v>
      </c>
      <c r="G2527">
        <v>52086</v>
      </c>
      <c r="H2527" s="116"/>
      <c r="I2527" s="116"/>
      <c r="L2527" s="170">
        <v>45722</v>
      </c>
      <c r="M2527" s="116">
        <v>3601.6</v>
      </c>
      <c r="N2527" s="116">
        <v>3609.45</v>
      </c>
      <c r="O2527" s="116">
        <v>3536.1</v>
      </c>
      <c r="P2527" s="116">
        <v>3557</v>
      </c>
      <c r="Q2527" s="116">
        <v>3601.6</v>
      </c>
      <c r="R2527">
        <v>2786513</v>
      </c>
    </row>
    <row r="2528" spans="1:18" x14ac:dyDescent="0.25">
      <c r="A2528" s="170">
        <v>45723</v>
      </c>
      <c r="B2528" s="116">
        <v>3624.95</v>
      </c>
      <c r="C2528" s="116">
        <v>3611.3</v>
      </c>
      <c r="D2528" s="116">
        <v>3575</v>
      </c>
      <c r="E2528" s="116">
        <v>3624.95</v>
      </c>
      <c r="F2528" s="116">
        <v>3611.3</v>
      </c>
      <c r="G2528">
        <v>30644</v>
      </c>
      <c r="H2528" s="116"/>
      <c r="I2528" s="116"/>
      <c r="L2528" s="170">
        <v>45723</v>
      </c>
      <c r="M2528" s="116">
        <v>3611.2</v>
      </c>
      <c r="N2528" s="116">
        <v>3625</v>
      </c>
      <c r="O2528" s="116">
        <v>3574.4</v>
      </c>
      <c r="P2528" s="116">
        <v>3600</v>
      </c>
      <c r="Q2528" s="116">
        <v>3611.2</v>
      </c>
      <c r="R2528">
        <v>2051315</v>
      </c>
    </row>
    <row r="2529" spans="1:18" x14ac:dyDescent="0.25">
      <c r="A2529" s="170">
        <v>45726</v>
      </c>
      <c r="B2529" s="116">
        <v>3623.45</v>
      </c>
      <c r="C2529" s="116">
        <v>3588.1</v>
      </c>
      <c r="D2529" s="116">
        <v>3582.1</v>
      </c>
      <c r="E2529" s="116">
        <v>3610.2</v>
      </c>
      <c r="F2529" s="116">
        <v>3588.1</v>
      </c>
      <c r="G2529">
        <v>40546</v>
      </c>
      <c r="H2529" s="116"/>
      <c r="I2529" s="116"/>
      <c r="L2529" s="170">
        <v>45726</v>
      </c>
      <c r="M2529" s="116">
        <v>3589.65</v>
      </c>
      <c r="N2529" s="116">
        <v>3622.1</v>
      </c>
      <c r="O2529" s="116">
        <v>3582.6</v>
      </c>
      <c r="P2529" s="116">
        <v>3606.5</v>
      </c>
      <c r="Q2529" s="116">
        <v>3589.65</v>
      </c>
      <c r="R2529">
        <v>1004626</v>
      </c>
    </row>
    <row r="2530" spans="1:18" x14ac:dyDescent="0.25">
      <c r="A2530" s="170">
        <v>45727</v>
      </c>
      <c r="B2530" s="116">
        <v>3589.55</v>
      </c>
      <c r="C2530" s="116">
        <v>3574.9</v>
      </c>
      <c r="D2530" s="116">
        <v>3536.9</v>
      </c>
      <c r="E2530" s="116">
        <v>3553.25</v>
      </c>
      <c r="F2530" s="116">
        <v>3574.9</v>
      </c>
      <c r="G2530">
        <v>48906</v>
      </c>
      <c r="H2530" s="116"/>
      <c r="I2530" s="116"/>
      <c r="L2530" s="170">
        <v>45727</v>
      </c>
      <c r="M2530" s="116">
        <v>3575.3</v>
      </c>
      <c r="N2530" s="116">
        <v>3588.75</v>
      </c>
      <c r="O2530" s="116">
        <v>3537.65</v>
      </c>
      <c r="P2530" s="116">
        <v>3558</v>
      </c>
      <c r="Q2530" s="116">
        <v>3575.3</v>
      </c>
      <c r="R2530">
        <v>1995450</v>
      </c>
    </row>
    <row r="2531" spans="1:18" x14ac:dyDescent="0.25">
      <c r="A2531" s="170">
        <v>45728</v>
      </c>
      <c r="B2531" s="116">
        <v>3565.3</v>
      </c>
      <c r="C2531" s="116">
        <v>3503.6</v>
      </c>
      <c r="D2531" s="116">
        <v>3489.6</v>
      </c>
      <c r="E2531" s="116">
        <v>3564.95</v>
      </c>
      <c r="F2531" s="116">
        <v>3503.6</v>
      </c>
      <c r="G2531">
        <v>37641</v>
      </c>
      <c r="H2531" s="116"/>
      <c r="I2531" s="116"/>
      <c r="L2531" s="170">
        <v>45728</v>
      </c>
      <c r="M2531" s="116">
        <v>3506.2</v>
      </c>
      <c r="N2531" s="116">
        <v>3569.25</v>
      </c>
      <c r="O2531" s="116">
        <v>3486.85</v>
      </c>
      <c r="P2531" s="116">
        <v>3565</v>
      </c>
      <c r="Q2531" s="116">
        <v>3506.2</v>
      </c>
      <c r="R2531">
        <v>3174167</v>
      </c>
    </row>
    <row r="2532" spans="1:18" x14ac:dyDescent="0.25">
      <c r="A2532" s="170">
        <v>45729</v>
      </c>
      <c r="B2532" s="116">
        <v>3524.15</v>
      </c>
      <c r="C2532" s="116">
        <v>3512.35</v>
      </c>
      <c r="D2532" s="116">
        <v>3484.5</v>
      </c>
      <c r="E2532" s="116">
        <v>3506</v>
      </c>
      <c r="F2532" s="116">
        <v>3512.35</v>
      </c>
      <c r="G2532">
        <v>21598</v>
      </c>
      <c r="H2532" s="116"/>
      <c r="I2532" s="116"/>
      <c r="L2532" s="170">
        <v>45729</v>
      </c>
      <c r="M2532" s="116">
        <v>3511.05</v>
      </c>
      <c r="N2532" s="116">
        <v>3524.3</v>
      </c>
      <c r="O2532" s="116">
        <v>3484.1</v>
      </c>
      <c r="P2532" s="116">
        <v>3502.3</v>
      </c>
      <c r="Q2532" s="116">
        <v>3511.05</v>
      </c>
      <c r="R2532">
        <v>1693004</v>
      </c>
    </row>
    <row r="2533" spans="1:18" x14ac:dyDescent="0.25">
      <c r="A2533" s="170">
        <v>45733</v>
      </c>
      <c r="B2533" s="116">
        <v>3610.3</v>
      </c>
      <c r="C2533" s="116">
        <v>3497.25</v>
      </c>
      <c r="D2533" s="116">
        <v>3478</v>
      </c>
      <c r="E2533" s="116">
        <v>3508.5</v>
      </c>
      <c r="F2533" s="116">
        <v>3497.25</v>
      </c>
      <c r="G2533">
        <v>91119</v>
      </c>
      <c r="H2533" s="116"/>
      <c r="I2533" s="116"/>
      <c r="L2533" s="170">
        <v>45733</v>
      </c>
      <c r="M2533" s="116">
        <v>3497.7</v>
      </c>
      <c r="N2533" s="116">
        <v>3530.45</v>
      </c>
      <c r="O2533" s="116">
        <v>3477.35</v>
      </c>
      <c r="P2533" s="116">
        <v>3489</v>
      </c>
      <c r="Q2533" s="116">
        <v>3497.7</v>
      </c>
      <c r="R2533">
        <v>2690906</v>
      </c>
    </row>
    <row r="2534" spans="1:18" x14ac:dyDescent="0.25">
      <c r="A2534" s="170">
        <v>45734</v>
      </c>
      <c r="B2534" s="116">
        <v>3556.45</v>
      </c>
      <c r="C2534" s="116">
        <v>3552.65</v>
      </c>
      <c r="D2534" s="116">
        <v>3479</v>
      </c>
      <c r="E2534" s="116">
        <v>3503</v>
      </c>
      <c r="F2534" s="116">
        <v>3552.65</v>
      </c>
      <c r="G2534">
        <v>78586</v>
      </c>
      <c r="H2534" s="116"/>
      <c r="I2534" s="116"/>
      <c r="L2534" s="170">
        <v>45734</v>
      </c>
      <c r="M2534" s="116">
        <v>3552.45</v>
      </c>
      <c r="N2534" s="116">
        <v>3556.95</v>
      </c>
      <c r="O2534" s="116">
        <v>3478.45</v>
      </c>
      <c r="P2534" s="116">
        <v>3502.35</v>
      </c>
      <c r="Q2534" s="116">
        <v>3552.45</v>
      </c>
      <c r="R2534">
        <v>3069109</v>
      </c>
    </row>
    <row r="2535" spans="1:18" x14ac:dyDescent="0.25">
      <c r="A2535" s="170">
        <v>45735</v>
      </c>
      <c r="B2535" s="116">
        <v>3549</v>
      </c>
      <c r="C2535" s="116">
        <v>3497.15</v>
      </c>
      <c r="D2535" s="116">
        <v>3463.05</v>
      </c>
      <c r="E2535" s="116">
        <v>3549</v>
      </c>
      <c r="F2535" s="116">
        <v>3497.15</v>
      </c>
      <c r="G2535">
        <v>157024</v>
      </c>
      <c r="H2535" s="116"/>
      <c r="I2535" s="116"/>
      <c r="L2535" s="170">
        <v>45735</v>
      </c>
      <c r="M2535" s="116">
        <v>3497.1</v>
      </c>
      <c r="N2535" s="116">
        <v>3547</v>
      </c>
      <c r="O2535" s="116">
        <v>3462.75</v>
      </c>
      <c r="P2535" s="116">
        <v>3547</v>
      </c>
      <c r="Q2535" s="116">
        <v>3497.1</v>
      </c>
      <c r="R2535">
        <v>3051244</v>
      </c>
    </row>
    <row r="2536" spans="1:18" x14ac:dyDescent="0.25">
      <c r="A2536" s="170">
        <v>45736</v>
      </c>
      <c r="B2536" s="116">
        <v>3577.55</v>
      </c>
      <c r="C2536" s="116">
        <v>3562.8</v>
      </c>
      <c r="D2536" s="116">
        <v>3508.05</v>
      </c>
      <c r="E2536" s="116">
        <v>3508.05</v>
      </c>
      <c r="F2536" s="116">
        <v>3562.8</v>
      </c>
      <c r="G2536">
        <v>113648</v>
      </c>
      <c r="H2536" s="116"/>
      <c r="I2536" s="116"/>
      <c r="L2536" s="170">
        <v>45736</v>
      </c>
      <c r="M2536" s="116">
        <v>3563.15</v>
      </c>
      <c r="N2536" s="116">
        <v>3578.95</v>
      </c>
      <c r="O2536" s="116">
        <v>3512</v>
      </c>
      <c r="P2536" s="116">
        <v>3512</v>
      </c>
      <c r="Q2536" s="116">
        <v>3563.15</v>
      </c>
      <c r="R2536">
        <v>2845192</v>
      </c>
    </row>
    <row r="2537" spans="1:18" x14ac:dyDescent="0.25">
      <c r="A2537" s="170">
        <v>45737</v>
      </c>
      <c r="B2537" s="116">
        <v>3615</v>
      </c>
      <c r="C2537" s="116">
        <v>3579.4</v>
      </c>
      <c r="D2537" s="116">
        <v>3466.6</v>
      </c>
      <c r="E2537" s="116">
        <v>3499.95</v>
      </c>
      <c r="F2537" s="116">
        <v>3579.4</v>
      </c>
      <c r="G2537">
        <v>68893</v>
      </c>
      <c r="H2537" s="116"/>
      <c r="I2537" s="116"/>
      <c r="L2537" s="170">
        <v>45737</v>
      </c>
      <c r="M2537" s="116">
        <v>3578.1</v>
      </c>
      <c r="N2537" s="116">
        <v>3616.25</v>
      </c>
      <c r="O2537" s="116">
        <v>3465</v>
      </c>
      <c r="P2537" s="116">
        <v>3475</v>
      </c>
      <c r="Q2537" s="116">
        <v>3578.1</v>
      </c>
      <c r="R2537">
        <v>4161925</v>
      </c>
    </row>
    <row r="2538" spans="1:18" x14ac:dyDescent="0.25">
      <c r="A2538" s="170">
        <v>45740</v>
      </c>
      <c r="B2538" s="116">
        <v>3649.6</v>
      </c>
      <c r="C2538" s="116">
        <v>3631.55</v>
      </c>
      <c r="D2538" s="116">
        <v>3566.65</v>
      </c>
      <c r="E2538" s="116">
        <v>3585.05</v>
      </c>
      <c r="F2538" s="116">
        <v>3631.55</v>
      </c>
      <c r="G2538">
        <v>85061</v>
      </c>
      <c r="H2538" s="116"/>
      <c r="I2538" s="116"/>
      <c r="L2538" s="170">
        <v>45740</v>
      </c>
      <c r="M2538" s="116">
        <v>3628.95</v>
      </c>
      <c r="N2538" s="116">
        <v>3649.75</v>
      </c>
      <c r="O2538" s="116">
        <v>3566.6</v>
      </c>
      <c r="P2538" s="116">
        <v>3600</v>
      </c>
      <c r="Q2538" s="116">
        <v>3628.95</v>
      </c>
      <c r="R2538">
        <v>1834751</v>
      </c>
    </row>
    <row r="2539" spans="1:18" x14ac:dyDescent="0.25">
      <c r="A2539" s="170">
        <v>45741</v>
      </c>
      <c r="B2539" s="116">
        <v>3708.9</v>
      </c>
      <c r="C2539" s="116">
        <v>3657.7</v>
      </c>
      <c r="D2539" s="116">
        <v>3638.05</v>
      </c>
      <c r="E2539" s="116">
        <v>3649.95</v>
      </c>
      <c r="F2539" s="116">
        <v>3657.7</v>
      </c>
      <c r="G2539">
        <v>140545</v>
      </c>
      <c r="H2539" s="116"/>
      <c r="I2539" s="116"/>
      <c r="L2539" s="170">
        <v>45741</v>
      </c>
      <c r="M2539" s="116">
        <v>3657.75</v>
      </c>
      <c r="N2539" s="116">
        <v>3710</v>
      </c>
      <c r="O2539" s="116">
        <v>3638</v>
      </c>
      <c r="P2539" s="116">
        <v>3645</v>
      </c>
      <c r="Q2539" s="116">
        <v>3657.75</v>
      </c>
      <c r="R2539">
        <v>3135390</v>
      </c>
    </row>
    <row r="2540" spans="1:18" x14ac:dyDescent="0.25">
      <c r="A2540" s="170">
        <v>45742</v>
      </c>
      <c r="B2540" s="116">
        <v>3679.9</v>
      </c>
      <c r="C2540" s="116">
        <v>3635.5</v>
      </c>
      <c r="D2540" s="116">
        <v>3625</v>
      </c>
      <c r="E2540" s="116">
        <v>3661</v>
      </c>
      <c r="F2540" s="116">
        <v>3635.5</v>
      </c>
      <c r="G2540">
        <v>29338</v>
      </c>
      <c r="H2540" s="116"/>
      <c r="I2540" s="116"/>
      <c r="L2540" s="170">
        <v>45742</v>
      </c>
      <c r="M2540" s="116">
        <v>3635.8</v>
      </c>
      <c r="N2540" s="116">
        <v>3680.5</v>
      </c>
      <c r="O2540" s="116">
        <v>3625.85</v>
      </c>
      <c r="P2540" s="116">
        <v>3647.75</v>
      </c>
      <c r="Q2540" s="116">
        <v>3635.8</v>
      </c>
      <c r="R2540">
        <v>1734499</v>
      </c>
    </row>
    <row r="2541" spans="1:18" x14ac:dyDescent="0.25">
      <c r="A2541" s="170">
        <v>45743</v>
      </c>
      <c r="B2541" s="116">
        <v>3662.85</v>
      </c>
      <c r="C2541" s="116">
        <v>3651.65</v>
      </c>
      <c r="D2541" s="116">
        <v>3610</v>
      </c>
      <c r="E2541" s="116">
        <v>3624.65</v>
      </c>
      <c r="F2541" s="116">
        <v>3651.65</v>
      </c>
      <c r="G2541">
        <v>30955</v>
      </c>
      <c r="H2541" s="116"/>
      <c r="I2541" s="116"/>
      <c r="L2541" s="170">
        <v>45743</v>
      </c>
      <c r="M2541" s="116">
        <v>3651.2</v>
      </c>
      <c r="N2541" s="116">
        <v>3663</v>
      </c>
      <c r="O2541" s="116">
        <v>3610.5</v>
      </c>
      <c r="P2541" s="116">
        <v>3614.85</v>
      </c>
      <c r="Q2541" s="116">
        <v>3651.2</v>
      </c>
      <c r="R2541">
        <v>2528474</v>
      </c>
    </row>
    <row r="2542" spans="1:18" x14ac:dyDescent="0.25">
      <c r="A2542" s="170">
        <v>45744</v>
      </c>
      <c r="B2542" s="116">
        <v>3660</v>
      </c>
      <c r="C2542" s="116">
        <v>3604.45</v>
      </c>
      <c r="D2542" s="116">
        <v>3596.05</v>
      </c>
      <c r="E2542" s="116">
        <v>3648</v>
      </c>
      <c r="F2542" s="116">
        <v>3604.45</v>
      </c>
      <c r="G2542">
        <v>70765</v>
      </c>
      <c r="H2542" s="116"/>
      <c r="I2542" s="116"/>
      <c r="L2542" s="170">
        <v>45744</v>
      </c>
      <c r="M2542" s="116">
        <v>3606.15</v>
      </c>
      <c r="N2542" s="116">
        <v>3660.95</v>
      </c>
      <c r="O2542" s="116">
        <v>3591.9</v>
      </c>
      <c r="P2542" s="116">
        <v>3651</v>
      </c>
      <c r="Q2542" s="116">
        <v>3606.15</v>
      </c>
      <c r="R2542">
        <v>2051919</v>
      </c>
    </row>
    <row r="2543" spans="1:18" x14ac:dyDescent="0.25">
      <c r="A2543" s="170">
        <v>45748</v>
      </c>
      <c r="B2543" s="116">
        <v>3588.95</v>
      </c>
      <c r="C2543" s="116">
        <v>3550.35</v>
      </c>
      <c r="D2543" s="116">
        <v>3524</v>
      </c>
      <c r="E2543" s="116">
        <v>3588.95</v>
      </c>
      <c r="F2543" s="116">
        <v>3550.35</v>
      </c>
      <c r="G2543">
        <v>71234</v>
      </c>
      <c r="H2543" s="116"/>
      <c r="I2543" s="116"/>
      <c r="L2543" s="170">
        <v>45748</v>
      </c>
      <c r="M2543" s="116">
        <v>3550.8</v>
      </c>
      <c r="N2543" s="116">
        <v>3584</v>
      </c>
      <c r="O2543" s="116">
        <v>3525</v>
      </c>
      <c r="P2543" s="116">
        <v>3572.7</v>
      </c>
      <c r="Q2543" s="116">
        <v>3550.8</v>
      </c>
      <c r="R2543">
        <v>2618493</v>
      </c>
    </row>
    <row r="2544" spans="1:18" x14ac:dyDescent="0.25">
      <c r="A2544" s="170">
        <v>45749</v>
      </c>
      <c r="B2544" s="116">
        <v>3563.7</v>
      </c>
      <c r="C2544" s="116">
        <v>3545</v>
      </c>
      <c r="D2544" s="116">
        <v>3530.05</v>
      </c>
      <c r="E2544" s="116">
        <v>3550.35</v>
      </c>
      <c r="F2544" s="116">
        <v>3545</v>
      </c>
      <c r="G2544">
        <v>32290</v>
      </c>
      <c r="H2544" s="116"/>
      <c r="I2544" s="116"/>
      <c r="L2544" s="170">
        <v>45749</v>
      </c>
      <c r="M2544" s="116">
        <v>3543.95</v>
      </c>
      <c r="N2544" s="116">
        <v>3564.1</v>
      </c>
      <c r="O2544" s="116">
        <v>3530.05</v>
      </c>
      <c r="P2544" s="116">
        <v>3544</v>
      </c>
      <c r="Q2544" s="116">
        <v>3543.95</v>
      </c>
      <c r="R2544">
        <v>1764313</v>
      </c>
    </row>
    <row r="2545" spans="1:18" x14ac:dyDescent="0.25">
      <c r="A2545" s="170">
        <v>45750</v>
      </c>
      <c r="B2545" s="116">
        <v>3498</v>
      </c>
      <c r="C2545" s="116">
        <v>3403.9</v>
      </c>
      <c r="D2545" s="116">
        <v>3396.1</v>
      </c>
      <c r="E2545" s="116">
        <v>3485.4</v>
      </c>
      <c r="F2545" s="116">
        <v>3403.9</v>
      </c>
      <c r="G2545">
        <v>207922</v>
      </c>
      <c r="H2545" s="116"/>
      <c r="I2545" s="116"/>
      <c r="L2545" s="170">
        <v>45750</v>
      </c>
      <c r="M2545" s="116">
        <v>3403.15</v>
      </c>
      <c r="N2545" s="116">
        <v>3502</v>
      </c>
      <c r="O2545" s="116">
        <v>3396.15</v>
      </c>
      <c r="P2545" s="116">
        <v>3491</v>
      </c>
      <c r="Q2545" s="116">
        <v>3403.15</v>
      </c>
      <c r="R2545">
        <v>4537821</v>
      </c>
    </row>
    <row r="2546" spans="1:18" x14ac:dyDescent="0.25">
      <c r="A2546" s="170">
        <v>45751</v>
      </c>
      <c r="B2546" s="116">
        <v>3391.3</v>
      </c>
      <c r="C2546" s="116">
        <v>3299.45</v>
      </c>
      <c r="D2546" s="116">
        <v>3295.6</v>
      </c>
      <c r="E2546" s="116">
        <v>3366.95</v>
      </c>
      <c r="F2546" s="116">
        <v>3299.45</v>
      </c>
      <c r="G2546">
        <v>171571</v>
      </c>
      <c r="H2546" s="116"/>
      <c r="I2546" s="116"/>
      <c r="L2546" s="170">
        <v>45751</v>
      </c>
      <c r="M2546" s="116">
        <v>3299.4</v>
      </c>
      <c r="N2546" s="116">
        <v>3399.65</v>
      </c>
      <c r="O2546" s="116">
        <v>3295.5</v>
      </c>
      <c r="P2546" s="116">
        <v>3362.6</v>
      </c>
      <c r="Q2546" s="116">
        <v>3299.4</v>
      </c>
      <c r="R2546">
        <v>5317367</v>
      </c>
    </row>
    <row r="2547" spans="1:18" x14ac:dyDescent="0.25">
      <c r="A2547" s="170">
        <v>45754</v>
      </c>
      <c r="B2547" s="116">
        <v>3290</v>
      </c>
      <c r="C2547" s="116">
        <v>3276.6</v>
      </c>
      <c r="D2547" s="116">
        <v>3060.25</v>
      </c>
      <c r="E2547" s="116">
        <v>3060.25</v>
      </c>
      <c r="F2547" s="116">
        <v>3276.6</v>
      </c>
      <c r="G2547">
        <v>274432</v>
      </c>
      <c r="H2547" s="116"/>
      <c r="I2547" s="116"/>
      <c r="L2547" s="170">
        <v>45754</v>
      </c>
      <c r="M2547" s="116">
        <v>3274.05</v>
      </c>
      <c r="N2547" s="116">
        <v>3291.4</v>
      </c>
      <c r="O2547" s="116">
        <v>3056.05</v>
      </c>
      <c r="P2547" s="116">
        <v>3100</v>
      </c>
      <c r="Q2547" s="116">
        <v>3274.05</v>
      </c>
      <c r="R2547">
        <v>6623955</v>
      </c>
    </row>
    <row r="2548" spans="1:18" x14ac:dyDescent="0.25">
      <c r="A2548" s="170">
        <v>45755</v>
      </c>
      <c r="B2548" s="116">
        <v>3348.9</v>
      </c>
      <c r="C2548" s="116">
        <v>3293.55</v>
      </c>
      <c r="D2548" s="116">
        <v>3255.3</v>
      </c>
      <c r="E2548" s="116">
        <v>3299</v>
      </c>
      <c r="F2548" s="116">
        <v>3293.55</v>
      </c>
      <c r="G2548">
        <v>263659</v>
      </c>
      <c r="H2548" s="116"/>
      <c r="I2548" s="116"/>
      <c r="L2548" s="170">
        <v>45755</v>
      </c>
      <c r="M2548" s="116">
        <v>3292.95</v>
      </c>
      <c r="N2548" s="116">
        <v>3349</v>
      </c>
      <c r="O2548" s="116">
        <v>3255.3</v>
      </c>
      <c r="P2548" s="116">
        <v>3302.05</v>
      </c>
      <c r="Q2548" s="116">
        <v>3292.95</v>
      </c>
      <c r="R2548">
        <v>5557558</v>
      </c>
    </row>
    <row r="2549" spans="1:18" x14ac:dyDescent="0.25">
      <c r="A2549" s="170">
        <v>45756</v>
      </c>
      <c r="B2549" s="116">
        <v>3276</v>
      </c>
      <c r="C2549" s="116">
        <v>3246.1</v>
      </c>
      <c r="D2549" s="116">
        <v>3215.9</v>
      </c>
      <c r="E2549" s="116">
        <v>3276</v>
      </c>
      <c r="F2549" s="116">
        <v>3246.1</v>
      </c>
      <c r="G2549">
        <v>131136</v>
      </c>
      <c r="H2549" s="116"/>
      <c r="I2549" s="116"/>
      <c r="L2549" s="170">
        <v>45756</v>
      </c>
      <c r="M2549" s="116">
        <v>3246.6</v>
      </c>
      <c r="N2549" s="116">
        <v>3270</v>
      </c>
      <c r="O2549" s="116">
        <v>3212.05</v>
      </c>
      <c r="P2549" s="116">
        <v>3260.55</v>
      </c>
      <c r="Q2549" s="116">
        <v>3246.6</v>
      </c>
      <c r="R2549">
        <v>2990265</v>
      </c>
    </row>
    <row r="2550" spans="1:18" x14ac:dyDescent="0.25">
      <c r="A2550" s="170">
        <v>45758</v>
      </c>
      <c r="B2550" s="116">
        <v>3298.4</v>
      </c>
      <c r="C2550" s="116">
        <v>3232.3</v>
      </c>
      <c r="D2550" s="116">
        <v>3205.25</v>
      </c>
      <c r="E2550" s="116">
        <v>3290</v>
      </c>
      <c r="F2550" s="116">
        <v>3232.3</v>
      </c>
      <c r="G2550">
        <v>229229</v>
      </c>
      <c r="H2550" s="116"/>
      <c r="I2550" s="116"/>
      <c r="L2550" s="170">
        <v>45758</v>
      </c>
      <c r="M2550" s="116">
        <v>3231.5</v>
      </c>
      <c r="N2550" s="116">
        <v>3298.95</v>
      </c>
      <c r="O2550" s="116">
        <v>3206</v>
      </c>
      <c r="P2550" s="116">
        <v>3289.55</v>
      </c>
      <c r="Q2550" s="116">
        <v>3231.5</v>
      </c>
      <c r="R2550">
        <v>7108961</v>
      </c>
    </row>
    <row r="2551" spans="1:18" x14ac:dyDescent="0.25">
      <c r="A2551" s="170">
        <v>45762</v>
      </c>
      <c r="B2551" s="116">
        <v>3310</v>
      </c>
      <c r="C2551" s="116">
        <v>3247.7</v>
      </c>
      <c r="D2551" s="116">
        <v>3240.2</v>
      </c>
      <c r="E2551" s="116">
        <v>3300.05</v>
      </c>
      <c r="F2551" s="116">
        <v>3247.7</v>
      </c>
      <c r="G2551">
        <v>161796</v>
      </c>
      <c r="H2551" s="116"/>
      <c r="I2551" s="116"/>
      <c r="L2551" s="170">
        <v>45762</v>
      </c>
      <c r="M2551" s="116">
        <v>3248.2</v>
      </c>
      <c r="N2551" s="116">
        <v>3314.4</v>
      </c>
      <c r="O2551" s="116">
        <v>3238.6</v>
      </c>
      <c r="P2551" s="116">
        <v>3314.4</v>
      </c>
      <c r="Q2551" s="116">
        <v>3248.2</v>
      </c>
      <c r="R2551">
        <v>3512160</v>
      </c>
    </row>
    <row r="2552" spans="1:18" x14ac:dyDescent="0.25">
      <c r="A2552" s="170">
        <v>45763</v>
      </c>
      <c r="B2552" s="116">
        <v>3278.2</v>
      </c>
      <c r="C2552" s="116">
        <v>3272.75</v>
      </c>
      <c r="D2552" s="116">
        <v>3230.1</v>
      </c>
      <c r="E2552" s="116">
        <v>3274.75</v>
      </c>
      <c r="F2552" s="116">
        <v>3272.75</v>
      </c>
      <c r="G2552">
        <v>87689</v>
      </c>
      <c r="H2552" s="116"/>
      <c r="I2552" s="116"/>
      <c r="L2552" s="170">
        <v>45763</v>
      </c>
      <c r="M2552" s="116">
        <v>3273.8</v>
      </c>
      <c r="N2552" s="116">
        <v>3278.1</v>
      </c>
      <c r="O2552" s="116">
        <v>3229</v>
      </c>
      <c r="P2552" s="116">
        <v>3248.2</v>
      </c>
      <c r="Q2552" s="116">
        <v>3273.8</v>
      </c>
      <c r="R2552">
        <v>2384391</v>
      </c>
    </row>
    <row r="2553" spans="1:18" x14ac:dyDescent="0.25">
      <c r="A2553" s="170">
        <v>45764</v>
      </c>
      <c r="B2553" s="116">
        <v>3304</v>
      </c>
      <c r="C2553" s="116">
        <v>3298.95</v>
      </c>
      <c r="D2553" s="116">
        <v>3218.5</v>
      </c>
      <c r="E2553" s="116">
        <v>3240</v>
      </c>
      <c r="F2553" s="116">
        <v>3298.95</v>
      </c>
      <c r="G2553">
        <v>70459</v>
      </c>
      <c r="H2553" s="116"/>
      <c r="I2553" s="116"/>
      <c r="L2553" s="170">
        <v>45764</v>
      </c>
      <c r="M2553" s="116">
        <v>3298.9</v>
      </c>
      <c r="N2553" s="116">
        <v>3303.6</v>
      </c>
      <c r="O2553" s="116">
        <v>3218</v>
      </c>
      <c r="P2553" s="116">
        <v>3245.5</v>
      </c>
      <c r="Q2553" s="116">
        <v>3298.9</v>
      </c>
      <c r="R2553">
        <v>2932346</v>
      </c>
    </row>
    <row r="2554" spans="1:18" x14ac:dyDescent="0.25">
      <c r="A2554" s="170">
        <v>45768</v>
      </c>
      <c r="B2554" s="116">
        <v>3353.85</v>
      </c>
      <c r="C2554" s="116">
        <v>3321.6</v>
      </c>
      <c r="D2554" s="116">
        <v>3285.85</v>
      </c>
      <c r="E2554" s="116">
        <v>3293.95</v>
      </c>
      <c r="F2554" s="116">
        <v>3321.6</v>
      </c>
      <c r="G2554">
        <v>135470</v>
      </c>
      <c r="H2554" s="116"/>
      <c r="I2554" s="116"/>
      <c r="L2554" s="170">
        <v>45768</v>
      </c>
      <c r="M2554" s="116">
        <v>3321.6</v>
      </c>
      <c r="N2554" s="116">
        <v>3354</v>
      </c>
      <c r="O2554" s="116">
        <v>3284.1</v>
      </c>
      <c r="P2554" s="116">
        <v>3290.1</v>
      </c>
      <c r="Q2554" s="116">
        <v>3321.6</v>
      </c>
      <c r="R2554">
        <v>2432946</v>
      </c>
    </row>
    <row r="2555" spans="1:18" x14ac:dyDescent="0.25">
      <c r="A2555" s="170">
        <v>45769</v>
      </c>
      <c r="B2555" s="116">
        <v>3333.7</v>
      </c>
      <c r="C2555" s="116">
        <v>3318.05</v>
      </c>
      <c r="D2555" s="116">
        <v>3294.45</v>
      </c>
      <c r="E2555" s="116">
        <v>3324.95</v>
      </c>
      <c r="F2555" s="116">
        <v>3318.05</v>
      </c>
      <c r="G2555">
        <v>170295</v>
      </c>
      <c r="H2555" s="116"/>
      <c r="I2555" s="116"/>
      <c r="L2555" s="170">
        <v>45769</v>
      </c>
      <c r="M2555" s="116">
        <v>3314.4</v>
      </c>
      <c r="N2555" s="116">
        <v>3333.9</v>
      </c>
      <c r="O2555" s="116">
        <v>3295</v>
      </c>
      <c r="P2555" s="116">
        <v>3322.6</v>
      </c>
      <c r="Q2555" s="116">
        <v>3314.4</v>
      </c>
      <c r="R2555">
        <v>2710498</v>
      </c>
    </row>
    <row r="2556" spans="1:18" x14ac:dyDescent="0.25">
      <c r="A2556" s="170">
        <v>45770</v>
      </c>
      <c r="B2556" s="116">
        <v>3420</v>
      </c>
      <c r="C2556" s="116">
        <v>3412.3</v>
      </c>
      <c r="D2556" s="116">
        <v>3337.55</v>
      </c>
      <c r="E2556" s="116">
        <v>3358.05</v>
      </c>
      <c r="F2556" s="116">
        <v>3412.3</v>
      </c>
      <c r="G2556">
        <v>153398</v>
      </c>
      <c r="H2556" s="116"/>
      <c r="I2556" s="116"/>
      <c r="L2556" s="170">
        <v>45770</v>
      </c>
      <c r="M2556" s="116">
        <v>3413</v>
      </c>
      <c r="N2556" s="116">
        <v>3420.9</v>
      </c>
      <c r="O2556" s="116">
        <v>3337.3</v>
      </c>
      <c r="P2556" s="116">
        <v>3365</v>
      </c>
      <c r="Q2556" s="116">
        <v>3413</v>
      </c>
      <c r="R2556">
        <v>3543923</v>
      </c>
    </row>
    <row r="2557" spans="1:18" x14ac:dyDescent="0.25">
      <c r="A2557" s="170">
        <v>45771</v>
      </c>
      <c r="B2557" s="116">
        <v>3412.3</v>
      </c>
      <c r="C2557" s="116">
        <v>3401.25</v>
      </c>
      <c r="D2557" s="116">
        <v>3389</v>
      </c>
      <c r="E2557" s="116">
        <v>3401.9</v>
      </c>
      <c r="F2557" s="116">
        <v>3401.25</v>
      </c>
      <c r="G2557">
        <v>60547</v>
      </c>
      <c r="H2557" s="116"/>
      <c r="I2557" s="116"/>
      <c r="L2557" s="170">
        <v>45771</v>
      </c>
      <c r="M2557" s="116">
        <v>3401.6</v>
      </c>
      <c r="N2557" s="116">
        <v>3412.5</v>
      </c>
      <c r="O2557" s="116">
        <v>3387.7</v>
      </c>
      <c r="P2557" s="116">
        <v>3401.1</v>
      </c>
      <c r="Q2557" s="116">
        <v>3401.6</v>
      </c>
      <c r="R2557">
        <v>2252175</v>
      </c>
    </row>
    <row r="2558" spans="1:18" x14ac:dyDescent="0.25">
      <c r="A2558" s="170">
        <v>45772</v>
      </c>
      <c r="B2558" s="116">
        <v>3477.55</v>
      </c>
      <c r="C2558" s="116">
        <v>3447.35</v>
      </c>
      <c r="D2558" s="116">
        <v>3402.6</v>
      </c>
      <c r="E2558" s="116">
        <v>3402.6</v>
      </c>
      <c r="F2558" s="116">
        <v>3447.35</v>
      </c>
      <c r="G2558">
        <v>67985</v>
      </c>
      <c r="H2558" s="116"/>
      <c r="I2558" s="116"/>
      <c r="L2558" s="170">
        <v>45772</v>
      </c>
      <c r="M2558" s="116">
        <v>3448</v>
      </c>
      <c r="N2558" s="116">
        <v>3477.8</v>
      </c>
      <c r="O2558" s="116">
        <v>3405</v>
      </c>
      <c r="P2558" s="116">
        <v>3420</v>
      </c>
      <c r="Q2558" s="116">
        <v>3448</v>
      </c>
      <c r="R2558">
        <v>2742991</v>
      </c>
    </row>
    <row r="2559" spans="1:18" x14ac:dyDescent="0.25">
      <c r="A2559" s="170">
        <v>45775</v>
      </c>
      <c r="B2559" s="116">
        <v>3457.95</v>
      </c>
      <c r="C2559" s="116">
        <v>3443.55</v>
      </c>
      <c r="D2559" s="116">
        <v>3405</v>
      </c>
      <c r="E2559" s="116">
        <v>3431</v>
      </c>
      <c r="F2559" s="116">
        <v>3443.55</v>
      </c>
      <c r="G2559">
        <v>69145</v>
      </c>
      <c r="H2559" s="116"/>
      <c r="I2559" s="116"/>
      <c r="L2559" s="170">
        <v>45775</v>
      </c>
      <c r="M2559" s="116">
        <v>3443.5</v>
      </c>
      <c r="N2559" s="116">
        <v>3457.8</v>
      </c>
      <c r="O2559" s="116">
        <v>3405</v>
      </c>
      <c r="P2559" s="116">
        <v>3435</v>
      </c>
      <c r="Q2559" s="116">
        <v>3443.5</v>
      </c>
      <c r="R2559">
        <v>1593296</v>
      </c>
    </row>
    <row r="2560" spans="1:18" x14ac:dyDescent="0.25">
      <c r="A2560" s="170">
        <v>45776</v>
      </c>
      <c r="B2560" s="116">
        <v>3495</v>
      </c>
      <c r="C2560" s="116">
        <v>3471.5</v>
      </c>
      <c r="D2560" s="116">
        <v>3431.2</v>
      </c>
      <c r="E2560" s="116">
        <v>3444.1</v>
      </c>
      <c r="F2560" s="116">
        <v>3471.5</v>
      </c>
      <c r="G2560">
        <v>107574</v>
      </c>
      <c r="H2560" s="116"/>
      <c r="I2560" s="116"/>
      <c r="L2560" s="170">
        <v>45776</v>
      </c>
      <c r="M2560" s="116">
        <v>3472.5</v>
      </c>
      <c r="N2560" s="116">
        <v>3495</v>
      </c>
      <c r="O2560" s="116">
        <v>3430.4</v>
      </c>
      <c r="P2560" s="116">
        <v>3455</v>
      </c>
      <c r="Q2560" s="116">
        <v>3472.5</v>
      </c>
      <c r="R2560">
        <v>1578332</v>
      </c>
    </row>
    <row r="2561" spans="1:18" x14ac:dyDescent="0.25">
      <c r="A2561" s="170">
        <v>45777</v>
      </c>
      <c r="B2561" s="116">
        <v>3509.6</v>
      </c>
      <c r="C2561" s="116">
        <v>3429.65</v>
      </c>
      <c r="D2561" s="116">
        <v>3367.85</v>
      </c>
      <c r="E2561" s="116">
        <v>3471.5</v>
      </c>
      <c r="F2561" s="116">
        <v>3429.65</v>
      </c>
      <c r="G2561">
        <v>52154</v>
      </c>
      <c r="H2561" s="116"/>
      <c r="I2561" s="116"/>
      <c r="L2561" s="170">
        <v>45777</v>
      </c>
      <c r="M2561" s="116">
        <v>3453.7</v>
      </c>
      <c r="N2561" s="116">
        <v>3509.9</v>
      </c>
      <c r="O2561" s="116">
        <v>3366</v>
      </c>
      <c r="P2561" s="116">
        <v>3472</v>
      </c>
      <c r="Q2561" s="116">
        <v>3453.7</v>
      </c>
      <c r="R2561">
        <v>2809332</v>
      </c>
    </row>
    <row r="2562" spans="1:18" x14ac:dyDescent="0.25">
      <c r="A2562" s="170">
        <v>45779</v>
      </c>
      <c r="B2562" s="116">
        <v>3491.8</v>
      </c>
      <c r="C2562" s="116">
        <v>3443.8</v>
      </c>
      <c r="D2562" s="116">
        <v>3421.1</v>
      </c>
      <c r="E2562" s="116">
        <v>3474.5</v>
      </c>
      <c r="F2562" s="116">
        <v>3443.8</v>
      </c>
      <c r="G2562">
        <v>54402</v>
      </c>
      <c r="H2562" s="116"/>
      <c r="I2562" s="116"/>
      <c r="L2562" s="170">
        <v>45779</v>
      </c>
      <c r="M2562" s="116">
        <v>3444.7</v>
      </c>
      <c r="N2562" s="116">
        <v>3491.5</v>
      </c>
      <c r="O2562" s="116">
        <v>3420</v>
      </c>
      <c r="P2562" s="116">
        <v>3472</v>
      </c>
      <c r="Q2562" s="116">
        <v>3444.7</v>
      </c>
      <c r="R2562">
        <v>2115624</v>
      </c>
    </row>
    <row r="2563" spans="1:18" x14ac:dyDescent="0.25">
      <c r="A2563" s="170">
        <v>45782</v>
      </c>
      <c r="B2563" s="116">
        <v>3503.8</v>
      </c>
      <c r="C2563" s="116">
        <v>3455.15</v>
      </c>
      <c r="D2563" s="116">
        <v>3445.05</v>
      </c>
      <c r="E2563" s="116">
        <v>3445.05</v>
      </c>
      <c r="F2563" s="116">
        <v>3455.15</v>
      </c>
      <c r="G2563">
        <v>47732</v>
      </c>
      <c r="H2563" s="116"/>
      <c r="I2563" s="116"/>
      <c r="L2563" s="170">
        <v>45782</v>
      </c>
      <c r="M2563" s="116">
        <v>3454.3</v>
      </c>
      <c r="N2563" s="116">
        <v>3504.5</v>
      </c>
      <c r="O2563" s="116">
        <v>3446.4</v>
      </c>
      <c r="P2563" s="116">
        <v>3450</v>
      </c>
      <c r="Q2563" s="116">
        <v>3454.3</v>
      </c>
      <c r="R2563">
        <v>1284443</v>
      </c>
    </row>
    <row r="2564" spans="1:18" x14ac:dyDescent="0.25">
      <c r="A2564" s="170">
        <v>45783</v>
      </c>
      <c r="B2564" s="116">
        <v>3473.8</v>
      </c>
      <c r="C2564" s="116">
        <v>3458.95</v>
      </c>
      <c r="D2564" s="116">
        <v>3435.95</v>
      </c>
      <c r="E2564" s="116">
        <v>3456.45</v>
      </c>
      <c r="F2564" s="116">
        <v>3458.95</v>
      </c>
      <c r="G2564">
        <v>88329</v>
      </c>
      <c r="H2564" s="116"/>
      <c r="I2564" s="116"/>
      <c r="L2564" s="170">
        <v>45783</v>
      </c>
      <c r="M2564" s="116">
        <v>3460</v>
      </c>
      <c r="N2564" s="116">
        <v>3473</v>
      </c>
      <c r="O2564" s="116">
        <v>3437</v>
      </c>
      <c r="P2564" s="116">
        <v>3460</v>
      </c>
      <c r="Q2564" s="116">
        <v>3460</v>
      </c>
      <c r="R2564">
        <v>1324763</v>
      </c>
    </row>
    <row r="2565" spans="1:18" x14ac:dyDescent="0.25">
      <c r="A2565" s="170">
        <v>45784</v>
      </c>
      <c r="B2565" s="116">
        <v>3458.35</v>
      </c>
      <c r="C2565" s="116">
        <v>3445.2</v>
      </c>
      <c r="D2565" s="116">
        <v>3421.3</v>
      </c>
      <c r="E2565" s="116">
        <v>3449.95</v>
      </c>
      <c r="F2565" s="116">
        <v>3445.2</v>
      </c>
      <c r="G2565">
        <v>40003</v>
      </c>
      <c r="H2565" s="116"/>
      <c r="I2565" s="116"/>
      <c r="L2565" s="170">
        <v>45784</v>
      </c>
      <c r="M2565" s="116">
        <v>3445.1</v>
      </c>
      <c r="N2565" s="116">
        <v>3459.5</v>
      </c>
      <c r="O2565" s="116">
        <v>3420.6</v>
      </c>
      <c r="P2565" s="116">
        <v>3420.6</v>
      </c>
      <c r="Q2565" s="116">
        <v>3445.1</v>
      </c>
      <c r="R2565">
        <v>1477128</v>
      </c>
    </row>
    <row r="2566" spans="1:18" x14ac:dyDescent="0.25">
      <c r="A2566" s="170">
        <v>45785</v>
      </c>
      <c r="B2566" s="116">
        <v>3475.15</v>
      </c>
      <c r="C2566" s="116">
        <v>3447.45</v>
      </c>
      <c r="D2566" s="116">
        <v>3430</v>
      </c>
      <c r="E2566" s="116">
        <v>3448.9</v>
      </c>
      <c r="F2566" s="116">
        <v>3447.45</v>
      </c>
      <c r="G2566">
        <v>52602</v>
      </c>
      <c r="H2566" s="116"/>
      <c r="I2566" s="116"/>
      <c r="L2566" s="170">
        <v>45785</v>
      </c>
      <c r="M2566" s="116">
        <v>3448.9</v>
      </c>
      <c r="N2566" s="116">
        <v>3477</v>
      </c>
      <c r="O2566" s="116">
        <v>3428.7</v>
      </c>
      <c r="P2566" s="116">
        <v>3448</v>
      </c>
      <c r="Q2566" s="116">
        <v>3448.9</v>
      </c>
      <c r="R2566">
        <v>2543591</v>
      </c>
    </row>
    <row r="2567" spans="1:18" x14ac:dyDescent="0.25">
      <c r="A2567" s="170">
        <v>45786</v>
      </c>
      <c r="B2567" s="116">
        <v>3445.15</v>
      </c>
      <c r="C2567" s="116">
        <v>3442.2</v>
      </c>
      <c r="D2567" s="116">
        <v>3380</v>
      </c>
      <c r="E2567" s="116">
        <v>3380</v>
      </c>
      <c r="F2567" s="116">
        <v>3442.2</v>
      </c>
      <c r="G2567">
        <v>50372</v>
      </c>
      <c r="H2567" s="116"/>
      <c r="I2567" s="116"/>
      <c r="L2567" s="170">
        <v>45786</v>
      </c>
      <c r="M2567" s="116">
        <v>3440.3</v>
      </c>
      <c r="N2567" s="116">
        <v>3446.2</v>
      </c>
      <c r="O2567" s="116">
        <v>3398.1</v>
      </c>
      <c r="P2567" s="116">
        <v>3399</v>
      </c>
      <c r="Q2567" s="116">
        <v>3440.3</v>
      </c>
      <c r="R2567">
        <v>2531757</v>
      </c>
    </row>
    <row r="2568" spans="1:18" x14ac:dyDescent="0.25">
      <c r="A2568" s="170">
        <v>45789</v>
      </c>
      <c r="B2568" s="116">
        <v>3630</v>
      </c>
      <c r="C2568" s="116">
        <v>3620.3</v>
      </c>
      <c r="D2568" s="116">
        <v>3500.1</v>
      </c>
      <c r="E2568" s="116">
        <v>3500.1</v>
      </c>
      <c r="F2568" s="116">
        <v>3620.3</v>
      </c>
      <c r="G2568">
        <v>172535</v>
      </c>
      <c r="H2568" s="116"/>
      <c r="I2568" s="116"/>
      <c r="L2568" s="170">
        <v>45789</v>
      </c>
      <c r="M2568" s="116">
        <v>3620.4</v>
      </c>
      <c r="N2568" s="116">
        <v>3630.5</v>
      </c>
      <c r="O2568" s="116">
        <v>3502.2</v>
      </c>
      <c r="P2568" s="116">
        <v>3505</v>
      </c>
      <c r="Q2568" s="116">
        <v>3620.4</v>
      </c>
      <c r="R2568">
        <v>2228678</v>
      </c>
    </row>
    <row r="2569" spans="1:18" x14ac:dyDescent="0.25">
      <c r="A2569" s="170">
        <v>45790</v>
      </c>
      <c r="B2569" s="116">
        <v>3623.95</v>
      </c>
      <c r="C2569" s="116">
        <v>3515.95</v>
      </c>
      <c r="D2569" s="116">
        <v>3510.2</v>
      </c>
      <c r="E2569" s="116">
        <v>3623.95</v>
      </c>
      <c r="F2569" s="116">
        <v>3515.95</v>
      </c>
      <c r="G2569">
        <v>130770</v>
      </c>
      <c r="H2569" s="116"/>
      <c r="I2569" s="116"/>
      <c r="L2569" s="170">
        <v>45790</v>
      </c>
      <c r="M2569" s="116">
        <v>3515</v>
      </c>
      <c r="N2569" s="116">
        <v>3623</v>
      </c>
      <c r="O2569" s="116">
        <v>3510.5</v>
      </c>
      <c r="P2569" s="116">
        <v>3620.4</v>
      </c>
      <c r="Q2569" s="116">
        <v>3515</v>
      </c>
      <c r="R2569">
        <v>3062887</v>
      </c>
    </row>
    <row r="2570" spans="1:18" x14ac:dyDescent="0.25">
      <c r="A2570" s="170">
        <v>45791</v>
      </c>
      <c r="B2570" s="116">
        <v>3561</v>
      </c>
      <c r="C2570" s="116">
        <v>3549.05</v>
      </c>
      <c r="D2570" s="116">
        <v>3507.25</v>
      </c>
      <c r="E2570" s="116">
        <v>3515.95</v>
      </c>
      <c r="F2570" s="116">
        <v>3549.05</v>
      </c>
      <c r="G2570">
        <v>58427</v>
      </c>
      <c r="H2570" s="116"/>
      <c r="I2570" s="116"/>
      <c r="L2570" s="170">
        <v>45791</v>
      </c>
      <c r="M2570" s="116">
        <v>3548.7</v>
      </c>
      <c r="N2570" s="116">
        <v>3561</v>
      </c>
      <c r="O2570" s="116">
        <v>3508.6</v>
      </c>
      <c r="P2570" s="116">
        <v>3521</v>
      </c>
      <c r="Q2570" s="116">
        <v>3548.7</v>
      </c>
      <c r="R2570">
        <v>2119499</v>
      </c>
    </row>
    <row r="2571" spans="1:18" x14ac:dyDescent="0.25">
      <c r="A2571" s="170">
        <v>45792</v>
      </c>
      <c r="B2571" s="116">
        <v>3599</v>
      </c>
      <c r="C2571" s="116">
        <v>3580.75</v>
      </c>
      <c r="D2571" s="116">
        <v>3514.8</v>
      </c>
      <c r="E2571" s="116">
        <v>3554</v>
      </c>
      <c r="F2571" s="116">
        <v>3580.75</v>
      </c>
      <c r="G2571">
        <v>117209</v>
      </c>
      <c r="H2571" s="116"/>
      <c r="I2571" s="116"/>
      <c r="L2571" s="170">
        <v>45792</v>
      </c>
      <c r="M2571" s="116">
        <v>3579.9</v>
      </c>
      <c r="N2571" s="116">
        <v>3600</v>
      </c>
      <c r="O2571" s="116">
        <v>3514.1</v>
      </c>
      <c r="P2571" s="116">
        <v>3564</v>
      </c>
      <c r="Q2571" s="116">
        <v>3579.9</v>
      </c>
      <c r="R2571">
        <v>3548330</v>
      </c>
    </row>
    <row r="2572" spans="1:18" x14ac:dyDescent="0.25">
      <c r="A2572" s="170">
        <v>45793</v>
      </c>
      <c r="B2572" s="116">
        <v>3586</v>
      </c>
      <c r="C2572" s="116">
        <v>3562.95</v>
      </c>
      <c r="D2572" s="116">
        <v>3547</v>
      </c>
      <c r="E2572" s="116">
        <v>3580.95</v>
      </c>
      <c r="F2572" s="116">
        <v>3562.95</v>
      </c>
      <c r="G2572">
        <v>239863</v>
      </c>
      <c r="H2572" s="116"/>
      <c r="I2572" s="116"/>
      <c r="L2572" s="170">
        <v>45793</v>
      </c>
      <c r="M2572" s="116">
        <v>3561.3</v>
      </c>
      <c r="N2572" s="116">
        <v>3593.9</v>
      </c>
      <c r="O2572" s="116">
        <v>3546.1</v>
      </c>
      <c r="P2572" s="116">
        <v>3593.9</v>
      </c>
      <c r="Q2572" s="116">
        <v>3561.3</v>
      </c>
      <c r="R2572">
        <v>1666727</v>
      </c>
    </row>
    <row r="2573" spans="1:18" x14ac:dyDescent="0.25">
      <c r="A2573" s="170">
        <v>45796</v>
      </c>
      <c r="B2573" s="116">
        <v>3549.5</v>
      </c>
      <c r="C2573" s="116">
        <v>3519.2</v>
      </c>
      <c r="D2573" s="116">
        <v>3503.6</v>
      </c>
      <c r="E2573" s="116">
        <v>3549.25</v>
      </c>
      <c r="F2573" s="116">
        <v>3519.2</v>
      </c>
      <c r="G2573">
        <v>202305</v>
      </c>
      <c r="H2573" s="116"/>
      <c r="I2573" s="116"/>
      <c r="L2573" s="170">
        <v>45796</v>
      </c>
      <c r="M2573" s="116">
        <v>3518.8</v>
      </c>
      <c r="N2573" s="116">
        <v>3550</v>
      </c>
      <c r="O2573" s="116">
        <v>3503.7</v>
      </c>
      <c r="P2573" s="116">
        <v>3550</v>
      </c>
      <c r="Q2573" s="116">
        <v>3518.8</v>
      </c>
      <c r="R2573">
        <v>2537377</v>
      </c>
    </row>
    <row r="2574" spans="1:18" x14ac:dyDescent="0.25">
      <c r="A2574" s="170">
        <v>45797</v>
      </c>
      <c r="B2574" s="116">
        <v>3558.95</v>
      </c>
      <c r="C2574" s="116">
        <v>3498.05</v>
      </c>
      <c r="D2574" s="116">
        <v>3492.8</v>
      </c>
      <c r="E2574" s="116">
        <v>3540</v>
      </c>
      <c r="F2574" s="116">
        <v>3498.05</v>
      </c>
      <c r="G2574">
        <v>276279</v>
      </c>
      <c r="H2574" s="116"/>
      <c r="I2574" s="116"/>
      <c r="L2574" s="170">
        <v>45797</v>
      </c>
      <c r="M2574" s="116">
        <v>3498.3</v>
      </c>
      <c r="N2574" s="116">
        <v>3558</v>
      </c>
      <c r="O2574" s="116">
        <v>3494</v>
      </c>
      <c r="P2574" s="116">
        <v>3531.8</v>
      </c>
      <c r="Q2574" s="116">
        <v>3498.3</v>
      </c>
      <c r="R2574">
        <v>2038374</v>
      </c>
    </row>
    <row r="2575" spans="1:18" x14ac:dyDescent="0.25">
      <c r="A2575" s="170">
        <v>45798</v>
      </c>
      <c r="B2575" s="116">
        <v>3535</v>
      </c>
      <c r="C2575" s="116">
        <v>3524.95</v>
      </c>
      <c r="D2575" s="116">
        <v>3499</v>
      </c>
      <c r="E2575" s="116">
        <v>3503.2</v>
      </c>
      <c r="F2575" s="116">
        <v>3524.95</v>
      </c>
      <c r="G2575">
        <v>89492</v>
      </c>
      <c r="H2575" s="116"/>
      <c r="I2575" s="116"/>
      <c r="L2575" s="170">
        <v>45798</v>
      </c>
      <c r="M2575" s="116">
        <v>3525.8</v>
      </c>
      <c r="N2575" s="116">
        <v>3537</v>
      </c>
      <c r="O2575" s="116">
        <v>3498.3</v>
      </c>
      <c r="P2575" s="116">
        <v>3508</v>
      </c>
      <c r="Q2575" s="116">
        <v>3525.8</v>
      </c>
      <c r="R2575">
        <v>1440153</v>
      </c>
    </row>
    <row r="2576" spans="1:18" x14ac:dyDescent="0.25">
      <c r="A2576" s="170">
        <v>45799</v>
      </c>
      <c r="B2576" s="116">
        <v>3505</v>
      </c>
      <c r="C2576" s="116">
        <v>3479</v>
      </c>
      <c r="D2576" s="116">
        <v>3451.95</v>
      </c>
      <c r="E2576" s="116">
        <v>3505</v>
      </c>
      <c r="F2576" s="116">
        <v>3479</v>
      </c>
      <c r="G2576">
        <v>87035</v>
      </c>
      <c r="H2576" s="116"/>
      <c r="I2576" s="116"/>
      <c r="L2576" s="170">
        <v>45799</v>
      </c>
      <c r="M2576" s="116">
        <v>3477</v>
      </c>
      <c r="N2576" s="116">
        <v>3497.8</v>
      </c>
      <c r="O2576" s="116">
        <v>3451.3</v>
      </c>
      <c r="P2576" s="116">
        <v>3495</v>
      </c>
      <c r="Q2576" s="116">
        <v>3477</v>
      </c>
      <c r="R2576">
        <v>2034383</v>
      </c>
    </row>
    <row r="2577" spans="1:18" x14ac:dyDescent="0.25">
      <c r="A2577" s="170">
        <v>45800</v>
      </c>
      <c r="B2577" s="116">
        <v>3534.55</v>
      </c>
      <c r="C2577" s="116">
        <v>3514</v>
      </c>
      <c r="D2577" s="116">
        <v>3470</v>
      </c>
      <c r="E2577" s="116">
        <v>3479</v>
      </c>
      <c r="F2577" s="116">
        <v>3514</v>
      </c>
      <c r="G2577">
        <v>56031</v>
      </c>
      <c r="H2577" s="116"/>
      <c r="I2577" s="116"/>
      <c r="L2577" s="170">
        <v>45800</v>
      </c>
      <c r="M2577" s="116">
        <v>3514.6</v>
      </c>
      <c r="N2577" s="116">
        <v>3535</v>
      </c>
      <c r="O2577" s="116">
        <v>3465.6</v>
      </c>
      <c r="P2577" s="116">
        <v>3477</v>
      </c>
      <c r="Q2577" s="116">
        <v>3514.6</v>
      </c>
      <c r="R2577">
        <v>1274331</v>
      </c>
    </row>
    <row r="2578" spans="1:18" x14ac:dyDescent="0.25">
      <c r="A2578" s="170">
        <v>45803</v>
      </c>
      <c r="B2578" s="116">
        <v>3545.35</v>
      </c>
      <c r="C2578" s="116">
        <v>3538.05</v>
      </c>
      <c r="D2578" s="116">
        <v>3508.9</v>
      </c>
      <c r="E2578" s="116">
        <v>3525</v>
      </c>
      <c r="F2578" s="116">
        <v>3538.05</v>
      </c>
      <c r="G2578">
        <v>120342</v>
      </c>
      <c r="H2578" s="116"/>
      <c r="I2578" s="116"/>
      <c r="L2578" s="170">
        <v>45803</v>
      </c>
      <c r="M2578" s="116">
        <v>3537.3</v>
      </c>
      <c r="N2578" s="116">
        <v>3545</v>
      </c>
      <c r="O2578" s="116">
        <v>3510.1</v>
      </c>
      <c r="P2578" s="116">
        <v>3521</v>
      </c>
      <c r="Q2578" s="116">
        <v>3537.3</v>
      </c>
      <c r="R2578">
        <v>967470</v>
      </c>
    </row>
    <row r="2579" spans="1:18" x14ac:dyDescent="0.25">
      <c r="A2579" s="170">
        <v>45804</v>
      </c>
      <c r="B2579" s="116">
        <v>3538.8</v>
      </c>
      <c r="C2579" s="116">
        <v>3498.9</v>
      </c>
      <c r="D2579" s="116">
        <v>3481.85</v>
      </c>
      <c r="E2579" s="116">
        <v>3537.35</v>
      </c>
      <c r="F2579" s="116">
        <v>3498.9</v>
      </c>
      <c r="G2579">
        <v>545274</v>
      </c>
      <c r="H2579" s="116"/>
      <c r="I2579" s="116"/>
      <c r="L2579" s="170">
        <v>45804</v>
      </c>
      <c r="M2579" s="116">
        <v>3498.7</v>
      </c>
      <c r="N2579" s="116">
        <v>3540</v>
      </c>
      <c r="O2579" s="116">
        <v>3483.1</v>
      </c>
      <c r="P2579" s="116">
        <v>3532</v>
      </c>
      <c r="Q2579" s="116">
        <v>3498.7</v>
      </c>
      <c r="R2579">
        <v>2467680</v>
      </c>
    </row>
    <row r="2580" spans="1:18" x14ac:dyDescent="0.25">
      <c r="A2580" s="170">
        <v>45805</v>
      </c>
      <c r="B2580" s="116">
        <v>3526.45</v>
      </c>
      <c r="C2580" s="116">
        <v>3498.15</v>
      </c>
      <c r="D2580" s="116">
        <v>3492.95</v>
      </c>
      <c r="E2580" s="116">
        <v>3512</v>
      </c>
      <c r="F2580" s="116">
        <v>3498.15</v>
      </c>
      <c r="G2580">
        <v>44196</v>
      </c>
      <c r="H2580" s="116"/>
      <c r="I2580" s="116"/>
      <c r="L2580" s="170">
        <v>45805</v>
      </c>
      <c r="M2580" s="116">
        <v>3497.7</v>
      </c>
      <c r="N2580" s="116">
        <v>3529</v>
      </c>
      <c r="O2580" s="116">
        <v>3493</v>
      </c>
      <c r="P2580" s="116">
        <v>3520</v>
      </c>
      <c r="Q2580" s="116">
        <v>3497.7</v>
      </c>
      <c r="R2580">
        <v>1222933</v>
      </c>
    </row>
    <row r="2581" spans="1:18" x14ac:dyDescent="0.25">
      <c r="A2581" s="170">
        <v>45806</v>
      </c>
      <c r="B2581" s="116">
        <v>3531.9</v>
      </c>
      <c r="C2581" s="116">
        <v>3497.2</v>
      </c>
      <c r="D2581" s="116">
        <v>3486.2</v>
      </c>
      <c r="E2581" s="116">
        <v>3500.05</v>
      </c>
      <c r="F2581" s="116">
        <v>3497.2</v>
      </c>
      <c r="G2581">
        <v>60523</v>
      </c>
      <c r="H2581" s="116"/>
      <c r="I2581" s="116"/>
      <c r="L2581" s="170">
        <v>45806</v>
      </c>
      <c r="M2581" s="116">
        <v>3498.1</v>
      </c>
      <c r="N2581" s="116">
        <v>3532.5</v>
      </c>
      <c r="O2581" s="116">
        <v>3486.5</v>
      </c>
      <c r="P2581" s="116">
        <v>3504.7</v>
      </c>
      <c r="Q2581" s="116">
        <v>3498.1</v>
      </c>
      <c r="R2581">
        <v>3188072</v>
      </c>
    </row>
    <row r="2582" spans="1:18" x14ac:dyDescent="0.25">
      <c r="A2582" s="170">
        <v>45807</v>
      </c>
      <c r="B2582" s="116">
        <v>3502.3</v>
      </c>
      <c r="C2582" s="116">
        <v>3464.5</v>
      </c>
      <c r="D2582" s="116">
        <v>3452.4</v>
      </c>
      <c r="E2582" s="116">
        <v>3502.25</v>
      </c>
      <c r="F2582" s="116">
        <v>3464.5</v>
      </c>
      <c r="G2582">
        <v>55453</v>
      </c>
      <c r="H2582" s="116"/>
      <c r="I2582" s="116"/>
      <c r="L2582" s="170">
        <v>45807</v>
      </c>
      <c r="M2582" s="116">
        <v>3463.4</v>
      </c>
      <c r="N2582" s="116">
        <v>3506.7</v>
      </c>
      <c r="O2582" s="116">
        <v>3453.1</v>
      </c>
      <c r="P2582" s="116">
        <v>3490</v>
      </c>
      <c r="Q2582" s="116">
        <v>3463.4</v>
      </c>
      <c r="R2582">
        <v>3404365</v>
      </c>
    </row>
    <row r="2583" spans="1:18" x14ac:dyDescent="0.25">
      <c r="A2583" s="170">
        <v>45810</v>
      </c>
      <c r="B2583" s="116">
        <v>3462.7</v>
      </c>
      <c r="C2583" s="116">
        <v>3449.8</v>
      </c>
      <c r="D2583" s="116">
        <v>3418.3</v>
      </c>
      <c r="E2583" s="116">
        <v>3462.7</v>
      </c>
      <c r="F2583" s="116">
        <v>3449.8</v>
      </c>
      <c r="G2583">
        <v>163215</v>
      </c>
      <c r="H2583" s="116"/>
      <c r="I2583" s="116"/>
      <c r="L2583" s="170">
        <v>45810</v>
      </c>
      <c r="M2583" s="116">
        <v>3449.8</v>
      </c>
      <c r="N2583" s="116">
        <v>3460</v>
      </c>
      <c r="O2583" s="116">
        <v>3418.6</v>
      </c>
      <c r="P2583" s="116">
        <v>3450</v>
      </c>
      <c r="Q2583" s="116">
        <v>3449.8</v>
      </c>
      <c r="R2583">
        <v>1877585</v>
      </c>
    </row>
    <row r="2584" spans="1:18" x14ac:dyDescent="0.25">
      <c r="A2584" s="170">
        <v>45811</v>
      </c>
      <c r="B2584" s="116">
        <v>3472.45</v>
      </c>
      <c r="C2584" s="116">
        <v>3405.05</v>
      </c>
      <c r="D2584" s="116">
        <v>3399.4</v>
      </c>
      <c r="E2584" s="116">
        <v>3449.95</v>
      </c>
      <c r="F2584" s="116">
        <v>3405.05</v>
      </c>
      <c r="G2584">
        <v>919365</v>
      </c>
      <c r="H2584" s="116"/>
      <c r="I2584" s="116"/>
      <c r="L2584" s="170">
        <v>45811</v>
      </c>
      <c r="M2584" s="116">
        <v>3405.2</v>
      </c>
      <c r="N2584" s="116">
        <v>3473.5</v>
      </c>
      <c r="O2584" s="116">
        <v>3400.5</v>
      </c>
      <c r="P2584" s="116">
        <v>3446</v>
      </c>
      <c r="Q2584" s="116">
        <v>3405.2</v>
      </c>
      <c r="R2584">
        <v>2848125</v>
      </c>
    </row>
    <row r="2585" spans="1:18" x14ac:dyDescent="0.25">
      <c r="A2585" s="170">
        <v>45812</v>
      </c>
      <c r="B2585" s="116">
        <v>3395.9</v>
      </c>
      <c r="C2585" s="116">
        <v>3380.55</v>
      </c>
      <c r="D2585" s="116">
        <v>3370.6</v>
      </c>
      <c r="E2585" s="116">
        <v>3388.95</v>
      </c>
      <c r="F2585" s="116">
        <v>3380.55</v>
      </c>
      <c r="G2585">
        <v>107633</v>
      </c>
      <c r="H2585" s="116"/>
      <c r="I2585" s="116"/>
      <c r="L2585" s="170">
        <v>45812</v>
      </c>
      <c r="M2585" s="116">
        <v>3380.9</v>
      </c>
      <c r="N2585" s="116">
        <v>3394.8</v>
      </c>
      <c r="O2585" s="116">
        <v>3370</v>
      </c>
      <c r="P2585" s="116">
        <v>3389</v>
      </c>
      <c r="Q2585" s="116">
        <v>3380.9</v>
      </c>
      <c r="R2585">
        <v>2544807</v>
      </c>
    </row>
    <row r="2586" spans="1:18" x14ac:dyDescent="0.25">
      <c r="A2586" s="170">
        <v>45813</v>
      </c>
      <c r="B2586" s="116">
        <v>3429.3</v>
      </c>
      <c r="C2586" s="116">
        <v>3371.95</v>
      </c>
      <c r="D2586" s="116">
        <v>3364.2</v>
      </c>
      <c r="E2586" s="116">
        <v>3429.25</v>
      </c>
      <c r="F2586" s="116">
        <v>3371.95</v>
      </c>
      <c r="G2586">
        <v>62839</v>
      </c>
      <c r="H2586" s="116"/>
      <c r="I2586" s="116"/>
      <c r="L2586" s="170">
        <v>45813</v>
      </c>
      <c r="M2586" s="116">
        <v>3371.1</v>
      </c>
      <c r="N2586" s="116">
        <v>3409</v>
      </c>
      <c r="O2586" s="116">
        <v>3363.7</v>
      </c>
      <c r="P2586" s="116">
        <v>3409</v>
      </c>
      <c r="Q2586" s="116">
        <v>3371.1</v>
      </c>
      <c r="R2586">
        <v>3584683</v>
      </c>
    </row>
    <row r="2587" spans="1:18" x14ac:dyDescent="0.25">
      <c r="A2587" s="170">
        <v>45814</v>
      </c>
      <c r="B2587" s="116">
        <v>3390</v>
      </c>
      <c r="C2587" s="116">
        <v>3385.7</v>
      </c>
      <c r="D2587" s="116">
        <v>3358</v>
      </c>
      <c r="E2587" s="116">
        <v>3371.95</v>
      </c>
      <c r="F2587" s="116">
        <v>3385.7</v>
      </c>
      <c r="G2587">
        <v>147321</v>
      </c>
      <c r="H2587" s="116"/>
      <c r="I2587" s="116"/>
      <c r="L2587" s="170">
        <v>45814</v>
      </c>
      <c r="M2587" s="116">
        <v>3384.2</v>
      </c>
      <c r="N2587" s="116">
        <v>3390.9</v>
      </c>
      <c r="O2587" s="116">
        <v>3358.7</v>
      </c>
      <c r="P2587" s="116">
        <v>3371.1</v>
      </c>
      <c r="Q2587" s="116">
        <v>3384.2</v>
      </c>
      <c r="R2587">
        <v>2070390</v>
      </c>
    </row>
    <row r="2588" spans="1:18" x14ac:dyDescent="0.25">
      <c r="A2588" s="170">
        <v>45817</v>
      </c>
      <c r="B2588" s="116">
        <v>3435.25</v>
      </c>
      <c r="C2588" s="116">
        <v>3423.7</v>
      </c>
      <c r="D2588" s="116">
        <v>3390.05</v>
      </c>
      <c r="E2588" s="116">
        <v>3394.3</v>
      </c>
      <c r="F2588" s="116">
        <v>3423.7</v>
      </c>
      <c r="G2588">
        <v>159154</v>
      </c>
      <c r="H2588" s="116"/>
      <c r="I2588" s="116"/>
      <c r="L2588" s="170">
        <v>45817</v>
      </c>
      <c r="M2588" s="116">
        <v>3421.9</v>
      </c>
      <c r="N2588" s="116">
        <v>3434</v>
      </c>
      <c r="O2588" s="116">
        <v>3390.9</v>
      </c>
      <c r="P2588" s="116">
        <v>3400</v>
      </c>
      <c r="Q2588" s="116">
        <v>3421.9</v>
      </c>
      <c r="R2588">
        <v>1718678</v>
      </c>
    </row>
    <row r="2589" spans="1:18" x14ac:dyDescent="0.25">
      <c r="A2589" s="170">
        <v>45818</v>
      </c>
      <c r="B2589" s="116">
        <v>3485</v>
      </c>
      <c r="C2589" s="116">
        <v>3463.5</v>
      </c>
      <c r="D2589" s="116">
        <v>3424</v>
      </c>
      <c r="E2589" s="116">
        <v>3440</v>
      </c>
      <c r="F2589" s="116">
        <v>3463.5</v>
      </c>
      <c r="G2589">
        <v>313572</v>
      </c>
      <c r="H2589" s="116"/>
      <c r="I2589" s="116"/>
      <c r="L2589" s="170">
        <v>45818</v>
      </c>
      <c r="M2589" s="116">
        <v>3462.9</v>
      </c>
      <c r="N2589" s="116">
        <v>3485.8</v>
      </c>
      <c r="O2589" s="116">
        <v>3423.2</v>
      </c>
      <c r="P2589" s="116">
        <v>3440</v>
      </c>
      <c r="Q2589" s="116">
        <v>3462.9</v>
      </c>
      <c r="R2589">
        <v>2419874</v>
      </c>
    </row>
    <row r="2590" spans="1:18" x14ac:dyDescent="0.25">
      <c r="A2590" s="170">
        <v>45819</v>
      </c>
      <c r="B2590" s="116">
        <v>3489.2</v>
      </c>
      <c r="C2590" s="116">
        <v>3472.15</v>
      </c>
      <c r="D2590" s="116">
        <v>3450</v>
      </c>
      <c r="E2590" s="116">
        <v>3465.15</v>
      </c>
      <c r="F2590" s="116">
        <v>3472.15</v>
      </c>
      <c r="G2590">
        <v>111532</v>
      </c>
      <c r="H2590" s="116"/>
      <c r="I2590" s="116"/>
      <c r="L2590" s="170">
        <v>45819</v>
      </c>
      <c r="M2590" s="116">
        <v>3471.9</v>
      </c>
      <c r="N2590" s="116">
        <v>3489</v>
      </c>
      <c r="O2590" s="116">
        <v>3449.1</v>
      </c>
      <c r="P2590" s="116">
        <v>3470</v>
      </c>
      <c r="Q2590" s="116">
        <v>3471.9</v>
      </c>
      <c r="R2590">
        <v>2847013</v>
      </c>
    </row>
    <row r="2591" spans="1:18" x14ac:dyDescent="0.25">
      <c r="A2591" s="170">
        <v>45820</v>
      </c>
      <c r="B2591" s="116">
        <v>3477</v>
      </c>
      <c r="C2591" s="116">
        <v>3433.95</v>
      </c>
      <c r="D2591" s="116">
        <v>3423.1</v>
      </c>
      <c r="E2591" s="116">
        <v>3477</v>
      </c>
      <c r="F2591" s="116">
        <v>3433.95</v>
      </c>
      <c r="G2591">
        <v>180783</v>
      </c>
      <c r="H2591" s="116"/>
      <c r="I2591" s="116"/>
      <c r="L2591" s="170">
        <v>45820</v>
      </c>
      <c r="M2591" s="116">
        <v>3434.2</v>
      </c>
      <c r="N2591" s="116">
        <v>3474.7</v>
      </c>
      <c r="O2591" s="116">
        <v>3423.2</v>
      </c>
      <c r="P2591" s="116">
        <v>3471.9</v>
      </c>
      <c r="Q2591" s="116">
        <v>3434.2</v>
      </c>
      <c r="R2591">
        <v>4060134</v>
      </c>
    </row>
    <row r="2592" spans="1:18" x14ac:dyDescent="0.25">
      <c r="A2592" s="170">
        <v>45821</v>
      </c>
      <c r="B2592" s="116">
        <v>3450</v>
      </c>
      <c r="C2592" s="116">
        <v>3447.1</v>
      </c>
      <c r="D2592" s="116">
        <v>3392.75</v>
      </c>
      <c r="E2592" s="116">
        <v>3400</v>
      </c>
      <c r="F2592" s="116">
        <v>3447.1</v>
      </c>
      <c r="G2592">
        <v>64111</v>
      </c>
      <c r="H2592" s="116"/>
      <c r="I2592" s="116"/>
      <c r="L2592" s="170">
        <v>45821</v>
      </c>
      <c r="M2592" s="116">
        <v>3445.7</v>
      </c>
      <c r="N2592" s="116">
        <v>3450.5</v>
      </c>
      <c r="O2592" s="116">
        <v>3393.2</v>
      </c>
      <c r="P2592" s="116">
        <v>3393.2</v>
      </c>
      <c r="Q2592" s="116">
        <v>3445.7</v>
      </c>
      <c r="R2592">
        <v>2178493</v>
      </c>
    </row>
    <row r="2593" spans="1:18" x14ac:dyDescent="0.25">
      <c r="A2593" s="170">
        <v>45824</v>
      </c>
      <c r="B2593" s="116">
        <v>3508.2</v>
      </c>
      <c r="C2593" s="116">
        <v>3495.35</v>
      </c>
      <c r="D2593" s="116">
        <v>3423.25</v>
      </c>
      <c r="E2593" s="116">
        <v>3423.25</v>
      </c>
      <c r="F2593" s="116">
        <v>3495.35</v>
      </c>
      <c r="G2593">
        <v>237333</v>
      </c>
      <c r="H2593" s="116"/>
      <c r="I2593" s="116"/>
      <c r="L2593" s="170">
        <v>45824</v>
      </c>
      <c r="M2593" s="116">
        <v>3496.3</v>
      </c>
      <c r="N2593" s="116">
        <v>3509</v>
      </c>
      <c r="O2593" s="116">
        <v>3426.2</v>
      </c>
      <c r="P2593" s="116">
        <v>3440</v>
      </c>
      <c r="Q2593" s="116">
        <v>3496.3</v>
      </c>
      <c r="R2593">
        <v>1934088</v>
      </c>
    </row>
    <row r="2594" spans="1:18" x14ac:dyDescent="0.25">
      <c r="A2594" s="170">
        <v>45825</v>
      </c>
      <c r="B2594" s="116">
        <v>3522.3</v>
      </c>
      <c r="C2594" s="116">
        <v>3515.25</v>
      </c>
      <c r="D2594" s="116">
        <v>3488.2</v>
      </c>
      <c r="E2594" s="116">
        <v>3510</v>
      </c>
      <c r="F2594" s="116">
        <v>3515.25</v>
      </c>
      <c r="G2594">
        <v>570631</v>
      </c>
      <c r="H2594" s="116"/>
      <c r="I2594" s="116"/>
      <c r="L2594" s="170">
        <v>45825</v>
      </c>
      <c r="M2594" s="116">
        <v>3515.3</v>
      </c>
      <c r="N2594" s="116">
        <v>3520</v>
      </c>
      <c r="O2594" s="116">
        <v>3488.1</v>
      </c>
      <c r="P2594" s="116">
        <v>3510</v>
      </c>
      <c r="Q2594" s="116">
        <v>3515.3</v>
      </c>
      <c r="R2594">
        <v>2111940</v>
      </c>
    </row>
    <row r="2595" spans="1:18" x14ac:dyDescent="0.25">
      <c r="A2595" s="170">
        <v>45826</v>
      </c>
      <c r="B2595" s="116">
        <v>3539.45</v>
      </c>
      <c r="C2595" s="116">
        <v>3452.2</v>
      </c>
      <c r="D2595" s="116">
        <v>3443.65</v>
      </c>
      <c r="E2595" s="116">
        <v>3524.35</v>
      </c>
      <c r="F2595" s="116">
        <v>3452.2</v>
      </c>
      <c r="G2595">
        <v>51232</v>
      </c>
      <c r="H2595" s="116"/>
      <c r="I2595" s="116"/>
      <c r="L2595" s="170">
        <v>45826</v>
      </c>
      <c r="M2595" s="116">
        <v>3451.4</v>
      </c>
      <c r="N2595" s="116">
        <v>3538</v>
      </c>
      <c r="O2595" s="116">
        <v>3443.1</v>
      </c>
      <c r="P2595" s="116">
        <v>3519.1</v>
      </c>
      <c r="Q2595" s="116">
        <v>3451.4</v>
      </c>
      <c r="R2595">
        <v>2696327</v>
      </c>
    </row>
    <row r="2596" spans="1:18" x14ac:dyDescent="0.25">
      <c r="A2596" s="170">
        <v>45827</v>
      </c>
      <c r="B2596" s="116">
        <v>3452</v>
      </c>
      <c r="C2596" s="116">
        <v>3424.25</v>
      </c>
      <c r="D2596" s="116">
        <v>3413.35</v>
      </c>
      <c r="E2596" s="116">
        <v>3448.7</v>
      </c>
      <c r="F2596" s="116">
        <v>3424.25</v>
      </c>
      <c r="G2596">
        <v>53098</v>
      </c>
      <c r="H2596" s="116"/>
      <c r="I2596" s="116"/>
      <c r="L2596" s="170">
        <v>45827</v>
      </c>
      <c r="M2596" s="116">
        <v>3424</v>
      </c>
      <c r="N2596" s="116">
        <v>3451</v>
      </c>
      <c r="O2596" s="116">
        <v>3413</v>
      </c>
      <c r="P2596" s="116">
        <v>3450</v>
      </c>
      <c r="Q2596" s="116">
        <v>3424</v>
      </c>
      <c r="R2596">
        <v>2672768</v>
      </c>
    </row>
    <row r="2597" spans="1:18" x14ac:dyDescent="0.25">
      <c r="A2597" s="170">
        <v>45828</v>
      </c>
      <c r="B2597" s="116">
        <v>3445.6</v>
      </c>
      <c r="C2597" s="116">
        <v>3434.35</v>
      </c>
      <c r="D2597" s="116">
        <v>3408.5</v>
      </c>
      <c r="E2597" s="116">
        <v>3424.35</v>
      </c>
      <c r="F2597" s="116">
        <v>3434.35</v>
      </c>
      <c r="G2597">
        <v>419497</v>
      </c>
      <c r="H2597" s="116"/>
      <c r="I2597" s="116"/>
      <c r="L2597" s="170">
        <v>45828</v>
      </c>
      <c r="M2597" s="116">
        <v>3435.7</v>
      </c>
      <c r="N2597" s="116">
        <v>3446.3</v>
      </c>
      <c r="O2597" s="116">
        <v>3410.9</v>
      </c>
      <c r="P2597" s="116">
        <v>3425</v>
      </c>
      <c r="Q2597" s="116">
        <v>3435.7</v>
      </c>
      <c r="R2597">
        <v>2351248</v>
      </c>
    </row>
    <row r="2598" spans="1:18" x14ac:dyDescent="0.25">
      <c r="A2598" s="170">
        <v>45831</v>
      </c>
      <c r="B2598" s="116">
        <v>3429.3</v>
      </c>
      <c r="C2598" s="116">
        <v>3393.4</v>
      </c>
      <c r="D2598" s="116">
        <v>3370.1</v>
      </c>
      <c r="E2598" s="116">
        <v>3414.3</v>
      </c>
      <c r="F2598" s="116">
        <v>3393.4</v>
      </c>
      <c r="G2598">
        <v>136998</v>
      </c>
      <c r="H2598" s="116"/>
      <c r="I2598" s="116"/>
      <c r="L2598" s="170">
        <v>45831</v>
      </c>
      <c r="M2598" s="116">
        <v>3393.6</v>
      </c>
      <c r="N2598" s="116">
        <v>3425</v>
      </c>
      <c r="O2598" s="116">
        <v>3370</v>
      </c>
      <c r="P2598" s="116">
        <v>3415</v>
      </c>
      <c r="Q2598" s="116">
        <v>3393.6</v>
      </c>
      <c r="R2598">
        <v>3123421</v>
      </c>
    </row>
    <row r="2599" spans="1:18" x14ac:dyDescent="0.25">
      <c r="A2599" s="170">
        <v>45832</v>
      </c>
      <c r="B2599" s="116">
        <v>3442.8</v>
      </c>
      <c r="C2599" s="116">
        <v>3390.2</v>
      </c>
      <c r="D2599" s="116">
        <v>3382.4</v>
      </c>
      <c r="E2599" s="116">
        <v>3430.5</v>
      </c>
      <c r="F2599" s="116">
        <v>3390.2</v>
      </c>
      <c r="G2599">
        <v>771522</v>
      </c>
      <c r="H2599" s="116"/>
      <c r="I2599" s="116"/>
      <c r="L2599" s="170">
        <v>45832</v>
      </c>
      <c r="M2599" s="116">
        <v>3390.4</v>
      </c>
      <c r="N2599" s="116">
        <v>3442.1</v>
      </c>
      <c r="O2599" s="116">
        <v>3382</v>
      </c>
      <c r="P2599" s="116">
        <v>3434.6</v>
      </c>
      <c r="Q2599" s="116">
        <v>3390.4</v>
      </c>
      <c r="R2599">
        <v>3403048</v>
      </c>
    </row>
    <row r="2600" spans="1:18" x14ac:dyDescent="0.25">
      <c r="A2600" s="170">
        <v>45833</v>
      </c>
      <c r="B2600" s="116">
        <v>3449.9</v>
      </c>
      <c r="C2600" s="116">
        <v>3445.65</v>
      </c>
      <c r="D2600" s="116">
        <v>3400.9</v>
      </c>
      <c r="E2600" s="116">
        <v>3409.6</v>
      </c>
      <c r="F2600" s="116">
        <v>3445.65</v>
      </c>
      <c r="G2600">
        <v>18541</v>
      </c>
      <c r="H2600" s="116"/>
      <c r="I2600" s="116"/>
      <c r="L2600" s="170">
        <v>45833</v>
      </c>
      <c r="M2600" s="116">
        <v>3444.8</v>
      </c>
      <c r="N2600" s="116">
        <v>3450</v>
      </c>
      <c r="O2600" s="116">
        <v>3400</v>
      </c>
      <c r="P2600" s="116">
        <v>3407.3</v>
      </c>
      <c r="Q2600" s="116">
        <v>3444.8</v>
      </c>
      <c r="R2600">
        <v>1757699</v>
      </c>
    </row>
    <row r="2601" spans="1:18" x14ac:dyDescent="0.25">
      <c r="A2601" s="170">
        <v>45834</v>
      </c>
      <c r="B2601" s="116">
        <v>3451</v>
      </c>
      <c r="C2601" s="116">
        <v>3441.65</v>
      </c>
      <c r="D2601" s="116">
        <v>3416</v>
      </c>
      <c r="E2601" s="116">
        <v>3447.25</v>
      </c>
      <c r="F2601" s="116">
        <v>3441.65</v>
      </c>
      <c r="G2601">
        <v>60021</v>
      </c>
      <c r="H2601" s="116"/>
      <c r="I2601" s="116"/>
      <c r="L2601" s="170">
        <v>45834</v>
      </c>
      <c r="M2601" s="116">
        <v>3441.8</v>
      </c>
      <c r="N2601" s="116">
        <v>3451.4</v>
      </c>
      <c r="O2601" s="116">
        <v>3415.3</v>
      </c>
      <c r="P2601" s="116">
        <v>3444.8</v>
      </c>
      <c r="Q2601" s="116">
        <v>3441.8</v>
      </c>
      <c r="R2601">
        <v>2879106</v>
      </c>
    </row>
    <row r="2602" spans="1:18" x14ac:dyDescent="0.25">
      <c r="A2602" s="170">
        <v>45835</v>
      </c>
      <c r="B2602" s="116">
        <v>3466.65</v>
      </c>
      <c r="C2602" s="116">
        <v>3443.15</v>
      </c>
      <c r="D2602" s="116">
        <v>3430.75</v>
      </c>
      <c r="E2602" s="116">
        <v>3455</v>
      </c>
      <c r="F2602" s="116">
        <v>3443.15</v>
      </c>
      <c r="G2602">
        <v>35961</v>
      </c>
      <c r="H2602" s="116"/>
      <c r="I2602" s="116"/>
      <c r="L2602" s="170">
        <v>45835</v>
      </c>
      <c r="M2602" s="116">
        <v>3441.1</v>
      </c>
      <c r="N2602" s="116">
        <v>3466.4</v>
      </c>
      <c r="O2602" s="116">
        <v>3431</v>
      </c>
      <c r="P2602" s="116">
        <v>3455</v>
      </c>
      <c r="Q2602" s="116">
        <v>3441.1</v>
      </c>
      <c r="R2602">
        <v>1778433</v>
      </c>
    </row>
    <row r="2603" spans="1:18" x14ac:dyDescent="0.25">
      <c r="A2603" s="170">
        <v>45838</v>
      </c>
      <c r="B2603" s="116">
        <v>3465</v>
      </c>
      <c r="C2603" s="116">
        <v>3461.05</v>
      </c>
      <c r="D2603" s="116">
        <v>3430.15</v>
      </c>
      <c r="E2603" s="116">
        <v>3444.95</v>
      </c>
      <c r="F2603" s="116">
        <v>3461.05</v>
      </c>
      <c r="G2603">
        <v>80588</v>
      </c>
      <c r="H2603" s="116"/>
      <c r="I2603" s="116"/>
      <c r="L2603" s="170">
        <v>45838</v>
      </c>
      <c r="M2603" s="116">
        <v>3462</v>
      </c>
      <c r="N2603" s="116">
        <v>3464.9</v>
      </c>
      <c r="O2603" s="116">
        <v>3430</v>
      </c>
      <c r="P2603" s="116">
        <v>3439.9</v>
      </c>
      <c r="Q2603" s="116">
        <v>3462</v>
      </c>
      <c r="R2603">
        <v>1468351</v>
      </c>
    </row>
    <row r="2604" spans="1:18" x14ac:dyDescent="0.25">
      <c r="A2604" s="170">
        <v>45839</v>
      </c>
      <c r="B2604" s="116">
        <v>3485</v>
      </c>
      <c r="C2604" s="116">
        <v>3429.45</v>
      </c>
      <c r="D2604" s="116">
        <v>3414.45</v>
      </c>
      <c r="E2604" s="116">
        <v>3460.95</v>
      </c>
      <c r="F2604" s="116">
        <v>3429.45</v>
      </c>
      <c r="G2604">
        <v>221565</v>
      </c>
      <c r="H2604" s="116"/>
      <c r="I2604" s="116"/>
      <c r="L2604" s="170">
        <v>45839</v>
      </c>
      <c r="M2604" s="116">
        <v>3429.7</v>
      </c>
      <c r="N2604" s="116">
        <v>3485</v>
      </c>
      <c r="O2604" s="116">
        <v>3413.5</v>
      </c>
      <c r="P2604" s="116">
        <v>3455</v>
      </c>
      <c r="Q2604" s="116">
        <v>3429.7</v>
      </c>
      <c r="R2604">
        <v>2375183</v>
      </c>
    </row>
    <row r="2605" spans="1:18" x14ac:dyDescent="0.25">
      <c r="A2605" s="170">
        <v>45840</v>
      </c>
      <c r="B2605" s="116">
        <v>3489.85</v>
      </c>
      <c r="C2605" s="116">
        <v>3423.35</v>
      </c>
      <c r="D2605" s="116">
        <v>3420.1</v>
      </c>
      <c r="E2605" s="116">
        <v>3450.05</v>
      </c>
      <c r="F2605" s="116">
        <v>3423.35</v>
      </c>
      <c r="G2605">
        <v>54493</v>
      </c>
      <c r="H2605" s="116"/>
      <c r="I2605" s="116"/>
      <c r="L2605" s="170">
        <v>45840</v>
      </c>
      <c r="M2605" s="116">
        <v>3423.3</v>
      </c>
      <c r="N2605" s="116">
        <v>3489.9</v>
      </c>
      <c r="O2605" s="116">
        <v>3420</v>
      </c>
      <c r="P2605" s="116">
        <v>3487.2</v>
      </c>
      <c r="Q2605" s="116">
        <v>3423.3</v>
      </c>
      <c r="R2605">
        <v>3090585</v>
      </c>
    </row>
    <row r="2606" spans="1:18" x14ac:dyDescent="0.25">
      <c r="A2606" s="170">
        <v>45841</v>
      </c>
      <c r="B2606" s="116">
        <v>3435</v>
      </c>
      <c r="C2606" s="116">
        <v>3400.75</v>
      </c>
      <c r="D2606" s="116">
        <v>3398.15</v>
      </c>
      <c r="E2606" s="116">
        <v>3434.9</v>
      </c>
      <c r="F2606" s="116">
        <v>3400.75</v>
      </c>
      <c r="G2606">
        <v>113506</v>
      </c>
      <c r="H2606" s="116"/>
      <c r="I2606" s="116"/>
      <c r="L2606" s="170">
        <v>45841</v>
      </c>
      <c r="M2606" s="116">
        <v>3400.8</v>
      </c>
      <c r="N2606" s="116">
        <v>3435.3</v>
      </c>
      <c r="O2606" s="116">
        <v>3397.6</v>
      </c>
      <c r="P2606" s="116">
        <v>3430</v>
      </c>
      <c r="Q2606" s="116">
        <v>3400.8</v>
      </c>
      <c r="R2606">
        <v>2531870</v>
      </c>
    </row>
    <row r="2607" spans="1:18" x14ac:dyDescent="0.25">
      <c r="A2607" s="170">
        <v>45842</v>
      </c>
      <c r="B2607" s="116">
        <v>3426</v>
      </c>
      <c r="C2607" s="116">
        <v>3420.95</v>
      </c>
      <c r="D2607" s="116">
        <v>3388.65</v>
      </c>
      <c r="E2607" s="116">
        <v>3401.1</v>
      </c>
      <c r="F2607" s="116">
        <v>3420.95</v>
      </c>
      <c r="G2607">
        <v>170988</v>
      </c>
      <c r="H2607" s="116"/>
      <c r="I2607" s="116"/>
      <c r="L2607" s="170">
        <v>45842</v>
      </c>
      <c r="M2607" s="116">
        <v>3419.8</v>
      </c>
      <c r="N2607" s="116">
        <v>3427</v>
      </c>
      <c r="O2607" s="116">
        <v>3390.1</v>
      </c>
      <c r="P2607" s="116">
        <v>3408</v>
      </c>
      <c r="Q2607" s="116">
        <v>3419.8</v>
      </c>
      <c r="R2607">
        <v>1109320</v>
      </c>
    </row>
    <row r="2608" spans="1:18" x14ac:dyDescent="0.25">
      <c r="A2608" s="170">
        <v>45845</v>
      </c>
      <c r="B2608" s="116">
        <v>3426.35</v>
      </c>
      <c r="C2608" s="116">
        <v>3411.95</v>
      </c>
      <c r="D2608" s="116">
        <v>3408.2</v>
      </c>
      <c r="E2608" s="116">
        <v>3420.9</v>
      </c>
      <c r="F2608" s="116">
        <v>3411.95</v>
      </c>
      <c r="G2608">
        <v>77567</v>
      </c>
      <c r="H2608" s="116"/>
      <c r="I2608" s="116"/>
      <c r="L2608" s="170">
        <v>45845</v>
      </c>
      <c r="M2608" s="116">
        <v>3411.7</v>
      </c>
      <c r="N2608" s="116">
        <v>3426.1</v>
      </c>
      <c r="O2608" s="116">
        <v>3408.4</v>
      </c>
      <c r="P2608" s="116">
        <v>3418.3</v>
      </c>
      <c r="Q2608" s="116">
        <v>3411.7</v>
      </c>
      <c r="R2608">
        <v>1639174</v>
      </c>
    </row>
    <row r="2609" spans="1:18" x14ac:dyDescent="0.25">
      <c r="A2609" s="170">
        <v>45846</v>
      </c>
      <c r="B2609" s="116">
        <v>3424</v>
      </c>
      <c r="C2609" s="116">
        <v>3406.35</v>
      </c>
      <c r="D2609" s="116">
        <v>3394.05</v>
      </c>
      <c r="E2609" s="116">
        <v>3410</v>
      </c>
      <c r="F2609" s="116">
        <v>3406.35</v>
      </c>
      <c r="G2609">
        <v>377142</v>
      </c>
      <c r="H2609" s="116"/>
      <c r="I2609" s="116"/>
      <c r="L2609" s="170">
        <v>45846</v>
      </c>
      <c r="M2609" s="116">
        <v>3406.2</v>
      </c>
      <c r="N2609" s="116">
        <v>3425</v>
      </c>
      <c r="O2609" s="116">
        <v>3393.4</v>
      </c>
      <c r="P2609" s="116">
        <v>3405</v>
      </c>
      <c r="Q2609" s="116">
        <v>3406.2</v>
      </c>
      <c r="R2609">
        <v>2325242</v>
      </c>
    </row>
    <row r="2610" spans="1:18" x14ac:dyDescent="0.25">
      <c r="A2610" s="170">
        <v>45847</v>
      </c>
      <c r="B2610" s="116">
        <v>3416.6</v>
      </c>
      <c r="C2610" s="116">
        <v>3384.35</v>
      </c>
      <c r="D2610" s="116">
        <v>3366.9</v>
      </c>
      <c r="E2610" s="116">
        <v>3416.6</v>
      </c>
      <c r="F2610" s="116">
        <v>3384.35</v>
      </c>
      <c r="G2610">
        <v>79903</v>
      </c>
      <c r="H2610" s="116"/>
      <c r="I2610" s="116"/>
      <c r="L2610" s="170">
        <v>45847</v>
      </c>
      <c r="M2610" s="116">
        <v>3383.8</v>
      </c>
      <c r="N2610" s="116">
        <v>3414</v>
      </c>
      <c r="O2610" s="116">
        <v>3367</v>
      </c>
      <c r="P2610" s="116">
        <v>3410</v>
      </c>
      <c r="Q2610" s="116">
        <v>3383.8</v>
      </c>
      <c r="R2610">
        <v>2034938</v>
      </c>
    </row>
    <row r="2611" spans="1:18" x14ac:dyDescent="0.25">
      <c r="A2611" s="170">
        <v>45848</v>
      </c>
      <c r="B2611" s="116">
        <v>3399.75</v>
      </c>
      <c r="C2611" s="116">
        <v>3382.3</v>
      </c>
      <c r="D2611" s="116">
        <v>3356.35</v>
      </c>
      <c r="E2611" s="116">
        <v>3385</v>
      </c>
      <c r="F2611" s="116">
        <v>3382.3</v>
      </c>
      <c r="G2611">
        <v>268234</v>
      </c>
      <c r="H2611" s="116"/>
      <c r="I2611" s="116"/>
      <c r="L2611" s="170">
        <v>45848</v>
      </c>
      <c r="M2611" s="116">
        <v>3382</v>
      </c>
      <c r="N2611" s="116">
        <v>3399</v>
      </c>
      <c r="O2611" s="116">
        <v>3356</v>
      </c>
      <c r="P2611" s="116">
        <v>3380</v>
      </c>
      <c r="Q2611" s="116">
        <v>3382</v>
      </c>
      <c r="R2611">
        <v>3035012</v>
      </c>
    </row>
    <row r="2612" spans="1:18" x14ac:dyDescent="0.25">
      <c r="A2612" s="170">
        <v>45849</v>
      </c>
      <c r="B2612" s="116">
        <v>3337.25</v>
      </c>
      <c r="C2612" s="116">
        <v>3265.4</v>
      </c>
      <c r="D2612" s="116">
        <v>3261.35</v>
      </c>
      <c r="E2612" s="116">
        <v>3314</v>
      </c>
      <c r="F2612" s="116">
        <v>3265.4</v>
      </c>
      <c r="G2612">
        <v>453988</v>
      </c>
      <c r="H2612" s="116"/>
      <c r="I2612" s="116"/>
      <c r="L2612" s="170">
        <v>45849</v>
      </c>
      <c r="M2612" s="116">
        <v>3266</v>
      </c>
      <c r="N2612" s="116">
        <v>3335</v>
      </c>
      <c r="O2612" s="116">
        <v>3261.1</v>
      </c>
      <c r="P2612" s="116">
        <v>3299.9</v>
      </c>
      <c r="Q2612" s="116">
        <v>3266</v>
      </c>
      <c r="R2612">
        <v>7635550</v>
      </c>
    </row>
    <row r="2613" spans="1:18" x14ac:dyDescent="0.25">
      <c r="A2613" s="170">
        <v>45852</v>
      </c>
      <c r="B2613" s="116">
        <v>3281.4</v>
      </c>
      <c r="C2613" s="116">
        <v>3223.2</v>
      </c>
      <c r="D2613" s="116">
        <v>3200.5</v>
      </c>
      <c r="E2613" s="116">
        <v>3281.4</v>
      </c>
      <c r="F2613" s="116">
        <v>3223.2</v>
      </c>
      <c r="G2613">
        <v>191459</v>
      </c>
      <c r="H2613" s="116"/>
      <c r="I2613" s="116"/>
      <c r="L2613" s="170">
        <v>45852</v>
      </c>
      <c r="M2613" s="116">
        <v>3222.7</v>
      </c>
      <c r="N2613" s="116">
        <v>3272</v>
      </c>
      <c r="O2613" s="116">
        <v>3200</v>
      </c>
      <c r="P2613" s="116">
        <v>3266</v>
      </c>
      <c r="Q2613" s="116">
        <v>3222.7</v>
      </c>
      <c r="R2613">
        <v>3924009</v>
      </c>
    </row>
    <row r="2614" spans="1:18" x14ac:dyDescent="0.25">
      <c r="A2614" s="170">
        <v>45853</v>
      </c>
      <c r="B2614" s="116">
        <v>3259.8</v>
      </c>
      <c r="C2614" s="116">
        <v>3252.8</v>
      </c>
      <c r="D2614" s="116">
        <v>3208.4</v>
      </c>
      <c r="E2614" s="116">
        <v>3210</v>
      </c>
      <c r="F2614" s="116">
        <v>3252.8</v>
      </c>
      <c r="G2614">
        <v>236281</v>
      </c>
      <c r="H2614" s="116"/>
      <c r="I2614" s="116"/>
      <c r="L2614" s="170">
        <v>45853</v>
      </c>
      <c r="M2614" s="116">
        <v>3252.3</v>
      </c>
      <c r="N2614" s="116">
        <v>3259.4</v>
      </c>
      <c r="O2614" s="116">
        <v>3206</v>
      </c>
      <c r="P2614" s="116">
        <v>3206</v>
      </c>
      <c r="Q2614" s="116">
        <v>3252.3</v>
      </c>
      <c r="R2614">
        <v>2590889</v>
      </c>
    </row>
    <row r="2615" spans="1:18" x14ac:dyDescent="0.25">
      <c r="A2615" s="170">
        <v>45854</v>
      </c>
      <c r="B2615" s="116">
        <v>3245</v>
      </c>
      <c r="C2615" s="116">
        <v>3232.45</v>
      </c>
      <c r="D2615" s="116">
        <v>3220.35</v>
      </c>
      <c r="E2615" s="116">
        <v>3225</v>
      </c>
      <c r="F2615" s="116">
        <v>3232.45</v>
      </c>
      <c r="G2615">
        <v>124256</v>
      </c>
      <c r="H2615" s="116"/>
      <c r="I2615" s="116"/>
      <c r="L2615" s="170">
        <v>45854</v>
      </c>
      <c r="M2615" s="116">
        <v>3233.1</v>
      </c>
      <c r="N2615" s="116">
        <v>3244.9</v>
      </c>
      <c r="O2615" s="116">
        <v>3220.6</v>
      </c>
      <c r="P2615" s="116">
        <v>3227</v>
      </c>
      <c r="Q2615" s="116">
        <v>3233.1</v>
      </c>
      <c r="R2615">
        <v>2540733</v>
      </c>
    </row>
    <row r="2616" spans="1:18" x14ac:dyDescent="0.25">
      <c r="A2616" s="170">
        <v>45855</v>
      </c>
      <c r="B2616" s="116">
        <v>3242.05</v>
      </c>
      <c r="C2616" s="116">
        <v>3208.5</v>
      </c>
      <c r="D2616" s="116">
        <v>3204</v>
      </c>
      <c r="E2616" s="116">
        <v>3230</v>
      </c>
      <c r="F2616" s="116">
        <v>3208.5</v>
      </c>
      <c r="G2616">
        <v>92023</v>
      </c>
      <c r="H2616" s="116"/>
      <c r="I2616" s="116"/>
      <c r="L2616" s="170">
        <v>45855</v>
      </c>
      <c r="M2616" s="116">
        <v>3209.2</v>
      </c>
      <c r="N2616" s="116">
        <v>3242</v>
      </c>
      <c r="O2616" s="116">
        <v>3204.1</v>
      </c>
      <c r="P2616" s="116">
        <v>3224.1</v>
      </c>
      <c r="Q2616" s="116">
        <v>3209.2</v>
      </c>
      <c r="R2616">
        <v>2947640</v>
      </c>
    </row>
    <row r="2617" spans="1:18" x14ac:dyDescent="0.25">
      <c r="A2617" s="170">
        <v>45856</v>
      </c>
      <c r="B2617" s="116">
        <v>3227.95</v>
      </c>
      <c r="C2617" s="116">
        <v>3189.85</v>
      </c>
      <c r="D2617" s="116">
        <v>3186.9</v>
      </c>
      <c r="E2617" s="116">
        <v>3213.05</v>
      </c>
      <c r="F2617" s="116">
        <v>3189.85</v>
      </c>
      <c r="G2617">
        <v>95407</v>
      </c>
      <c r="H2617" s="116"/>
      <c r="I2617" s="116"/>
      <c r="L2617" s="170">
        <v>45856</v>
      </c>
      <c r="M2617" s="116">
        <v>3189.9</v>
      </c>
      <c r="N2617" s="116">
        <v>3228.8</v>
      </c>
      <c r="O2617" s="116">
        <v>3187</v>
      </c>
      <c r="P2617" s="116">
        <v>3225</v>
      </c>
      <c r="Q2617" s="116">
        <v>3189.9</v>
      </c>
      <c r="R2617">
        <v>3432645</v>
      </c>
    </row>
    <row r="2618" spans="1:18" x14ac:dyDescent="0.25">
      <c r="A2618" s="170">
        <v>45859</v>
      </c>
      <c r="B2618" s="116">
        <v>3221.7</v>
      </c>
      <c r="C2618" s="116">
        <v>3158.4</v>
      </c>
      <c r="D2618" s="116">
        <v>3152.5</v>
      </c>
      <c r="E2618" s="116">
        <v>3221.7</v>
      </c>
      <c r="F2618" s="116">
        <v>3158.4</v>
      </c>
      <c r="G2618">
        <v>66767</v>
      </c>
      <c r="H2618" s="116"/>
      <c r="I2618" s="116"/>
      <c r="L2618" s="170">
        <v>45859</v>
      </c>
      <c r="M2618" s="116">
        <v>3158.2</v>
      </c>
      <c r="N2618" s="116">
        <v>3197.6</v>
      </c>
      <c r="O2618" s="116">
        <v>3152</v>
      </c>
      <c r="P2618" s="116">
        <v>3190</v>
      </c>
      <c r="Q2618" s="116">
        <v>3158.2</v>
      </c>
      <c r="R2618">
        <v>3844346</v>
      </c>
    </row>
    <row r="2619" spans="1:18" x14ac:dyDescent="0.25">
      <c r="A2619" s="170">
        <v>45860</v>
      </c>
      <c r="B2619" s="116">
        <v>3179.65</v>
      </c>
      <c r="C2619" s="116">
        <v>3159.75</v>
      </c>
      <c r="D2619" s="116">
        <v>3154.25</v>
      </c>
      <c r="E2619" s="116">
        <v>3160.9</v>
      </c>
      <c r="F2619" s="116">
        <v>3159.75</v>
      </c>
      <c r="G2619">
        <v>127085</v>
      </c>
      <c r="H2619" s="116"/>
      <c r="I2619" s="116"/>
      <c r="L2619" s="170">
        <v>45860</v>
      </c>
      <c r="M2619" s="116">
        <v>3159.6</v>
      </c>
      <c r="N2619" s="116">
        <v>3180.1</v>
      </c>
      <c r="O2619" s="116">
        <v>3154.6</v>
      </c>
      <c r="P2619" s="116">
        <v>3159.6</v>
      </c>
      <c r="Q2619" s="116">
        <v>3159.6</v>
      </c>
      <c r="R2619">
        <v>3198036</v>
      </c>
    </row>
    <row r="2620" spans="1:18" x14ac:dyDescent="0.25">
      <c r="A2620" s="170">
        <v>45861</v>
      </c>
      <c r="B2620" s="116">
        <v>3182.95</v>
      </c>
      <c r="C2620" s="116">
        <v>3179.35</v>
      </c>
      <c r="D2620" s="116">
        <v>3159</v>
      </c>
      <c r="E2620" s="116">
        <v>3169</v>
      </c>
      <c r="F2620" s="116">
        <v>3179.35</v>
      </c>
      <c r="G2620">
        <v>78657</v>
      </c>
      <c r="H2620" s="116"/>
      <c r="I2620" s="116"/>
      <c r="L2620" s="170">
        <v>45861</v>
      </c>
      <c r="M2620" s="116">
        <v>3179.1</v>
      </c>
      <c r="N2620" s="116">
        <v>3182</v>
      </c>
      <c r="O2620" s="116">
        <v>3157.6</v>
      </c>
      <c r="P2620" s="116">
        <v>3159.6</v>
      </c>
      <c r="Q2620" s="116">
        <v>3179.1</v>
      </c>
      <c r="R2620">
        <v>1922875</v>
      </c>
    </row>
    <row r="2621" spans="1:18" x14ac:dyDescent="0.25">
      <c r="A2621" s="170">
        <v>45862</v>
      </c>
      <c r="B2621" s="116">
        <v>3174.3</v>
      </c>
      <c r="C2621" s="116">
        <v>3150.15</v>
      </c>
      <c r="D2621" s="116">
        <v>3140</v>
      </c>
      <c r="E2621" s="116">
        <v>3165</v>
      </c>
      <c r="F2621" s="116">
        <v>3150.15</v>
      </c>
      <c r="G2621">
        <v>142183</v>
      </c>
      <c r="H2621" s="116"/>
      <c r="I2621" s="116"/>
      <c r="L2621" s="170">
        <v>45862</v>
      </c>
      <c r="M2621" s="116">
        <v>3148</v>
      </c>
      <c r="N2621" s="116">
        <v>3173.7</v>
      </c>
      <c r="O2621" s="116">
        <v>3140</v>
      </c>
      <c r="P2621" s="116">
        <v>3165.1</v>
      </c>
      <c r="Q2621" s="116">
        <v>3148</v>
      </c>
      <c r="R2621">
        <v>2934778</v>
      </c>
    </row>
    <row r="2622" spans="1:18" x14ac:dyDescent="0.25">
      <c r="A2622" s="170">
        <v>45863</v>
      </c>
      <c r="B2622" s="116">
        <v>3157.25</v>
      </c>
      <c r="C2622" s="116">
        <v>3134.35</v>
      </c>
      <c r="D2622" s="116">
        <v>3127</v>
      </c>
      <c r="E2622" s="116">
        <v>3149.95</v>
      </c>
      <c r="F2622" s="116">
        <v>3134.35</v>
      </c>
      <c r="G2622">
        <v>101533</v>
      </c>
      <c r="H2622" s="116"/>
      <c r="I2622" s="116"/>
      <c r="L2622" s="170">
        <v>45863</v>
      </c>
      <c r="M2622" s="116">
        <v>3135.8</v>
      </c>
      <c r="N2622" s="116">
        <v>3156.9</v>
      </c>
      <c r="O2622" s="116">
        <v>3125.6</v>
      </c>
      <c r="P2622" s="116">
        <v>3140</v>
      </c>
      <c r="Q2622" s="116">
        <v>3135.8</v>
      </c>
      <c r="R2622">
        <v>2568917</v>
      </c>
    </row>
    <row r="2623" spans="1:18" x14ac:dyDescent="0.25">
      <c r="A2623" s="170">
        <v>45866</v>
      </c>
      <c r="B2623" s="116">
        <v>3113.05</v>
      </c>
      <c r="C2623" s="116">
        <v>3079.05</v>
      </c>
      <c r="D2623" s="116">
        <v>3070</v>
      </c>
      <c r="E2623" s="116">
        <v>3113</v>
      </c>
      <c r="F2623" s="116">
        <v>3079.05</v>
      </c>
      <c r="G2623">
        <v>224281</v>
      </c>
      <c r="H2623" s="116"/>
      <c r="I2623" s="116"/>
      <c r="L2623" s="170">
        <v>45866</v>
      </c>
      <c r="M2623" s="116">
        <v>3079.3</v>
      </c>
      <c r="N2623" s="116">
        <v>3118</v>
      </c>
      <c r="O2623" s="116">
        <v>3069.9</v>
      </c>
      <c r="P2623" s="116">
        <v>3110</v>
      </c>
      <c r="Q2623" s="116">
        <v>3079.3</v>
      </c>
      <c r="R2623">
        <v>3374473</v>
      </c>
    </row>
    <row r="2624" spans="1:18" x14ac:dyDescent="0.25">
      <c r="A2624" s="170">
        <v>45867</v>
      </c>
      <c r="B2624" s="116">
        <v>3074.5</v>
      </c>
      <c r="C2624" s="116">
        <v>3056.55</v>
      </c>
      <c r="D2624" s="116">
        <v>3041</v>
      </c>
      <c r="E2624" s="116">
        <v>3069.3</v>
      </c>
      <c r="F2624" s="116">
        <v>3056.55</v>
      </c>
      <c r="G2624">
        <v>163690</v>
      </c>
      <c r="H2624" s="116"/>
      <c r="I2624" s="116"/>
      <c r="L2624" s="170">
        <v>45867</v>
      </c>
      <c r="M2624" s="116">
        <v>3056</v>
      </c>
      <c r="N2624" s="116">
        <v>3074</v>
      </c>
      <c r="O2624" s="116">
        <v>3041.2</v>
      </c>
      <c r="P2624" s="116">
        <v>3060</v>
      </c>
      <c r="Q2624" s="116">
        <v>3056</v>
      </c>
      <c r="R2624">
        <v>4785312</v>
      </c>
    </row>
    <row r="2625" spans="1:18" x14ac:dyDescent="0.25">
      <c r="A2625" s="170">
        <v>45868</v>
      </c>
      <c r="B2625" s="116">
        <v>3070</v>
      </c>
      <c r="C2625" s="116">
        <v>3053.55</v>
      </c>
      <c r="D2625" s="116">
        <v>3048.05</v>
      </c>
      <c r="E2625" s="116">
        <v>3060</v>
      </c>
      <c r="F2625" s="116">
        <v>3053.55</v>
      </c>
      <c r="G2625">
        <v>100412</v>
      </c>
      <c r="H2625" s="116"/>
      <c r="I2625" s="116"/>
      <c r="L2625" s="170">
        <v>45868</v>
      </c>
      <c r="M2625" s="116">
        <v>3053.6</v>
      </c>
      <c r="N2625" s="116">
        <v>3069</v>
      </c>
      <c r="O2625" s="116">
        <v>3047.2</v>
      </c>
      <c r="P2625" s="116">
        <v>3060</v>
      </c>
      <c r="Q2625" s="116">
        <v>3053.6</v>
      </c>
      <c r="R2625">
        <v>2880121</v>
      </c>
    </row>
    <row r="2626" spans="1:18" x14ac:dyDescent="0.25">
      <c r="A2626" s="170">
        <v>45869</v>
      </c>
      <c r="B2626" s="116">
        <v>3060</v>
      </c>
      <c r="C2626" s="116">
        <v>3037.35</v>
      </c>
      <c r="D2626" s="116">
        <v>3015.05</v>
      </c>
      <c r="E2626" s="116">
        <v>3047.55</v>
      </c>
      <c r="F2626" s="116">
        <v>3037.35</v>
      </c>
      <c r="G2626">
        <v>118847</v>
      </c>
      <c r="H2626" s="116"/>
      <c r="I2626" s="116"/>
      <c r="L2626" s="170">
        <v>45869</v>
      </c>
      <c r="M2626" s="116">
        <v>3036.8</v>
      </c>
      <c r="N2626" s="116">
        <v>3059.8</v>
      </c>
      <c r="O2626" s="116">
        <v>3015</v>
      </c>
      <c r="P2626" s="116">
        <v>3041.7</v>
      </c>
      <c r="Q2626" s="116">
        <v>3036.8</v>
      </c>
      <c r="R2626">
        <v>2968371</v>
      </c>
    </row>
    <row r="2627" spans="1:18" x14ac:dyDescent="0.25">
      <c r="A2627" s="170">
        <v>45870</v>
      </c>
      <c r="B2627" s="116">
        <v>3037.3</v>
      </c>
      <c r="C2627" s="116">
        <v>3003.1</v>
      </c>
      <c r="D2627" s="116">
        <v>3000</v>
      </c>
      <c r="E2627" s="116">
        <v>3021.45</v>
      </c>
      <c r="F2627" s="116">
        <v>3003.1</v>
      </c>
      <c r="G2627">
        <v>262947</v>
      </c>
      <c r="H2627" s="116"/>
      <c r="I2627" s="116"/>
      <c r="L2627" s="170">
        <v>45870</v>
      </c>
      <c r="M2627" s="116">
        <v>3003</v>
      </c>
      <c r="N2627" s="116">
        <v>3036.8</v>
      </c>
      <c r="O2627" s="116">
        <v>3000</v>
      </c>
      <c r="P2627" s="116">
        <v>3029.9</v>
      </c>
      <c r="Q2627" s="116">
        <v>3003</v>
      </c>
      <c r="R2627">
        <v>2053847</v>
      </c>
    </row>
    <row r="2628" spans="1:18" x14ac:dyDescent="0.25">
      <c r="A2628" s="170">
        <v>45873</v>
      </c>
      <c r="B2628" s="116">
        <v>3080</v>
      </c>
      <c r="C2628" s="116">
        <v>3074.9</v>
      </c>
      <c r="D2628" s="116">
        <v>2992.05</v>
      </c>
      <c r="E2628" s="116">
        <v>3014.6</v>
      </c>
      <c r="F2628" s="116">
        <v>3074.9</v>
      </c>
      <c r="G2628">
        <v>169679</v>
      </c>
      <c r="H2628" s="116"/>
      <c r="I2628" s="116"/>
      <c r="L2628" s="170">
        <v>45873</v>
      </c>
      <c r="M2628" s="116">
        <v>3074.4</v>
      </c>
      <c r="N2628" s="116">
        <v>3079.4</v>
      </c>
      <c r="O2628" s="116">
        <v>2991.6</v>
      </c>
      <c r="P2628" s="116">
        <v>3009.1</v>
      </c>
      <c r="Q2628" s="116">
        <v>3074.4</v>
      </c>
      <c r="R2628">
        <v>2519252</v>
      </c>
    </row>
    <row r="2629" spans="1:18" x14ac:dyDescent="0.25">
      <c r="A2629" s="170">
        <v>45874</v>
      </c>
      <c r="B2629" s="116">
        <v>3077.45</v>
      </c>
      <c r="C2629" s="116">
        <v>3062.15</v>
      </c>
      <c r="D2629" s="116">
        <v>3042.4</v>
      </c>
      <c r="E2629" s="116">
        <v>3072</v>
      </c>
      <c r="F2629" s="116">
        <v>3062.15</v>
      </c>
      <c r="G2629">
        <v>131048</v>
      </c>
      <c r="H2629" s="116"/>
      <c r="I2629" s="116"/>
      <c r="L2629" s="170">
        <v>45874</v>
      </c>
      <c r="M2629" s="116">
        <v>3063.9</v>
      </c>
      <c r="N2629" s="116">
        <v>3077.5</v>
      </c>
      <c r="O2629" s="116">
        <v>3042</v>
      </c>
      <c r="P2629" s="116">
        <v>3074.4</v>
      </c>
      <c r="Q2629" s="116">
        <v>3063.9</v>
      </c>
      <c r="R2629">
        <v>1927996</v>
      </c>
    </row>
    <row r="2630" spans="1:18" x14ac:dyDescent="0.25">
      <c r="A2630" s="170">
        <v>45875</v>
      </c>
      <c r="B2630" s="116">
        <v>3072.8</v>
      </c>
      <c r="C2630" s="116">
        <v>3031.6</v>
      </c>
      <c r="D2630" s="116">
        <v>3027</v>
      </c>
      <c r="E2630" s="116">
        <v>3072.8</v>
      </c>
      <c r="F2630" s="116">
        <v>3031.6</v>
      </c>
      <c r="G2630">
        <v>37832</v>
      </c>
      <c r="H2630" s="116"/>
      <c r="I2630" s="116"/>
      <c r="L2630" s="170">
        <v>45875</v>
      </c>
      <c r="M2630" s="116">
        <v>3032.3</v>
      </c>
      <c r="N2630" s="116">
        <v>3066.8</v>
      </c>
      <c r="O2630" s="116">
        <v>3026</v>
      </c>
      <c r="P2630" s="116">
        <v>3063</v>
      </c>
      <c r="Q2630" s="116">
        <v>3032.3</v>
      </c>
      <c r="R2630">
        <v>1487081</v>
      </c>
    </row>
    <row r="2631" spans="1:18" x14ac:dyDescent="0.25">
      <c r="A2631" s="170">
        <v>45876</v>
      </c>
      <c r="B2631" s="116">
        <v>3050.95</v>
      </c>
      <c r="C2631" s="116">
        <v>3047.15</v>
      </c>
      <c r="D2631" s="116">
        <v>3012</v>
      </c>
      <c r="E2631" s="116">
        <v>3029.85</v>
      </c>
      <c r="F2631" s="116">
        <v>3047.15</v>
      </c>
      <c r="G2631">
        <v>88044</v>
      </c>
      <c r="H2631" s="116"/>
      <c r="I2631" s="116"/>
      <c r="L2631" s="170">
        <v>45876</v>
      </c>
      <c r="M2631" s="116">
        <v>3047</v>
      </c>
      <c r="N2631" s="116">
        <v>3051.6</v>
      </c>
      <c r="O2631" s="116">
        <v>3010.9</v>
      </c>
      <c r="P2631" s="116">
        <v>3016</v>
      </c>
      <c r="Q2631" s="116">
        <v>3047</v>
      </c>
      <c r="R2631">
        <v>2543076</v>
      </c>
    </row>
    <row r="2632" spans="1:18" x14ac:dyDescent="0.25">
      <c r="A2632" s="170">
        <v>45877</v>
      </c>
      <c r="B2632" s="116">
        <v>3058</v>
      </c>
      <c r="C2632" s="116">
        <v>3034.5</v>
      </c>
      <c r="D2632" s="116">
        <v>3025</v>
      </c>
      <c r="E2632" s="116">
        <v>3047</v>
      </c>
      <c r="F2632" s="116">
        <v>3034.5</v>
      </c>
      <c r="G2632">
        <v>80383</v>
      </c>
      <c r="H2632" s="116"/>
      <c r="I2632" s="116"/>
      <c r="L2632" s="170">
        <v>45877</v>
      </c>
      <c r="M2632" s="116">
        <v>3036.4</v>
      </c>
      <c r="N2632" s="116">
        <v>3059.8</v>
      </c>
      <c r="O2632" s="116">
        <v>3025</v>
      </c>
      <c r="P2632" s="116">
        <v>3048.1</v>
      </c>
      <c r="Q2632" s="116">
        <v>3036.4</v>
      </c>
      <c r="R2632">
        <v>2762140</v>
      </c>
    </row>
    <row r="2633" spans="1:18" x14ac:dyDescent="0.25">
      <c r="A2633" s="170">
        <v>45880</v>
      </c>
      <c r="B2633" s="116">
        <v>3049.15</v>
      </c>
      <c r="C2633" s="116">
        <v>3040.35</v>
      </c>
      <c r="D2633" s="116">
        <v>3021.9</v>
      </c>
      <c r="E2633" s="116">
        <v>3048</v>
      </c>
      <c r="F2633" s="116">
        <v>3040.35</v>
      </c>
      <c r="G2633">
        <v>82049</v>
      </c>
      <c r="H2633" s="116"/>
      <c r="I2633" s="116"/>
      <c r="L2633" s="170">
        <v>45880</v>
      </c>
      <c r="M2633" s="116">
        <v>3040.8</v>
      </c>
      <c r="N2633" s="116">
        <v>3049.9</v>
      </c>
      <c r="O2633" s="116">
        <v>3021.3</v>
      </c>
      <c r="P2633" s="116">
        <v>3036.4</v>
      </c>
      <c r="Q2633" s="116">
        <v>3040.8</v>
      </c>
      <c r="R2633">
        <v>1884215</v>
      </c>
    </row>
    <row r="2634" spans="1:18" x14ac:dyDescent="0.25">
      <c r="A2634" s="170">
        <v>45881</v>
      </c>
      <c r="B2634" s="116">
        <v>3095.45</v>
      </c>
      <c r="C2634" s="116">
        <v>3035.5</v>
      </c>
      <c r="D2634" s="116">
        <v>3025.8</v>
      </c>
      <c r="E2634" s="116">
        <v>3042.2</v>
      </c>
      <c r="F2634" s="116">
        <v>3035.5</v>
      </c>
      <c r="G2634">
        <v>52665</v>
      </c>
      <c r="H2634" s="116"/>
      <c r="I2634" s="116"/>
      <c r="L2634" s="170">
        <v>45881</v>
      </c>
      <c r="M2634" s="116">
        <v>3035.4</v>
      </c>
      <c r="N2634" s="116">
        <v>3096.4</v>
      </c>
      <c r="O2634" s="116">
        <v>3026.9</v>
      </c>
      <c r="P2634" s="116">
        <v>3041</v>
      </c>
      <c r="Q2634" s="116">
        <v>3035.4</v>
      </c>
      <c r="R2634">
        <v>3358232</v>
      </c>
    </row>
    <row r="2635" spans="1:18" x14ac:dyDescent="0.25">
      <c r="A2635" s="170">
        <v>45882</v>
      </c>
      <c r="B2635" s="116">
        <v>3045.85</v>
      </c>
      <c r="C2635" s="116">
        <v>3035.6</v>
      </c>
      <c r="D2635" s="116">
        <v>3029</v>
      </c>
      <c r="E2635" s="116">
        <v>3039.95</v>
      </c>
      <c r="F2635" s="116">
        <v>3035.6</v>
      </c>
      <c r="G2635">
        <v>69512</v>
      </c>
      <c r="H2635" s="116"/>
      <c r="I2635" s="116"/>
      <c r="L2635" s="170">
        <v>45882</v>
      </c>
      <c r="M2635" s="116">
        <v>3036.2</v>
      </c>
      <c r="N2635" s="116">
        <v>3044.4</v>
      </c>
      <c r="O2635" s="116">
        <v>3028.6</v>
      </c>
      <c r="P2635" s="116">
        <v>3036.1</v>
      </c>
      <c r="Q2635" s="116">
        <v>3036.2</v>
      </c>
      <c r="R2635">
        <v>2148166</v>
      </c>
    </row>
    <row r="2636" spans="1:18" x14ac:dyDescent="0.25">
      <c r="A2636" s="170">
        <v>45883</v>
      </c>
      <c r="B2636" s="116">
        <v>3055</v>
      </c>
      <c r="C2636" s="116">
        <v>3021.9</v>
      </c>
      <c r="D2636" s="116">
        <v>3017.9</v>
      </c>
      <c r="E2636" s="116">
        <v>3035.6</v>
      </c>
      <c r="F2636" s="116">
        <v>3021.9</v>
      </c>
      <c r="G2636">
        <v>150008</v>
      </c>
      <c r="H2636" s="116"/>
      <c r="I2636" s="116"/>
      <c r="L2636" s="170">
        <v>45883</v>
      </c>
      <c r="M2636" s="116">
        <v>3022.3</v>
      </c>
      <c r="N2636" s="116">
        <v>3055.9</v>
      </c>
      <c r="O2636" s="116">
        <v>3019.1</v>
      </c>
      <c r="P2636" s="116">
        <v>3034</v>
      </c>
      <c r="Q2636" s="116">
        <v>3022.3</v>
      </c>
      <c r="R2636">
        <v>3342174</v>
      </c>
    </row>
    <row r="2637" spans="1:18" x14ac:dyDescent="0.25">
      <c r="A2637" s="170">
        <v>45887</v>
      </c>
      <c r="B2637" s="116">
        <v>3059.95</v>
      </c>
      <c r="C2637" s="116">
        <v>3011.95</v>
      </c>
      <c r="D2637" s="116">
        <v>3003.9</v>
      </c>
      <c r="E2637" s="116">
        <v>3059.95</v>
      </c>
      <c r="F2637" s="116">
        <v>3011.95</v>
      </c>
      <c r="G2637">
        <v>93061</v>
      </c>
      <c r="H2637" s="116"/>
      <c r="I2637" s="116"/>
      <c r="L2637" s="170">
        <v>45887</v>
      </c>
      <c r="M2637" s="116">
        <v>3011.2</v>
      </c>
      <c r="N2637" s="116">
        <v>3049</v>
      </c>
      <c r="O2637" s="116">
        <v>3003.4</v>
      </c>
      <c r="P2637" s="116">
        <v>3046.5</v>
      </c>
      <c r="Q2637" s="116">
        <v>3011.2</v>
      </c>
      <c r="R2637">
        <v>2945609</v>
      </c>
    </row>
    <row r="2638" spans="1:18" x14ac:dyDescent="0.25">
      <c r="A2638" s="170">
        <v>45888</v>
      </c>
      <c r="B2638" s="116">
        <v>3024.9</v>
      </c>
      <c r="C2638" s="116">
        <v>3016.15</v>
      </c>
      <c r="D2638" s="116">
        <v>3010</v>
      </c>
      <c r="E2638" s="116">
        <v>3015</v>
      </c>
      <c r="F2638" s="116">
        <v>3016.15</v>
      </c>
      <c r="G2638">
        <v>166183</v>
      </c>
      <c r="H2638" s="116"/>
      <c r="I2638" s="116"/>
      <c r="L2638" s="170">
        <v>45888</v>
      </c>
      <c r="M2638" s="116">
        <v>3016.2</v>
      </c>
      <c r="N2638" s="116">
        <v>3025</v>
      </c>
      <c r="O2638" s="116">
        <v>3011.1</v>
      </c>
      <c r="P2638" s="116">
        <v>3011.2</v>
      </c>
      <c r="Q2638" s="116">
        <v>3016.2</v>
      </c>
      <c r="R2638">
        <v>2650784</v>
      </c>
    </row>
    <row r="2639" spans="1:18" x14ac:dyDescent="0.25">
      <c r="A2639" s="170">
        <v>45889</v>
      </c>
      <c r="B2639" s="116">
        <v>3102.1</v>
      </c>
      <c r="C2639" s="116">
        <v>3097.4</v>
      </c>
      <c r="D2639" s="116">
        <v>3012</v>
      </c>
      <c r="E2639" s="116">
        <v>3016.1</v>
      </c>
      <c r="F2639" s="116">
        <v>3097.4</v>
      </c>
      <c r="G2639">
        <v>103099</v>
      </c>
      <c r="H2639" s="116"/>
      <c r="I2639" s="116"/>
      <c r="L2639" s="170">
        <v>45889</v>
      </c>
      <c r="M2639" s="116">
        <v>3098.6</v>
      </c>
      <c r="N2639" s="116">
        <v>3103.4</v>
      </c>
      <c r="O2639" s="116">
        <v>3010.9</v>
      </c>
      <c r="P2639" s="116">
        <v>3010.9</v>
      </c>
      <c r="Q2639" s="116">
        <v>3098.6</v>
      </c>
      <c r="R2639">
        <v>4952358</v>
      </c>
    </row>
    <row r="2640" spans="1:18" x14ac:dyDescent="0.25">
      <c r="A2640" s="170">
        <v>45890</v>
      </c>
      <c r="B2640" s="116">
        <v>3123</v>
      </c>
      <c r="C2640" s="116">
        <v>3101.2</v>
      </c>
      <c r="D2640" s="116">
        <v>3083.1</v>
      </c>
      <c r="E2640" s="116">
        <v>3115.05</v>
      </c>
      <c r="F2640" s="116">
        <v>3101.2</v>
      </c>
      <c r="G2640">
        <v>56847</v>
      </c>
      <c r="H2640" s="116"/>
      <c r="I2640" s="116"/>
      <c r="L2640" s="170">
        <v>45890</v>
      </c>
      <c r="M2640" s="116">
        <v>3102.6</v>
      </c>
      <c r="N2640" s="116">
        <v>3130</v>
      </c>
      <c r="O2640" s="116">
        <v>3083.1</v>
      </c>
      <c r="P2640" s="116">
        <v>3130</v>
      </c>
      <c r="Q2640" s="116">
        <v>3102.6</v>
      </c>
      <c r="R2640">
        <v>3230726</v>
      </c>
    </row>
    <row r="2641" spans="1:18" x14ac:dyDescent="0.25">
      <c r="A2641" s="170">
        <v>45891</v>
      </c>
      <c r="B2641" s="116">
        <v>3098</v>
      </c>
      <c r="C2641" s="116">
        <v>3053.65</v>
      </c>
      <c r="D2641" s="116">
        <v>3050.55</v>
      </c>
      <c r="E2641" s="116">
        <v>3098</v>
      </c>
      <c r="F2641" s="116">
        <v>3053.65</v>
      </c>
      <c r="G2641">
        <v>84551</v>
      </c>
      <c r="H2641" s="116"/>
      <c r="I2641" s="116"/>
      <c r="L2641" s="170">
        <v>45891</v>
      </c>
      <c r="M2641" s="116">
        <v>3054</v>
      </c>
      <c r="N2641" s="116">
        <v>3095.7</v>
      </c>
      <c r="O2641" s="116">
        <v>3050</v>
      </c>
      <c r="P2641" s="116">
        <v>3086</v>
      </c>
      <c r="Q2641" s="116">
        <v>3054</v>
      </c>
      <c r="R2641">
        <v>1593791</v>
      </c>
    </row>
    <row r="2642" spans="1:18" x14ac:dyDescent="0.25">
      <c r="A2642" s="170">
        <v>45894</v>
      </c>
      <c r="B2642" s="116">
        <v>3152</v>
      </c>
      <c r="C2642" s="116">
        <v>3140.75</v>
      </c>
      <c r="D2642" s="116">
        <v>3080</v>
      </c>
      <c r="E2642" s="116">
        <v>3084</v>
      </c>
      <c r="F2642" s="116">
        <v>3140.75</v>
      </c>
      <c r="G2642">
        <v>178864</v>
      </c>
      <c r="H2642" s="116"/>
      <c r="I2642" s="116"/>
      <c r="L2642" s="170">
        <v>45894</v>
      </c>
      <c r="M2642" s="116">
        <v>3140.6</v>
      </c>
      <c r="N2642" s="116">
        <v>3152</v>
      </c>
      <c r="O2642" s="116">
        <v>3077.1</v>
      </c>
      <c r="P2642" s="116">
        <v>3087.3</v>
      </c>
      <c r="Q2642" s="116">
        <v>3140.6</v>
      </c>
      <c r="R2642">
        <v>3448370</v>
      </c>
    </row>
    <row r="2643" spans="1:18" x14ac:dyDescent="0.25">
      <c r="A2643" s="170">
        <v>45895</v>
      </c>
      <c r="B2643" s="116">
        <v>3163.4</v>
      </c>
      <c r="C2643" s="116">
        <v>3156.25</v>
      </c>
      <c r="D2643" s="116">
        <v>3121</v>
      </c>
      <c r="E2643" s="116">
        <v>3130</v>
      </c>
      <c r="F2643" s="116">
        <v>3156.25</v>
      </c>
      <c r="G2643">
        <v>609827</v>
      </c>
      <c r="H2643" s="116"/>
      <c r="I2643" s="116"/>
      <c r="L2643" s="170">
        <v>45895</v>
      </c>
      <c r="M2643" s="116">
        <v>3157.2</v>
      </c>
      <c r="N2643" s="116">
        <v>3162</v>
      </c>
      <c r="O2643" s="116">
        <v>3120</v>
      </c>
      <c r="P2643" s="116">
        <v>3129</v>
      </c>
      <c r="Q2643" s="116">
        <v>3157.2</v>
      </c>
      <c r="R2643">
        <v>5522097</v>
      </c>
    </row>
    <row r="2644" spans="1:18" x14ac:dyDescent="0.25">
      <c r="A2644" s="170">
        <v>45897</v>
      </c>
      <c r="B2644" s="116">
        <v>3155.95</v>
      </c>
      <c r="C2644" s="116">
        <v>3096.65</v>
      </c>
      <c r="D2644" s="116">
        <v>3087.1</v>
      </c>
      <c r="E2644" s="116">
        <v>3155.95</v>
      </c>
      <c r="F2644" s="116">
        <v>3096.65</v>
      </c>
      <c r="G2644">
        <v>135322</v>
      </c>
      <c r="H2644" s="116"/>
      <c r="I2644" s="116"/>
      <c r="L2644" s="170">
        <v>45897</v>
      </c>
      <c r="M2644" s="116">
        <v>3093.7</v>
      </c>
      <c r="N2644" s="116">
        <v>3146.5</v>
      </c>
      <c r="O2644" s="116">
        <v>3086.5</v>
      </c>
      <c r="P2644" s="116">
        <v>3145</v>
      </c>
      <c r="Q2644" s="116">
        <v>3093.7</v>
      </c>
      <c r="R2644">
        <v>3116051</v>
      </c>
    </row>
    <row r="2645" spans="1:18" x14ac:dyDescent="0.25">
      <c r="A2645" s="170">
        <v>45898</v>
      </c>
      <c r="B2645" s="116">
        <v>3114.8</v>
      </c>
      <c r="C2645" s="116">
        <v>3084.4</v>
      </c>
      <c r="D2645" s="116">
        <v>3077</v>
      </c>
      <c r="E2645" s="116">
        <v>3090</v>
      </c>
      <c r="F2645" s="116">
        <v>3084.4</v>
      </c>
      <c r="G2645">
        <v>275151</v>
      </c>
      <c r="H2645" s="116"/>
      <c r="I2645" s="116"/>
      <c r="L2645" s="170">
        <v>45898</v>
      </c>
      <c r="M2645" s="116">
        <v>3084.7</v>
      </c>
      <c r="N2645" s="116">
        <v>3115</v>
      </c>
      <c r="O2645" s="116">
        <v>3077.2</v>
      </c>
      <c r="P2645" s="116">
        <v>3093</v>
      </c>
      <c r="Q2645" s="116">
        <v>3084.7</v>
      </c>
      <c r="R2645">
        <v>2271789</v>
      </c>
    </row>
    <row r="2646" spans="1:18" x14ac:dyDescent="0.25">
      <c r="A2646" s="170">
        <v>45901</v>
      </c>
      <c r="B2646" s="116">
        <v>3130.7</v>
      </c>
      <c r="C2646" s="116">
        <v>3112.2</v>
      </c>
      <c r="D2646" s="116">
        <v>3095.15</v>
      </c>
      <c r="E2646" s="116">
        <v>3096.6</v>
      </c>
      <c r="F2646" s="116">
        <v>3112.2</v>
      </c>
      <c r="G2646">
        <v>58410</v>
      </c>
      <c r="H2646" s="116"/>
      <c r="I2646" s="116"/>
      <c r="L2646" s="170">
        <v>45901</v>
      </c>
      <c r="M2646" s="116">
        <v>3112.6</v>
      </c>
      <c r="N2646" s="116">
        <v>3131.1</v>
      </c>
      <c r="O2646" s="116">
        <v>3090</v>
      </c>
      <c r="P2646" s="116">
        <v>3090</v>
      </c>
      <c r="Q2646" s="116">
        <v>3112.6</v>
      </c>
      <c r="R2646">
        <v>1246862</v>
      </c>
    </row>
    <row r="2647" spans="1:18" x14ac:dyDescent="0.25">
      <c r="A2647" s="170">
        <v>45902</v>
      </c>
      <c r="B2647" s="116">
        <v>3155.35</v>
      </c>
      <c r="C2647" s="116">
        <v>3112.15</v>
      </c>
      <c r="D2647" s="116">
        <v>3105</v>
      </c>
      <c r="E2647" s="116">
        <v>3123</v>
      </c>
      <c r="F2647" s="116">
        <v>3112.15</v>
      </c>
      <c r="G2647">
        <v>36874</v>
      </c>
      <c r="H2647" s="116"/>
      <c r="I2647" s="116"/>
      <c r="L2647" s="170">
        <v>45902</v>
      </c>
      <c r="M2647" s="116">
        <v>3111.5</v>
      </c>
      <c r="N2647" s="116">
        <v>3155</v>
      </c>
      <c r="O2647" s="116">
        <v>3103.1</v>
      </c>
      <c r="P2647" s="116">
        <v>3121.1</v>
      </c>
      <c r="Q2647" s="116">
        <v>3111.5</v>
      </c>
      <c r="R2647">
        <v>2185229</v>
      </c>
    </row>
    <row r="2648" spans="1:18" x14ac:dyDescent="0.25">
      <c r="A2648" s="170">
        <v>45903</v>
      </c>
      <c r="B2648" s="116">
        <v>3142.65</v>
      </c>
      <c r="C2648" s="116">
        <v>3098.2</v>
      </c>
      <c r="D2648" s="116">
        <v>3087.75</v>
      </c>
      <c r="E2648" s="116">
        <v>3120.3</v>
      </c>
      <c r="F2648" s="116">
        <v>3098.2</v>
      </c>
      <c r="G2648">
        <v>172159</v>
      </c>
      <c r="H2648" s="116"/>
      <c r="I2648" s="116"/>
      <c r="L2648" s="170">
        <v>45903</v>
      </c>
      <c r="M2648" s="116">
        <v>3097.5</v>
      </c>
      <c r="N2648" s="116">
        <v>3141.9</v>
      </c>
      <c r="O2648" s="116">
        <v>3088</v>
      </c>
      <c r="P2648" s="116">
        <v>3129.9</v>
      </c>
      <c r="Q2648" s="116">
        <v>3097.5</v>
      </c>
      <c r="R2648">
        <v>1799774</v>
      </c>
    </row>
    <row r="2649" spans="1:18" x14ac:dyDescent="0.25">
      <c r="A2649" s="170">
        <v>45904</v>
      </c>
      <c r="B2649" s="116">
        <v>3120</v>
      </c>
      <c r="C2649" s="116">
        <v>3095.75</v>
      </c>
      <c r="D2649" s="116">
        <v>3090.1</v>
      </c>
      <c r="E2649" s="116">
        <v>3120</v>
      </c>
      <c r="F2649" s="116">
        <v>3095.75</v>
      </c>
      <c r="G2649">
        <v>394965</v>
      </c>
      <c r="H2649" s="116"/>
      <c r="I2649" s="116"/>
      <c r="L2649" s="170">
        <v>45904</v>
      </c>
      <c r="M2649" s="116">
        <v>3095.7</v>
      </c>
      <c r="N2649" s="116">
        <v>3118</v>
      </c>
      <c r="O2649" s="116">
        <v>3090.8</v>
      </c>
      <c r="P2649" s="116">
        <v>3116</v>
      </c>
      <c r="Q2649" s="116">
        <v>3095.7</v>
      </c>
      <c r="R2649">
        <v>1481391</v>
      </c>
    </row>
    <row r="2650" spans="1:18" x14ac:dyDescent="0.25">
      <c r="A2650" s="170">
        <v>45905</v>
      </c>
      <c r="B2650" s="116">
        <v>3104.6</v>
      </c>
      <c r="C2650" s="116">
        <v>3048.45</v>
      </c>
      <c r="D2650" s="116">
        <v>3029.5</v>
      </c>
      <c r="E2650" s="116">
        <v>3099.95</v>
      </c>
      <c r="F2650" s="116">
        <v>3048.45</v>
      </c>
      <c r="G2650">
        <v>191114</v>
      </c>
      <c r="H2650" s="116"/>
      <c r="I2650" s="116"/>
      <c r="L2650" s="170">
        <v>45905</v>
      </c>
      <c r="M2650" s="116">
        <v>3048.3</v>
      </c>
      <c r="N2650" s="116">
        <v>3103.4</v>
      </c>
      <c r="O2650" s="116">
        <v>3028.6</v>
      </c>
      <c r="P2650" s="116">
        <v>3097.1</v>
      </c>
      <c r="Q2650" s="116">
        <v>3048.3</v>
      </c>
      <c r="R2650">
        <v>2802055</v>
      </c>
    </row>
    <row r="2651" spans="1:18" x14ac:dyDescent="0.25">
      <c r="A2651" s="170">
        <v>45908</v>
      </c>
      <c r="B2651" s="116">
        <v>3066.55</v>
      </c>
      <c r="C2651" s="116">
        <v>3019.3</v>
      </c>
      <c r="D2651" s="116">
        <v>3016.6</v>
      </c>
      <c r="E2651" s="116">
        <v>3048.5</v>
      </c>
      <c r="F2651" s="116">
        <v>3019.3</v>
      </c>
      <c r="G2651">
        <v>194003</v>
      </c>
      <c r="H2651" s="116"/>
      <c r="I2651" s="116"/>
      <c r="L2651" s="170">
        <v>45908</v>
      </c>
      <c r="M2651" s="116">
        <v>3019</v>
      </c>
      <c r="N2651" s="116">
        <v>3064.9</v>
      </c>
      <c r="O2651" s="116">
        <v>3016</v>
      </c>
      <c r="P2651" s="116">
        <v>3050</v>
      </c>
      <c r="Q2651" s="116">
        <v>3019</v>
      </c>
      <c r="R2651">
        <v>2626187</v>
      </c>
    </row>
    <row r="2652" spans="1:18" x14ac:dyDescent="0.25">
      <c r="A2652" s="170">
        <v>45909</v>
      </c>
      <c r="B2652" s="116">
        <v>3059.9</v>
      </c>
      <c r="C2652" s="116">
        <v>3049.45</v>
      </c>
      <c r="D2652" s="116">
        <v>3031.05</v>
      </c>
      <c r="E2652" s="116">
        <v>3034.9</v>
      </c>
      <c r="F2652" s="116">
        <v>3049.45</v>
      </c>
      <c r="G2652">
        <v>111210</v>
      </c>
      <c r="H2652" s="116"/>
      <c r="I2652" s="116"/>
      <c r="L2652" s="170">
        <v>45909</v>
      </c>
      <c r="M2652" s="116">
        <v>3049.4</v>
      </c>
      <c r="N2652" s="116">
        <v>3060</v>
      </c>
      <c r="O2652" s="116">
        <v>3030.8</v>
      </c>
      <c r="P2652" s="116">
        <v>3032.1</v>
      </c>
      <c r="Q2652" s="116">
        <v>3049.4</v>
      </c>
      <c r="R2652">
        <v>2489301</v>
      </c>
    </row>
    <row r="2653" spans="1:18" x14ac:dyDescent="0.25">
      <c r="A2653" s="170">
        <v>45910</v>
      </c>
      <c r="B2653" s="116">
        <v>3122</v>
      </c>
      <c r="C2653" s="116">
        <v>3110.15</v>
      </c>
      <c r="D2653" s="116">
        <v>3055</v>
      </c>
      <c r="E2653" s="116">
        <v>3055</v>
      </c>
      <c r="F2653" s="116">
        <v>3110.15</v>
      </c>
      <c r="G2653">
        <v>250881</v>
      </c>
      <c r="H2653" s="116"/>
      <c r="I2653" s="116"/>
      <c r="L2653" s="170">
        <v>45910</v>
      </c>
      <c r="M2653" s="116">
        <v>3110</v>
      </c>
      <c r="N2653" s="116">
        <v>3122.7</v>
      </c>
      <c r="O2653" s="116">
        <v>3053.4</v>
      </c>
      <c r="P2653" s="116">
        <v>3056.4</v>
      </c>
      <c r="Q2653" s="116">
        <v>3110</v>
      </c>
      <c r="R2653">
        <v>2079428</v>
      </c>
    </row>
    <row r="2654" spans="1:18" x14ac:dyDescent="0.25">
      <c r="A2654" s="170">
        <v>45911</v>
      </c>
      <c r="B2654" s="116">
        <v>3138.3</v>
      </c>
      <c r="C2654" s="116">
        <v>3123.95</v>
      </c>
      <c r="D2654" s="116">
        <v>3110.15</v>
      </c>
      <c r="E2654" s="116">
        <v>3133.05</v>
      </c>
      <c r="F2654" s="116">
        <v>3123.95</v>
      </c>
      <c r="G2654">
        <v>533044</v>
      </c>
      <c r="H2654" s="116"/>
      <c r="I2654" s="116"/>
      <c r="L2654" s="170">
        <v>45911</v>
      </c>
      <c r="M2654" s="116">
        <v>3124.2</v>
      </c>
      <c r="N2654" s="116">
        <v>3139</v>
      </c>
      <c r="O2654" s="116">
        <v>3110.1</v>
      </c>
      <c r="P2654" s="116">
        <v>3139</v>
      </c>
      <c r="Q2654" s="116">
        <v>3124.2</v>
      </c>
      <c r="R2654">
        <v>2263446</v>
      </c>
    </row>
    <row r="2655" spans="1:18" x14ac:dyDescent="0.25">
      <c r="A2655" s="170">
        <v>45912</v>
      </c>
      <c r="B2655" s="116">
        <v>3148.5</v>
      </c>
      <c r="C2655" s="116">
        <v>3134.05</v>
      </c>
      <c r="D2655" s="116">
        <v>3120.35</v>
      </c>
      <c r="E2655" s="116">
        <v>3140.05</v>
      </c>
      <c r="F2655" s="116">
        <v>3134.05</v>
      </c>
      <c r="G2655">
        <v>43288</v>
      </c>
      <c r="H2655" s="116"/>
      <c r="I2655" s="116"/>
      <c r="L2655" s="170">
        <v>45912</v>
      </c>
      <c r="M2655" s="116">
        <v>3133.4</v>
      </c>
      <c r="N2655" s="116">
        <v>3148.7</v>
      </c>
      <c r="O2655" s="116">
        <v>3121</v>
      </c>
      <c r="P2655" s="116">
        <v>3144</v>
      </c>
      <c r="Q2655" s="116">
        <v>3133.4</v>
      </c>
      <c r="R2655">
        <v>1447167</v>
      </c>
    </row>
    <row r="2656" spans="1:18" x14ac:dyDescent="0.25">
      <c r="A2656" s="170">
        <v>45915</v>
      </c>
      <c r="B2656" s="116">
        <v>3131</v>
      </c>
      <c r="C2656" s="116">
        <v>3111.5</v>
      </c>
      <c r="D2656" s="116">
        <v>3096</v>
      </c>
      <c r="E2656" s="116">
        <v>3126.05</v>
      </c>
      <c r="F2656" s="116">
        <v>3111.5</v>
      </c>
      <c r="G2656">
        <v>103887</v>
      </c>
      <c r="H2656" s="116"/>
      <c r="I2656" s="116"/>
      <c r="L2656" s="170">
        <v>45915</v>
      </c>
      <c r="M2656" s="116">
        <v>3111.9</v>
      </c>
      <c r="N2656" s="116">
        <v>3134</v>
      </c>
      <c r="O2656" s="116">
        <v>3096</v>
      </c>
      <c r="P2656" s="116">
        <v>3134</v>
      </c>
      <c r="Q2656" s="116">
        <v>3111.9</v>
      </c>
      <c r="R2656">
        <v>1732539</v>
      </c>
    </row>
    <row r="2657" spans="1:18" x14ac:dyDescent="0.25">
      <c r="A2657" s="170">
        <v>45916</v>
      </c>
      <c r="B2657" s="116">
        <v>3150</v>
      </c>
      <c r="C2657" s="116">
        <v>3145.45</v>
      </c>
      <c r="D2657" s="116">
        <v>3109.4</v>
      </c>
      <c r="E2657" s="116">
        <v>3129.95</v>
      </c>
      <c r="F2657" s="116">
        <v>3145.45</v>
      </c>
      <c r="G2657">
        <v>74763</v>
      </c>
      <c r="H2657" s="116"/>
      <c r="I2657" s="116"/>
      <c r="L2657" s="170">
        <v>45916</v>
      </c>
      <c r="M2657" s="116">
        <v>3145.7</v>
      </c>
      <c r="N2657" s="116">
        <v>3150</v>
      </c>
      <c r="O2657" s="116">
        <v>3109.1</v>
      </c>
      <c r="P2657" s="116">
        <v>3128</v>
      </c>
      <c r="Q2657" s="116">
        <v>3145.7</v>
      </c>
      <c r="R2657">
        <v>2573429</v>
      </c>
    </row>
    <row r="2658" spans="1:18" x14ac:dyDescent="0.25">
      <c r="A2658" s="170">
        <v>45917</v>
      </c>
      <c r="B2658" s="116">
        <v>3182</v>
      </c>
      <c r="C2658" s="116">
        <v>3172.8</v>
      </c>
      <c r="D2658" s="116">
        <v>3141.45</v>
      </c>
      <c r="E2658" s="116">
        <v>3155.45</v>
      </c>
      <c r="F2658" s="116">
        <v>3172.8</v>
      </c>
      <c r="G2658">
        <v>142149</v>
      </c>
      <c r="H2658" s="116"/>
      <c r="I2658" s="116"/>
      <c r="L2658" s="170">
        <v>45917</v>
      </c>
      <c r="M2658" s="116">
        <v>3172.8</v>
      </c>
      <c r="N2658" s="116">
        <v>3182.4</v>
      </c>
      <c r="O2658" s="116">
        <v>3142.4</v>
      </c>
      <c r="P2658" s="116">
        <v>3152</v>
      </c>
      <c r="Q2658" s="116">
        <v>3172.8</v>
      </c>
      <c r="R2658">
        <v>2418271</v>
      </c>
    </row>
    <row r="2659" spans="1:18" x14ac:dyDescent="0.25">
      <c r="A2659" s="170">
        <v>45918</v>
      </c>
      <c r="B2659" s="116">
        <v>3202.95</v>
      </c>
      <c r="C2659" s="116">
        <v>3176.25</v>
      </c>
      <c r="D2659" s="116">
        <v>3161</v>
      </c>
      <c r="E2659" s="116">
        <v>3186.8</v>
      </c>
      <c r="F2659" s="116">
        <v>3176.25</v>
      </c>
      <c r="G2659">
        <v>365538</v>
      </c>
      <c r="H2659" s="116"/>
      <c r="I2659" s="116"/>
      <c r="L2659" s="170">
        <v>45918</v>
      </c>
      <c r="M2659" s="116">
        <v>3176.7</v>
      </c>
      <c r="N2659" s="116">
        <v>3203</v>
      </c>
      <c r="O2659" s="116">
        <v>3161.4</v>
      </c>
      <c r="P2659" s="116">
        <v>3185</v>
      </c>
      <c r="Q2659" s="116">
        <v>3176.7</v>
      </c>
      <c r="R2659">
        <v>2633138</v>
      </c>
    </row>
    <row r="2660" spans="1:18" x14ac:dyDescent="0.25">
      <c r="A2660" s="170">
        <v>45919</v>
      </c>
      <c r="B2660" s="116">
        <v>3177.3</v>
      </c>
      <c r="C2660" s="116">
        <v>3169.85</v>
      </c>
      <c r="D2660" s="116">
        <v>3144.5</v>
      </c>
      <c r="E2660" s="116">
        <v>3169.95</v>
      </c>
      <c r="F2660" s="116">
        <v>3169.85</v>
      </c>
      <c r="G2660">
        <v>44929</v>
      </c>
      <c r="H2660" s="116"/>
      <c r="I2660" s="116"/>
      <c r="L2660" s="170">
        <v>45919</v>
      </c>
      <c r="M2660" s="116">
        <v>3169.2</v>
      </c>
      <c r="N2660" s="116">
        <v>3180.5</v>
      </c>
      <c r="O2660" s="116">
        <v>3144</v>
      </c>
      <c r="P2660" s="116">
        <v>3170</v>
      </c>
      <c r="Q2660" s="116">
        <v>3169.2</v>
      </c>
      <c r="R2660">
        <v>4901694</v>
      </c>
    </row>
    <row r="2661" spans="1:18" x14ac:dyDescent="0.25">
      <c r="A2661" s="170">
        <v>45922</v>
      </c>
      <c r="B2661" s="116">
        <v>3106.6</v>
      </c>
      <c r="C2661" s="116">
        <v>3074.05</v>
      </c>
      <c r="D2661" s="116">
        <v>3063.05</v>
      </c>
      <c r="E2661" s="116">
        <v>3070.1</v>
      </c>
      <c r="F2661" s="116">
        <v>3074.05</v>
      </c>
      <c r="G2661">
        <v>385138</v>
      </c>
      <c r="H2661" s="116"/>
      <c r="I2661" s="116"/>
      <c r="L2661" s="170">
        <v>45922</v>
      </c>
      <c r="M2661" s="116">
        <v>3073.8</v>
      </c>
      <c r="N2661" s="116">
        <v>3106.9</v>
      </c>
      <c r="O2661" s="116">
        <v>3065</v>
      </c>
      <c r="P2661" s="116">
        <v>3095</v>
      </c>
      <c r="Q2661" s="116">
        <v>3073.8</v>
      </c>
      <c r="R2661">
        <v>3634901</v>
      </c>
    </row>
    <row r="2662" spans="1:18" x14ac:dyDescent="0.25">
      <c r="A2662" s="170">
        <v>45923</v>
      </c>
      <c r="B2662" s="116">
        <v>3080.95</v>
      </c>
      <c r="C2662" s="116">
        <v>3062.35</v>
      </c>
      <c r="D2662" s="116">
        <v>3052.25</v>
      </c>
      <c r="E2662" s="116">
        <v>3074</v>
      </c>
      <c r="F2662" s="116">
        <v>3062.35</v>
      </c>
      <c r="G2662">
        <v>137822</v>
      </c>
      <c r="H2662" s="116"/>
      <c r="I2662" s="116"/>
      <c r="L2662" s="170">
        <v>45923</v>
      </c>
      <c r="M2662" s="116">
        <v>3062.4</v>
      </c>
      <c r="N2662" s="116">
        <v>3080.7</v>
      </c>
      <c r="O2662" s="116">
        <v>3052</v>
      </c>
      <c r="P2662" s="116">
        <v>3070</v>
      </c>
      <c r="Q2662" s="116">
        <v>3062.4</v>
      </c>
      <c r="R2662">
        <v>3177741</v>
      </c>
    </row>
    <row r="2663" spans="1:18" x14ac:dyDescent="0.25">
      <c r="A2663" s="170">
        <v>45924</v>
      </c>
      <c r="B2663" s="116">
        <v>3058.4</v>
      </c>
      <c r="C2663" s="116">
        <v>3036.15</v>
      </c>
      <c r="D2663" s="116">
        <v>3034</v>
      </c>
      <c r="E2663" s="116">
        <v>3049.95</v>
      </c>
      <c r="F2663" s="116">
        <v>3036.15</v>
      </c>
      <c r="G2663">
        <v>93221</v>
      </c>
      <c r="H2663" s="116"/>
      <c r="I2663" s="116"/>
      <c r="L2663" s="170">
        <v>45924</v>
      </c>
      <c r="M2663" s="116">
        <v>3035.4</v>
      </c>
      <c r="N2663" s="116">
        <v>3057</v>
      </c>
      <c r="O2663" s="116">
        <v>3033</v>
      </c>
      <c r="P2663" s="116">
        <v>3050</v>
      </c>
      <c r="Q2663" s="116">
        <v>3035.4</v>
      </c>
      <c r="R2663">
        <v>1625714</v>
      </c>
    </row>
    <row r="2664" spans="1:18" x14ac:dyDescent="0.25">
      <c r="A2664" s="170">
        <v>45925</v>
      </c>
      <c r="B2664" s="116">
        <v>3030.35</v>
      </c>
      <c r="C2664" s="116">
        <v>2960.35</v>
      </c>
      <c r="D2664" s="116">
        <v>2951</v>
      </c>
      <c r="E2664" s="116">
        <v>3024.95</v>
      </c>
      <c r="F2664" s="116">
        <v>2960.35</v>
      </c>
      <c r="G2664">
        <v>569581</v>
      </c>
      <c r="H2664" s="116"/>
      <c r="I2664" s="116"/>
      <c r="L2664" s="170">
        <v>45925</v>
      </c>
      <c r="M2664" s="116">
        <v>2957.4</v>
      </c>
      <c r="N2664" s="116">
        <v>3029.6</v>
      </c>
      <c r="O2664" s="116">
        <v>2951</v>
      </c>
      <c r="P2664" s="116">
        <v>3022</v>
      </c>
      <c r="Q2664" s="116">
        <v>2957.4</v>
      </c>
      <c r="R2664">
        <v>4974361</v>
      </c>
    </row>
    <row r="2665" spans="1:18" x14ac:dyDescent="0.25">
      <c r="A2665" s="170">
        <v>45926</v>
      </c>
      <c r="B2665" s="116">
        <v>2952</v>
      </c>
      <c r="C2665" s="116">
        <v>2900.1</v>
      </c>
      <c r="D2665" s="116">
        <v>2892</v>
      </c>
      <c r="E2665" s="116">
        <v>2940</v>
      </c>
      <c r="F2665" s="116">
        <v>2900.1</v>
      </c>
      <c r="G2665">
        <v>590085</v>
      </c>
      <c r="H2665" s="116"/>
      <c r="I2665" s="116"/>
      <c r="L2665" s="170">
        <v>45926</v>
      </c>
      <c r="M2665" s="116">
        <v>2899.1</v>
      </c>
      <c r="N2665" s="116">
        <v>2954.8</v>
      </c>
      <c r="O2665" s="116">
        <v>2891.3</v>
      </c>
      <c r="P2665" s="116">
        <v>2941</v>
      </c>
      <c r="Q2665" s="116">
        <v>2899.1</v>
      </c>
      <c r="R2665">
        <v>3934636</v>
      </c>
    </row>
    <row r="2666" spans="1:18" x14ac:dyDescent="0.25">
      <c r="A2666" s="170">
        <v>45929</v>
      </c>
      <c r="B2666" s="116">
        <v>2928.8</v>
      </c>
      <c r="C2666" s="116">
        <v>2896.4</v>
      </c>
      <c r="D2666" s="116">
        <v>2892.5</v>
      </c>
      <c r="E2666" s="116">
        <v>2911.15</v>
      </c>
      <c r="F2666" s="116">
        <v>2896.4</v>
      </c>
      <c r="G2666">
        <v>187488</v>
      </c>
      <c r="H2666" s="116"/>
      <c r="I2666" s="116"/>
      <c r="L2666" s="170">
        <v>45929</v>
      </c>
      <c r="M2666" s="116">
        <v>2896.1</v>
      </c>
      <c r="N2666" s="116">
        <v>2929.3</v>
      </c>
      <c r="O2666" s="116">
        <v>2894</v>
      </c>
      <c r="P2666" s="116">
        <v>2916</v>
      </c>
      <c r="Q2666" s="116">
        <v>2896.1</v>
      </c>
      <c r="R2666">
        <v>3110035</v>
      </c>
    </row>
    <row r="2667" spans="1:18" x14ac:dyDescent="0.25">
      <c r="A2667" s="170">
        <v>45930</v>
      </c>
      <c r="B2667" s="116">
        <v>2919.8</v>
      </c>
      <c r="C2667" s="116">
        <v>2889</v>
      </c>
      <c r="D2667" s="116">
        <v>2886</v>
      </c>
      <c r="E2667" s="116">
        <v>2919.8</v>
      </c>
      <c r="F2667" s="116">
        <v>2889</v>
      </c>
      <c r="G2667">
        <v>150363</v>
      </c>
      <c r="H2667" s="116"/>
      <c r="I2667" s="116"/>
      <c r="L2667" s="170">
        <v>45930</v>
      </c>
      <c r="M2667" s="116">
        <v>2888.4</v>
      </c>
      <c r="N2667" s="116">
        <v>2915.3</v>
      </c>
      <c r="O2667" s="116">
        <v>2885.1</v>
      </c>
      <c r="P2667" s="116">
        <v>2911</v>
      </c>
      <c r="Q2667" s="116">
        <v>2888.4</v>
      </c>
      <c r="R2667">
        <v>2253458</v>
      </c>
    </row>
    <row r="2668" spans="1:18" x14ac:dyDescent="0.25">
      <c r="A2668" s="170">
        <v>45931</v>
      </c>
      <c r="B2668" s="116">
        <v>2924.4</v>
      </c>
      <c r="C2668" s="116">
        <v>2914.1</v>
      </c>
      <c r="D2668" s="116">
        <v>2867.55</v>
      </c>
      <c r="E2668" s="116">
        <v>2889</v>
      </c>
      <c r="F2668" s="116">
        <v>2914.1</v>
      </c>
      <c r="G2668">
        <v>566102</v>
      </c>
      <c r="H2668" s="116"/>
      <c r="I2668" s="116"/>
      <c r="L2668" s="170">
        <v>45931</v>
      </c>
      <c r="M2668" s="116">
        <v>2914.2</v>
      </c>
      <c r="N2668" s="116">
        <v>2924.8</v>
      </c>
      <c r="O2668" s="116">
        <v>2866.6</v>
      </c>
      <c r="P2668" s="116">
        <v>2891</v>
      </c>
      <c r="Q2668" s="116">
        <v>2914.2</v>
      </c>
      <c r="R2668">
        <v>1952902</v>
      </c>
    </row>
    <row r="2669" spans="1:18" x14ac:dyDescent="0.25">
      <c r="A2669" s="170">
        <v>45933</v>
      </c>
      <c r="B2669" s="116">
        <v>2924.4</v>
      </c>
      <c r="C2669" s="116">
        <v>2902.15</v>
      </c>
      <c r="D2669" s="116">
        <v>2891.7</v>
      </c>
      <c r="E2669" s="116">
        <v>2920.05</v>
      </c>
      <c r="F2669" s="116">
        <v>2902.15</v>
      </c>
      <c r="G2669">
        <v>80725</v>
      </c>
      <c r="H2669" s="116"/>
      <c r="I2669" s="116"/>
      <c r="L2669" s="170">
        <v>45933</v>
      </c>
      <c r="M2669" s="116">
        <v>2901.9</v>
      </c>
      <c r="N2669" s="116">
        <v>2924</v>
      </c>
      <c r="O2669" s="116">
        <v>2891.1</v>
      </c>
      <c r="P2669" s="116">
        <v>2924</v>
      </c>
      <c r="Q2669" s="116">
        <v>2901.9</v>
      </c>
      <c r="R2669">
        <v>2899519</v>
      </c>
    </row>
    <row r="2670" spans="1:18" x14ac:dyDescent="0.25">
      <c r="A2670" s="170">
        <v>45936</v>
      </c>
      <c r="B2670" s="116">
        <v>2992</v>
      </c>
      <c r="C2670" s="116">
        <v>2988.05</v>
      </c>
      <c r="D2670" s="116">
        <v>2895.95</v>
      </c>
      <c r="E2670" s="116">
        <v>2902</v>
      </c>
      <c r="F2670" s="116">
        <v>2988.05</v>
      </c>
      <c r="G2670">
        <v>190827</v>
      </c>
      <c r="H2670" s="116"/>
      <c r="I2670" s="116"/>
      <c r="L2670" s="170">
        <v>45936</v>
      </c>
      <c r="M2670" s="116">
        <v>2988.4</v>
      </c>
      <c r="N2670" s="116">
        <v>2993.6</v>
      </c>
      <c r="O2670" s="116">
        <v>2895.6</v>
      </c>
      <c r="P2670" s="116">
        <v>2902</v>
      </c>
      <c r="Q2670" s="116">
        <v>2988.4</v>
      </c>
      <c r="R2670">
        <v>2112774</v>
      </c>
    </row>
    <row r="2671" spans="1:18" x14ac:dyDescent="0.25">
      <c r="A2671" s="170">
        <v>45937</v>
      </c>
      <c r="B2671" s="116">
        <v>3004.5</v>
      </c>
      <c r="C2671" s="116">
        <v>2973.85</v>
      </c>
      <c r="D2671" s="116">
        <v>2955.5</v>
      </c>
      <c r="E2671" s="116">
        <v>2997</v>
      </c>
      <c r="F2671" s="116">
        <v>2973.85</v>
      </c>
      <c r="G2671">
        <v>90183</v>
      </c>
      <c r="H2671" s="116"/>
      <c r="I2671" s="116"/>
      <c r="L2671" s="170">
        <v>45937</v>
      </c>
      <c r="M2671" s="116">
        <v>2973.7</v>
      </c>
      <c r="N2671" s="116">
        <v>3004.5</v>
      </c>
      <c r="O2671" s="116">
        <v>2955.5</v>
      </c>
      <c r="P2671" s="116">
        <v>2995</v>
      </c>
      <c r="Q2671" s="116">
        <v>2973.7</v>
      </c>
      <c r="R2671">
        <v>3062943</v>
      </c>
    </row>
    <row r="2672" spans="1:18" x14ac:dyDescent="0.25">
      <c r="A2672" s="170">
        <v>45938</v>
      </c>
      <c r="B2672" s="116">
        <v>3042</v>
      </c>
      <c r="C2672" s="116">
        <v>3026.85</v>
      </c>
      <c r="D2672" s="116">
        <v>2969</v>
      </c>
      <c r="E2672" s="116">
        <v>2973.85</v>
      </c>
      <c r="F2672" s="116">
        <v>3026.85</v>
      </c>
      <c r="G2672">
        <v>360325</v>
      </c>
      <c r="H2672" s="116"/>
      <c r="I2672" s="116"/>
      <c r="L2672" s="170">
        <v>45938</v>
      </c>
      <c r="M2672" s="116">
        <v>3027.2</v>
      </c>
      <c r="N2672" s="116">
        <v>3043</v>
      </c>
      <c r="O2672" s="116">
        <v>2968</v>
      </c>
      <c r="P2672" s="116">
        <v>2975</v>
      </c>
      <c r="Q2672" s="116">
        <v>3027.2</v>
      </c>
      <c r="R2672">
        <v>4121889</v>
      </c>
    </row>
    <row r="2673" spans="1:18" x14ac:dyDescent="0.25">
      <c r="A2673" s="170">
        <v>45939</v>
      </c>
      <c r="B2673" s="116">
        <v>3066.55</v>
      </c>
      <c r="C2673" s="116">
        <v>3061.95</v>
      </c>
      <c r="D2673" s="116">
        <v>3020.15</v>
      </c>
      <c r="E2673" s="116">
        <v>3035</v>
      </c>
      <c r="F2673" s="116">
        <v>3061.95</v>
      </c>
      <c r="G2673">
        <v>439505</v>
      </c>
      <c r="H2673" s="116"/>
      <c r="I2673" s="116"/>
      <c r="L2673" s="170">
        <v>45939</v>
      </c>
      <c r="M2673" s="116">
        <v>3061.7</v>
      </c>
      <c r="N2673" s="116">
        <v>3066</v>
      </c>
      <c r="O2673" s="116">
        <v>3020</v>
      </c>
      <c r="P2673" s="116">
        <v>3034</v>
      </c>
      <c r="Q2673" s="116">
        <v>3061.7</v>
      </c>
      <c r="R2673">
        <v>3211304</v>
      </c>
    </row>
    <row r="2674" spans="1:18" x14ac:dyDescent="0.25">
      <c r="A2674" s="170">
        <v>45940</v>
      </c>
      <c r="B2674" s="116">
        <v>3070.05</v>
      </c>
      <c r="C2674" s="116">
        <v>3028.4</v>
      </c>
      <c r="D2674" s="116">
        <v>3006.65</v>
      </c>
      <c r="E2674" s="116">
        <v>3064.9</v>
      </c>
      <c r="F2674" s="116">
        <v>3028.4</v>
      </c>
      <c r="G2674">
        <v>286309</v>
      </c>
      <c r="H2674" s="116"/>
      <c r="I2674" s="116"/>
      <c r="L2674" s="170">
        <v>45940</v>
      </c>
      <c r="M2674" s="116">
        <v>3028.3</v>
      </c>
      <c r="N2674" s="116">
        <v>3070</v>
      </c>
      <c r="O2674" s="116">
        <v>3006.9</v>
      </c>
      <c r="P2674" s="116">
        <v>3050</v>
      </c>
      <c r="Q2674" s="116">
        <v>3028.3</v>
      </c>
      <c r="R2674">
        <v>8817365</v>
      </c>
    </row>
    <row r="2675" spans="1:18" x14ac:dyDescent="0.25">
      <c r="A2675" s="170">
        <v>45943</v>
      </c>
      <c r="B2675" s="116">
        <v>3036</v>
      </c>
      <c r="C2675" s="116">
        <v>3007.15</v>
      </c>
      <c r="D2675" s="116">
        <v>2998.8</v>
      </c>
      <c r="E2675" s="116">
        <v>3005.05</v>
      </c>
      <c r="F2675" s="116">
        <v>3007.15</v>
      </c>
      <c r="G2675">
        <v>135947</v>
      </c>
      <c r="H2675" s="116"/>
      <c r="I2675" s="116"/>
      <c r="L2675" s="170">
        <v>45943</v>
      </c>
      <c r="M2675" s="116">
        <v>3007.2</v>
      </c>
      <c r="N2675" s="116">
        <v>3035.5</v>
      </c>
      <c r="O2675" s="116">
        <v>2998.2</v>
      </c>
      <c r="P2675" s="116">
        <v>3027</v>
      </c>
      <c r="Q2675" s="116">
        <v>3007.2</v>
      </c>
      <c r="R2675">
        <v>2866865</v>
      </c>
    </row>
    <row r="2676" spans="1:18" x14ac:dyDescent="0.25">
      <c r="A2676" s="170">
        <v>45944</v>
      </c>
      <c r="B2676" s="116">
        <v>3027</v>
      </c>
      <c r="C2676" s="116">
        <v>2960.3</v>
      </c>
      <c r="D2676" s="116">
        <v>2957</v>
      </c>
      <c r="E2676" s="116">
        <v>3010.05</v>
      </c>
      <c r="F2676" s="116">
        <v>2960.3</v>
      </c>
      <c r="G2676">
        <v>145577</v>
      </c>
      <c r="H2676" s="116"/>
      <c r="I2676" s="116"/>
      <c r="L2676" s="170">
        <v>45944</v>
      </c>
      <c r="M2676" s="116">
        <v>2960.3</v>
      </c>
      <c r="N2676" s="116">
        <v>3027.2</v>
      </c>
      <c r="O2676" s="116">
        <v>2955.5</v>
      </c>
      <c r="P2676" s="116">
        <v>3021</v>
      </c>
      <c r="Q2676" s="116">
        <v>2960.3</v>
      </c>
      <c r="R2676">
        <v>3611416</v>
      </c>
    </row>
    <row r="2677" spans="1:18" x14ac:dyDescent="0.25">
      <c r="A2677" s="170">
        <v>45945</v>
      </c>
      <c r="B2677" s="116">
        <v>2979.9</v>
      </c>
      <c r="C2677" s="116">
        <v>2969</v>
      </c>
      <c r="D2677" s="116">
        <v>2951.6</v>
      </c>
      <c r="E2677" s="116">
        <v>2974.95</v>
      </c>
      <c r="F2677" s="116">
        <v>2969</v>
      </c>
      <c r="G2677">
        <v>229177</v>
      </c>
      <c r="H2677" s="116"/>
      <c r="I2677" s="116"/>
      <c r="L2677" s="170">
        <v>45945</v>
      </c>
      <c r="M2677" s="116">
        <v>2969.8</v>
      </c>
      <c r="N2677" s="116">
        <v>2979.7</v>
      </c>
      <c r="O2677" s="116">
        <v>2951</v>
      </c>
      <c r="P2677" s="116">
        <v>2971</v>
      </c>
      <c r="Q2677" s="116">
        <v>2969.8</v>
      </c>
      <c r="R2677">
        <v>4282226</v>
      </c>
    </row>
    <row r="2678" spans="1:18" x14ac:dyDescent="0.25">
      <c r="A2678" s="170">
        <v>45946</v>
      </c>
      <c r="B2678" s="116">
        <v>2974.55</v>
      </c>
      <c r="C2678" s="116">
        <v>2970.85</v>
      </c>
      <c r="D2678" s="116">
        <v>2944.25</v>
      </c>
      <c r="E2678" s="116">
        <v>2969</v>
      </c>
      <c r="F2678" s="116">
        <v>2970.85</v>
      </c>
      <c r="G2678">
        <v>534755</v>
      </c>
      <c r="H2678" s="116"/>
      <c r="I2678" s="116"/>
      <c r="L2678" s="170">
        <v>45946</v>
      </c>
      <c r="M2678" s="116">
        <v>2970.7</v>
      </c>
      <c r="N2678" s="116">
        <v>2975</v>
      </c>
      <c r="O2678" s="116">
        <v>2943.1</v>
      </c>
      <c r="P2678" s="116">
        <v>2969.9</v>
      </c>
      <c r="Q2678" s="116">
        <v>2970.7</v>
      </c>
      <c r="R2678">
        <v>3251495</v>
      </c>
    </row>
    <row r="2679" spans="1:18" x14ac:dyDescent="0.25">
      <c r="A2679" s="170">
        <v>45947</v>
      </c>
      <c r="B2679" s="116">
        <v>2988</v>
      </c>
      <c r="C2679" s="116">
        <v>2962.6</v>
      </c>
      <c r="D2679" s="116">
        <v>2955.05</v>
      </c>
      <c r="E2679" s="116">
        <v>2970.85</v>
      </c>
      <c r="F2679" s="116">
        <v>2962.6</v>
      </c>
      <c r="G2679">
        <v>143733</v>
      </c>
      <c r="H2679" s="116"/>
      <c r="I2679" s="116"/>
      <c r="L2679" s="170">
        <v>45947</v>
      </c>
      <c r="M2679" s="116">
        <v>2962.2</v>
      </c>
      <c r="N2679" s="116">
        <v>2988.8</v>
      </c>
      <c r="O2679" s="116">
        <v>2955.4</v>
      </c>
      <c r="P2679" s="116">
        <v>2970</v>
      </c>
      <c r="Q2679" s="116">
        <v>2962.2</v>
      </c>
      <c r="R2679">
        <v>4374683</v>
      </c>
    </row>
    <row r="2680" spans="1:18" x14ac:dyDescent="0.25">
      <c r="A2680" s="170">
        <v>45950</v>
      </c>
      <c r="B2680" s="116">
        <v>3022</v>
      </c>
      <c r="C2680" s="116">
        <v>3014.25</v>
      </c>
      <c r="D2680" s="116">
        <v>2971.15</v>
      </c>
      <c r="E2680" s="116">
        <v>2971.15</v>
      </c>
      <c r="F2680" s="116">
        <v>3014.25</v>
      </c>
      <c r="G2680">
        <v>492693</v>
      </c>
      <c r="H2680" s="116"/>
      <c r="I2680" s="116"/>
      <c r="L2680" s="170">
        <v>45950</v>
      </c>
      <c r="M2680" s="116">
        <v>3015.2</v>
      </c>
      <c r="N2680" s="116">
        <v>3023</v>
      </c>
      <c r="O2680" s="116">
        <v>2978.5</v>
      </c>
      <c r="P2680" s="116">
        <v>2985.5</v>
      </c>
      <c r="Q2680" s="116">
        <v>3015.2</v>
      </c>
      <c r="R2680">
        <v>3133039</v>
      </c>
    </row>
    <row r="2681" spans="1:18" x14ac:dyDescent="0.25">
      <c r="A2681" s="170">
        <v>45951</v>
      </c>
      <c r="B2681" s="116">
        <v>3033.95</v>
      </c>
      <c r="C2681" s="116">
        <v>3007.25</v>
      </c>
      <c r="D2681" s="116">
        <v>2996.05</v>
      </c>
      <c r="E2681" s="116">
        <v>3033.95</v>
      </c>
      <c r="F2681" s="116">
        <v>3007.25</v>
      </c>
      <c r="G2681">
        <v>29725</v>
      </c>
      <c r="H2681" s="116"/>
      <c r="I2681" s="116"/>
      <c r="L2681" s="170">
        <v>45951</v>
      </c>
      <c r="M2681" s="116">
        <v>3006.7</v>
      </c>
      <c r="N2681" s="116">
        <v>3031.8</v>
      </c>
      <c r="O2681" s="116">
        <v>2996</v>
      </c>
      <c r="P2681" s="116">
        <v>3031.1</v>
      </c>
      <c r="Q2681" s="116">
        <v>3006.7</v>
      </c>
      <c r="R2681">
        <v>310644</v>
      </c>
    </row>
    <row r="2682" spans="1:18" x14ac:dyDescent="0.25">
      <c r="A2682" s="170">
        <v>45953</v>
      </c>
      <c r="B2682" s="116">
        <v>3097.95</v>
      </c>
      <c r="C2682" s="116">
        <v>3074.65</v>
      </c>
      <c r="D2682" s="116">
        <v>3038.6</v>
      </c>
      <c r="E2682" s="116">
        <v>3040</v>
      </c>
      <c r="F2682" s="116">
        <v>3074.65</v>
      </c>
      <c r="G2682">
        <v>1303141</v>
      </c>
      <c r="H2682" s="116"/>
      <c r="I2682" s="116"/>
      <c r="L2682" s="170">
        <v>45953</v>
      </c>
      <c r="M2682" s="116">
        <v>3073.2</v>
      </c>
      <c r="N2682" s="116">
        <v>3098</v>
      </c>
      <c r="O2682" s="116">
        <v>3036.1</v>
      </c>
      <c r="P2682" s="116">
        <v>3055</v>
      </c>
      <c r="Q2682" s="116">
        <v>3073.2</v>
      </c>
      <c r="R2682">
        <v>5564758</v>
      </c>
    </row>
    <row r="2683" spans="1:18" x14ac:dyDescent="0.25">
      <c r="A2683" s="170">
        <v>45954</v>
      </c>
      <c r="B2683" s="116">
        <v>3090</v>
      </c>
      <c r="C2683" s="116">
        <v>3062.45</v>
      </c>
      <c r="D2683" s="116">
        <v>3058.05</v>
      </c>
      <c r="E2683" s="116">
        <v>3084.95</v>
      </c>
      <c r="F2683" s="116">
        <v>3062.45</v>
      </c>
      <c r="G2683">
        <v>127168</v>
      </c>
      <c r="H2683" s="116"/>
      <c r="I2683" s="116"/>
      <c r="L2683" s="170">
        <v>45954</v>
      </c>
      <c r="M2683" s="116">
        <v>3063.2</v>
      </c>
      <c r="N2683" s="116">
        <v>3090</v>
      </c>
      <c r="O2683" s="116">
        <v>3058.3</v>
      </c>
      <c r="P2683" s="116">
        <v>3080</v>
      </c>
      <c r="Q2683" s="116">
        <v>3063.2</v>
      </c>
      <c r="R2683">
        <v>2684318</v>
      </c>
    </row>
    <row r="2684" spans="1:18" x14ac:dyDescent="0.25">
      <c r="A2684" s="170">
        <v>45957</v>
      </c>
      <c r="B2684" s="116">
        <v>3093.75</v>
      </c>
      <c r="C2684" s="116">
        <v>3084.55</v>
      </c>
      <c r="D2684" s="116">
        <v>3060.9</v>
      </c>
      <c r="E2684" s="116">
        <v>3063.2</v>
      </c>
      <c r="F2684" s="116">
        <v>3084.55</v>
      </c>
      <c r="G2684">
        <v>52850</v>
      </c>
      <c r="H2684" s="116"/>
      <c r="I2684" s="116"/>
      <c r="L2684" s="170">
        <v>45957</v>
      </c>
      <c r="M2684" s="116">
        <v>3084.9</v>
      </c>
      <c r="N2684" s="116">
        <v>3094.2</v>
      </c>
      <c r="O2684" s="116">
        <v>3060.2</v>
      </c>
      <c r="P2684" s="116">
        <v>3066.5</v>
      </c>
      <c r="Q2684" s="116">
        <v>3084.9</v>
      </c>
      <c r="R2684">
        <v>1946312</v>
      </c>
    </row>
    <row r="2685" spans="1:18" x14ac:dyDescent="0.25">
      <c r="A2685" s="170">
        <v>45958</v>
      </c>
      <c r="B2685" s="116">
        <v>3090</v>
      </c>
      <c r="C2685" s="116">
        <v>3056.85</v>
      </c>
      <c r="D2685" s="116">
        <v>3041.05</v>
      </c>
      <c r="E2685" s="116">
        <v>3081.9</v>
      </c>
      <c r="F2685" s="116">
        <v>3056.85</v>
      </c>
      <c r="G2685">
        <v>161232</v>
      </c>
      <c r="H2685" s="116"/>
      <c r="I2685" s="116"/>
      <c r="L2685" s="170">
        <v>45958</v>
      </c>
      <c r="M2685" s="116">
        <v>3057.9</v>
      </c>
      <c r="N2685" s="116">
        <v>3090.2</v>
      </c>
      <c r="O2685" s="116">
        <v>3040.2</v>
      </c>
      <c r="P2685" s="116">
        <v>3076</v>
      </c>
      <c r="Q2685" s="116">
        <v>3057.9</v>
      </c>
      <c r="R2685">
        <v>3470737</v>
      </c>
    </row>
    <row r="2686" spans="1:18" x14ac:dyDescent="0.25">
      <c r="A2686" s="170">
        <v>45959</v>
      </c>
      <c r="B2686" s="116">
        <v>3075.35</v>
      </c>
      <c r="C2686" s="116">
        <v>3057.35</v>
      </c>
      <c r="D2686" s="116">
        <v>3046.5</v>
      </c>
      <c r="E2686" s="116">
        <v>3056.85</v>
      </c>
      <c r="F2686" s="116">
        <v>3057.35</v>
      </c>
      <c r="G2686">
        <v>56349</v>
      </c>
      <c r="H2686" s="116"/>
      <c r="I2686" s="116"/>
      <c r="L2686" s="170">
        <v>45959</v>
      </c>
      <c r="M2686" s="116">
        <v>3057.6</v>
      </c>
      <c r="N2686" s="116">
        <v>3076</v>
      </c>
      <c r="O2686" s="116">
        <v>3046.1</v>
      </c>
      <c r="P2686" s="116">
        <v>3057.9</v>
      </c>
      <c r="Q2686" s="116">
        <v>3057.6</v>
      </c>
      <c r="R2686">
        <v>2895420</v>
      </c>
    </row>
    <row r="2687" spans="1:18" x14ac:dyDescent="0.25">
      <c r="A2687" s="170">
        <v>45960</v>
      </c>
      <c r="B2687" s="116">
        <v>3064.9</v>
      </c>
      <c r="C2687" s="116">
        <v>3035.55</v>
      </c>
      <c r="D2687" s="116">
        <v>3031.8</v>
      </c>
      <c r="E2687" s="116">
        <v>3050</v>
      </c>
      <c r="F2687" s="116">
        <v>3035.55</v>
      </c>
      <c r="G2687">
        <v>216814</v>
      </c>
      <c r="H2687" s="116"/>
      <c r="I2687" s="116"/>
      <c r="L2687" s="170">
        <v>45960</v>
      </c>
      <c r="M2687" s="116">
        <v>3035.3</v>
      </c>
      <c r="N2687" s="116">
        <v>3063.8</v>
      </c>
      <c r="O2687" s="116">
        <v>3032.8</v>
      </c>
      <c r="P2687" s="116">
        <v>3049.1</v>
      </c>
      <c r="Q2687" s="116">
        <v>3035.3</v>
      </c>
      <c r="R2687">
        <v>2241536</v>
      </c>
    </row>
    <row r="2688" spans="1:18" x14ac:dyDescent="0.25">
      <c r="A2688" s="170">
        <v>45961</v>
      </c>
      <c r="B2688" s="116">
        <v>3067</v>
      </c>
      <c r="C2688" s="116">
        <v>3057.8</v>
      </c>
      <c r="D2688" s="116">
        <v>3026.7</v>
      </c>
      <c r="E2688" s="116">
        <v>3033</v>
      </c>
      <c r="F2688" s="116">
        <v>3057.8</v>
      </c>
      <c r="G2688">
        <v>75073</v>
      </c>
      <c r="H2688" s="116"/>
      <c r="I2688" s="116"/>
      <c r="L2688" s="170">
        <v>45961</v>
      </c>
      <c r="M2688" s="116">
        <v>3058</v>
      </c>
      <c r="N2688" s="116">
        <v>3067.4</v>
      </c>
      <c r="O2688" s="116">
        <v>3025.1</v>
      </c>
      <c r="P2688" s="116">
        <v>3035</v>
      </c>
      <c r="Q2688" s="116">
        <v>3058</v>
      </c>
      <c r="R2688">
        <v>1868085</v>
      </c>
    </row>
    <row r="2689" spans="1:18" x14ac:dyDescent="0.25">
      <c r="A2689" s="170">
        <v>45964</v>
      </c>
      <c r="B2689" s="116">
        <v>3055.75</v>
      </c>
      <c r="C2689" s="116">
        <v>3016.1</v>
      </c>
      <c r="D2689" s="116">
        <v>3010</v>
      </c>
      <c r="E2689" s="116">
        <v>3055.75</v>
      </c>
      <c r="F2689" s="116">
        <v>3016.1</v>
      </c>
      <c r="G2689">
        <v>76263</v>
      </c>
      <c r="H2689" s="116"/>
      <c r="I2689" s="116"/>
      <c r="L2689" s="170">
        <v>45964</v>
      </c>
      <c r="M2689" s="116">
        <v>3016.8</v>
      </c>
      <c r="N2689" s="116">
        <v>3058</v>
      </c>
      <c r="O2689" s="116">
        <v>3010</v>
      </c>
      <c r="P2689" s="116">
        <v>3046.9</v>
      </c>
      <c r="Q2689" s="116">
        <v>3016.8</v>
      </c>
      <c r="R2689">
        <v>2194877</v>
      </c>
    </row>
    <row r="2690" spans="1:18" x14ac:dyDescent="0.25">
      <c r="A2690" s="170">
        <v>45965</v>
      </c>
      <c r="B2690" s="116">
        <v>3029.55</v>
      </c>
      <c r="C2690" s="116">
        <v>2989.8</v>
      </c>
      <c r="D2690" s="116">
        <v>2976</v>
      </c>
      <c r="E2690" s="116">
        <v>3025</v>
      </c>
      <c r="F2690" s="116">
        <v>2989.8</v>
      </c>
      <c r="G2690">
        <v>133856</v>
      </c>
      <c r="H2690" s="116"/>
      <c r="I2690" s="116"/>
      <c r="L2690" s="170">
        <v>45965</v>
      </c>
      <c r="M2690" s="116">
        <v>2990.2</v>
      </c>
      <c r="N2690" s="116">
        <v>3029.3</v>
      </c>
      <c r="O2690" s="116">
        <v>2976</v>
      </c>
      <c r="P2690" s="116">
        <v>3019.6</v>
      </c>
      <c r="Q2690" s="116">
        <v>2990.2</v>
      </c>
      <c r="R2690">
        <v>2670720</v>
      </c>
    </row>
    <row r="2691" spans="1:18" x14ac:dyDescent="0.25">
      <c r="A2691" s="170">
        <v>45967</v>
      </c>
      <c r="B2691" s="116">
        <v>3024</v>
      </c>
      <c r="C2691" s="116">
        <v>3011.05</v>
      </c>
      <c r="D2691" s="116">
        <v>2989.8</v>
      </c>
      <c r="E2691" s="116">
        <v>2989.8</v>
      </c>
      <c r="F2691" s="116">
        <v>3011.05</v>
      </c>
      <c r="G2691">
        <v>586552</v>
      </c>
      <c r="H2691" s="116"/>
      <c r="I2691" s="116"/>
      <c r="L2691" s="170">
        <v>45967</v>
      </c>
      <c r="M2691" s="116">
        <v>3010.9</v>
      </c>
      <c r="N2691" s="116">
        <v>3024</v>
      </c>
      <c r="O2691" s="116">
        <v>2990</v>
      </c>
      <c r="P2691" s="116">
        <v>2990.1</v>
      </c>
      <c r="Q2691" s="116">
        <v>3010.9</v>
      </c>
      <c r="R2691">
        <v>2542721</v>
      </c>
    </row>
    <row r="2692" spans="1:18" x14ac:dyDescent="0.25">
      <c r="A2692" s="170">
        <v>45968</v>
      </c>
      <c r="B2692" s="116">
        <v>3002.4</v>
      </c>
      <c r="C2692" s="116">
        <v>2992.35</v>
      </c>
      <c r="D2692" s="116">
        <v>2960</v>
      </c>
      <c r="E2692" s="116">
        <v>2996.2</v>
      </c>
      <c r="F2692" s="116">
        <v>2992.35</v>
      </c>
      <c r="G2692">
        <v>167733</v>
      </c>
      <c r="H2692" s="116"/>
      <c r="I2692" s="116"/>
      <c r="L2692" s="170">
        <v>45968</v>
      </c>
      <c r="M2692" s="116">
        <v>2991.8</v>
      </c>
      <c r="N2692" s="116">
        <v>3004</v>
      </c>
      <c r="O2692" s="116">
        <v>2960.5</v>
      </c>
      <c r="P2692" s="116">
        <v>3001</v>
      </c>
      <c r="Q2692" s="116">
        <v>2991.8</v>
      </c>
      <c r="R2692">
        <v>1830520</v>
      </c>
    </row>
    <row r="2693" spans="1:18" x14ac:dyDescent="0.25">
      <c r="A2693" s="170">
        <v>45971</v>
      </c>
      <c r="B2693" s="116">
        <v>3047</v>
      </c>
      <c r="C2693" s="116">
        <v>3025.8</v>
      </c>
      <c r="D2693" s="116">
        <v>2990</v>
      </c>
      <c r="E2693" s="116">
        <v>2990</v>
      </c>
      <c r="F2693" s="116">
        <v>3025.8</v>
      </c>
      <c r="G2693">
        <v>111706</v>
      </c>
      <c r="H2693" s="116"/>
      <c r="I2693" s="116"/>
      <c r="L2693" s="170">
        <v>45971</v>
      </c>
      <c r="M2693" s="116">
        <v>3025.2</v>
      </c>
      <c r="N2693" s="116">
        <v>3047.9</v>
      </c>
      <c r="O2693" s="116">
        <v>2992</v>
      </c>
      <c r="P2693" s="116">
        <v>2993</v>
      </c>
      <c r="Q2693" s="116">
        <v>3025.2</v>
      </c>
      <c r="R2693">
        <v>1556656</v>
      </c>
    </row>
    <row r="2694" spans="1:18" x14ac:dyDescent="0.25">
      <c r="A2694" s="170">
        <v>45972</v>
      </c>
      <c r="B2694" s="116">
        <v>3055</v>
      </c>
      <c r="C2694" s="116">
        <v>3048.15</v>
      </c>
      <c r="D2694" s="116">
        <v>3017.5</v>
      </c>
      <c r="E2694" s="116">
        <v>3047.9</v>
      </c>
      <c r="F2694" s="116">
        <v>3048.15</v>
      </c>
      <c r="G2694">
        <v>111395</v>
      </c>
      <c r="H2694" s="116"/>
      <c r="I2694" s="116"/>
      <c r="L2694" s="170">
        <v>45972</v>
      </c>
      <c r="M2694" s="116">
        <v>3047</v>
      </c>
      <c r="N2694" s="116">
        <v>3055.7</v>
      </c>
      <c r="O2694" s="116">
        <v>3018</v>
      </c>
      <c r="P2694" s="116">
        <v>3045</v>
      </c>
      <c r="Q2694" s="116">
        <v>3047</v>
      </c>
      <c r="R2694">
        <v>2806868</v>
      </c>
    </row>
    <row r="2695" spans="1:18" x14ac:dyDescent="0.25">
      <c r="A2695" s="170">
        <v>45973</v>
      </c>
      <c r="B2695" s="116">
        <v>3136</v>
      </c>
      <c r="C2695" s="116">
        <v>3131.25</v>
      </c>
      <c r="D2695" s="116">
        <v>3056.1</v>
      </c>
      <c r="E2695" s="116">
        <v>3056.1</v>
      </c>
      <c r="F2695" s="116">
        <v>3131.25</v>
      </c>
      <c r="G2695">
        <v>309022</v>
      </c>
      <c r="H2695" s="116"/>
      <c r="I2695" s="116"/>
      <c r="L2695" s="170">
        <v>45973</v>
      </c>
      <c r="M2695" s="116">
        <v>3131.8</v>
      </c>
      <c r="N2695" s="116">
        <v>3136.4</v>
      </c>
      <c r="O2695" s="116">
        <v>3057.1</v>
      </c>
      <c r="P2695" s="116">
        <v>3060</v>
      </c>
      <c r="Q2695" s="116">
        <v>3131.8</v>
      </c>
      <c r="R2695">
        <v>4460315</v>
      </c>
    </row>
    <row r="2696" spans="1:18" x14ac:dyDescent="0.25">
      <c r="A2696" s="170">
        <v>45974</v>
      </c>
      <c r="B2696" s="116">
        <v>3132</v>
      </c>
      <c r="C2696" s="116">
        <v>3105.7</v>
      </c>
      <c r="D2696" s="116">
        <v>3101.05</v>
      </c>
      <c r="E2696" s="116">
        <v>3131.25</v>
      </c>
      <c r="F2696" s="116">
        <v>3105.7</v>
      </c>
      <c r="G2696">
        <v>477009</v>
      </c>
      <c r="H2696" s="116"/>
      <c r="I2696" s="116"/>
      <c r="L2696" s="170">
        <v>45974</v>
      </c>
      <c r="M2696" s="116">
        <v>3105.7</v>
      </c>
      <c r="N2696" s="116">
        <v>3131.9</v>
      </c>
      <c r="O2696" s="116">
        <v>3102</v>
      </c>
      <c r="P2696" s="116">
        <v>3131.8</v>
      </c>
      <c r="Q2696" s="116">
        <v>3105.7</v>
      </c>
      <c r="R2696">
        <v>1740435</v>
      </c>
    </row>
    <row r="2697" spans="1:18" x14ac:dyDescent="0.25">
      <c r="A2697" s="170">
        <v>45975</v>
      </c>
      <c r="B2697" s="116">
        <v>3112.1</v>
      </c>
      <c r="C2697" s="116">
        <v>3105</v>
      </c>
      <c r="D2697" s="116">
        <v>3077.5</v>
      </c>
      <c r="E2697" s="116">
        <v>3099.75</v>
      </c>
      <c r="F2697" s="116">
        <v>3105</v>
      </c>
      <c r="G2697">
        <v>167532</v>
      </c>
      <c r="H2697" s="116"/>
      <c r="I2697" s="116"/>
      <c r="L2697" s="170">
        <v>45975</v>
      </c>
      <c r="M2697" s="116">
        <v>3106</v>
      </c>
      <c r="N2697" s="116">
        <v>3113.1</v>
      </c>
      <c r="O2697" s="116">
        <v>3077.3</v>
      </c>
      <c r="P2697" s="116">
        <v>3090</v>
      </c>
      <c r="Q2697" s="116">
        <v>3106</v>
      </c>
      <c r="R2697">
        <v>2210794</v>
      </c>
    </row>
    <row r="2698" spans="1:18" x14ac:dyDescent="0.25">
      <c r="A2698" s="170">
        <v>45978</v>
      </c>
      <c r="B2698" s="116">
        <v>3111</v>
      </c>
      <c r="C2698" s="116">
        <v>3102.55</v>
      </c>
      <c r="D2698" s="116">
        <v>3087.6</v>
      </c>
      <c r="E2698" s="116">
        <v>3109.95</v>
      </c>
      <c r="F2698" s="116">
        <v>3102.55</v>
      </c>
      <c r="G2698">
        <v>41297</v>
      </c>
      <c r="H2698" s="116"/>
      <c r="I2698" s="116"/>
      <c r="L2698" s="170">
        <v>45978</v>
      </c>
      <c r="M2698" s="116">
        <v>3102.2</v>
      </c>
      <c r="N2698" s="116">
        <v>3123.5</v>
      </c>
      <c r="O2698" s="116">
        <v>3086.6</v>
      </c>
      <c r="P2698" s="116">
        <v>3106</v>
      </c>
      <c r="Q2698" s="116">
        <v>3102.2</v>
      </c>
      <c r="R2698">
        <v>2232853</v>
      </c>
    </row>
    <row r="2699" spans="1:18" x14ac:dyDescent="0.25">
      <c r="A2699" s="170">
        <v>45979</v>
      </c>
      <c r="B2699" s="116">
        <v>3102</v>
      </c>
      <c r="C2699" s="116">
        <v>3085.65</v>
      </c>
      <c r="D2699" s="116">
        <v>3080</v>
      </c>
      <c r="E2699" s="116">
        <v>3100</v>
      </c>
      <c r="F2699" s="116">
        <v>3085.65</v>
      </c>
      <c r="G2699">
        <v>104079</v>
      </c>
      <c r="H2699" s="116"/>
      <c r="I2699" s="116"/>
      <c r="L2699" s="170">
        <v>45979</v>
      </c>
      <c r="M2699" s="116">
        <v>3087.1</v>
      </c>
      <c r="N2699" s="116">
        <v>3105</v>
      </c>
      <c r="O2699" s="116">
        <v>3078</v>
      </c>
      <c r="P2699" s="116">
        <v>3102</v>
      </c>
      <c r="Q2699" s="116">
        <v>3087.1</v>
      </c>
      <c r="R2699">
        <v>2548350</v>
      </c>
    </row>
    <row r="2700" spans="1:18" x14ac:dyDescent="0.25">
      <c r="A2700" s="170">
        <v>45980</v>
      </c>
      <c r="B2700" s="116">
        <v>3156</v>
      </c>
      <c r="C2700" s="116">
        <v>3147.2</v>
      </c>
      <c r="D2700" s="116">
        <v>3084.05</v>
      </c>
      <c r="E2700" s="116">
        <v>3103.95</v>
      </c>
      <c r="F2700" s="116">
        <v>3147.2</v>
      </c>
      <c r="G2700">
        <v>122096</v>
      </c>
      <c r="H2700" s="116"/>
      <c r="I2700" s="116"/>
      <c r="L2700" s="170">
        <v>45980</v>
      </c>
      <c r="M2700" s="116">
        <v>3147.7</v>
      </c>
      <c r="N2700" s="116">
        <v>3155</v>
      </c>
      <c r="O2700" s="116">
        <v>3083.5</v>
      </c>
      <c r="P2700" s="116">
        <v>3097</v>
      </c>
      <c r="Q2700" s="116">
        <v>3147.7</v>
      </c>
      <c r="R2700">
        <v>3151053</v>
      </c>
    </row>
    <row r="2701" spans="1:18" x14ac:dyDescent="0.25">
      <c r="A2701" s="170">
        <v>45981</v>
      </c>
      <c r="B2701" s="116">
        <v>3163.5</v>
      </c>
      <c r="C2701" s="116">
        <v>3145.75</v>
      </c>
      <c r="D2701" s="116">
        <v>3137.15</v>
      </c>
      <c r="E2701" s="116">
        <v>3150</v>
      </c>
      <c r="F2701" s="116">
        <v>3145.75</v>
      </c>
      <c r="G2701">
        <v>361891</v>
      </c>
      <c r="H2701" s="116"/>
      <c r="I2701" s="116"/>
      <c r="L2701" s="170">
        <v>45981</v>
      </c>
      <c r="M2701" s="116">
        <v>3144.8</v>
      </c>
      <c r="N2701" s="116">
        <v>3164.5</v>
      </c>
      <c r="O2701" s="116">
        <v>3138.1</v>
      </c>
      <c r="P2701" s="116">
        <v>3148</v>
      </c>
      <c r="Q2701" s="116">
        <v>3144.8</v>
      </c>
      <c r="R2701">
        <v>2700767</v>
      </c>
    </row>
    <row r="2702" spans="1:18" x14ac:dyDescent="0.25">
      <c r="A2702" s="170">
        <v>45982</v>
      </c>
      <c r="B2702" s="116">
        <v>3170</v>
      </c>
      <c r="C2702" s="116">
        <v>3150.05</v>
      </c>
      <c r="D2702" s="116">
        <v>3136</v>
      </c>
      <c r="E2702" s="116">
        <v>3145.75</v>
      </c>
      <c r="F2702" s="116">
        <v>3150.05</v>
      </c>
      <c r="G2702">
        <v>242380</v>
      </c>
      <c r="H2702" s="116"/>
      <c r="I2702" s="116"/>
      <c r="L2702" s="170">
        <v>45982</v>
      </c>
      <c r="M2702" s="116">
        <v>3150.6</v>
      </c>
      <c r="N2702" s="116">
        <v>3170</v>
      </c>
      <c r="O2702" s="116">
        <v>3135.2</v>
      </c>
      <c r="P2702" s="116">
        <v>3144.8</v>
      </c>
      <c r="Q2702" s="116">
        <v>3150.6</v>
      </c>
      <c r="R2702">
        <v>4177037</v>
      </c>
    </row>
    <row r="2703" spans="1:18" x14ac:dyDescent="0.25">
      <c r="A2703" s="170">
        <v>45985</v>
      </c>
      <c r="B2703" s="116">
        <v>3179</v>
      </c>
      <c r="C2703" s="116">
        <v>3140.55</v>
      </c>
      <c r="D2703" s="116">
        <v>3131.4</v>
      </c>
      <c r="E2703" s="116">
        <v>3145.45</v>
      </c>
      <c r="F2703" s="116">
        <v>3140.55</v>
      </c>
      <c r="G2703">
        <v>112076</v>
      </c>
      <c r="H2703" s="116"/>
      <c r="I2703" s="116"/>
      <c r="L2703" s="170">
        <v>45985</v>
      </c>
      <c r="M2703" s="116">
        <v>3141.2</v>
      </c>
      <c r="N2703" s="116">
        <v>3178.9</v>
      </c>
      <c r="O2703" s="116">
        <v>3131</v>
      </c>
      <c r="P2703" s="116">
        <v>3158</v>
      </c>
      <c r="Q2703" s="116">
        <v>3141.2</v>
      </c>
      <c r="R2703">
        <v>6703764</v>
      </c>
    </row>
    <row r="2704" spans="1:18" x14ac:dyDescent="0.25">
      <c r="A2704" s="170">
        <v>45986</v>
      </c>
      <c r="B2704" s="116">
        <v>3146.95</v>
      </c>
      <c r="C2704" s="116">
        <v>3119.8</v>
      </c>
      <c r="D2704" s="116">
        <v>3115.45</v>
      </c>
      <c r="E2704" s="116">
        <v>3140.75</v>
      </c>
      <c r="F2704" s="116">
        <v>3119.8</v>
      </c>
      <c r="G2704">
        <v>105596</v>
      </c>
      <c r="H2704" s="116"/>
      <c r="I2704" s="116"/>
      <c r="L2704" s="170">
        <v>45986</v>
      </c>
      <c r="M2704" s="116">
        <v>3119.2</v>
      </c>
      <c r="N2704" s="116">
        <v>3149.8</v>
      </c>
      <c r="O2704" s="116">
        <v>3115</v>
      </c>
      <c r="P2704" s="116">
        <v>3145.3</v>
      </c>
      <c r="Q2704" s="116">
        <v>3119.2</v>
      </c>
      <c r="R2704">
        <v>2737920</v>
      </c>
    </row>
    <row r="2705" spans="1:18" x14ac:dyDescent="0.25">
      <c r="A2705" s="170">
        <v>45987</v>
      </c>
      <c r="B2705" s="116">
        <v>3177</v>
      </c>
      <c r="C2705" s="116">
        <v>3162.25</v>
      </c>
      <c r="D2705" s="116">
        <v>3117.95</v>
      </c>
      <c r="E2705" s="116">
        <v>3119.8</v>
      </c>
      <c r="F2705" s="116">
        <v>3162.25</v>
      </c>
      <c r="G2705">
        <v>165644</v>
      </c>
      <c r="H2705" s="116"/>
      <c r="I2705" s="116"/>
      <c r="L2705" s="170">
        <v>45987</v>
      </c>
      <c r="M2705" s="116">
        <v>3162.9</v>
      </c>
      <c r="N2705" s="116">
        <v>3178</v>
      </c>
      <c r="O2705" s="116">
        <v>3117</v>
      </c>
      <c r="P2705" s="116">
        <v>3118.8</v>
      </c>
      <c r="Q2705" s="116">
        <v>3162.9</v>
      </c>
      <c r="R2705">
        <v>2508527</v>
      </c>
    </row>
    <row r="2706" spans="1:18" x14ac:dyDescent="0.25">
      <c r="A2706" s="170">
        <v>45988</v>
      </c>
      <c r="B2706" s="116">
        <v>3178.85</v>
      </c>
      <c r="C2706" s="116">
        <v>3136.9</v>
      </c>
      <c r="D2706" s="116">
        <v>3125</v>
      </c>
      <c r="E2706" s="116">
        <v>3174.15</v>
      </c>
      <c r="F2706" s="116">
        <v>3136.9</v>
      </c>
      <c r="G2706">
        <v>401820</v>
      </c>
      <c r="H2706" s="116"/>
      <c r="I2706" s="116"/>
      <c r="L2706" s="170">
        <v>45988</v>
      </c>
      <c r="M2706" s="116">
        <v>3136.6</v>
      </c>
      <c r="N2706" s="116">
        <v>3180</v>
      </c>
      <c r="O2706" s="116">
        <v>3125</v>
      </c>
      <c r="P2706" s="116">
        <v>3180</v>
      </c>
      <c r="Q2706" s="116">
        <v>3136.6</v>
      </c>
      <c r="R2706">
        <v>2836233</v>
      </c>
    </row>
    <row r="2707" spans="1:18" x14ac:dyDescent="0.25">
      <c r="A2707" s="170">
        <v>45989</v>
      </c>
      <c r="B2707" s="116">
        <v>3146.95</v>
      </c>
      <c r="C2707" s="116">
        <v>3139.65</v>
      </c>
      <c r="D2707" s="116">
        <v>3125</v>
      </c>
      <c r="E2707" s="116">
        <v>3136.5</v>
      </c>
      <c r="F2707" s="116">
        <v>3139.65</v>
      </c>
      <c r="G2707">
        <v>63941</v>
      </c>
      <c r="H2707" s="116"/>
      <c r="I2707" s="116"/>
      <c r="L2707" s="170">
        <v>45989</v>
      </c>
      <c r="M2707" s="116">
        <v>3137.5</v>
      </c>
      <c r="N2707" s="116">
        <v>3147.3</v>
      </c>
      <c r="O2707" s="116">
        <v>3125</v>
      </c>
      <c r="P2707" s="116">
        <v>3140</v>
      </c>
      <c r="Q2707" s="116">
        <v>3137.5</v>
      </c>
      <c r="R2707">
        <v>1616690</v>
      </c>
    </row>
    <row r="2708" spans="1:18" x14ac:dyDescent="0.25">
      <c r="A2708" s="170">
        <v>45992</v>
      </c>
      <c r="B2708" s="116">
        <v>3152.5</v>
      </c>
      <c r="C2708" s="116">
        <v>3135.7</v>
      </c>
      <c r="D2708" s="116">
        <v>3122.7</v>
      </c>
      <c r="E2708" s="116">
        <v>3135</v>
      </c>
      <c r="F2708" s="116">
        <v>3135.7</v>
      </c>
      <c r="G2708">
        <v>204505</v>
      </c>
      <c r="H2708" s="116"/>
      <c r="I2708" s="116"/>
      <c r="L2708" s="170">
        <v>45992</v>
      </c>
      <c r="M2708" s="116">
        <v>3133.4</v>
      </c>
      <c r="N2708" s="116">
        <v>3154</v>
      </c>
      <c r="O2708" s="116">
        <v>3122.2</v>
      </c>
      <c r="P2708" s="116">
        <v>3137.9</v>
      </c>
      <c r="Q2708" s="116">
        <v>3133.4</v>
      </c>
      <c r="R2708">
        <v>1747647</v>
      </c>
    </row>
    <row r="2709" spans="1:18" x14ac:dyDescent="0.25">
      <c r="A2709" s="170">
        <v>45993</v>
      </c>
      <c r="B2709">
        <v>3143.7</v>
      </c>
      <c r="C2709">
        <v>3135.6</v>
      </c>
      <c r="D2709">
        <v>3121.05</v>
      </c>
      <c r="E2709">
        <v>3125.2</v>
      </c>
      <c r="F2709">
        <v>3135.6</v>
      </c>
      <c r="G2709">
        <v>69073</v>
      </c>
      <c r="H2709" s="116"/>
      <c r="I2709" s="116"/>
      <c r="L2709" s="170">
        <v>45993</v>
      </c>
      <c r="M2709" s="116">
        <v>3135.7</v>
      </c>
      <c r="N2709" s="116">
        <v>3144</v>
      </c>
      <c r="O2709" s="116">
        <v>3120.4</v>
      </c>
      <c r="P2709" s="116">
        <v>3131</v>
      </c>
      <c r="Q2709" s="116">
        <v>3135.7</v>
      </c>
      <c r="R2709">
        <v>2512003</v>
      </c>
    </row>
    <row r="2710" spans="1:18" x14ac:dyDescent="0.25">
      <c r="A2710" s="170">
        <v>45994</v>
      </c>
      <c r="B2710">
        <v>3212</v>
      </c>
      <c r="C2710">
        <v>3179.95</v>
      </c>
      <c r="D2710">
        <v>3136</v>
      </c>
      <c r="E2710">
        <v>3150</v>
      </c>
      <c r="F2710">
        <v>3179.95</v>
      </c>
      <c r="G2710">
        <v>217359</v>
      </c>
      <c r="H2710" s="116"/>
      <c r="I2710" s="116"/>
      <c r="L2710" s="170">
        <v>45994</v>
      </c>
      <c r="M2710" s="116">
        <v>3180</v>
      </c>
      <c r="N2710" s="116">
        <v>3211.9</v>
      </c>
      <c r="O2710" s="116">
        <v>3139</v>
      </c>
      <c r="P2710" s="116">
        <v>3140</v>
      </c>
      <c r="Q2710" s="116">
        <v>3180</v>
      </c>
      <c r="R2710">
        <v>3952112</v>
      </c>
    </row>
    <row r="2711" spans="1:18" x14ac:dyDescent="0.25">
      <c r="A2711" s="170">
        <v>45995</v>
      </c>
      <c r="B2711">
        <v>3249.95</v>
      </c>
      <c r="C2711">
        <v>3228.9</v>
      </c>
      <c r="D2711">
        <v>3181.25</v>
      </c>
      <c r="E2711">
        <v>3181.25</v>
      </c>
      <c r="F2711">
        <v>3228.9</v>
      </c>
      <c r="G2711">
        <v>532289</v>
      </c>
      <c r="H2711" s="116"/>
      <c r="I2711" s="116"/>
      <c r="L2711" s="170">
        <v>45995</v>
      </c>
      <c r="M2711" s="116">
        <v>3229.2</v>
      </c>
      <c r="N2711" s="116">
        <v>3250</v>
      </c>
      <c r="O2711" s="116">
        <v>3187.4</v>
      </c>
      <c r="P2711" s="116">
        <v>3194</v>
      </c>
      <c r="Q2711" s="116">
        <v>3229.2</v>
      </c>
      <c r="R2711">
        <v>5025905</v>
      </c>
    </row>
    <row r="2712" spans="1:18" x14ac:dyDescent="0.25">
      <c r="A2712" s="170">
        <v>45996</v>
      </c>
      <c r="B2712">
        <v>3270.7</v>
      </c>
      <c r="C2712">
        <v>3238.9</v>
      </c>
      <c r="D2712">
        <v>3223.25</v>
      </c>
      <c r="E2712">
        <v>3239.5</v>
      </c>
      <c r="F2712">
        <v>3238.9</v>
      </c>
      <c r="G2712">
        <v>350070</v>
      </c>
      <c r="H2712" s="116"/>
      <c r="I2712" s="116"/>
      <c r="L2712" s="170">
        <v>45996</v>
      </c>
      <c r="M2712" s="116">
        <v>3238.2</v>
      </c>
      <c r="N2712" s="116">
        <v>3271.6</v>
      </c>
      <c r="O2712" s="116">
        <v>3222.4</v>
      </c>
      <c r="P2712" s="116">
        <v>3230</v>
      </c>
      <c r="Q2712" s="116">
        <v>3238.2</v>
      </c>
      <c r="R2712">
        <v>5244013</v>
      </c>
    </row>
    <row r="2713" spans="1:18" x14ac:dyDescent="0.25">
      <c r="A2713" s="170">
        <v>45999</v>
      </c>
      <c r="B2713">
        <v>3259.8</v>
      </c>
      <c r="C2713">
        <v>3237.9</v>
      </c>
      <c r="D2713">
        <v>3210</v>
      </c>
      <c r="E2713">
        <v>3238</v>
      </c>
      <c r="F2713">
        <v>3237.9</v>
      </c>
      <c r="G2713">
        <v>219632</v>
      </c>
      <c r="H2713" s="116"/>
      <c r="I2713" s="116"/>
      <c r="L2713" s="170">
        <v>45999</v>
      </c>
      <c r="M2713" s="116">
        <v>3236.5</v>
      </c>
      <c r="N2713" s="116">
        <v>3259.9</v>
      </c>
      <c r="O2713" s="116">
        <v>3208.6</v>
      </c>
      <c r="P2713" s="116">
        <v>3243</v>
      </c>
      <c r="Q2713" s="116">
        <v>3236.5</v>
      </c>
      <c r="R2713">
        <v>2544725</v>
      </c>
    </row>
    <row r="2714" spans="1:18" x14ac:dyDescent="0.25">
      <c r="A2714" s="170">
        <v>46000</v>
      </c>
      <c r="B2714">
        <v>3236.2</v>
      </c>
      <c r="C2714">
        <v>3208.25</v>
      </c>
      <c r="D2714">
        <v>3180.8</v>
      </c>
      <c r="E2714">
        <v>3226.25</v>
      </c>
      <c r="F2714">
        <v>3208.25</v>
      </c>
      <c r="G2714">
        <v>171236</v>
      </c>
      <c r="H2714" s="116"/>
      <c r="I2714" s="116"/>
      <c r="L2714" s="170">
        <v>46000</v>
      </c>
      <c r="M2714" s="116">
        <v>3208.3</v>
      </c>
      <c r="N2714" s="116">
        <v>3233.7</v>
      </c>
      <c r="O2714" s="116">
        <v>3181.2</v>
      </c>
      <c r="P2714" s="116">
        <v>3230</v>
      </c>
      <c r="Q2714" s="116">
        <v>3208.3</v>
      </c>
      <c r="R2714">
        <v>2734893</v>
      </c>
    </row>
    <row r="2715" spans="1:18" x14ac:dyDescent="0.25">
      <c r="A2715" s="170">
        <v>46001</v>
      </c>
      <c r="B2715">
        <v>3216.5</v>
      </c>
      <c r="C2715">
        <v>3188.15</v>
      </c>
      <c r="D2715">
        <v>3178.7</v>
      </c>
      <c r="E2715">
        <v>3208.25</v>
      </c>
      <c r="F2715">
        <v>3188.15</v>
      </c>
      <c r="G2715">
        <v>174012</v>
      </c>
      <c r="H2715" s="116"/>
      <c r="I2715" s="116"/>
      <c r="L2715" s="170">
        <v>46001</v>
      </c>
      <c r="M2715" s="116">
        <v>3189.2</v>
      </c>
      <c r="N2715" s="116">
        <v>3225</v>
      </c>
      <c r="O2715" s="116">
        <v>3178.1</v>
      </c>
      <c r="P2715" s="116">
        <v>3225</v>
      </c>
      <c r="Q2715" s="116">
        <v>3189.2</v>
      </c>
      <c r="R2715">
        <v>1386849</v>
      </c>
    </row>
    <row r="2716" spans="1:18" x14ac:dyDescent="0.25">
      <c r="A2716" s="170">
        <v>46002</v>
      </c>
      <c r="B2716">
        <v>3207.75</v>
      </c>
      <c r="C2716">
        <v>3191.6</v>
      </c>
      <c r="D2716">
        <v>3153.75</v>
      </c>
      <c r="E2716">
        <v>3206</v>
      </c>
      <c r="F2716">
        <v>3191.6</v>
      </c>
      <c r="G2716">
        <v>397514</v>
      </c>
      <c r="H2716" s="116"/>
      <c r="I2716" s="116"/>
      <c r="L2716" s="170">
        <v>46002</v>
      </c>
      <c r="M2716" s="116">
        <v>3191.9</v>
      </c>
      <c r="N2716" s="116">
        <v>3208.4</v>
      </c>
      <c r="O2716" s="116">
        <v>3153.1</v>
      </c>
      <c r="P2716" s="116">
        <v>3205</v>
      </c>
      <c r="Q2716" s="116">
        <v>3191.9</v>
      </c>
      <c r="R2716">
        <v>1914362</v>
      </c>
    </row>
    <row r="2717" spans="1:18" x14ac:dyDescent="0.25">
      <c r="A2717" s="170">
        <v>46003</v>
      </c>
      <c r="B2717">
        <v>3223.95</v>
      </c>
      <c r="C2717">
        <v>3220.15</v>
      </c>
      <c r="D2717">
        <v>3184.95</v>
      </c>
      <c r="E2717">
        <v>3198.7</v>
      </c>
      <c r="F2717">
        <v>3220.15</v>
      </c>
      <c r="G2717">
        <v>113769</v>
      </c>
      <c r="H2717" s="116"/>
      <c r="I2717" s="116"/>
      <c r="L2717" s="170">
        <v>46003</v>
      </c>
      <c r="M2717" s="116">
        <v>3220.5</v>
      </c>
      <c r="N2717" s="116">
        <v>3223</v>
      </c>
      <c r="O2717" s="116">
        <v>3185.7</v>
      </c>
      <c r="P2717" s="116">
        <v>3197.7</v>
      </c>
      <c r="Q2717" s="116">
        <v>3220.5</v>
      </c>
      <c r="R2717">
        <v>1146554</v>
      </c>
    </row>
    <row r="2718" spans="1:18" x14ac:dyDescent="0.25">
      <c r="A2718" s="170">
        <v>46006</v>
      </c>
      <c r="B2718">
        <v>3237</v>
      </c>
      <c r="C2718">
        <v>3230.4</v>
      </c>
      <c r="D2718">
        <v>3196.3</v>
      </c>
      <c r="E2718">
        <v>3220.1</v>
      </c>
      <c r="F2718">
        <v>3230.4</v>
      </c>
      <c r="G2718">
        <v>53689</v>
      </c>
      <c r="H2718" s="116"/>
      <c r="I2718" s="116"/>
      <c r="L2718" s="170">
        <v>46006</v>
      </c>
      <c r="M2718" s="116">
        <v>3230.2</v>
      </c>
      <c r="N2718" s="116">
        <v>3238.2</v>
      </c>
      <c r="O2718" s="116">
        <v>3197.3</v>
      </c>
      <c r="P2718" s="116">
        <v>3211.1</v>
      </c>
      <c r="Q2718" s="116">
        <v>3230.2</v>
      </c>
      <c r="R2718">
        <v>1562190</v>
      </c>
    </row>
    <row r="2719" spans="1:18" x14ac:dyDescent="0.25">
      <c r="A2719" s="170">
        <v>46007</v>
      </c>
      <c r="B2719">
        <v>3221.05</v>
      </c>
      <c r="C2719">
        <v>3204.55</v>
      </c>
      <c r="D2719">
        <v>3191</v>
      </c>
      <c r="E2719">
        <v>3221</v>
      </c>
      <c r="F2719">
        <v>3204.55</v>
      </c>
      <c r="G2719">
        <v>60794</v>
      </c>
      <c r="H2719" s="116"/>
      <c r="I2719" s="116"/>
      <c r="L2719" s="170">
        <v>46007</v>
      </c>
      <c r="M2719" s="116">
        <v>3205.1</v>
      </c>
      <c r="N2719" s="116">
        <v>3220</v>
      </c>
      <c r="O2719" s="116">
        <v>3191.1</v>
      </c>
      <c r="P2719" s="116">
        <v>3220</v>
      </c>
      <c r="Q2719" s="116">
        <v>3205.1</v>
      </c>
      <c r="R2719">
        <v>1734623</v>
      </c>
    </row>
    <row r="2720" spans="1:18" x14ac:dyDescent="0.25">
      <c r="A2720" s="170">
        <v>46008</v>
      </c>
      <c r="B2720">
        <v>3236.1</v>
      </c>
      <c r="C2720">
        <v>3217.6</v>
      </c>
      <c r="D2720">
        <v>3201.05</v>
      </c>
      <c r="E2720">
        <v>3204.55</v>
      </c>
      <c r="F2720">
        <v>3217.6</v>
      </c>
      <c r="G2720">
        <v>37162</v>
      </c>
      <c r="H2720" s="116"/>
      <c r="I2720" s="116"/>
      <c r="L2720" s="170">
        <v>46008</v>
      </c>
      <c r="M2720" s="116">
        <v>3217.8</v>
      </c>
      <c r="N2720" s="116">
        <v>3236.9</v>
      </c>
      <c r="O2720" s="116">
        <v>3200.5</v>
      </c>
      <c r="P2720" s="116">
        <v>3200.5</v>
      </c>
      <c r="Q2720" s="116">
        <v>3217.8</v>
      </c>
      <c r="R2720">
        <v>1376350</v>
      </c>
    </row>
    <row r="2721" spans="1:18" x14ac:dyDescent="0.25">
      <c r="A2721" s="170">
        <v>46009</v>
      </c>
      <c r="B2721">
        <v>3288.7</v>
      </c>
      <c r="C2721">
        <v>3280.1</v>
      </c>
      <c r="D2721">
        <v>3224.05</v>
      </c>
      <c r="E2721">
        <v>3234.7</v>
      </c>
      <c r="F2721">
        <v>3280.1</v>
      </c>
      <c r="G2721">
        <v>309024</v>
      </c>
      <c r="H2721" s="116"/>
      <c r="I2721" s="116"/>
      <c r="L2721" s="170">
        <v>46009</v>
      </c>
      <c r="M2721" s="116">
        <v>3280.8</v>
      </c>
      <c r="N2721" s="116">
        <v>3287.8</v>
      </c>
      <c r="O2721" s="116">
        <v>3221</v>
      </c>
      <c r="P2721" s="116">
        <v>3228</v>
      </c>
      <c r="Q2721" s="116">
        <v>3280.8</v>
      </c>
      <c r="R2721">
        <v>2307422</v>
      </c>
    </row>
    <row r="2722" spans="1:18" x14ac:dyDescent="0.25">
      <c r="A2722" s="170">
        <v>46010</v>
      </c>
      <c r="B2722">
        <v>3317.9</v>
      </c>
      <c r="C2722">
        <v>3282.6</v>
      </c>
      <c r="D2722">
        <v>3277.2</v>
      </c>
      <c r="E2722">
        <v>3300</v>
      </c>
      <c r="F2722">
        <v>3282.6</v>
      </c>
      <c r="G2722">
        <v>65524</v>
      </c>
      <c r="H2722" s="116"/>
      <c r="I2722" s="116"/>
      <c r="L2722" s="170">
        <v>46010</v>
      </c>
      <c r="M2722" s="116">
        <v>3282</v>
      </c>
      <c r="N2722" s="116">
        <v>3317.9</v>
      </c>
      <c r="O2722" s="116">
        <v>3278.8</v>
      </c>
      <c r="P2722" s="116">
        <v>3299</v>
      </c>
      <c r="Q2722" s="116">
        <v>3282</v>
      </c>
      <c r="R2722">
        <v>3902511</v>
      </c>
    </row>
    <row r="2723" spans="1:18" x14ac:dyDescent="0.25">
      <c r="A2723" s="170">
        <v>46013</v>
      </c>
      <c r="B2723">
        <v>3328.2</v>
      </c>
      <c r="C2723">
        <v>3324.65</v>
      </c>
      <c r="D2723">
        <v>3290.4</v>
      </c>
      <c r="E2723">
        <v>3300.1</v>
      </c>
      <c r="F2723">
        <v>3324.65</v>
      </c>
      <c r="G2723">
        <v>142041</v>
      </c>
      <c r="H2723" s="116"/>
      <c r="I2723" s="116"/>
      <c r="L2723" s="170">
        <v>46013</v>
      </c>
      <c r="M2723" s="116">
        <v>3324.9</v>
      </c>
      <c r="N2723" s="116">
        <v>3328.6</v>
      </c>
      <c r="O2723" s="116">
        <v>3291</v>
      </c>
      <c r="P2723" s="116">
        <v>3310</v>
      </c>
      <c r="Q2723" s="116">
        <v>3324.9</v>
      </c>
      <c r="R2723">
        <v>2632816</v>
      </c>
    </row>
    <row r="2724" spans="1:18" x14ac:dyDescent="0.25">
      <c r="A2724" s="170">
        <v>46014</v>
      </c>
      <c r="B2724">
        <v>3324.4</v>
      </c>
      <c r="C2724">
        <v>3310.5</v>
      </c>
      <c r="D2724">
        <v>3294.2</v>
      </c>
      <c r="E2724">
        <v>3324.4</v>
      </c>
      <c r="F2724">
        <v>3310.5</v>
      </c>
      <c r="G2724">
        <v>97640</v>
      </c>
      <c r="H2724" s="116"/>
      <c r="I2724" s="116"/>
      <c r="L2724" s="170">
        <v>46014</v>
      </c>
      <c r="M2724" s="116">
        <v>3310</v>
      </c>
      <c r="N2724" s="116">
        <v>3319.9</v>
      </c>
      <c r="O2724" s="116">
        <v>3293.5</v>
      </c>
      <c r="P2724" s="116">
        <v>3319.9</v>
      </c>
      <c r="Q2724" s="116">
        <v>3310</v>
      </c>
      <c r="R2724">
        <v>2365420</v>
      </c>
    </row>
    <row r="2725" spans="1:18" x14ac:dyDescent="0.25">
      <c r="A2725" s="170">
        <v>46015</v>
      </c>
      <c r="B2725">
        <v>3326</v>
      </c>
      <c r="C2725">
        <v>3320.35</v>
      </c>
      <c r="D2725">
        <v>3295.4</v>
      </c>
      <c r="E2725">
        <v>3308.8</v>
      </c>
      <c r="F2725">
        <v>3320.35</v>
      </c>
      <c r="G2725">
        <v>156179</v>
      </c>
      <c r="H2725" s="116"/>
      <c r="I2725" s="116"/>
      <c r="L2725" s="170">
        <v>46015</v>
      </c>
      <c r="M2725" s="116">
        <v>3319</v>
      </c>
      <c r="N2725" s="116">
        <v>3327.1</v>
      </c>
      <c r="O2725" s="116">
        <v>3296.1</v>
      </c>
      <c r="P2725" s="116">
        <v>3304.1</v>
      </c>
      <c r="Q2725" s="116">
        <v>3319</v>
      </c>
      <c r="R2725">
        <v>1367708</v>
      </c>
    </row>
    <row r="2726" spans="1:18" x14ac:dyDescent="0.25">
      <c r="A2726" s="170">
        <v>46017</v>
      </c>
      <c r="B2726">
        <v>3319</v>
      </c>
      <c r="C2726">
        <v>3279.8</v>
      </c>
      <c r="D2726">
        <v>3274</v>
      </c>
      <c r="E2726">
        <v>3312</v>
      </c>
      <c r="F2726">
        <v>3279.8</v>
      </c>
      <c r="G2726">
        <v>94124</v>
      </c>
      <c r="H2726" s="116"/>
      <c r="I2726" s="116"/>
      <c r="L2726" s="170">
        <v>46017</v>
      </c>
      <c r="M2726" s="116">
        <v>3280</v>
      </c>
      <c r="N2726" s="116">
        <v>3320</v>
      </c>
      <c r="O2726" s="116">
        <v>3271.8</v>
      </c>
      <c r="P2726" s="116">
        <v>3313.1</v>
      </c>
      <c r="Q2726" s="116">
        <v>3280</v>
      </c>
      <c r="R2726">
        <v>1176664</v>
      </c>
    </row>
    <row r="2727" spans="1:18" x14ac:dyDescent="0.25">
      <c r="A2727" s="170">
        <v>46020</v>
      </c>
      <c r="B2727">
        <v>3286</v>
      </c>
      <c r="C2727">
        <v>3253.65</v>
      </c>
      <c r="D2727">
        <v>3243.5</v>
      </c>
      <c r="E2727">
        <v>3279.8</v>
      </c>
      <c r="F2727">
        <v>3253.65</v>
      </c>
      <c r="G2727">
        <v>74178</v>
      </c>
      <c r="H2727" s="116"/>
      <c r="I2727" s="116"/>
      <c r="L2727" s="170">
        <v>46020</v>
      </c>
      <c r="M2727" s="116">
        <v>3251.5</v>
      </c>
      <c r="N2727" s="116">
        <v>3288</v>
      </c>
      <c r="O2727" s="116">
        <v>3242.9</v>
      </c>
      <c r="P2727" s="116">
        <v>3280</v>
      </c>
      <c r="Q2727" s="116">
        <v>3251.5</v>
      </c>
      <c r="R2727">
        <v>2079473</v>
      </c>
    </row>
    <row r="2728" spans="1:18" x14ac:dyDescent="0.25">
      <c r="A2728" s="170">
        <v>46021</v>
      </c>
      <c r="B2728">
        <v>3266</v>
      </c>
      <c r="C2728">
        <v>3247.5</v>
      </c>
      <c r="D2728">
        <v>3239.5</v>
      </c>
      <c r="E2728">
        <v>3240.1</v>
      </c>
      <c r="F2728">
        <v>3247.5</v>
      </c>
      <c r="G2728">
        <v>58391</v>
      </c>
      <c r="H2728" s="116"/>
      <c r="I2728" s="116"/>
      <c r="L2728" s="170">
        <v>46021</v>
      </c>
      <c r="M2728" s="116">
        <v>3246.8</v>
      </c>
      <c r="N2728" s="116">
        <v>3267.5</v>
      </c>
      <c r="O2728" s="116">
        <v>3239.5</v>
      </c>
      <c r="P2728" s="116">
        <v>3250</v>
      </c>
      <c r="Q2728" s="116">
        <v>3246.8</v>
      </c>
      <c r="R2728">
        <v>2807593</v>
      </c>
    </row>
    <row r="2729" spans="1:18" x14ac:dyDescent="0.25">
      <c r="A2729" s="170">
        <v>46022</v>
      </c>
      <c r="B2729">
        <v>3246</v>
      </c>
      <c r="C2729">
        <v>3205.75</v>
      </c>
      <c r="D2729">
        <v>3199.1</v>
      </c>
      <c r="E2729">
        <v>3246</v>
      </c>
      <c r="F2729">
        <v>3205.75</v>
      </c>
      <c r="G2729">
        <v>126727</v>
      </c>
      <c r="H2729" s="116"/>
      <c r="I2729" s="116"/>
      <c r="L2729" s="170">
        <v>46022</v>
      </c>
      <c r="M2729" s="116">
        <v>3206.2</v>
      </c>
      <c r="N2729" s="116">
        <v>3246</v>
      </c>
      <c r="O2729" s="116">
        <v>3198.5</v>
      </c>
      <c r="P2729" s="116">
        <v>3240</v>
      </c>
      <c r="Q2729" s="116">
        <v>3206.2</v>
      </c>
      <c r="R2729">
        <v>3362634</v>
      </c>
    </row>
    <row r="2730" spans="1:18" x14ac:dyDescent="0.25">
      <c r="A2730" s="170">
        <v>46023</v>
      </c>
      <c r="B2730">
        <v>3234.25</v>
      </c>
      <c r="C2730">
        <v>3226.8</v>
      </c>
      <c r="D2730">
        <v>3198.75</v>
      </c>
      <c r="E2730">
        <v>3206.05</v>
      </c>
      <c r="F2730">
        <v>3226.8</v>
      </c>
      <c r="G2730">
        <v>220572</v>
      </c>
      <c r="H2730" s="116"/>
      <c r="I2730" s="116"/>
      <c r="L2730" s="170">
        <v>46023</v>
      </c>
      <c r="M2730" s="116">
        <v>3227.4</v>
      </c>
      <c r="N2730" s="116">
        <v>3234.1</v>
      </c>
      <c r="O2730" s="116">
        <v>3198.2</v>
      </c>
      <c r="P2730" s="116">
        <v>3215</v>
      </c>
      <c r="Q2730" s="116">
        <v>3227.4</v>
      </c>
      <c r="R2730">
        <v>1255735</v>
      </c>
    </row>
    <row r="2731" spans="1:18" x14ac:dyDescent="0.25">
      <c r="A2731" s="170">
        <v>46024</v>
      </c>
      <c r="B2731">
        <v>3253.4</v>
      </c>
      <c r="C2731">
        <v>3250.1</v>
      </c>
      <c r="D2731">
        <v>3220</v>
      </c>
      <c r="E2731">
        <v>3243.4</v>
      </c>
      <c r="F2731">
        <v>3250.1</v>
      </c>
      <c r="G2731">
        <v>63797</v>
      </c>
      <c r="H2731" s="116"/>
      <c r="I2731" s="116"/>
      <c r="L2731" s="170">
        <v>46024</v>
      </c>
      <c r="M2731" s="116">
        <v>3250.7</v>
      </c>
      <c r="N2731" s="116">
        <v>3254.3</v>
      </c>
      <c r="O2731" s="116">
        <v>3219.5</v>
      </c>
      <c r="P2731" s="116">
        <v>3234</v>
      </c>
      <c r="Q2731" s="116">
        <v>3250.7</v>
      </c>
      <c r="R2731">
        <v>1184324</v>
      </c>
    </row>
    <row r="2732" spans="1:18" x14ac:dyDescent="0.25">
      <c r="A2732" s="170">
        <v>46027</v>
      </c>
      <c r="B2732">
        <v>3249.85</v>
      </c>
      <c r="C2732">
        <v>3214.7</v>
      </c>
      <c r="D2732">
        <v>3191.85</v>
      </c>
      <c r="E2732">
        <v>3249.85</v>
      </c>
      <c r="F2732">
        <v>3214.7</v>
      </c>
      <c r="G2732">
        <v>126704</v>
      </c>
      <c r="H2732" s="116"/>
      <c r="I2732" s="116"/>
      <c r="L2732" s="170">
        <v>46027</v>
      </c>
      <c r="M2732" s="116">
        <v>3216.1</v>
      </c>
      <c r="N2732" s="116">
        <v>3247</v>
      </c>
      <c r="O2732" s="116">
        <v>3191</v>
      </c>
      <c r="P2732" s="116">
        <v>3240.5</v>
      </c>
      <c r="Q2732" s="116">
        <v>3216.1</v>
      </c>
      <c r="R2732">
        <v>2341703</v>
      </c>
    </row>
    <row r="2733" spans="1:18" x14ac:dyDescent="0.25">
      <c r="A2733" s="170">
        <v>46028</v>
      </c>
      <c r="B2733">
        <v>3259</v>
      </c>
      <c r="C2733">
        <v>3255.75</v>
      </c>
      <c r="D2733">
        <v>3206.4</v>
      </c>
      <c r="E2733">
        <v>3211.1</v>
      </c>
      <c r="F2733">
        <v>3255.75</v>
      </c>
      <c r="G2733">
        <v>24666</v>
      </c>
      <c r="H2733" s="116"/>
      <c r="I2733" s="116"/>
      <c r="L2733" s="170">
        <v>46028</v>
      </c>
      <c r="M2733" s="116">
        <v>3255.8</v>
      </c>
      <c r="N2733" s="116">
        <v>3263.2</v>
      </c>
      <c r="O2733" s="116">
        <v>3205</v>
      </c>
      <c r="P2733" s="116">
        <v>3210</v>
      </c>
      <c r="Q2733" s="116">
        <v>3255.8</v>
      </c>
      <c r="R2733">
        <v>2912325</v>
      </c>
    </row>
    <row r="2734" spans="1:18" x14ac:dyDescent="0.25">
      <c r="A2734" s="170">
        <v>46029</v>
      </c>
      <c r="B2734">
        <v>3300</v>
      </c>
      <c r="C2734">
        <v>3294.45</v>
      </c>
      <c r="D2734">
        <v>3230.5</v>
      </c>
      <c r="E2734">
        <v>3247.2</v>
      </c>
      <c r="F2734">
        <v>3294.45</v>
      </c>
      <c r="G2734">
        <v>119941</v>
      </c>
      <c r="H2734" s="116"/>
      <c r="I2734" s="116"/>
      <c r="L2734" s="170">
        <v>46029</v>
      </c>
      <c r="M2734" s="116">
        <v>3295.6</v>
      </c>
      <c r="N2734" s="116">
        <v>3300.6</v>
      </c>
      <c r="O2734" s="116">
        <v>3223.2</v>
      </c>
      <c r="P2734" s="116">
        <v>3242.9</v>
      </c>
      <c r="Q2734" s="116">
        <v>3295.6</v>
      </c>
      <c r="R2734">
        <v>1989442</v>
      </c>
    </row>
    <row r="2735" spans="1:18" x14ac:dyDescent="0.25">
      <c r="A2735" s="170">
        <v>46030</v>
      </c>
      <c r="B2735">
        <v>3294.45</v>
      </c>
      <c r="C2735">
        <v>3204.3</v>
      </c>
      <c r="D2735">
        <v>3181.6</v>
      </c>
      <c r="E2735">
        <v>3294.45</v>
      </c>
      <c r="F2735">
        <v>3204.3</v>
      </c>
      <c r="G2735">
        <v>446517</v>
      </c>
      <c r="H2735" s="116"/>
      <c r="I2735" s="116"/>
      <c r="L2735" s="170">
        <v>46030</v>
      </c>
      <c r="M2735" s="116">
        <v>3203.9</v>
      </c>
      <c r="N2735" s="116">
        <v>3286.9</v>
      </c>
      <c r="O2735" s="116">
        <v>3182</v>
      </c>
      <c r="P2735" s="116">
        <v>3286.9</v>
      </c>
      <c r="Q2735" s="116">
        <v>3203.9</v>
      </c>
      <c r="R2735">
        <v>4159336</v>
      </c>
    </row>
    <row r="2736" spans="1:18" x14ac:dyDescent="0.25">
      <c r="A2736" s="170">
        <v>46031</v>
      </c>
      <c r="B2736">
        <v>3229.3</v>
      </c>
      <c r="C2736">
        <v>3208</v>
      </c>
      <c r="D2736">
        <v>3185.05</v>
      </c>
      <c r="E2736">
        <v>3185.05</v>
      </c>
      <c r="F2736">
        <v>3208</v>
      </c>
      <c r="G2736">
        <v>161257</v>
      </c>
      <c r="H2736" s="116"/>
      <c r="I2736" s="116"/>
      <c r="L2736" s="170">
        <v>46031</v>
      </c>
      <c r="M2736" s="116">
        <v>3207.8</v>
      </c>
      <c r="N2736" s="116">
        <v>3229.7</v>
      </c>
      <c r="O2736" s="116">
        <v>3191</v>
      </c>
      <c r="P2736" s="116">
        <v>3191</v>
      </c>
      <c r="Q2736" s="116">
        <v>3207.8</v>
      </c>
      <c r="R2736">
        <v>1938673</v>
      </c>
    </row>
    <row r="2737" spans="1:18" x14ac:dyDescent="0.25">
      <c r="A2737" s="170">
        <v>46034</v>
      </c>
      <c r="B2737">
        <v>3250</v>
      </c>
      <c r="C2737">
        <v>3235.7</v>
      </c>
      <c r="D2737">
        <v>3174.1</v>
      </c>
      <c r="E2737">
        <v>3201</v>
      </c>
      <c r="F2737">
        <v>3235.7</v>
      </c>
      <c r="G2737">
        <v>180366</v>
      </c>
      <c r="H2737" s="116"/>
      <c r="I2737" s="116"/>
      <c r="L2737" s="170">
        <v>46034</v>
      </c>
      <c r="M2737" s="116">
        <v>3239.6</v>
      </c>
      <c r="N2737" s="116">
        <v>3252</v>
      </c>
      <c r="O2737" s="116">
        <v>3174.3</v>
      </c>
      <c r="P2737" s="116">
        <v>3203</v>
      </c>
      <c r="Q2737" s="116">
        <v>3239.6</v>
      </c>
      <c r="R2737">
        <v>2228342</v>
      </c>
    </row>
    <row r="2738" spans="1:18" x14ac:dyDescent="0.25">
      <c r="A2738" s="170">
        <v>46035</v>
      </c>
      <c r="B2738">
        <v>3279</v>
      </c>
      <c r="C2738">
        <v>3267.6</v>
      </c>
      <c r="D2738">
        <v>3210.3</v>
      </c>
      <c r="E2738">
        <v>3265</v>
      </c>
      <c r="F2738">
        <v>3267.6</v>
      </c>
      <c r="G2738">
        <v>266941</v>
      </c>
      <c r="H2738" s="116"/>
      <c r="I2738" s="116"/>
      <c r="L2738" s="170">
        <v>46035</v>
      </c>
      <c r="M2738" s="116">
        <v>3268</v>
      </c>
      <c r="N2738" s="116">
        <v>3280</v>
      </c>
      <c r="O2738" s="116">
        <v>3210.5</v>
      </c>
      <c r="P2738" s="116">
        <v>3245</v>
      </c>
      <c r="Q2738" s="116">
        <v>3268</v>
      </c>
      <c r="R2738">
        <v>5645341</v>
      </c>
    </row>
    <row r="2739" spans="1:18" x14ac:dyDescent="0.25">
      <c r="A2739" s="170">
        <v>46036</v>
      </c>
      <c r="B2739">
        <v>3264.95</v>
      </c>
      <c r="C2739">
        <v>3192.3</v>
      </c>
      <c r="D2739">
        <v>3183.05</v>
      </c>
      <c r="E2739">
        <v>3264.95</v>
      </c>
      <c r="F2739">
        <v>3192.3</v>
      </c>
      <c r="G2739">
        <v>428686</v>
      </c>
      <c r="H2739" s="116"/>
      <c r="I2739" s="116"/>
      <c r="L2739" s="170">
        <v>46036</v>
      </c>
      <c r="M2739" s="116">
        <v>3192.5</v>
      </c>
      <c r="N2739" s="116">
        <v>3260</v>
      </c>
      <c r="O2739" s="116">
        <v>3183</v>
      </c>
      <c r="P2739" s="116">
        <v>3260</v>
      </c>
      <c r="Q2739" s="116">
        <v>3192.5</v>
      </c>
      <c r="R2739">
        <v>3539511</v>
      </c>
    </row>
    <row r="2740" spans="1:18" x14ac:dyDescent="0.25">
      <c r="A2740" s="170">
        <v>46038</v>
      </c>
      <c r="B2740">
        <v>3221</v>
      </c>
      <c r="C2740">
        <v>3206.7</v>
      </c>
      <c r="D2740">
        <v>3172.2</v>
      </c>
      <c r="E2740">
        <v>3215.05</v>
      </c>
      <c r="F2740">
        <v>3206.7</v>
      </c>
      <c r="G2740">
        <v>129233</v>
      </c>
      <c r="H2740" s="116"/>
      <c r="I2740" s="116"/>
      <c r="L2740" s="170">
        <v>46038</v>
      </c>
      <c r="M2740" s="116">
        <v>3206.7</v>
      </c>
      <c r="N2740" s="116">
        <v>3221.9</v>
      </c>
      <c r="O2740" s="116">
        <v>3171</v>
      </c>
      <c r="P2740" s="116">
        <v>3219.4</v>
      </c>
      <c r="Q2740" s="116">
        <v>3206.7</v>
      </c>
      <c r="R2740">
        <v>4293470</v>
      </c>
    </row>
    <row r="2741" spans="1:18" x14ac:dyDescent="0.25">
      <c r="A2741" s="170">
        <v>46041</v>
      </c>
      <c r="B2741">
        <v>3219.9</v>
      </c>
      <c r="C2741">
        <v>3163</v>
      </c>
      <c r="D2741">
        <v>3151.7</v>
      </c>
      <c r="E2741">
        <v>3185.55</v>
      </c>
      <c r="F2741">
        <v>3163</v>
      </c>
      <c r="G2741">
        <v>197502</v>
      </c>
      <c r="H2741" s="116"/>
      <c r="I2741" s="116"/>
      <c r="L2741" s="170">
        <v>46041</v>
      </c>
      <c r="M2741" s="116">
        <v>3163.6</v>
      </c>
      <c r="N2741" s="116">
        <v>3220</v>
      </c>
      <c r="O2741" s="116">
        <v>3152.1</v>
      </c>
      <c r="P2741" s="116">
        <v>3188</v>
      </c>
      <c r="Q2741" s="116">
        <v>3163.6</v>
      </c>
      <c r="R2741">
        <v>3387562</v>
      </c>
    </row>
    <row r="2742" spans="1:18" x14ac:dyDescent="0.25">
      <c r="A2742" s="170">
        <v>46042</v>
      </c>
      <c r="B2742">
        <v>3160.9</v>
      </c>
      <c r="C2742">
        <v>3108.05</v>
      </c>
      <c r="D2742">
        <v>3094.05</v>
      </c>
      <c r="E2742">
        <v>3152</v>
      </c>
      <c r="F2742">
        <v>3108.05</v>
      </c>
      <c r="G2742">
        <v>588857</v>
      </c>
      <c r="H2742" s="116"/>
      <c r="I2742" s="116"/>
      <c r="L2742" s="170">
        <v>46042</v>
      </c>
      <c r="M2742" s="116">
        <v>3102.3</v>
      </c>
      <c r="N2742" s="116">
        <v>3160</v>
      </c>
      <c r="O2742" s="116">
        <v>3091.1</v>
      </c>
      <c r="P2742" s="116">
        <v>3151.6</v>
      </c>
      <c r="Q2742" s="116">
        <v>3102.3</v>
      </c>
      <c r="R2742">
        <v>4499273</v>
      </c>
    </row>
    <row r="2743" spans="1:18" x14ac:dyDescent="0.25">
      <c r="A2743" s="170">
        <v>46043</v>
      </c>
      <c r="B2743">
        <v>3137.25</v>
      </c>
      <c r="C2743">
        <v>3121.3</v>
      </c>
      <c r="D2743">
        <v>3082</v>
      </c>
      <c r="E2743">
        <v>3091.2</v>
      </c>
      <c r="F2743">
        <v>3121.3</v>
      </c>
      <c r="G2743">
        <v>183440</v>
      </c>
      <c r="H2743" s="116"/>
      <c r="I2743" s="116"/>
      <c r="L2743" s="170">
        <v>46043</v>
      </c>
      <c r="M2743" s="116">
        <v>3122.6</v>
      </c>
      <c r="N2743" s="116">
        <v>3138.5</v>
      </c>
      <c r="O2743" s="116">
        <v>3082</v>
      </c>
      <c r="P2743" s="116">
        <v>3100</v>
      </c>
      <c r="Q2743" s="116">
        <v>3122.6</v>
      </c>
      <c r="R2743">
        <v>2015150</v>
      </c>
    </row>
    <row r="2744" spans="1:18" x14ac:dyDescent="0.25">
      <c r="A2744" s="170">
        <v>46044</v>
      </c>
      <c r="B2744">
        <v>3159</v>
      </c>
      <c r="C2744">
        <v>3151.25</v>
      </c>
      <c r="D2744">
        <v>3121.55</v>
      </c>
      <c r="E2744">
        <v>3140.1</v>
      </c>
      <c r="F2744">
        <v>3151.25</v>
      </c>
      <c r="G2744">
        <v>150626</v>
      </c>
      <c r="H2744" s="116"/>
      <c r="I2744" s="116"/>
      <c r="L2744" s="170">
        <v>46044</v>
      </c>
      <c r="M2744" s="116">
        <v>3150.4</v>
      </c>
      <c r="N2744" s="116">
        <v>3160</v>
      </c>
      <c r="O2744" s="116">
        <v>3122.3</v>
      </c>
      <c r="P2744" s="116">
        <v>3150</v>
      </c>
      <c r="Q2744" s="116">
        <v>3150.4</v>
      </c>
      <c r="R2744">
        <v>2269827</v>
      </c>
    </row>
    <row r="2745" spans="1:18" x14ac:dyDescent="0.25">
      <c r="A2745" s="170">
        <v>46045</v>
      </c>
      <c r="B2745">
        <v>3193.75</v>
      </c>
      <c r="C2745">
        <v>3160.85</v>
      </c>
      <c r="D2745">
        <v>3152</v>
      </c>
      <c r="E2745">
        <v>3152.1</v>
      </c>
      <c r="F2745">
        <v>3160.85</v>
      </c>
      <c r="G2745">
        <v>95171</v>
      </c>
      <c r="H2745" s="116"/>
      <c r="I2745" s="116"/>
      <c r="L2745" s="170">
        <v>46045</v>
      </c>
      <c r="M2745" s="116">
        <v>3162.5</v>
      </c>
      <c r="N2745" s="116">
        <v>3194.5</v>
      </c>
      <c r="O2745" s="116">
        <v>3152</v>
      </c>
      <c r="P2745" s="116">
        <v>3190.3</v>
      </c>
      <c r="Q2745" s="116">
        <v>3162.5</v>
      </c>
      <c r="R2745">
        <v>2068857</v>
      </c>
    </row>
    <row r="2746" spans="1:18" x14ac:dyDescent="0.25">
      <c r="A2746" s="170">
        <v>46049</v>
      </c>
      <c r="B2746">
        <v>3176.5</v>
      </c>
      <c r="C2746">
        <v>3158.4</v>
      </c>
      <c r="D2746">
        <v>3131</v>
      </c>
      <c r="E2746">
        <v>3161.2</v>
      </c>
      <c r="F2746">
        <v>3158.4</v>
      </c>
      <c r="G2746">
        <v>164571</v>
      </c>
      <c r="H2746" s="116"/>
      <c r="I2746" s="116"/>
      <c r="L2746" s="170">
        <v>46049</v>
      </c>
      <c r="M2746" s="116">
        <v>3158</v>
      </c>
      <c r="N2746" s="116">
        <v>3175</v>
      </c>
      <c r="O2746" s="116">
        <v>3130</v>
      </c>
      <c r="P2746" s="116">
        <v>3175</v>
      </c>
      <c r="Q2746" s="116">
        <v>3158</v>
      </c>
      <c r="R2746">
        <v>4279874</v>
      </c>
    </row>
    <row r="2747" spans="1:18" x14ac:dyDescent="0.25">
      <c r="A2747" s="170">
        <v>46050</v>
      </c>
      <c r="B2747">
        <v>3205</v>
      </c>
      <c r="C2747">
        <v>3199.85</v>
      </c>
      <c r="D2747">
        <v>3160.1</v>
      </c>
      <c r="E2747">
        <v>3160.1</v>
      </c>
      <c r="F2747">
        <v>3199.85</v>
      </c>
      <c r="G2747">
        <v>144008</v>
      </c>
      <c r="H2747" s="116"/>
      <c r="I2747" s="116"/>
      <c r="L2747" s="170">
        <v>46050</v>
      </c>
      <c r="M2747" s="116">
        <v>3200.1</v>
      </c>
      <c r="N2747" s="116">
        <v>3205.2</v>
      </c>
      <c r="O2747" s="116">
        <v>3170.6</v>
      </c>
      <c r="P2747" s="116">
        <v>3176</v>
      </c>
      <c r="Q2747" s="116">
        <v>3200.1</v>
      </c>
      <c r="R2747">
        <v>2751234</v>
      </c>
    </row>
    <row r="2748" spans="1:18" x14ac:dyDescent="0.25">
      <c r="A2748" s="170">
        <v>46051</v>
      </c>
      <c r="B2748">
        <v>3200</v>
      </c>
      <c r="C2748">
        <v>3146.1</v>
      </c>
      <c r="D2748">
        <v>3126.55</v>
      </c>
      <c r="E2748">
        <v>3199.85</v>
      </c>
      <c r="F2748">
        <v>3146.1</v>
      </c>
      <c r="G2748">
        <v>194322</v>
      </c>
      <c r="H2748" s="116"/>
      <c r="I2748" s="116"/>
      <c r="L2748" s="170">
        <v>46051</v>
      </c>
      <c r="M2748" s="116">
        <v>3144.4</v>
      </c>
      <c r="N2748" s="116">
        <v>3200.1</v>
      </c>
      <c r="O2748" s="116">
        <v>3125.6</v>
      </c>
      <c r="P2748" s="116">
        <v>3200.1</v>
      </c>
      <c r="Q2748" s="116">
        <v>3144.4</v>
      </c>
      <c r="R2748">
        <v>2457641</v>
      </c>
    </row>
    <row r="2749" spans="1:18" x14ac:dyDescent="0.25">
      <c r="A2749" s="170">
        <v>46052</v>
      </c>
      <c r="B2749">
        <v>3146</v>
      </c>
      <c r="C2749">
        <v>3125.05</v>
      </c>
      <c r="D2749">
        <v>3092.3</v>
      </c>
      <c r="E2749">
        <v>3146</v>
      </c>
      <c r="F2749">
        <v>3125.05</v>
      </c>
      <c r="G2749">
        <v>70775</v>
      </c>
      <c r="H2749" s="116"/>
      <c r="I2749" s="116"/>
      <c r="L2749" s="170">
        <v>46052</v>
      </c>
      <c r="M2749" s="116">
        <v>3123.9</v>
      </c>
      <c r="N2749" s="116">
        <v>3141</v>
      </c>
      <c r="O2749" s="116">
        <v>3092</v>
      </c>
      <c r="P2749" s="116">
        <v>3141</v>
      </c>
      <c r="Q2749" s="116">
        <v>3123.9</v>
      </c>
      <c r="R2749">
        <v>3022068</v>
      </c>
    </row>
    <row r="2750" spans="1:18" x14ac:dyDescent="0.25">
      <c r="A2750" s="170">
        <v>46054</v>
      </c>
      <c r="B2750">
        <v>3234.9</v>
      </c>
      <c r="C2750">
        <v>3185.15</v>
      </c>
      <c r="D2750">
        <v>3103.85</v>
      </c>
      <c r="E2750">
        <v>3110.65</v>
      </c>
      <c r="F2750">
        <v>3185.15</v>
      </c>
      <c r="G2750">
        <v>295878</v>
      </c>
      <c r="H2750" s="116"/>
      <c r="I2750" s="116"/>
      <c r="L2750" s="170">
        <v>46054</v>
      </c>
      <c r="M2750" s="116">
        <v>3186.9</v>
      </c>
      <c r="N2750" s="116">
        <v>3234</v>
      </c>
      <c r="O2750" s="116">
        <v>3105.2</v>
      </c>
      <c r="P2750" s="116">
        <v>3123.8</v>
      </c>
      <c r="Q2750" s="116">
        <v>3186.9</v>
      </c>
      <c r="R2750">
        <v>3012937</v>
      </c>
    </row>
    <row r="2751" spans="1:18" x14ac:dyDescent="0.25">
      <c r="A2751" s="170">
        <v>46055</v>
      </c>
      <c r="B2751">
        <v>3198.8</v>
      </c>
      <c r="C2751">
        <v>3169.3</v>
      </c>
      <c r="D2751">
        <v>3133.55</v>
      </c>
      <c r="E2751">
        <v>3188.05</v>
      </c>
      <c r="F2751">
        <v>3169.3</v>
      </c>
      <c r="G2751">
        <v>88371</v>
      </c>
      <c r="H2751" s="116"/>
      <c r="I2751" s="116"/>
      <c r="L2751" s="170">
        <v>46055</v>
      </c>
      <c r="M2751" s="116">
        <v>3169.6</v>
      </c>
      <c r="N2751" s="116">
        <v>3198</v>
      </c>
      <c r="O2751" s="116">
        <v>3134</v>
      </c>
      <c r="P2751" s="116">
        <v>3198</v>
      </c>
      <c r="Q2751" s="116">
        <v>3169.6</v>
      </c>
      <c r="R2751">
        <v>2636272</v>
      </c>
    </row>
    <row r="2752" spans="1:18" x14ac:dyDescent="0.25">
      <c r="A2752" s="170">
        <v>46056</v>
      </c>
      <c r="B2752">
        <v>3336.7</v>
      </c>
      <c r="C2752">
        <v>3223.7</v>
      </c>
      <c r="D2752">
        <v>3185.55</v>
      </c>
      <c r="E2752">
        <v>3320.9</v>
      </c>
      <c r="F2752">
        <v>3223.7</v>
      </c>
      <c r="G2752">
        <v>176445</v>
      </c>
      <c r="H2752" s="116"/>
      <c r="I2752" s="116"/>
      <c r="L2752" s="170">
        <v>46056</v>
      </c>
      <c r="M2752" s="116">
        <v>3225.3</v>
      </c>
      <c r="N2752" s="116">
        <v>3350</v>
      </c>
      <c r="O2752" s="116">
        <v>3186.3</v>
      </c>
      <c r="P2752" s="116">
        <v>3350</v>
      </c>
      <c r="Q2752" s="116">
        <v>3225.3</v>
      </c>
      <c r="R2752">
        <v>4366060</v>
      </c>
    </row>
    <row r="2753" spans="1:18" x14ac:dyDescent="0.25">
      <c r="A2753" s="170">
        <v>46057</v>
      </c>
      <c r="B2753">
        <v>3122</v>
      </c>
      <c r="C2753">
        <v>2999.8</v>
      </c>
      <c r="D2753">
        <v>2986.85</v>
      </c>
      <c r="E2753">
        <v>3122</v>
      </c>
      <c r="F2753">
        <v>2999.8</v>
      </c>
      <c r="G2753">
        <v>962707</v>
      </c>
      <c r="H2753" s="116"/>
      <c r="I2753" s="116"/>
      <c r="L2753" s="170">
        <v>46057</v>
      </c>
      <c r="M2753" s="116">
        <v>2999.1</v>
      </c>
      <c r="N2753" s="116">
        <v>3120</v>
      </c>
      <c r="O2753" s="116">
        <v>2986</v>
      </c>
      <c r="P2753" s="116">
        <v>3120</v>
      </c>
      <c r="Q2753" s="116">
        <v>2999.1</v>
      </c>
      <c r="R2753">
        <v>10852595</v>
      </c>
    </row>
    <row r="2754" spans="1:18" x14ac:dyDescent="0.25">
      <c r="A2754" s="170">
        <v>46058</v>
      </c>
      <c r="B2754">
        <v>3029.5</v>
      </c>
      <c r="C2754">
        <v>2992.05</v>
      </c>
      <c r="D2754">
        <v>2970.35</v>
      </c>
      <c r="E2754">
        <v>2998.95</v>
      </c>
      <c r="F2754">
        <v>2992.05</v>
      </c>
      <c r="G2754">
        <v>387547</v>
      </c>
      <c r="H2754" s="116"/>
      <c r="I2754" s="116"/>
      <c r="L2754" s="170">
        <v>46058</v>
      </c>
      <c r="M2754" s="116">
        <v>2991.5</v>
      </c>
      <c r="N2754" s="116">
        <v>3029.7</v>
      </c>
      <c r="O2754" s="116">
        <v>2972.3</v>
      </c>
      <c r="P2754" s="116">
        <v>2990</v>
      </c>
      <c r="Q2754" s="116">
        <v>2991.5</v>
      </c>
      <c r="R2754">
        <v>3521545</v>
      </c>
    </row>
    <row r="2755" spans="1:18" x14ac:dyDescent="0.25">
      <c r="A2755" s="170">
        <v>46059</v>
      </c>
      <c r="B2755">
        <v>2992</v>
      </c>
      <c r="C2755">
        <v>2941.45</v>
      </c>
      <c r="D2755">
        <v>2915.15</v>
      </c>
      <c r="E2755">
        <v>2992</v>
      </c>
      <c r="F2755">
        <v>2941.45</v>
      </c>
      <c r="G2755">
        <v>388720</v>
      </c>
      <c r="H2755" s="116"/>
      <c r="I2755" s="116"/>
      <c r="L2755" s="170">
        <v>46059</v>
      </c>
      <c r="M2755" s="116">
        <v>2941.6</v>
      </c>
      <c r="N2755" s="116">
        <v>2985</v>
      </c>
      <c r="O2755" s="116">
        <v>2916</v>
      </c>
      <c r="P2755" s="116">
        <v>2976.6</v>
      </c>
      <c r="Q2755" s="116">
        <v>2941.6</v>
      </c>
      <c r="R2755">
        <v>4687389</v>
      </c>
    </row>
    <row r="2756" spans="1:18" x14ac:dyDescent="0.25">
      <c r="A2756" s="170">
        <v>46062</v>
      </c>
      <c r="B2756">
        <v>2979.95</v>
      </c>
      <c r="C2756">
        <v>2947.1</v>
      </c>
      <c r="D2756">
        <v>2935</v>
      </c>
      <c r="E2756">
        <v>2979.95</v>
      </c>
      <c r="F2756">
        <v>2947.1</v>
      </c>
      <c r="G2756">
        <v>64908</v>
      </c>
      <c r="H2756" s="116"/>
      <c r="I2756" s="116"/>
      <c r="L2756" s="170">
        <v>46062</v>
      </c>
      <c r="M2756" s="116">
        <v>2948.2</v>
      </c>
      <c r="N2756" s="116">
        <v>2977</v>
      </c>
      <c r="O2756" s="116">
        <v>2937.5</v>
      </c>
      <c r="P2756" s="116">
        <v>2959.1</v>
      </c>
      <c r="Q2756" s="116">
        <v>2948.2</v>
      </c>
      <c r="R2756">
        <v>2380318</v>
      </c>
    </row>
    <row r="2757" spans="1:18" x14ac:dyDescent="0.25">
      <c r="A2757" s="170">
        <v>46063</v>
      </c>
      <c r="B2757">
        <v>3011</v>
      </c>
      <c r="C2757">
        <v>2984.25</v>
      </c>
      <c r="D2757">
        <v>2943.55</v>
      </c>
      <c r="E2757">
        <v>2950</v>
      </c>
      <c r="F2757">
        <v>2984.25</v>
      </c>
      <c r="G2757">
        <v>468333</v>
      </c>
      <c r="H2757" s="116"/>
      <c r="I2757" s="116"/>
      <c r="L2757" s="170">
        <v>46063</v>
      </c>
      <c r="M2757" s="116">
        <v>2984.6</v>
      </c>
      <c r="N2757" s="116">
        <v>3011.6</v>
      </c>
      <c r="O2757" s="116">
        <v>2943.5</v>
      </c>
      <c r="P2757" s="116">
        <v>2949.8</v>
      </c>
      <c r="Q2757" s="116">
        <v>2984.6</v>
      </c>
      <c r="R2757">
        <v>3547763</v>
      </c>
    </row>
    <row r="2758" spans="1:18" x14ac:dyDescent="0.25">
      <c r="A2758" s="170">
        <v>46064</v>
      </c>
      <c r="B2758">
        <v>2998</v>
      </c>
      <c r="C2758">
        <v>2909.4</v>
      </c>
      <c r="D2758">
        <v>2905</v>
      </c>
      <c r="E2758">
        <v>2984.65</v>
      </c>
      <c r="F2758">
        <v>2909.4</v>
      </c>
      <c r="G2758">
        <v>149418</v>
      </c>
      <c r="H2758" s="116"/>
      <c r="I2758" s="116"/>
      <c r="L2758" s="170">
        <v>46064</v>
      </c>
      <c r="M2758" s="116">
        <v>2909.8</v>
      </c>
      <c r="N2758" s="116">
        <v>2998</v>
      </c>
      <c r="O2758" s="116">
        <v>2904.2</v>
      </c>
      <c r="P2758" s="116">
        <v>2980</v>
      </c>
      <c r="Q2758" s="116">
        <v>2909.8</v>
      </c>
      <c r="R2758">
        <v>3363513</v>
      </c>
    </row>
    <row r="2759" spans="1:18" x14ac:dyDescent="0.25">
      <c r="A2759" s="170">
        <v>46065</v>
      </c>
      <c r="B2759">
        <v>2883.55</v>
      </c>
      <c r="C2759">
        <v>2751.9</v>
      </c>
      <c r="D2759">
        <v>2740.15</v>
      </c>
      <c r="E2759">
        <v>2883.55</v>
      </c>
      <c r="F2759">
        <v>2751.9</v>
      </c>
      <c r="G2759">
        <v>715354</v>
      </c>
      <c r="H2759" s="116"/>
      <c r="I2759" s="116"/>
      <c r="L2759" s="170">
        <v>46065</v>
      </c>
      <c r="M2759" s="116">
        <v>2750.1</v>
      </c>
      <c r="N2759" s="116">
        <v>2880</v>
      </c>
      <c r="O2759" s="116">
        <v>2740</v>
      </c>
      <c r="P2759" s="116">
        <v>2869.8</v>
      </c>
      <c r="Q2759" s="116">
        <v>2750.1</v>
      </c>
      <c r="R2759">
        <v>10612156</v>
      </c>
    </row>
    <row r="2760" spans="1:18" x14ac:dyDescent="0.25">
      <c r="A2760" s="170">
        <v>46066</v>
      </c>
      <c r="B2760">
        <v>2712.4</v>
      </c>
      <c r="C2760">
        <v>2692.15</v>
      </c>
      <c r="D2760">
        <v>2579</v>
      </c>
      <c r="E2760">
        <v>2579</v>
      </c>
      <c r="F2760">
        <v>2692.15</v>
      </c>
      <c r="G2760">
        <v>796863</v>
      </c>
      <c r="H2760" s="116"/>
      <c r="I2760" s="116"/>
      <c r="L2760" s="170">
        <v>46066</v>
      </c>
      <c r="M2760" s="116">
        <v>2692.2</v>
      </c>
      <c r="N2760" s="116">
        <v>2713</v>
      </c>
      <c r="O2760" s="116">
        <v>2585</v>
      </c>
      <c r="P2760" s="116">
        <v>2585</v>
      </c>
      <c r="Q2760" s="116">
        <v>2692.2</v>
      </c>
      <c r="R2760">
        <v>11168735</v>
      </c>
    </row>
    <row r="2761" spans="1:18" x14ac:dyDescent="0.25">
      <c r="A2761" s="170">
        <v>46069</v>
      </c>
      <c r="B2761">
        <v>2720</v>
      </c>
      <c r="C2761">
        <v>2708.2</v>
      </c>
      <c r="D2761">
        <v>2671.5</v>
      </c>
      <c r="E2761">
        <v>2700</v>
      </c>
      <c r="F2761">
        <v>2708.2</v>
      </c>
      <c r="G2761">
        <v>377663</v>
      </c>
      <c r="H2761" s="116"/>
      <c r="I2761" s="116"/>
      <c r="L2761" s="170">
        <v>46069</v>
      </c>
      <c r="M2761" s="116">
        <v>2706.6</v>
      </c>
      <c r="N2761" s="116">
        <v>2719.8</v>
      </c>
      <c r="O2761" s="116">
        <v>2671</v>
      </c>
      <c r="P2761" s="116">
        <v>2700</v>
      </c>
      <c r="Q2761" s="116">
        <v>2706.6</v>
      </c>
      <c r="R2761">
        <v>2918730</v>
      </c>
    </row>
    <row r="2762" spans="1:18" x14ac:dyDescent="0.25">
      <c r="A2762" s="170">
        <v>46070</v>
      </c>
      <c r="B2762">
        <v>2759.3</v>
      </c>
      <c r="C2762">
        <v>2717.45</v>
      </c>
      <c r="D2762">
        <v>2695.05</v>
      </c>
      <c r="E2762">
        <v>2715</v>
      </c>
      <c r="F2762">
        <v>2717.45</v>
      </c>
      <c r="G2762">
        <v>343290</v>
      </c>
      <c r="H2762" s="116"/>
      <c r="I2762" s="116"/>
      <c r="L2762" s="170">
        <v>46070</v>
      </c>
      <c r="M2762" s="116">
        <v>2717.4</v>
      </c>
      <c r="N2762" s="116">
        <v>2760</v>
      </c>
      <c r="O2762" s="116">
        <v>2695.2</v>
      </c>
      <c r="P2762" s="116">
        <v>2716</v>
      </c>
      <c r="Q2762" s="116">
        <v>2717.4</v>
      </c>
      <c r="R2762">
        <v>4209118</v>
      </c>
    </row>
    <row r="2763" spans="1:18" x14ac:dyDescent="0.25">
      <c r="A2763" s="170">
        <v>46071</v>
      </c>
      <c r="B2763">
        <v>2735.75</v>
      </c>
      <c r="C2763">
        <v>2694.6</v>
      </c>
      <c r="D2763">
        <v>2658</v>
      </c>
      <c r="E2763">
        <v>2735.75</v>
      </c>
      <c r="F2763">
        <v>2694.6</v>
      </c>
      <c r="G2763">
        <v>211740</v>
      </c>
      <c r="H2763" s="116"/>
      <c r="I2763" s="116"/>
      <c r="L2763" s="170">
        <v>46071</v>
      </c>
      <c r="M2763" s="116">
        <v>2694.9</v>
      </c>
      <c r="N2763" s="116">
        <v>2730</v>
      </c>
      <c r="O2763" s="116">
        <v>2657.3</v>
      </c>
      <c r="P2763" s="116">
        <v>2730</v>
      </c>
      <c r="Q2763" s="116">
        <v>2694.9</v>
      </c>
      <c r="R2763">
        <v>2950820</v>
      </c>
    </row>
    <row r="2764" spans="1:18" x14ac:dyDescent="0.25">
      <c r="A2764" s="170">
        <v>46072</v>
      </c>
      <c r="B2764">
        <v>2748</v>
      </c>
      <c r="C2764">
        <v>2680.45</v>
      </c>
      <c r="D2764">
        <v>2668</v>
      </c>
      <c r="E2764">
        <v>2716.25</v>
      </c>
      <c r="F2764">
        <v>2680.45</v>
      </c>
      <c r="G2764">
        <v>181680</v>
      </c>
      <c r="H2764" s="116"/>
      <c r="I2764" s="116"/>
      <c r="L2764" s="170">
        <v>46072</v>
      </c>
      <c r="M2764" s="116">
        <v>2677.9</v>
      </c>
      <c r="N2764" s="116">
        <v>2748.7</v>
      </c>
      <c r="O2764" s="116">
        <v>2666.6</v>
      </c>
      <c r="P2764" s="116">
        <v>2708</v>
      </c>
      <c r="Q2764" s="116">
        <v>2677.9</v>
      </c>
      <c r="R2764">
        <v>3238849</v>
      </c>
    </row>
    <row r="2765" spans="1:18" x14ac:dyDescent="0.25">
      <c r="A2765" s="170">
        <v>46073</v>
      </c>
      <c r="B2765">
        <v>2702.85</v>
      </c>
      <c r="C2765">
        <v>2686.65</v>
      </c>
      <c r="D2765">
        <v>2648.45</v>
      </c>
      <c r="E2765">
        <v>2676.95</v>
      </c>
      <c r="F2765">
        <v>2686.65</v>
      </c>
      <c r="G2765">
        <v>180374</v>
      </c>
      <c r="H2765" s="116"/>
      <c r="I2765" s="116"/>
      <c r="L2765" s="170">
        <v>46073</v>
      </c>
      <c r="M2765" s="116">
        <v>2686.2</v>
      </c>
      <c r="N2765" s="116">
        <v>2702.6</v>
      </c>
      <c r="O2765" s="116">
        <v>2647.5</v>
      </c>
      <c r="P2765" s="116">
        <v>2667</v>
      </c>
      <c r="Q2765" s="116">
        <v>2686.2</v>
      </c>
      <c r="R2765">
        <v>2293482</v>
      </c>
    </row>
    <row r="2766" spans="1:18" x14ac:dyDescent="0.25">
      <c r="A2766" s="170">
        <v>46076</v>
      </c>
      <c r="B2766">
        <v>2704.45</v>
      </c>
      <c r="C2766">
        <v>2675.85</v>
      </c>
      <c r="D2766">
        <v>2660.45</v>
      </c>
      <c r="E2766">
        <v>2686.65</v>
      </c>
      <c r="F2766">
        <v>2675.85</v>
      </c>
      <c r="G2766">
        <v>209954</v>
      </c>
      <c r="H2766" s="116"/>
      <c r="I2766" s="116"/>
      <c r="L2766" s="170">
        <v>46076</v>
      </c>
      <c r="M2766" s="116">
        <v>2676.3</v>
      </c>
      <c r="N2766" s="116">
        <v>2704</v>
      </c>
      <c r="O2766" s="116">
        <v>2660.2</v>
      </c>
      <c r="P2766" s="116">
        <v>2686</v>
      </c>
      <c r="Q2766" s="116">
        <v>2676.3</v>
      </c>
      <c r="R2766">
        <v>4699596</v>
      </c>
    </row>
    <row r="2767" spans="1:18" x14ac:dyDescent="0.25">
      <c r="A2767" s="170">
        <v>46077</v>
      </c>
      <c r="B2767">
        <v>2648.7</v>
      </c>
      <c r="C2767">
        <v>2574.5</v>
      </c>
      <c r="D2767">
        <v>2561.9499999999998</v>
      </c>
      <c r="E2767">
        <v>2640</v>
      </c>
      <c r="F2767">
        <v>2574.5</v>
      </c>
      <c r="G2767">
        <v>403845</v>
      </c>
      <c r="H2767" s="116"/>
      <c r="I2767" s="116"/>
      <c r="L2767" s="170">
        <v>46077</v>
      </c>
      <c r="M2767" s="116">
        <v>2573.6999999999998</v>
      </c>
      <c r="N2767" s="116">
        <v>2647.5</v>
      </c>
      <c r="O2767" s="116">
        <v>2561.3000000000002</v>
      </c>
      <c r="P2767" s="116">
        <v>2641</v>
      </c>
      <c r="Q2767" s="116">
        <v>2573.6999999999998</v>
      </c>
      <c r="R2767">
        <v>7798833</v>
      </c>
    </row>
    <row r="2768" spans="1:18" x14ac:dyDescent="0.25">
      <c r="A2768" s="170">
        <v>46078</v>
      </c>
      <c r="B2768">
        <v>2653.45</v>
      </c>
      <c r="C2768">
        <v>2629.5</v>
      </c>
      <c r="D2768">
        <v>2580.5500000000002</v>
      </c>
      <c r="E2768">
        <v>2580.5500000000002</v>
      </c>
      <c r="F2768">
        <v>2629.5</v>
      </c>
      <c r="G2768">
        <v>275224</v>
      </c>
      <c r="H2768" s="116"/>
      <c r="I2768" s="116"/>
      <c r="L2768" s="170">
        <v>46078</v>
      </c>
      <c r="M2768" s="116">
        <v>2629.3</v>
      </c>
      <c r="N2768" s="116">
        <v>2654.2</v>
      </c>
      <c r="O2768" s="116">
        <v>2595</v>
      </c>
      <c r="P2768" s="116">
        <v>2596</v>
      </c>
      <c r="Q2768" s="116">
        <v>2629.3</v>
      </c>
      <c r="R2768">
        <v>3621285</v>
      </c>
    </row>
    <row r="2769" spans="1:18" x14ac:dyDescent="0.25">
      <c r="A2769" s="170">
        <v>46079</v>
      </c>
      <c r="B2769">
        <v>2670</v>
      </c>
      <c r="C2769">
        <v>2647.7</v>
      </c>
      <c r="D2769">
        <v>2634.8</v>
      </c>
      <c r="E2769">
        <v>2636.2</v>
      </c>
      <c r="F2769">
        <v>2647.7</v>
      </c>
      <c r="G2769">
        <v>180513</v>
      </c>
      <c r="H2769" s="116"/>
      <c r="I2769" s="116"/>
      <c r="L2769" s="170">
        <v>46079</v>
      </c>
      <c r="M2769" s="116">
        <v>2647.7</v>
      </c>
      <c r="N2769" s="116">
        <v>2671</v>
      </c>
      <c r="O2769" s="116">
        <v>2635</v>
      </c>
      <c r="P2769" s="116">
        <v>2650</v>
      </c>
      <c r="Q2769" s="116">
        <v>2647.7</v>
      </c>
      <c r="R2769">
        <v>3464267</v>
      </c>
    </row>
    <row r="2770" spans="1:18" x14ac:dyDescent="0.25">
      <c r="A2770" s="170">
        <v>46080</v>
      </c>
      <c r="B2770">
        <v>2688.2</v>
      </c>
      <c r="C2770">
        <v>2636.4</v>
      </c>
      <c r="D2770">
        <v>2627</v>
      </c>
      <c r="E2770">
        <v>2678</v>
      </c>
      <c r="F2770">
        <v>2636.4</v>
      </c>
      <c r="G2770">
        <v>139073</v>
      </c>
      <c r="H2770" s="116"/>
      <c r="I2770" s="116"/>
      <c r="L2770" s="170">
        <v>46080</v>
      </c>
      <c r="M2770" s="116">
        <v>2637.4</v>
      </c>
      <c r="N2770" s="116">
        <v>2688.6</v>
      </c>
      <c r="O2770" s="116">
        <v>2626.1</v>
      </c>
      <c r="P2770" s="116">
        <v>2681.6</v>
      </c>
      <c r="Q2770" s="116">
        <v>2637.4</v>
      </c>
      <c r="R2770">
        <v>5083717</v>
      </c>
    </row>
    <row r="2771" spans="1:18" x14ac:dyDescent="0.25">
      <c r="A2771" s="170">
        <v>46083</v>
      </c>
      <c r="B2771">
        <v>2623.7</v>
      </c>
      <c r="C2771">
        <v>2613.1999999999998</v>
      </c>
      <c r="D2771">
        <v>2551.5500000000002</v>
      </c>
      <c r="E2771">
        <v>2551.5500000000002</v>
      </c>
      <c r="F2771">
        <v>2613.1999999999998</v>
      </c>
      <c r="G2771">
        <v>103494</v>
      </c>
      <c r="H2771" s="116"/>
      <c r="I2771" s="116"/>
      <c r="L2771" s="170">
        <v>46083</v>
      </c>
      <c r="M2771" s="116">
        <v>2613.5</v>
      </c>
      <c r="N2771" s="116">
        <v>2623.8</v>
      </c>
      <c r="O2771" s="116">
        <v>2580.3000000000002</v>
      </c>
      <c r="P2771" s="116">
        <v>2592</v>
      </c>
      <c r="Q2771" s="116">
        <v>2613.5</v>
      </c>
      <c r="R2771">
        <v>3374385</v>
      </c>
    </row>
    <row r="2772" spans="1:18" x14ac:dyDescent="0.25">
      <c r="A2772" s="170">
        <v>46085</v>
      </c>
      <c r="B2772">
        <v>2634.8</v>
      </c>
      <c r="C2772">
        <v>2587.35</v>
      </c>
      <c r="D2772">
        <v>2580.4</v>
      </c>
      <c r="E2772">
        <v>2595.0500000000002</v>
      </c>
      <c r="F2772">
        <v>2587.35</v>
      </c>
      <c r="G2772">
        <v>107842</v>
      </c>
      <c r="H2772" s="116"/>
      <c r="I2772" s="116"/>
      <c r="L2772" s="170">
        <v>46085</v>
      </c>
      <c r="M2772" s="116">
        <v>2587.8000000000002</v>
      </c>
      <c r="N2772" s="116">
        <v>2635</v>
      </c>
      <c r="O2772" s="116">
        <v>2580.4</v>
      </c>
      <c r="P2772" s="116">
        <v>2625</v>
      </c>
      <c r="Q2772" s="116">
        <v>2587.8000000000002</v>
      </c>
      <c r="R2772">
        <v>3446434</v>
      </c>
    </row>
    <row r="2773" spans="1:18" x14ac:dyDescent="0.25">
      <c r="A2773" s="170">
        <v>46086</v>
      </c>
      <c r="B2773">
        <v>2610.8000000000002</v>
      </c>
      <c r="C2773">
        <v>2583.5</v>
      </c>
      <c r="D2773">
        <v>2546.25</v>
      </c>
      <c r="E2773">
        <v>2593.0500000000002</v>
      </c>
      <c r="F2773">
        <v>2583.5</v>
      </c>
      <c r="G2773">
        <v>207154</v>
      </c>
      <c r="H2773" s="116"/>
      <c r="I2773" s="116"/>
      <c r="L2773" s="170">
        <v>46086</v>
      </c>
      <c r="M2773" s="116">
        <v>2578.8000000000002</v>
      </c>
      <c r="N2773" s="116">
        <v>2609.5</v>
      </c>
      <c r="O2773" s="116">
        <v>2546.4</v>
      </c>
      <c r="P2773" s="116">
        <v>2600</v>
      </c>
      <c r="Q2773" s="116">
        <v>2578.8000000000002</v>
      </c>
      <c r="R2773">
        <v>2960636</v>
      </c>
    </row>
    <row r="2774" spans="1:18" x14ac:dyDescent="0.25">
      <c r="A2774" s="170">
        <v>46087</v>
      </c>
      <c r="B2774">
        <v>2619</v>
      </c>
      <c r="C2774">
        <v>2557.65</v>
      </c>
      <c r="D2774">
        <v>2555</v>
      </c>
      <c r="E2774">
        <v>2575</v>
      </c>
      <c r="F2774">
        <v>2557.65</v>
      </c>
      <c r="G2774">
        <v>104200</v>
      </c>
      <c r="H2774" s="116"/>
      <c r="I2774" s="116"/>
      <c r="L2774" s="170">
        <v>46087</v>
      </c>
      <c r="M2774" s="116">
        <v>2557.6</v>
      </c>
      <c r="N2774" s="116">
        <v>2619.1999999999998</v>
      </c>
      <c r="O2774" s="116">
        <v>2553.6</v>
      </c>
      <c r="P2774" s="116">
        <v>2572</v>
      </c>
      <c r="Q2774" s="116">
        <v>2557.6</v>
      </c>
      <c r="R2774">
        <v>3998643</v>
      </c>
    </row>
    <row r="2775" spans="1:18" x14ac:dyDescent="0.25">
      <c r="A2775" s="170">
        <v>46090</v>
      </c>
      <c r="B2775">
        <v>2559.9499999999998</v>
      </c>
      <c r="C2775">
        <v>2527.6999999999998</v>
      </c>
      <c r="D2775">
        <v>2505.5500000000002</v>
      </c>
      <c r="E2775">
        <v>2530</v>
      </c>
      <c r="F2775">
        <v>2527.6999999999998</v>
      </c>
      <c r="G2775">
        <v>175882</v>
      </c>
      <c r="H2775" s="116"/>
      <c r="I2775" s="116"/>
      <c r="L2775" s="170">
        <v>46090</v>
      </c>
      <c r="M2775" s="116">
        <v>2527.4</v>
      </c>
      <c r="N2775" s="116">
        <v>2560</v>
      </c>
      <c r="O2775" s="116">
        <v>2505</v>
      </c>
      <c r="P2775" s="116">
        <v>2530</v>
      </c>
      <c r="Q2775" s="116">
        <v>2527.4</v>
      </c>
      <c r="R2775">
        <v>3653428</v>
      </c>
    </row>
    <row r="2776" spans="1:18" x14ac:dyDescent="0.25">
      <c r="A2776" s="170">
        <v>46091</v>
      </c>
      <c r="B2776">
        <v>2546</v>
      </c>
      <c r="C2776">
        <v>2513.4</v>
      </c>
      <c r="D2776">
        <v>2490.35</v>
      </c>
      <c r="E2776">
        <v>2545</v>
      </c>
      <c r="F2776">
        <v>2513.4</v>
      </c>
      <c r="G2776">
        <v>171908</v>
      </c>
      <c r="H2776" s="116"/>
      <c r="I2776" s="116"/>
      <c r="L2776" s="170">
        <v>46091</v>
      </c>
      <c r="M2776" s="116">
        <v>2513.1</v>
      </c>
      <c r="N2776" s="116">
        <v>2545.1999999999998</v>
      </c>
      <c r="O2776" s="116">
        <v>2490.1</v>
      </c>
      <c r="P2776" s="116">
        <v>2541</v>
      </c>
      <c r="Q2776" s="116">
        <v>2513.1</v>
      </c>
      <c r="R2776">
        <v>4323710</v>
      </c>
    </row>
    <row r="2777" spans="1:18" x14ac:dyDescent="0.25">
      <c r="A2777" s="170">
        <v>46092</v>
      </c>
      <c r="B2777">
        <v>2520.35</v>
      </c>
      <c r="C2777">
        <v>2465.15</v>
      </c>
      <c r="D2777">
        <v>2461.5</v>
      </c>
      <c r="E2777">
        <v>2513.35</v>
      </c>
      <c r="F2777">
        <v>2465.15</v>
      </c>
      <c r="G2777">
        <v>196083</v>
      </c>
      <c r="H2777" s="116"/>
      <c r="I2777" s="116"/>
      <c r="L2777" s="170">
        <v>46092</v>
      </c>
      <c r="M2777" s="116">
        <v>2464.9</v>
      </c>
      <c r="N2777" s="116">
        <v>2521</v>
      </c>
      <c r="O2777" s="116">
        <v>2460.1</v>
      </c>
      <c r="P2777" s="116">
        <v>2508.1</v>
      </c>
      <c r="Q2777" s="116">
        <v>2464.9</v>
      </c>
      <c r="R2777">
        <v>2720664</v>
      </c>
    </row>
    <row r="2778" spans="1:18" x14ac:dyDescent="0.25">
      <c r="A2778" s="170">
        <v>46093</v>
      </c>
      <c r="B2778">
        <v>2472.5</v>
      </c>
      <c r="C2778">
        <v>2442.85</v>
      </c>
      <c r="D2778">
        <v>2436</v>
      </c>
      <c r="E2778">
        <v>2460</v>
      </c>
      <c r="F2778">
        <v>2442.85</v>
      </c>
      <c r="G2778">
        <v>326704</v>
      </c>
      <c r="H2778" s="116"/>
      <c r="I2778" s="116"/>
      <c r="L2778" s="170">
        <v>46093</v>
      </c>
      <c r="M2778" s="116">
        <v>2442.4</v>
      </c>
      <c r="N2778" s="116">
        <v>2472.9</v>
      </c>
      <c r="O2778" s="116">
        <v>2436</v>
      </c>
      <c r="P2778" s="116">
        <v>2459.8000000000002</v>
      </c>
      <c r="Q2778" s="116">
        <v>2442.4</v>
      </c>
      <c r="R2778">
        <v>2752075</v>
      </c>
    </row>
    <row r="2779" spans="1:18" x14ac:dyDescent="0.25">
      <c r="A2779" s="170">
        <v>46094</v>
      </c>
      <c r="B2779">
        <v>2445</v>
      </c>
      <c r="C2779">
        <v>2410.3000000000002</v>
      </c>
      <c r="D2779">
        <v>2397.1</v>
      </c>
      <c r="E2779">
        <v>2442</v>
      </c>
      <c r="F2779">
        <v>2410.3000000000002</v>
      </c>
      <c r="G2779">
        <v>218508</v>
      </c>
      <c r="H2779" s="116"/>
      <c r="I2779" s="116"/>
      <c r="L2779" s="170">
        <v>46094</v>
      </c>
      <c r="M2779" s="116">
        <v>2410.5</v>
      </c>
      <c r="N2779" s="116">
        <v>2445.9</v>
      </c>
      <c r="O2779" s="116">
        <v>2397</v>
      </c>
      <c r="P2779" s="116">
        <v>2437</v>
      </c>
      <c r="Q2779" s="116">
        <v>2410.5</v>
      </c>
      <c r="R2779">
        <v>2466488</v>
      </c>
    </row>
    <row r="2780" spans="1:18" x14ac:dyDescent="0.25">
      <c r="A2780" s="170">
        <v>46097</v>
      </c>
      <c r="B2780">
        <v>2424.9</v>
      </c>
      <c r="C2780">
        <v>2408.35</v>
      </c>
      <c r="D2780">
        <v>2366.4</v>
      </c>
      <c r="E2780">
        <v>2410.3000000000002</v>
      </c>
      <c r="F2780">
        <v>2408.35</v>
      </c>
      <c r="G2780">
        <v>130847</v>
      </c>
      <c r="H2780" s="116"/>
      <c r="I2780" s="116"/>
      <c r="L2780" s="170">
        <v>46097</v>
      </c>
      <c r="M2780" s="116">
        <v>2409.1999999999998</v>
      </c>
      <c r="N2780" s="116">
        <v>2425</v>
      </c>
      <c r="O2780" s="116">
        <v>2366.1</v>
      </c>
      <c r="P2780" s="116">
        <v>2410</v>
      </c>
      <c r="Q2780" s="116">
        <v>2409.1999999999998</v>
      </c>
      <c r="R2780">
        <v>3807907</v>
      </c>
    </row>
    <row r="2781" spans="1:18" x14ac:dyDescent="0.25">
      <c r="A2781" s="170">
        <v>46098</v>
      </c>
      <c r="B2781">
        <v>2422</v>
      </c>
      <c r="C2781">
        <v>2391.75</v>
      </c>
      <c r="D2781">
        <v>2360</v>
      </c>
      <c r="E2781">
        <v>2422</v>
      </c>
      <c r="F2781">
        <v>2391.75</v>
      </c>
      <c r="G2781">
        <v>101752</v>
      </c>
      <c r="H2781" s="116"/>
      <c r="I2781" s="116"/>
      <c r="L2781" s="170">
        <v>46098</v>
      </c>
      <c r="M2781" s="116">
        <v>2391.6999999999998</v>
      </c>
      <c r="N2781" s="116">
        <v>2420</v>
      </c>
      <c r="O2781" s="116">
        <v>2360</v>
      </c>
      <c r="P2781" s="116">
        <v>2420</v>
      </c>
      <c r="Q2781" s="116">
        <v>2391.6999999999998</v>
      </c>
      <c r="R2781">
        <v>2993367</v>
      </c>
    </row>
    <row r="2782" spans="1:18" x14ac:dyDescent="0.25">
      <c r="A2782" s="170">
        <v>46099</v>
      </c>
      <c r="B2782">
        <v>2483.0500000000002</v>
      </c>
      <c r="C2782">
        <v>2441.15</v>
      </c>
      <c r="D2782">
        <v>2410</v>
      </c>
      <c r="E2782">
        <v>2410</v>
      </c>
      <c r="F2782">
        <v>2441.15</v>
      </c>
      <c r="G2782">
        <v>246142</v>
      </c>
      <c r="H2782" s="116"/>
      <c r="I2782" s="116"/>
      <c r="L2782" s="170">
        <v>46099</v>
      </c>
      <c r="M2782" s="116">
        <v>2440.8000000000002</v>
      </c>
      <c r="N2782" s="116">
        <v>2482.9</v>
      </c>
      <c r="O2782" s="116">
        <v>2410</v>
      </c>
      <c r="P2782" s="116">
        <v>2410</v>
      </c>
      <c r="Q2782" s="116">
        <v>2440.8000000000002</v>
      </c>
      <c r="R2782">
        <v>3082388</v>
      </c>
    </row>
    <row r="2783" spans="1:18" x14ac:dyDescent="0.25">
      <c r="A2783" s="170">
        <v>46100</v>
      </c>
      <c r="B2783">
        <v>2423.15</v>
      </c>
      <c r="C2783">
        <v>2356.5500000000002</v>
      </c>
      <c r="D2783">
        <v>2350.1</v>
      </c>
      <c r="E2783">
        <v>2416</v>
      </c>
      <c r="F2783">
        <v>2356.5500000000002</v>
      </c>
      <c r="G2783">
        <v>416565</v>
      </c>
      <c r="H2783" s="116"/>
      <c r="I2783" s="116"/>
      <c r="L2783" s="170">
        <v>46100</v>
      </c>
      <c r="M2783" s="116">
        <v>2356</v>
      </c>
      <c r="N2783" s="116">
        <v>2424</v>
      </c>
      <c r="O2783" s="116">
        <v>2350.1999999999998</v>
      </c>
      <c r="P2783" s="116">
        <v>2417</v>
      </c>
      <c r="Q2783" s="116">
        <v>2356</v>
      </c>
      <c r="R2783">
        <v>2757060</v>
      </c>
    </row>
    <row r="2784" spans="1:18" x14ac:dyDescent="0.25">
      <c r="A2784" s="170">
        <v>46101</v>
      </c>
      <c r="B2784">
        <v>2407.8000000000002</v>
      </c>
      <c r="C2784">
        <v>2390.6</v>
      </c>
      <c r="D2784">
        <v>2364</v>
      </c>
      <c r="E2784">
        <v>2379.1</v>
      </c>
      <c r="F2784">
        <v>2390.6</v>
      </c>
      <c r="G2784">
        <v>188527</v>
      </c>
      <c r="H2784" s="116"/>
      <c r="I2784" s="116"/>
      <c r="L2784" s="170">
        <v>46101</v>
      </c>
      <c r="M2784" s="116">
        <v>2390.6</v>
      </c>
      <c r="N2784" s="116">
        <v>2407.8000000000002</v>
      </c>
      <c r="O2784" s="116">
        <v>2364.1999999999998</v>
      </c>
      <c r="P2784" s="116">
        <v>2386</v>
      </c>
      <c r="Q2784" s="116">
        <v>2390.6</v>
      </c>
      <c r="R2784">
        <v>4206320</v>
      </c>
    </row>
    <row r="2785" spans="1:18" x14ac:dyDescent="0.25">
      <c r="A2785" s="170">
        <v>46104</v>
      </c>
      <c r="B2785">
        <v>2407</v>
      </c>
      <c r="C2785">
        <v>2382.9</v>
      </c>
      <c r="D2785">
        <v>2350</v>
      </c>
      <c r="E2785">
        <v>2365</v>
      </c>
      <c r="F2785">
        <v>2382.9</v>
      </c>
      <c r="G2785">
        <v>337307</v>
      </c>
      <c r="H2785" s="116"/>
      <c r="I2785" s="116"/>
      <c r="L2785" s="170">
        <v>46104</v>
      </c>
      <c r="M2785" s="116">
        <v>2383.8000000000002</v>
      </c>
      <c r="N2785" s="116">
        <v>2406.8000000000002</v>
      </c>
      <c r="O2785" s="116">
        <v>2348</v>
      </c>
      <c r="P2785" s="116">
        <v>2365</v>
      </c>
      <c r="Q2785" s="116">
        <v>2383.8000000000002</v>
      </c>
      <c r="R2785">
        <v>3860515</v>
      </c>
    </row>
    <row r="2786" spans="1:18" x14ac:dyDescent="0.25">
      <c r="A2786" s="170">
        <v>46105</v>
      </c>
      <c r="B2786">
        <v>2435.5500000000002</v>
      </c>
      <c r="C2786">
        <v>2398.8000000000002</v>
      </c>
      <c r="D2786">
        <v>2378.6999999999998</v>
      </c>
      <c r="E2786">
        <v>2419.9</v>
      </c>
      <c r="F2786">
        <v>2398.8000000000002</v>
      </c>
      <c r="G2786">
        <v>162128</v>
      </c>
      <c r="H2786" s="116"/>
      <c r="I2786" s="116"/>
      <c r="L2786" s="170">
        <v>46105</v>
      </c>
      <c r="M2786" s="116">
        <v>2398.8000000000002</v>
      </c>
      <c r="N2786" s="116">
        <v>2435.4</v>
      </c>
      <c r="O2786" s="116">
        <v>2379.1</v>
      </c>
      <c r="P2786" s="116">
        <v>2404.1</v>
      </c>
      <c r="Q2786" s="116">
        <v>2398.8000000000002</v>
      </c>
      <c r="R2786">
        <v>3420182</v>
      </c>
    </row>
    <row r="2787" spans="1:18" x14ac:dyDescent="0.25">
      <c r="A2787" s="170">
        <v>46106</v>
      </c>
      <c r="B2787">
        <v>2421.6999999999998</v>
      </c>
      <c r="C2787">
        <v>2378.15</v>
      </c>
      <c r="D2787">
        <v>2371</v>
      </c>
      <c r="E2787">
        <v>2415.4</v>
      </c>
      <c r="F2787">
        <v>2378.15</v>
      </c>
      <c r="G2787">
        <v>672818</v>
      </c>
      <c r="H2787" s="116"/>
      <c r="I2787" s="116"/>
      <c r="L2787" s="170">
        <v>46106</v>
      </c>
      <c r="M2787" s="116">
        <v>2377.4</v>
      </c>
      <c r="N2787" s="116">
        <v>2421.6</v>
      </c>
      <c r="O2787" s="116">
        <v>2369.8000000000002</v>
      </c>
      <c r="P2787" s="116">
        <v>2400.9</v>
      </c>
      <c r="Q2787" s="116">
        <v>2377.4</v>
      </c>
      <c r="R2787">
        <v>5843778</v>
      </c>
    </row>
    <row r="2788" spans="1:18" x14ac:dyDescent="0.25">
      <c r="A2788" s="170">
        <v>46108</v>
      </c>
      <c r="B2788">
        <v>2421.9499999999998</v>
      </c>
      <c r="C2788">
        <v>2389.85</v>
      </c>
      <c r="D2788">
        <v>2385.0500000000002</v>
      </c>
      <c r="E2788">
        <v>2385.0500000000002</v>
      </c>
      <c r="F2788">
        <v>2389.85</v>
      </c>
      <c r="G2788">
        <v>386217</v>
      </c>
      <c r="H2788" s="116"/>
      <c r="I2788" s="116"/>
      <c r="L2788" s="170">
        <v>46108</v>
      </c>
      <c r="M2788" s="116">
        <v>2389.8000000000002</v>
      </c>
      <c r="N2788" s="116">
        <v>2422.1</v>
      </c>
      <c r="O2788" s="116">
        <v>2385</v>
      </c>
      <c r="P2788" s="116">
        <v>2403.9</v>
      </c>
      <c r="Q2788" s="116">
        <v>2389.8000000000002</v>
      </c>
      <c r="R2788">
        <v>4979411</v>
      </c>
    </row>
    <row r="2789" spans="1:18" x14ac:dyDescent="0.25">
      <c r="A2789" s="170">
        <v>46111</v>
      </c>
      <c r="B2789">
        <v>2397.3000000000002</v>
      </c>
      <c r="C2789">
        <v>2359.0500000000002</v>
      </c>
      <c r="D2789">
        <v>2346.35</v>
      </c>
      <c r="E2789">
        <v>2379.9499999999998</v>
      </c>
      <c r="F2789">
        <v>2359.0500000000002</v>
      </c>
      <c r="G2789">
        <v>515850</v>
      </c>
      <c r="H2789" s="116"/>
      <c r="I2789" s="116"/>
      <c r="L2789" s="170">
        <v>46111</v>
      </c>
      <c r="M2789" s="116">
        <v>2358.9</v>
      </c>
      <c r="N2789" s="116">
        <v>2398</v>
      </c>
      <c r="O2789" s="116">
        <v>2346.1999999999998</v>
      </c>
      <c r="P2789" s="116">
        <v>2375.1</v>
      </c>
      <c r="Q2789" s="116">
        <v>2358.9</v>
      </c>
      <c r="R2789">
        <v>6804756</v>
      </c>
    </row>
    <row r="2790" spans="1:18" x14ac:dyDescent="0.25">
      <c r="A2790" s="170">
        <v>46113</v>
      </c>
      <c r="B2790">
        <v>2470.9</v>
      </c>
      <c r="C2790">
        <v>2408.3000000000002</v>
      </c>
      <c r="D2790">
        <v>2396.65</v>
      </c>
      <c r="E2790">
        <v>2417.1</v>
      </c>
      <c r="F2790">
        <v>2408.3000000000002</v>
      </c>
      <c r="G2790">
        <v>283152</v>
      </c>
      <c r="H2790" s="116"/>
      <c r="I2790" s="116"/>
      <c r="L2790" s="170">
        <v>46113</v>
      </c>
      <c r="M2790" s="116">
        <v>2408.1999999999998</v>
      </c>
      <c r="N2790" s="116">
        <v>2472</v>
      </c>
      <c r="O2790" s="116">
        <v>2397.9</v>
      </c>
      <c r="P2790" s="116">
        <v>2429</v>
      </c>
      <c r="Q2790" s="116">
        <v>2408.1999999999998</v>
      </c>
      <c r="R2790">
        <v>4132661</v>
      </c>
    </row>
    <row r="2791" spans="1:18" x14ac:dyDescent="0.25">
      <c r="A2791" s="170">
        <v>46114</v>
      </c>
      <c r="B2791">
        <v>2469.9</v>
      </c>
      <c r="C2791">
        <v>2451.65</v>
      </c>
      <c r="D2791">
        <v>2377.1999999999998</v>
      </c>
      <c r="E2791">
        <v>2389.9499999999998</v>
      </c>
      <c r="F2791">
        <v>2451.65</v>
      </c>
      <c r="G2791">
        <v>512806</v>
      </c>
      <c r="H2791" s="116"/>
      <c r="I2791" s="116"/>
      <c r="L2791" s="170">
        <v>46114</v>
      </c>
      <c r="M2791" s="116">
        <v>2450.6999999999998</v>
      </c>
      <c r="N2791" s="116">
        <v>2469.9</v>
      </c>
      <c r="O2791" s="116">
        <v>2375.6999999999998</v>
      </c>
      <c r="P2791" s="116">
        <v>2386</v>
      </c>
      <c r="Q2791" s="116">
        <v>2450.6999999999998</v>
      </c>
      <c r="R2791">
        <v>5378361</v>
      </c>
    </row>
    <row r="2792" spans="1:18" x14ac:dyDescent="0.25">
      <c r="A2792" s="170">
        <v>46118</v>
      </c>
      <c r="B2792">
        <v>2482</v>
      </c>
      <c r="C2792">
        <v>2473.5500000000002</v>
      </c>
      <c r="D2792">
        <v>2448.1999999999998</v>
      </c>
      <c r="E2792">
        <v>2455.65</v>
      </c>
      <c r="F2792">
        <v>2473.5500000000002</v>
      </c>
      <c r="G2792">
        <v>137113</v>
      </c>
      <c r="H2792" s="116"/>
      <c r="I2792" s="116"/>
      <c r="L2792" s="170">
        <v>46118</v>
      </c>
      <c r="M2792" s="116">
        <v>2473.9</v>
      </c>
      <c r="N2792" s="116">
        <v>2482</v>
      </c>
      <c r="O2792" s="116">
        <v>2448.1999999999998</v>
      </c>
      <c r="P2792" s="116">
        <v>2474</v>
      </c>
      <c r="Q2792" s="116">
        <v>2473.9</v>
      </c>
      <c r="R2792">
        <v>2572417</v>
      </c>
    </row>
    <row r="2793" spans="1:18" x14ac:dyDescent="0.25">
      <c r="A2793" s="170">
        <v>46119</v>
      </c>
      <c r="B2793">
        <v>2543.9499999999998</v>
      </c>
      <c r="C2793">
        <v>2539.85</v>
      </c>
      <c r="D2793">
        <v>2446.5500000000002</v>
      </c>
      <c r="E2793">
        <v>2468.85</v>
      </c>
      <c r="F2793">
        <v>2539.85</v>
      </c>
      <c r="G2793">
        <v>141868</v>
      </c>
      <c r="H2793" s="116"/>
      <c r="I2793" s="116"/>
      <c r="L2793" s="170">
        <v>46119</v>
      </c>
      <c r="M2793" s="116">
        <v>2539.8000000000002</v>
      </c>
      <c r="N2793" s="116">
        <v>2543.9</v>
      </c>
      <c r="O2793" s="116">
        <v>2448</v>
      </c>
      <c r="P2793" s="116">
        <v>2461</v>
      </c>
      <c r="Q2793" s="116">
        <v>2539.8000000000002</v>
      </c>
      <c r="R2793">
        <v>4516550</v>
      </c>
    </row>
    <row r="2794" spans="1:18" x14ac:dyDescent="0.25">
      <c r="A2794" s="170">
        <v>46120</v>
      </c>
      <c r="B2794">
        <v>2583.9499999999998</v>
      </c>
      <c r="C2794">
        <v>2559.8000000000002</v>
      </c>
      <c r="D2794">
        <v>2540.1999999999998</v>
      </c>
      <c r="E2794">
        <v>2583.9499999999998</v>
      </c>
      <c r="F2794">
        <v>2559.8000000000002</v>
      </c>
      <c r="G2794">
        <v>276577</v>
      </c>
      <c r="H2794" s="116"/>
      <c r="I2794" s="116"/>
      <c r="L2794" s="170">
        <v>46120</v>
      </c>
      <c r="M2794" s="116">
        <v>2559.1999999999998</v>
      </c>
      <c r="N2794" s="116">
        <v>2580.3000000000002</v>
      </c>
      <c r="O2794" s="116">
        <v>2540.1</v>
      </c>
      <c r="P2794" s="116">
        <v>2572</v>
      </c>
      <c r="Q2794" s="116">
        <v>2559.1999999999998</v>
      </c>
      <c r="R2794">
        <v>4769337</v>
      </c>
    </row>
    <row r="2795" spans="1:18" x14ac:dyDescent="0.25">
      <c r="A2795" s="170">
        <v>46121</v>
      </c>
      <c r="B2795">
        <v>2605</v>
      </c>
      <c r="C2795">
        <v>2587.75</v>
      </c>
      <c r="D2795">
        <v>2530.1999999999998</v>
      </c>
      <c r="E2795">
        <v>2559.75</v>
      </c>
      <c r="F2795">
        <v>2587.75</v>
      </c>
      <c r="G2795">
        <v>735772</v>
      </c>
      <c r="H2795" s="116"/>
      <c r="I2795" s="116"/>
      <c r="L2795" s="170">
        <v>46121</v>
      </c>
      <c r="M2795" s="116">
        <v>2589</v>
      </c>
      <c r="N2795" s="116">
        <v>2605</v>
      </c>
      <c r="O2795" s="116">
        <v>2531.1</v>
      </c>
      <c r="P2795" s="116">
        <v>2554</v>
      </c>
      <c r="Q2795" s="116">
        <v>2589</v>
      </c>
      <c r="R2795">
        <v>5628261</v>
      </c>
    </row>
    <row r="2796" spans="1:18" x14ac:dyDescent="0.25">
      <c r="A2796" s="170">
        <v>46122</v>
      </c>
      <c r="B2796">
        <v>2587.8000000000002</v>
      </c>
      <c r="C2796">
        <v>2524.35</v>
      </c>
      <c r="D2796">
        <v>2501.6999999999998</v>
      </c>
      <c r="E2796">
        <v>2587.75</v>
      </c>
      <c r="F2796">
        <v>2524.35</v>
      </c>
      <c r="G2796">
        <v>496022</v>
      </c>
      <c r="H2796" s="116"/>
      <c r="I2796" s="116"/>
      <c r="L2796" s="170">
        <v>46122</v>
      </c>
      <c r="M2796" s="116">
        <v>2524.3000000000002</v>
      </c>
      <c r="N2796" s="116">
        <v>2565.8000000000002</v>
      </c>
      <c r="O2796" s="116">
        <v>2501.1</v>
      </c>
      <c r="P2796" s="116">
        <v>2565.8000000000002</v>
      </c>
      <c r="Q2796" s="116">
        <v>2524.3000000000002</v>
      </c>
      <c r="R2796">
        <v>10480239</v>
      </c>
    </row>
    <row r="2797" spans="1:18" x14ac:dyDescent="0.25">
      <c r="A2797" s="170">
        <v>46125</v>
      </c>
      <c r="B2797">
        <v>2505.9</v>
      </c>
      <c r="C2797">
        <v>2472.65</v>
      </c>
      <c r="D2797">
        <v>2470</v>
      </c>
      <c r="E2797">
        <v>2480.1999999999998</v>
      </c>
      <c r="F2797">
        <v>2472.65</v>
      </c>
      <c r="G2797">
        <v>201038</v>
      </c>
      <c r="H2797" s="116"/>
      <c r="I2797" s="116"/>
      <c r="L2797" s="170">
        <v>46125</v>
      </c>
      <c r="M2797" s="116">
        <v>2472.6</v>
      </c>
      <c r="N2797" s="116">
        <v>2504.9</v>
      </c>
      <c r="O2797" s="116">
        <v>2470</v>
      </c>
      <c r="P2797" s="116">
        <v>2489.9</v>
      </c>
      <c r="Q2797" s="116">
        <v>2472.6</v>
      </c>
      <c r="R2797">
        <v>3739587</v>
      </c>
    </row>
    <row r="2798" spans="1:18" x14ac:dyDescent="0.25">
      <c r="A2798" s="170">
        <v>46127</v>
      </c>
      <c r="B2798">
        <v>2557.5</v>
      </c>
      <c r="C2798">
        <v>2554.4</v>
      </c>
      <c r="D2798">
        <v>2495</v>
      </c>
      <c r="E2798">
        <v>2496.15</v>
      </c>
      <c r="F2798">
        <v>2554.4</v>
      </c>
      <c r="G2798">
        <v>456607</v>
      </c>
      <c r="H2798" s="116"/>
      <c r="I2798" s="116"/>
      <c r="L2798" s="170">
        <v>46127</v>
      </c>
      <c r="M2798" s="116">
        <v>2554.9</v>
      </c>
      <c r="N2798" s="116">
        <v>2559</v>
      </c>
      <c r="O2798" s="116">
        <v>2493.4</v>
      </c>
      <c r="P2798" s="116">
        <v>2501.9</v>
      </c>
      <c r="Q2798" s="116">
        <v>2554.9</v>
      </c>
      <c r="R2798">
        <v>5261384</v>
      </c>
    </row>
    <row r="2799" spans="1:18" x14ac:dyDescent="0.25">
      <c r="A2799" s="170">
        <v>46128</v>
      </c>
      <c r="B2799">
        <v>2593.9</v>
      </c>
      <c r="C2799">
        <v>2577.1</v>
      </c>
      <c r="D2799">
        <v>2558</v>
      </c>
      <c r="E2799">
        <v>2573</v>
      </c>
      <c r="F2799">
        <v>2577.1</v>
      </c>
      <c r="G2799">
        <v>500401</v>
      </c>
      <c r="H2799" s="116"/>
      <c r="I2799" s="116"/>
      <c r="L2799" s="170">
        <v>46128</v>
      </c>
      <c r="M2799" s="116">
        <v>2576.9</v>
      </c>
      <c r="N2799" s="116">
        <v>2594</v>
      </c>
      <c r="O2799" s="116">
        <v>2558</v>
      </c>
      <c r="P2799" s="116">
        <v>2572</v>
      </c>
      <c r="Q2799" s="116">
        <v>2576.9</v>
      </c>
      <c r="R2799">
        <v>3905403</v>
      </c>
    </row>
    <row r="2800" spans="1:18" x14ac:dyDescent="0.25">
      <c r="A2800" s="170">
        <v>46129</v>
      </c>
      <c r="B2800">
        <v>2589</v>
      </c>
      <c r="C2800">
        <v>2581.65</v>
      </c>
      <c r="D2800">
        <v>2556.1</v>
      </c>
      <c r="E2800">
        <v>2576.85</v>
      </c>
      <c r="F2800">
        <v>2581.65</v>
      </c>
      <c r="G2800">
        <v>154121</v>
      </c>
      <c r="H2800" s="116"/>
      <c r="I2800" s="116"/>
      <c r="L2800" s="170">
        <v>46129</v>
      </c>
      <c r="M2800" s="116">
        <v>2581.5</v>
      </c>
      <c r="N2800" s="116">
        <v>2589</v>
      </c>
      <c r="O2800" s="116">
        <v>2555.9</v>
      </c>
      <c r="P2800" s="116">
        <v>2570</v>
      </c>
      <c r="Q2800" s="116">
        <v>2581.5</v>
      </c>
      <c r="R2800">
        <v>2718206</v>
      </c>
    </row>
    <row r="2801" spans="1:18" x14ac:dyDescent="0.25">
      <c r="A2801" s="170">
        <v>46132</v>
      </c>
      <c r="B2801">
        <v>2594.4</v>
      </c>
      <c r="C2801">
        <v>2578.4499999999998</v>
      </c>
      <c r="D2801">
        <v>2561.65</v>
      </c>
      <c r="E2801">
        <v>2594.4</v>
      </c>
      <c r="F2801">
        <v>2578.4499999999998</v>
      </c>
      <c r="G2801">
        <v>141974</v>
      </c>
      <c r="H2801" s="116"/>
      <c r="I2801" s="116"/>
      <c r="L2801" s="170">
        <v>46132</v>
      </c>
      <c r="M2801" s="116">
        <v>2579.6</v>
      </c>
      <c r="N2801" s="116">
        <v>2594</v>
      </c>
      <c r="O2801" s="116">
        <v>2561.1999999999998</v>
      </c>
      <c r="P2801" s="116">
        <v>2587.1</v>
      </c>
      <c r="Q2801" s="116">
        <v>2579.6</v>
      </c>
      <c r="R2801">
        <v>2288558</v>
      </c>
    </row>
    <row r="2802" spans="1:18" x14ac:dyDescent="0.25">
      <c r="A2802" s="170">
        <v>46133</v>
      </c>
      <c r="B2802">
        <v>2613.9499999999998</v>
      </c>
      <c r="C2802">
        <v>2610.5500000000002</v>
      </c>
      <c r="D2802">
        <v>2557.65</v>
      </c>
      <c r="E2802">
        <v>2567.75</v>
      </c>
      <c r="F2802">
        <v>2610.5500000000002</v>
      </c>
      <c r="G2802">
        <v>110854</v>
      </c>
      <c r="H2802" s="116"/>
      <c r="I2802" s="116"/>
      <c r="L2802" s="170">
        <v>46133</v>
      </c>
      <c r="M2802" s="116">
        <v>2610.5</v>
      </c>
      <c r="N2802" s="116">
        <v>2614</v>
      </c>
      <c r="O2802" s="116">
        <v>2560</v>
      </c>
      <c r="P2802" s="116">
        <v>2560</v>
      </c>
      <c r="Q2802" s="116">
        <v>2610.5</v>
      </c>
      <c r="R2802">
        <v>2719959</v>
      </c>
    </row>
    <row r="2803" spans="1:18" x14ac:dyDescent="0.25">
      <c r="A2803" s="170">
        <v>46134</v>
      </c>
      <c r="B2803">
        <v>2587.9499999999998</v>
      </c>
      <c r="C2803">
        <v>2537.5500000000002</v>
      </c>
      <c r="D2803">
        <v>2504.0500000000002</v>
      </c>
      <c r="E2803">
        <v>2587.9499999999998</v>
      </c>
      <c r="F2803">
        <v>2537.5500000000002</v>
      </c>
      <c r="G2803">
        <v>301395</v>
      </c>
      <c r="H2803" s="116"/>
      <c r="I2803" s="116"/>
      <c r="L2803" s="170">
        <v>46134</v>
      </c>
      <c r="M2803" s="116">
        <v>2538.5</v>
      </c>
      <c r="N2803" s="116">
        <v>2580</v>
      </c>
      <c r="O2803" s="116">
        <v>2503.6</v>
      </c>
      <c r="P2803" s="116">
        <v>2580</v>
      </c>
      <c r="Q2803" s="116">
        <v>2538.5</v>
      </c>
      <c r="R2803">
        <v>5232045</v>
      </c>
    </row>
    <row r="2804" spans="1:18" x14ac:dyDescent="0.25">
      <c r="A2804" s="170">
        <v>46135</v>
      </c>
      <c r="B2804">
        <v>2559</v>
      </c>
      <c r="C2804">
        <v>2522.5500000000002</v>
      </c>
      <c r="D2804">
        <v>2516.1</v>
      </c>
      <c r="E2804">
        <v>2538.9499999999998</v>
      </c>
      <c r="F2804">
        <v>2522.5500000000002</v>
      </c>
      <c r="G2804">
        <v>206766</v>
      </c>
      <c r="H2804" s="116"/>
      <c r="I2804" s="116"/>
      <c r="L2804" s="170">
        <v>46135</v>
      </c>
      <c r="M2804" s="116">
        <v>2521.8000000000002</v>
      </c>
      <c r="N2804" s="116">
        <v>2559.5</v>
      </c>
      <c r="O2804" s="116">
        <v>2516.3000000000002</v>
      </c>
      <c r="P2804" s="116">
        <v>2529</v>
      </c>
      <c r="Q2804" s="116">
        <v>2521.8000000000002</v>
      </c>
      <c r="R2804">
        <v>2509050</v>
      </c>
    </row>
    <row r="2805" spans="1:18" x14ac:dyDescent="0.25">
      <c r="A2805" s="170">
        <v>46136</v>
      </c>
      <c r="B2805">
        <v>2505</v>
      </c>
      <c r="C2805">
        <v>2397.3000000000002</v>
      </c>
      <c r="D2805">
        <v>2389</v>
      </c>
      <c r="E2805">
        <v>2499.9</v>
      </c>
      <c r="F2805">
        <v>2397.3000000000002</v>
      </c>
      <c r="G2805">
        <v>387455</v>
      </c>
      <c r="H2805" s="116"/>
      <c r="I2805" s="116"/>
      <c r="L2805" s="170">
        <v>46136</v>
      </c>
      <c r="M2805" s="116">
        <v>2396.9</v>
      </c>
      <c r="N2805" s="116">
        <v>2505</v>
      </c>
      <c r="O2805" s="116">
        <v>2388.8000000000002</v>
      </c>
      <c r="P2805" s="116">
        <v>2488</v>
      </c>
      <c r="Q2805" s="116">
        <v>2396.9</v>
      </c>
      <c r="R2805">
        <v>5107719</v>
      </c>
    </row>
    <row r="2806" spans="1:18" x14ac:dyDescent="0.25">
      <c r="A2806" s="170">
        <v>46139</v>
      </c>
      <c r="B2806">
        <v>2458.5</v>
      </c>
      <c r="C2806">
        <v>2447.4499999999998</v>
      </c>
      <c r="D2806">
        <v>2396.9</v>
      </c>
      <c r="E2806">
        <v>2396.9</v>
      </c>
      <c r="F2806">
        <v>2447.4499999999998</v>
      </c>
      <c r="G2806">
        <v>225741</v>
      </c>
      <c r="H2806" s="116"/>
      <c r="I2806" s="116"/>
      <c r="L2806" s="170">
        <v>46139</v>
      </c>
      <c r="M2806" s="116">
        <v>2447.6</v>
      </c>
      <c r="N2806" s="116">
        <v>2459</v>
      </c>
      <c r="O2806" s="116">
        <v>2396.9</v>
      </c>
      <c r="P2806" s="116">
        <v>2396.9</v>
      </c>
      <c r="Q2806" s="116">
        <v>2447.6</v>
      </c>
      <c r="R2806">
        <v>5853425</v>
      </c>
    </row>
    <row r="2807" spans="1:18" x14ac:dyDescent="0.25">
      <c r="A2807" s="170">
        <v>46140</v>
      </c>
      <c r="B2807">
        <v>2486.3000000000002</v>
      </c>
      <c r="C2807">
        <v>2444.6999999999998</v>
      </c>
      <c r="D2807">
        <v>2428</v>
      </c>
      <c r="E2807">
        <v>2449</v>
      </c>
      <c r="F2807">
        <v>2444.6999999999998</v>
      </c>
      <c r="G2807">
        <v>58714</v>
      </c>
      <c r="H2807" s="116"/>
      <c r="I2807" s="116"/>
      <c r="L2807" s="170">
        <v>46140</v>
      </c>
      <c r="M2807" s="116">
        <v>2444.6999999999998</v>
      </c>
      <c r="N2807" s="116">
        <v>2487</v>
      </c>
      <c r="O2807" s="116">
        <v>2427.4</v>
      </c>
      <c r="P2807" s="116">
        <v>2444</v>
      </c>
      <c r="Q2807" s="116">
        <v>2444.6999999999998</v>
      </c>
      <c r="R2807">
        <v>4508363</v>
      </c>
    </row>
    <row r="2808" spans="1:18" x14ac:dyDescent="0.25">
      <c r="A2808" s="170">
        <v>46141</v>
      </c>
      <c r="B2808">
        <v>2487.9</v>
      </c>
      <c r="C2808">
        <v>2473.1999999999998</v>
      </c>
      <c r="D2808">
        <v>2446.1999999999998</v>
      </c>
      <c r="E2808">
        <v>2446.1999999999998</v>
      </c>
      <c r="F2808">
        <v>2473.1999999999998</v>
      </c>
      <c r="G2808">
        <v>139941</v>
      </c>
      <c r="H2808" s="116"/>
      <c r="I2808" s="116"/>
      <c r="L2808" s="170">
        <v>46141</v>
      </c>
      <c r="M2808" s="116">
        <v>2474.6999999999998</v>
      </c>
      <c r="N2808" s="116">
        <v>2487.9</v>
      </c>
      <c r="O2808" s="116">
        <v>2447.6</v>
      </c>
      <c r="P2808" s="116">
        <v>2451</v>
      </c>
      <c r="Q2808" s="116">
        <v>2474.6999999999998</v>
      </c>
      <c r="R2808">
        <v>2835961</v>
      </c>
    </row>
    <row r="2809" spans="1:18" x14ac:dyDescent="0.25">
      <c r="A2809" s="170">
        <v>46142</v>
      </c>
      <c r="B2809">
        <v>2491.4</v>
      </c>
      <c r="C2809">
        <v>2473.5</v>
      </c>
      <c r="D2809">
        <v>2438.1</v>
      </c>
      <c r="E2809">
        <v>2473.25</v>
      </c>
      <c r="F2809">
        <v>2473.5</v>
      </c>
      <c r="G2809">
        <v>456652</v>
      </c>
      <c r="H2809" s="116"/>
      <c r="I2809" s="116"/>
      <c r="L2809" s="170">
        <v>46142</v>
      </c>
      <c r="M2809" s="116">
        <v>2473.9</v>
      </c>
      <c r="N2809" s="116">
        <v>2491</v>
      </c>
      <c r="O2809" s="116">
        <v>2438</v>
      </c>
      <c r="P2809" s="116">
        <v>2479</v>
      </c>
      <c r="Q2809" s="116">
        <v>2473.9</v>
      </c>
      <c r="R2809">
        <v>3970446</v>
      </c>
    </row>
    <row r="2810" spans="1:18" x14ac:dyDescent="0.25">
      <c r="A2810" s="170">
        <v>46146</v>
      </c>
      <c r="B2810">
        <v>2499.9499999999998</v>
      </c>
      <c r="C2810">
        <v>2430.75</v>
      </c>
      <c r="D2810">
        <v>2425</v>
      </c>
      <c r="E2810">
        <v>2499.9499999999998</v>
      </c>
      <c r="F2810">
        <v>2430.75</v>
      </c>
      <c r="G2810">
        <v>325892</v>
      </c>
      <c r="H2810" s="116"/>
      <c r="I2810" s="116"/>
      <c r="L2810" s="170">
        <v>46146</v>
      </c>
      <c r="M2810" s="116">
        <v>2431.3000000000002</v>
      </c>
      <c r="N2810" s="116">
        <v>2498.3000000000002</v>
      </c>
      <c r="O2810" s="116">
        <v>2425</v>
      </c>
      <c r="P2810" s="116">
        <v>2494</v>
      </c>
      <c r="Q2810" s="116">
        <v>2431.3000000000002</v>
      </c>
      <c r="R2810">
        <v>2632358</v>
      </c>
    </row>
    <row r="2811" spans="1:18" x14ac:dyDescent="0.25">
      <c r="A2811" s="170">
        <v>46147</v>
      </c>
      <c r="B2811">
        <v>2460</v>
      </c>
      <c r="C2811">
        <v>2426.75</v>
      </c>
      <c r="D2811">
        <v>2412.9</v>
      </c>
      <c r="E2811">
        <v>2432</v>
      </c>
      <c r="F2811">
        <v>2426.75</v>
      </c>
      <c r="G2811">
        <v>85976</v>
      </c>
      <c r="H2811" s="116"/>
      <c r="I2811" s="116"/>
      <c r="L2811" s="170">
        <v>46147</v>
      </c>
      <c r="M2811" s="116">
        <v>2427.3000000000002</v>
      </c>
      <c r="N2811" s="116">
        <v>2460.4</v>
      </c>
      <c r="O2811" s="116">
        <v>2412.1999999999998</v>
      </c>
      <c r="P2811" s="116">
        <v>2430</v>
      </c>
      <c r="Q2811" s="116">
        <v>2427.3000000000002</v>
      </c>
      <c r="R2811">
        <v>3385720</v>
      </c>
    </row>
    <row r="2812" spans="1:18" x14ac:dyDescent="0.25">
      <c r="A2812" s="170">
        <v>46148</v>
      </c>
      <c r="B2812">
        <v>2474.85</v>
      </c>
      <c r="C2812">
        <v>2435.35</v>
      </c>
      <c r="D2812">
        <v>2407.1</v>
      </c>
      <c r="E2812">
        <v>2474.85</v>
      </c>
      <c r="F2812">
        <v>2435.35</v>
      </c>
      <c r="G2812">
        <v>70524</v>
      </c>
      <c r="H2812" s="116"/>
      <c r="I2812" s="116"/>
      <c r="L2812" s="170">
        <v>46148</v>
      </c>
      <c r="M2812" s="116">
        <v>2435.4</v>
      </c>
      <c r="N2812" s="116">
        <v>2471</v>
      </c>
      <c r="O2812" s="116">
        <v>2406.5</v>
      </c>
      <c r="P2812" s="116">
        <v>2441.9</v>
      </c>
      <c r="Q2812" s="116">
        <v>2435.4</v>
      </c>
      <c r="R2812">
        <v>3147628</v>
      </c>
    </row>
    <row r="2813" spans="1:18" x14ac:dyDescent="0.25">
      <c r="A2813" s="170">
        <v>46149</v>
      </c>
      <c r="B2813">
        <v>2440</v>
      </c>
      <c r="C2813">
        <v>2401.75</v>
      </c>
      <c r="D2813">
        <v>2397.5500000000002</v>
      </c>
      <c r="E2813">
        <v>2440</v>
      </c>
      <c r="F2813">
        <v>2401.75</v>
      </c>
      <c r="G2813">
        <v>316197</v>
      </c>
      <c r="H2813" s="116"/>
      <c r="I2813" s="116"/>
      <c r="L2813" s="170">
        <v>46149</v>
      </c>
      <c r="M2813" s="116">
        <v>2401.4</v>
      </c>
      <c r="N2813" s="116">
        <v>2439.6999999999998</v>
      </c>
      <c r="O2813" s="116">
        <v>2398</v>
      </c>
      <c r="P2813" s="116">
        <v>2438.1999999999998</v>
      </c>
      <c r="Q2813" s="116">
        <v>2401.4</v>
      </c>
      <c r="R2813">
        <v>5829594</v>
      </c>
    </row>
    <row r="2814" spans="1:18" x14ac:dyDescent="0.25">
      <c r="A2814" s="170">
        <v>46150</v>
      </c>
      <c r="B2814">
        <v>2406.85</v>
      </c>
      <c r="C2814">
        <v>2394.85</v>
      </c>
      <c r="D2814">
        <v>2375</v>
      </c>
      <c r="E2814">
        <v>2400</v>
      </c>
      <c r="F2814">
        <v>2394.85</v>
      </c>
      <c r="G2814">
        <v>195804</v>
      </c>
      <c r="H2814" s="116"/>
      <c r="I2814" s="116"/>
      <c r="L2814" s="170">
        <v>46150</v>
      </c>
      <c r="M2814" s="116">
        <v>2394.4</v>
      </c>
      <c r="N2814" s="116">
        <v>2407</v>
      </c>
      <c r="O2814" s="116">
        <v>2375.1</v>
      </c>
      <c r="P2814" s="116">
        <v>2398</v>
      </c>
      <c r="Q2814" s="116">
        <v>2394.4</v>
      </c>
      <c r="R2814">
        <v>3792199</v>
      </c>
    </row>
    <row r="2815" spans="1:18" x14ac:dyDescent="0.25">
      <c r="A2815" s="170">
        <v>46153</v>
      </c>
      <c r="B2815">
        <v>2415</v>
      </c>
      <c r="C2815">
        <v>2392.4499999999998</v>
      </c>
      <c r="D2815">
        <v>2370</v>
      </c>
      <c r="E2815">
        <v>2370</v>
      </c>
      <c r="F2815">
        <v>2392.4499999999998</v>
      </c>
      <c r="G2815">
        <v>163025</v>
      </c>
      <c r="H2815" s="116"/>
      <c r="I2815" s="116"/>
      <c r="L2815" s="170">
        <v>46153</v>
      </c>
      <c r="M2815" s="116">
        <v>2392.9</v>
      </c>
      <c r="N2815" s="116">
        <v>2415</v>
      </c>
      <c r="O2815" s="116">
        <v>2371</v>
      </c>
      <c r="P2815" s="116">
        <v>2371</v>
      </c>
      <c r="Q2815" s="116">
        <v>2392.9</v>
      </c>
      <c r="R2815">
        <v>1975188</v>
      </c>
    </row>
    <row r="2816" spans="1:18" x14ac:dyDescent="0.25">
      <c r="A2816" s="170">
        <v>46154</v>
      </c>
      <c r="B2816">
        <v>2371.8000000000002</v>
      </c>
      <c r="C2816">
        <v>2300.65</v>
      </c>
      <c r="D2816">
        <v>2283.0500000000002</v>
      </c>
      <c r="E2816">
        <v>2370</v>
      </c>
      <c r="F2816">
        <v>2300.65</v>
      </c>
      <c r="G2816">
        <v>277898</v>
      </c>
      <c r="H2816" s="116"/>
      <c r="I2816" s="116"/>
      <c r="L2816" s="170">
        <v>46154</v>
      </c>
      <c r="M2816" s="116">
        <v>2300.3000000000002</v>
      </c>
      <c r="N2816" s="116">
        <v>2375</v>
      </c>
      <c r="O2816" s="116">
        <v>2283</v>
      </c>
      <c r="P2816" s="116">
        <v>2375</v>
      </c>
      <c r="Q2816" s="116">
        <v>2300.3000000000002</v>
      </c>
      <c r="R2816">
        <v>6347884</v>
      </c>
    </row>
    <row r="2817" spans="1:18" x14ac:dyDescent="0.25">
      <c r="A2817" s="170">
        <v>46155</v>
      </c>
      <c r="B2817">
        <v>2310</v>
      </c>
      <c r="C2817">
        <v>2272.6999999999998</v>
      </c>
      <c r="D2817">
        <v>2270</v>
      </c>
      <c r="E2817">
        <v>2300.75</v>
      </c>
      <c r="F2817">
        <v>2272.6999999999998</v>
      </c>
      <c r="G2817">
        <v>210328</v>
      </c>
      <c r="H2817" s="116"/>
      <c r="I2817" s="116"/>
      <c r="L2817" s="170">
        <v>46155</v>
      </c>
      <c r="M2817" s="116">
        <v>2272.8000000000002</v>
      </c>
      <c r="N2817" s="116">
        <v>2309.1999999999998</v>
      </c>
      <c r="O2817" s="116">
        <v>2269</v>
      </c>
      <c r="P2817" s="116">
        <v>2306</v>
      </c>
      <c r="Q2817" s="116">
        <v>2272.8000000000002</v>
      </c>
      <c r="R2817">
        <v>3171843</v>
      </c>
    </row>
    <row r="2818" spans="1:18" x14ac:dyDescent="0.25">
      <c r="A2818" s="170">
        <v>46156</v>
      </c>
      <c r="B2818">
        <v>2271.85</v>
      </c>
      <c r="C2818">
        <v>2245.85</v>
      </c>
      <c r="D2818">
        <v>2210</v>
      </c>
      <c r="E2818">
        <v>2271.85</v>
      </c>
      <c r="F2818">
        <v>2245.85</v>
      </c>
      <c r="G2818">
        <v>670456</v>
      </c>
      <c r="H2818" s="116"/>
      <c r="I2818" s="116"/>
      <c r="L2818" s="170">
        <v>46156</v>
      </c>
      <c r="M2818" s="116">
        <v>2246</v>
      </c>
      <c r="N2818" s="116">
        <v>2265</v>
      </c>
      <c r="O2818" s="116">
        <v>2206.4</v>
      </c>
      <c r="P2818" s="116">
        <v>2265</v>
      </c>
      <c r="Q2818" s="116">
        <v>2246</v>
      </c>
      <c r="R2818">
        <v>5633313</v>
      </c>
    </row>
    <row r="2819" spans="1:18" x14ac:dyDescent="0.25">
      <c r="A2819" s="170">
        <v>46157</v>
      </c>
      <c r="B2819">
        <v>2304.1999999999998</v>
      </c>
      <c r="C2819">
        <v>2263.8000000000002</v>
      </c>
      <c r="D2819">
        <v>2253.9</v>
      </c>
      <c r="E2819">
        <v>2253.9499999999998</v>
      </c>
      <c r="F2819">
        <v>2263.8000000000002</v>
      </c>
      <c r="G2819">
        <v>98827</v>
      </c>
      <c r="H2819" s="116"/>
      <c r="I2819" s="116"/>
      <c r="L2819" s="170">
        <v>46157</v>
      </c>
      <c r="M2819" s="116">
        <v>2264</v>
      </c>
      <c r="N2819" s="116">
        <v>2304.9</v>
      </c>
      <c r="O2819" s="116">
        <v>2252</v>
      </c>
      <c r="P2819" s="116">
        <v>2252</v>
      </c>
      <c r="Q2819" s="116">
        <v>2264</v>
      </c>
      <c r="R2819">
        <v>3410637</v>
      </c>
    </row>
    <row r="2820" spans="1:18" x14ac:dyDescent="0.25">
      <c r="A2820" s="170">
        <v>46160</v>
      </c>
      <c r="B2820">
        <v>2292.5500000000002</v>
      </c>
      <c r="C2820">
        <v>2284.1999999999998</v>
      </c>
      <c r="D2820">
        <v>2252.9499999999998</v>
      </c>
      <c r="E2820">
        <v>2272.85</v>
      </c>
      <c r="F2820">
        <v>2284.1999999999998</v>
      </c>
      <c r="G2820">
        <v>157334</v>
      </c>
      <c r="H2820" s="116"/>
      <c r="I2820" s="116"/>
      <c r="L2820" s="170">
        <v>46160</v>
      </c>
      <c r="M2820" s="116">
        <v>2283.1999999999998</v>
      </c>
      <c r="N2820" s="116">
        <v>2292.9</v>
      </c>
      <c r="O2820" s="116">
        <v>2252.1999999999998</v>
      </c>
      <c r="P2820" s="116">
        <v>2264</v>
      </c>
      <c r="Q2820" s="116">
        <v>2283.1999999999998</v>
      </c>
      <c r="R2820">
        <v>3773336</v>
      </c>
    </row>
    <row r="2821" spans="1:18" x14ac:dyDescent="0.25">
      <c r="A2821" s="170">
        <v>46161</v>
      </c>
      <c r="B2821">
        <v>2377</v>
      </c>
      <c r="C2821">
        <v>2327.5500000000002</v>
      </c>
      <c r="D2821">
        <v>2293.1</v>
      </c>
      <c r="E2821">
        <v>2293.1</v>
      </c>
      <c r="F2821">
        <v>2327.5500000000002</v>
      </c>
      <c r="G2821">
        <v>382267</v>
      </c>
      <c r="H2821" s="116"/>
      <c r="I2821" s="116"/>
      <c r="L2821" s="170">
        <v>46161</v>
      </c>
      <c r="M2821" s="116">
        <v>2327.1</v>
      </c>
      <c r="N2821" s="116">
        <v>2377.6</v>
      </c>
      <c r="O2821" s="116">
        <v>2297.1</v>
      </c>
      <c r="P2821" s="116">
        <v>2300</v>
      </c>
      <c r="Q2821" s="116">
        <v>2327.1</v>
      </c>
      <c r="R2821">
        <v>10394707</v>
      </c>
    </row>
    <row r="2822" spans="1:18" x14ac:dyDescent="0.25">
      <c r="A2822" s="170">
        <v>46162</v>
      </c>
      <c r="B2822">
        <v>2343</v>
      </c>
      <c r="C2822">
        <v>2327.15</v>
      </c>
      <c r="D2822">
        <v>2317.0500000000002</v>
      </c>
      <c r="E2822">
        <v>2329.6</v>
      </c>
      <c r="F2822">
        <v>2327.15</v>
      </c>
      <c r="G2822">
        <v>199985</v>
      </c>
      <c r="H2822" s="116"/>
      <c r="I2822" s="116"/>
      <c r="L2822" s="170">
        <v>46162</v>
      </c>
      <c r="M2822" s="116">
        <v>2327.4</v>
      </c>
      <c r="N2822" s="116">
        <v>2342</v>
      </c>
      <c r="O2822" s="116">
        <v>2317.8000000000002</v>
      </c>
      <c r="P2822" s="116">
        <v>2323.9</v>
      </c>
      <c r="Q2822" s="116">
        <v>2327.4</v>
      </c>
      <c r="R2822">
        <v>2537422</v>
      </c>
    </row>
    <row r="2823" spans="1:18" x14ac:dyDescent="0.25">
      <c r="A2823" s="170">
        <v>46163</v>
      </c>
      <c r="B2823">
        <v>2332.9499999999998</v>
      </c>
      <c r="C2823">
        <v>2327.8000000000002</v>
      </c>
      <c r="D2823">
        <v>2314.1</v>
      </c>
      <c r="E2823">
        <v>2327.4</v>
      </c>
      <c r="F2823">
        <v>2327.8000000000002</v>
      </c>
      <c r="G2823">
        <v>234071</v>
      </c>
      <c r="H2823" s="116"/>
      <c r="I2823" s="116"/>
      <c r="L2823" s="170">
        <v>46163</v>
      </c>
      <c r="M2823" s="116">
        <v>2327.1999999999998</v>
      </c>
      <c r="N2823" s="116">
        <v>2335.9</v>
      </c>
      <c r="O2823" s="116">
        <v>2314</v>
      </c>
      <c r="P2823" s="116">
        <v>2331</v>
      </c>
      <c r="Q2823" s="116">
        <v>2327.1999999999998</v>
      </c>
      <c r="R2823">
        <v>3299087</v>
      </c>
    </row>
    <row r="2824" spans="1:18" x14ac:dyDescent="0.25">
      <c r="A2824" s="170">
        <v>46164</v>
      </c>
      <c r="B2824">
        <v>2339.65</v>
      </c>
      <c r="C2824">
        <v>2317.25</v>
      </c>
      <c r="D2824">
        <v>2310</v>
      </c>
      <c r="E2824">
        <v>2328.1</v>
      </c>
      <c r="F2824">
        <v>2317.25</v>
      </c>
      <c r="G2824">
        <v>890790</v>
      </c>
      <c r="H2824" s="116"/>
      <c r="I2824" s="116"/>
      <c r="L2824" s="170">
        <v>46164</v>
      </c>
      <c r="M2824" s="116">
        <v>2317.3000000000002</v>
      </c>
      <c r="N2824" s="116">
        <v>2340</v>
      </c>
      <c r="O2824" s="116">
        <v>2308.1</v>
      </c>
      <c r="P2824" s="116">
        <v>2331.1</v>
      </c>
      <c r="Q2824" s="116">
        <v>2317.3000000000002</v>
      </c>
      <c r="R2824">
        <v>2617262</v>
      </c>
    </row>
    <row r="2825" spans="1:18" x14ac:dyDescent="0.25">
      <c r="A2825" s="170">
        <v>46167</v>
      </c>
      <c r="B2825">
        <v>2349.8000000000002</v>
      </c>
      <c r="C2825">
        <v>2307.75</v>
      </c>
      <c r="D2825">
        <v>2293.3000000000002</v>
      </c>
      <c r="E2825">
        <v>2349.8000000000002</v>
      </c>
      <c r="F2825">
        <v>2307.75</v>
      </c>
      <c r="G2825">
        <v>62982</v>
      </c>
      <c r="H2825" s="116"/>
      <c r="I2825" s="116"/>
      <c r="L2825" s="170">
        <v>46167</v>
      </c>
      <c r="M2825" s="116">
        <v>2308.1999999999998</v>
      </c>
      <c r="N2825" s="116">
        <v>2326.1</v>
      </c>
      <c r="O2825" s="116">
        <v>2293</v>
      </c>
      <c r="P2825" s="116">
        <v>2325</v>
      </c>
      <c r="Q2825" s="116">
        <v>2308.1999999999998</v>
      </c>
      <c r="R2825">
        <v>3298364</v>
      </c>
    </row>
    <row r="2826" spans="1:18" x14ac:dyDescent="0.25">
      <c r="A2826" s="170">
        <v>46168</v>
      </c>
      <c r="B2826">
        <v>2327.65</v>
      </c>
      <c r="C2826">
        <v>2276.6999999999998</v>
      </c>
      <c r="D2826">
        <v>2272.5</v>
      </c>
      <c r="E2826">
        <v>2307</v>
      </c>
      <c r="F2826">
        <v>2276.6999999999998</v>
      </c>
      <c r="G2826">
        <v>103876</v>
      </c>
      <c r="H2826" s="116"/>
      <c r="I2826" s="116"/>
      <c r="L2826" s="170">
        <v>46168</v>
      </c>
      <c r="M2826" s="116">
        <v>2276.1999999999998</v>
      </c>
      <c r="N2826" s="116">
        <v>2327.9</v>
      </c>
      <c r="O2826" s="116">
        <v>2272.4</v>
      </c>
      <c r="P2826" s="116">
        <v>2308.1999999999998</v>
      </c>
      <c r="Q2826" s="116">
        <v>2276.1999999999998</v>
      </c>
      <c r="R2826">
        <v>3587597</v>
      </c>
    </row>
    <row r="2827" spans="1:18" x14ac:dyDescent="0.25">
      <c r="A2827" s="170">
        <v>46169</v>
      </c>
      <c r="B2827">
        <v>2295.3000000000002</v>
      </c>
      <c r="C2827">
        <v>2281</v>
      </c>
      <c r="D2827">
        <v>2261</v>
      </c>
      <c r="E2827">
        <v>2277</v>
      </c>
      <c r="F2827">
        <v>2281</v>
      </c>
      <c r="G2827">
        <v>395626</v>
      </c>
      <c r="H2827" s="116"/>
      <c r="I2827" s="116"/>
      <c r="L2827" s="170">
        <v>46169</v>
      </c>
      <c r="M2827" s="116">
        <v>2284.1999999999998</v>
      </c>
      <c r="N2827" s="116">
        <v>2295.6</v>
      </c>
      <c r="O2827" s="116">
        <v>2260.9</v>
      </c>
      <c r="P2827" s="116">
        <v>2275</v>
      </c>
      <c r="Q2827" s="116">
        <v>2284.1999999999998</v>
      </c>
      <c r="R2827">
        <v>2653950</v>
      </c>
    </row>
    <row r="2828" spans="1:18" x14ac:dyDescent="0.25">
      <c r="A2828" s="170">
        <v>46171</v>
      </c>
      <c r="B2828">
        <v>2333.6999999999998</v>
      </c>
      <c r="C2828">
        <v>2253.9</v>
      </c>
      <c r="D2828">
        <v>2235</v>
      </c>
      <c r="E2828">
        <v>2313.4499999999998</v>
      </c>
      <c r="F2828">
        <v>2253.9</v>
      </c>
      <c r="G2828">
        <v>250006</v>
      </c>
      <c r="H2828" s="116"/>
      <c r="I2828" s="116"/>
      <c r="L2828" s="170">
        <v>46171</v>
      </c>
      <c r="M2828" s="116">
        <v>2258.9</v>
      </c>
      <c r="N2828" s="116">
        <v>2334</v>
      </c>
      <c r="O2828" s="116">
        <v>2235</v>
      </c>
      <c r="P2828" s="116">
        <v>2291</v>
      </c>
      <c r="Q2828" s="116">
        <v>2258.9</v>
      </c>
      <c r="R2828">
        <v>16331582</v>
      </c>
    </row>
    <row r="2829" spans="1:18" x14ac:dyDescent="0.25">
      <c r="A2829" s="170">
        <v>46174</v>
      </c>
      <c r="B2829">
        <v>2335.6999999999998</v>
      </c>
      <c r="C2829">
        <v>2297.9499999999998</v>
      </c>
      <c r="D2829">
        <v>2278.6</v>
      </c>
      <c r="E2829">
        <v>2286.85</v>
      </c>
      <c r="F2829">
        <v>2297.9499999999998</v>
      </c>
      <c r="G2829">
        <v>161804</v>
      </c>
      <c r="H2829" s="116"/>
      <c r="I2829" s="116"/>
      <c r="L2829" s="170">
        <v>46174</v>
      </c>
      <c r="M2829" s="116">
        <v>2297.4</v>
      </c>
      <c r="N2829" s="116">
        <v>2335</v>
      </c>
      <c r="O2829" s="116">
        <v>2280</v>
      </c>
      <c r="P2829" s="116">
        <v>2284</v>
      </c>
      <c r="Q2829" s="116">
        <v>2297.4</v>
      </c>
      <c r="R2829">
        <v>7505095</v>
      </c>
    </row>
    <row r="2830" spans="1:18" x14ac:dyDescent="0.25">
      <c r="A2830" s="170">
        <v>46175</v>
      </c>
      <c r="B2830">
        <v>2457</v>
      </c>
      <c r="C2830">
        <v>2448.1</v>
      </c>
      <c r="D2830">
        <v>2315</v>
      </c>
      <c r="E2830">
        <v>2315</v>
      </c>
      <c r="F2830">
        <v>2448.1</v>
      </c>
      <c r="G2830">
        <v>693123</v>
      </c>
      <c r="H2830" s="116"/>
      <c r="I2830" s="116"/>
      <c r="L2830" s="170">
        <v>46175</v>
      </c>
      <c r="M2830" s="116">
        <v>2446.9</v>
      </c>
      <c r="N2830" s="116">
        <v>2457.4</v>
      </c>
      <c r="O2830" s="116">
        <v>2316.1999999999998</v>
      </c>
      <c r="P2830" s="116">
        <v>2320</v>
      </c>
      <c r="Q2830" s="116">
        <v>2446.9</v>
      </c>
      <c r="R2830">
        <v>11306127</v>
      </c>
    </row>
    <row r="2831" spans="1:18" x14ac:dyDescent="0.25">
      <c r="A2831" s="170">
        <v>46176</v>
      </c>
      <c r="B2831">
        <v>2405.5</v>
      </c>
      <c r="C2831">
        <v>2241.6999999999998</v>
      </c>
      <c r="D2831">
        <v>2225.4499999999998</v>
      </c>
      <c r="E2831">
        <v>2405.5</v>
      </c>
      <c r="F2831">
        <v>2241.6999999999998</v>
      </c>
      <c r="G2831">
        <v>1148517</v>
      </c>
      <c r="H2831" s="116"/>
      <c r="I2831" s="116"/>
      <c r="L2831" s="170">
        <v>46176</v>
      </c>
      <c r="M2831" s="116">
        <v>2241.6999999999998</v>
      </c>
      <c r="N2831" s="116">
        <v>2393</v>
      </c>
      <c r="O2831" s="116">
        <v>2224.8000000000002</v>
      </c>
      <c r="P2831" s="116">
        <v>2393</v>
      </c>
      <c r="Q2831" s="116">
        <v>2241.6999999999998</v>
      </c>
      <c r="R2831">
        <v>15660062</v>
      </c>
    </row>
    <row r="2832" spans="1:18" x14ac:dyDescent="0.25">
      <c r="A2832" s="170">
        <v>46177</v>
      </c>
      <c r="B2832">
        <v>2253.85</v>
      </c>
      <c r="C2832">
        <v>2239.6</v>
      </c>
      <c r="D2832">
        <v>2217.0500000000002</v>
      </c>
      <c r="E2832">
        <v>2241.6999999999998</v>
      </c>
      <c r="F2832">
        <v>2239.6</v>
      </c>
      <c r="G2832">
        <v>291457</v>
      </c>
      <c r="H2832" s="116"/>
      <c r="I2832" s="116"/>
      <c r="L2832" s="170">
        <v>46177</v>
      </c>
      <c r="M2832" s="116">
        <v>2241</v>
      </c>
      <c r="N2832" s="116">
        <v>2253.1</v>
      </c>
      <c r="O2832" s="116">
        <v>2216.6</v>
      </c>
      <c r="P2832" s="116">
        <v>2241.6999999999998</v>
      </c>
      <c r="Q2832" s="116">
        <v>2241</v>
      </c>
      <c r="R2832">
        <v>4867263</v>
      </c>
    </row>
    <row r="2833" spans="1:18" x14ac:dyDescent="0.25">
      <c r="A2833" s="170">
        <v>46178</v>
      </c>
      <c r="B2833">
        <v>2271.75</v>
      </c>
      <c r="C2833">
        <v>2198.25</v>
      </c>
      <c r="D2833">
        <v>2192.1</v>
      </c>
      <c r="E2833">
        <v>2267.5</v>
      </c>
      <c r="F2833">
        <v>2198.25</v>
      </c>
      <c r="G2833">
        <v>270021</v>
      </c>
      <c r="H2833" s="116"/>
      <c r="I2833" s="116"/>
      <c r="L2833" s="170">
        <v>46178</v>
      </c>
      <c r="M2833" s="116">
        <v>2198.9</v>
      </c>
      <c r="N2833" s="116">
        <v>2271.8000000000002</v>
      </c>
      <c r="O2833" s="116">
        <v>2192</v>
      </c>
      <c r="P2833" s="116">
        <v>2262.9</v>
      </c>
      <c r="Q2833" s="116">
        <v>2198.9</v>
      </c>
      <c r="R2833">
        <v>5019717</v>
      </c>
    </row>
    <row r="2834" spans="1:18" x14ac:dyDescent="0.25">
      <c r="A2834" s="170">
        <v>46181</v>
      </c>
      <c r="B2834">
        <v>2179.6999999999998</v>
      </c>
      <c r="C2834">
        <v>2151.4499999999998</v>
      </c>
      <c r="D2834">
        <v>2144</v>
      </c>
      <c r="E2834">
        <v>2179.6999999999998</v>
      </c>
      <c r="F2834">
        <v>2151.4499999999998</v>
      </c>
      <c r="G2834">
        <v>349334</v>
      </c>
      <c r="H2834" s="116"/>
      <c r="I2834" s="116"/>
      <c r="L2834" s="170">
        <v>46181</v>
      </c>
      <c r="M2834" s="116">
        <v>2151.4</v>
      </c>
      <c r="N2834" s="116">
        <v>2177</v>
      </c>
      <c r="O2834" s="116">
        <v>2143.3000000000002</v>
      </c>
      <c r="P2834" s="116">
        <v>2170</v>
      </c>
      <c r="Q2834" s="116">
        <v>2151.4</v>
      </c>
      <c r="R2834">
        <v>6536734</v>
      </c>
    </row>
    <row r="2835" spans="1:18" x14ac:dyDescent="0.25">
      <c r="A2835" s="170">
        <v>46182</v>
      </c>
      <c r="B2835">
        <v>2173</v>
      </c>
      <c r="C2835">
        <v>2149.5500000000002</v>
      </c>
      <c r="D2835">
        <v>2133.65</v>
      </c>
      <c r="E2835">
        <v>2172</v>
      </c>
      <c r="F2835">
        <v>2149.5500000000002</v>
      </c>
      <c r="G2835">
        <v>227817</v>
      </c>
      <c r="H2835" s="116"/>
      <c r="I2835" s="116"/>
      <c r="L2835" s="170">
        <v>46182</v>
      </c>
      <c r="M2835" s="116">
        <v>2151</v>
      </c>
      <c r="N2835" s="116">
        <v>2174</v>
      </c>
      <c r="O2835" s="116">
        <v>2132.8000000000002</v>
      </c>
      <c r="P2835" s="116">
        <v>2174</v>
      </c>
      <c r="Q2835" s="116">
        <v>2151</v>
      </c>
      <c r="R2835">
        <v>4148655</v>
      </c>
    </row>
    <row r="2836" spans="1:18" x14ac:dyDescent="0.25">
      <c r="A2836" s="170">
        <v>46183</v>
      </c>
      <c r="B2836">
        <v>2180.5500000000002</v>
      </c>
      <c r="C2836">
        <v>2153.9</v>
      </c>
      <c r="D2836">
        <v>2146.1</v>
      </c>
      <c r="E2836">
        <v>2158.4</v>
      </c>
      <c r="F2836">
        <v>2153.9</v>
      </c>
      <c r="G2836">
        <v>131350</v>
      </c>
      <c r="H2836" s="116"/>
      <c r="I2836" s="116"/>
      <c r="L2836" s="170">
        <v>46183</v>
      </c>
      <c r="M2836" s="116">
        <v>2153.9</v>
      </c>
      <c r="N2836" s="116">
        <v>2180.8000000000002</v>
      </c>
      <c r="O2836" s="116">
        <v>2144.8000000000002</v>
      </c>
      <c r="P2836" s="116">
        <v>2151.3000000000002</v>
      </c>
      <c r="Q2836" s="116">
        <v>2153.9</v>
      </c>
      <c r="R2836">
        <v>2848650</v>
      </c>
    </row>
    <row r="2837" spans="1:18" x14ac:dyDescent="0.25">
      <c r="A2837" s="170">
        <v>46184</v>
      </c>
      <c r="B2837">
        <v>2153.9</v>
      </c>
      <c r="C2837">
        <v>2135.3000000000002</v>
      </c>
      <c r="D2837">
        <v>2110</v>
      </c>
      <c r="E2837">
        <v>2129.9499999999998</v>
      </c>
      <c r="F2837">
        <v>2135.3000000000002</v>
      </c>
      <c r="G2837">
        <v>259684</v>
      </c>
      <c r="H2837" s="116"/>
      <c r="I2837" s="116"/>
      <c r="L2837" s="170">
        <v>46184</v>
      </c>
      <c r="M2837" s="116">
        <v>2135.6</v>
      </c>
      <c r="N2837" s="116">
        <v>2154.6</v>
      </c>
      <c r="O2837" s="116">
        <v>2110</v>
      </c>
      <c r="P2837" s="116">
        <v>2127</v>
      </c>
      <c r="Q2837" s="116">
        <v>2135.6</v>
      </c>
      <c r="R2837">
        <v>3079815</v>
      </c>
    </row>
    <row r="2838" spans="1:18" x14ac:dyDescent="0.25">
      <c r="A2838" s="170">
        <v>46185</v>
      </c>
      <c r="B2838">
        <v>2167.5</v>
      </c>
      <c r="C2838">
        <v>2161.5</v>
      </c>
      <c r="D2838">
        <v>2138.6</v>
      </c>
      <c r="E2838">
        <v>2150.1</v>
      </c>
      <c r="F2838">
        <v>2161.5</v>
      </c>
      <c r="G2838">
        <v>101685</v>
      </c>
      <c r="H2838" s="116"/>
      <c r="I2838" s="116"/>
      <c r="L2838" s="170">
        <v>46185</v>
      </c>
      <c r="M2838" s="116">
        <v>2161.4</v>
      </c>
      <c r="N2838" s="116">
        <v>2168</v>
      </c>
      <c r="O2838" s="116">
        <v>2138</v>
      </c>
      <c r="P2838" s="116">
        <v>2150</v>
      </c>
      <c r="Q2838" s="116">
        <v>2161.4</v>
      </c>
      <c r="R2838">
        <v>2124656</v>
      </c>
    </row>
    <row r="2839" spans="1:18" x14ac:dyDescent="0.25">
      <c r="A2839" s="170">
        <v>46188</v>
      </c>
      <c r="B2839">
        <v>2194.85</v>
      </c>
      <c r="C2839">
        <v>2161.6999999999998</v>
      </c>
      <c r="D2839">
        <v>2159.3000000000002</v>
      </c>
      <c r="E2839">
        <v>2192</v>
      </c>
      <c r="F2839">
        <v>2161.6999999999998</v>
      </c>
      <c r="G2839">
        <v>220076</v>
      </c>
      <c r="H2839" s="116"/>
      <c r="I2839" s="116"/>
      <c r="L2839" s="170">
        <v>46188</v>
      </c>
      <c r="M2839" s="116">
        <v>2162</v>
      </c>
      <c r="N2839" s="116">
        <v>2192</v>
      </c>
      <c r="O2839" s="116">
        <v>2159.3000000000002</v>
      </c>
      <c r="P2839" s="116">
        <v>2192</v>
      </c>
      <c r="Q2839" s="116">
        <v>2162</v>
      </c>
      <c r="R2839">
        <v>3337083</v>
      </c>
    </row>
    <row r="2840" spans="1:18" x14ac:dyDescent="0.25">
      <c r="A2840" s="170">
        <v>46189</v>
      </c>
      <c r="B2840">
        <v>2208.5</v>
      </c>
      <c r="C2840">
        <v>2198.85</v>
      </c>
      <c r="D2840">
        <v>2162</v>
      </c>
      <c r="E2840">
        <v>2173</v>
      </c>
      <c r="F2840">
        <v>2198.85</v>
      </c>
      <c r="G2840">
        <v>143516</v>
      </c>
      <c r="H2840" s="116"/>
      <c r="I2840" s="116"/>
      <c r="L2840" s="170">
        <v>46189</v>
      </c>
      <c r="M2840" s="116">
        <v>2199</v>
      </c>
      <c r="N2840" s="116">
        <v>2209</v>
      </c>
      <c r="O2840" s="116">
        <v>2160.6</v>
      </c>
      <c r="P2840" s="116">
        <v>2167</v>
      </c>
      <c r="Q2840" s="116">
        <v>2199</v>
      </c>
      <c r="R2840">
        <v>3079898</v>
      </c>
    </row>
    <row r="2841" spans="1:18" x14ac:dyDescent="0.25">
      <c r="A2841" s="170">
        <v>46190</v>
      </c>
      <c r="B2841">
        <v>2230</v>
      </c>
      <c r="C2841">
        <v>2222.6</v>
      </c>
      <c r="D2841">
        <v>2200.6</v>
      </c>
      <c r="E2841">
        <v>2200.6</v>
      </c>
      <c r="F2841">
        <v>2222.6</v>
      </c>
      <c r="G2841">
        <v>99644</v>
      </c>
      <c r="H2841" s="116"/>
      <c r="I2841" s="116"/>
      <c r="L2841" s="170">
        <v>46190</v>
      </c>
      <c r="M2841" s="116">
        <v>2223</v>
      </c>
      <c r="N2841" s="116">
        <v>2231</v>
      </c>
      <c r="O2841" s="116">
        <v>2200.6999999999998</v>
      </c>
      <c r="P2841" s="116">
        <v>2209</v>
      </c>
      <c r="Q2841" s="116">
        <v>2223</v>
      </c>
      <c r="R2841">
        <v>2865010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2026-06-17T16:44:56Z</dcterms:modified>
  <cp:category/>
  <cp:contentStatus/>
</cp:coreProperties>
</file>